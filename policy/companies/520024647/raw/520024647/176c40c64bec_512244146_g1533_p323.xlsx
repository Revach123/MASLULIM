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32023\"/>
    </mc:Choice>
  </mc:AlternateContent>
  <xr:revisionPtr revIDLastSave="0" documentId="13_ncr:1_{FF49AEBF-C88F-4605-B560-E5F2B3CFDC4C}" xr6:coauthVersionLast="47" xr6:coauthVersionMax="47" xr10:uidLastSave="{00000000-0000-0000-0000-000000000000}"/>
  <bookViews>
    <workbookView xWindow="-108" yWindow="-108" windowWidth="23256" windowHeight="12456" tabRatio="922" firstSheet="21" activeTab="21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קונצרני'!$A$4:$T$25</definedName>
    <definedName name="_xlnm.Print_Area" localSheetId="9">אופציות!$A$4:$K$22</definedName>
    <definedName name="_xlnm.Print_Area" localSheetId="21">הלוואות!$A$4:$Q$30</definedName>
    <definedName name="_xlnm.Print_Area" localSheetId="25">'השקעות אחרות'!$A$4:$J$11</definedName>
    <definedName name="_xlnm.Print_Area" localSheetId="23">'זכויות מקרקעין'!$A$4:$H$14</definedName>
    <definedName name="_xlnm.Print_Area" localSheetId="10">'חוזים עתידיים'!$A$4:$G$16</definedName>
    <definedName name="_xlnm.Print_Area" localSheetId="26">'יתרת התחייבות להשקעה'!$A$1:$B$10</definedName>
    <definedName name="_xlnm.Print_Area" localSheetId="8">'כתבי אופציה'!$A$4:$K$13</definedName>
    <definedName name="_xlnm.Print_Area" localSheetId="12">'לא סחיר- תעודות התחייבות ממשלתי'!$A$4:$O$18</definedName>
    <definedName name="_xlnm.Print_Area" localSheetId="14">'לא סחיר - אג"ח קונצרני'!$A$4:$R$17</definedName>
    <definedName name="_xlnm.Print_Area" localSheetId="18">'לא סחיר - אופציות'!$A$4:$K$21</definedName>
    <definedName name="_xlnm.Print_Area" localSheetId="19">'לא סחיר - חוזים עתידיים'!$A$4:$J$90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השקעה'!$A$4:$J$19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מזומנים!$A$4:$K$69</definedName>
    <definedName name="_xlnm.Print_Area" localSheetId="5">מניות!$A$4:$N$19</definedName>
    <definedName name="_xlnm.Print_Area" localSheetId="0">'סכום נכסי הקרן'!$A$4:$C$53</definedName>
    <definedName name="_xlnm.Print_Area" localSheetId="22">'פקדונות מעל 3 חודשים'!$A$4:$N$16</definedName>
    <definedName name="_xlnm.Print_Area" localSheetId="7">'קרנות נאמנות'!$A$4:$N$24</definedName>
    <definedName name="_xlnm.Print_Area" localSheetId="6">'קרנות סל'!$A$4:$M$82</definedName>
    <definedName name="_xlnm.Print_Area" localSheetId="2">'תעודות התחייבות ממשלתיות'!$A$4:$Q$51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6" l="1"/>
  <c r="M13" i="16"/>
  <c r="M14" i="16"/>
  <c r="M15" i="16"/>
  <c r="M16" i="16"/>
  <c r="M11" i="16"/>
  <c r="P12" i="16"/>
  <c r="P13" i="16"/>
  <c r="P14" i="16"/>
  <c r="P15" i="16"/>
  <c r="P16" i="16"/>
  <c r="P11" i="16"/>
</calcChain>
</file>

<file path=xl/sharedStrings.xml><?xml version="1.0" encoding="utf-8"?>
<sst xmlns="http://schemas.openxmlformats.org/spreadsheetml/2006/main" count="4967" uniqueCount="918">
  <si>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</si>
  <si>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</si>
  <si>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</si>
  <si>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</si>
  <si>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</si>
  <si>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</si>
  <si>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</si>
  <si>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</si>
  <si>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</si>
  <si>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</si>
  <si>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</si>
  <si>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</si>
  <si>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</si>
  <si>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</si>
  <si>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</si>
  <si>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</si>
  <si>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</si>
  <si>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</si>
  <si>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</si>
  <si>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</si>
  <si>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</si>
  <si>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</si>
  <si>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</si>
  <si>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</si>
  <si>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</si>
  <si>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</si>
  <si>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</si>
  <si>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</si>
  <si>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</si>
  <si>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</si>
  <si>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</si>
  <si>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</si>
  <si>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</si>
  <si>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</si>
  <si>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</si>
  <si>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</si>
  <si>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</si>
  <si>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</si>
  <si>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</si>
  <si>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</si>
  <si>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</si>
  <si>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</si>
  <si>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</si>
  <si>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</si>
  <si>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</si>
  <si>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</si>
  <si>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</si>
  <si>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</si>
  <si>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</si>
  <si>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</si>
  <si>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</si>
  <si>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</si>
  <si>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</si>
  <si>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</si>
  <si>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</si>
  <si>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</si>
  <si>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</si>
  <si>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</si>
  <si>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</si>
  <si>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</si>
  <si>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</si>
  <si>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</si>
  <si>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</si>
  <si>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</si>
  <si>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</si>
  <si>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</si>
  <si>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</si>
  <si>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</si>
  <si>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</si>
  <si>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</si>
  <si>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</si>
  <si>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</si>
  <si>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</si>
  <si>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</si>
  <si>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</si>
  <si>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</si>
  <si>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</si>
  <si>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</si>
  <si>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</si>
  <si>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</si>
  <si>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</si>
  <si>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</si>
  <si>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</si>
  <si>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</si>
  <si>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</si>
  <si>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</si>
  <si>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</si>
  <si>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</si>
  <si>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</si>
  <si>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</si>
  <si>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</si>
  <si>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</si>
  <si>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</si>
  <si>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</si>
  <si>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</si>
  <si>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</si>
  <si>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</si>
  <si>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</si>
  <si>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</si>
  <si>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</si>
  <si>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</si>
  <si>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</si>
  <si>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</si>
  <si>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</si>
  <si>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</si>
  <si>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</si>
  <si>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</si>
  <si>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</si>
  <si>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</si>
  <si>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</si>
  <si>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</si>
  <si>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</si>
  <si>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</si>
  <si>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</si>
  <si>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</si>
  <si>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</si>
  <si>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</si>
  <si>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</si>
  <si>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</si>
  <si>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</si>
  <si>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</si>
  <si>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</si>
  <si>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</si>
  <si>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</si>
  <si>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</si>
  <si>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</si>
  <si>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</si>
  <si>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</si>
  <si>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</si>
  <si>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</si>
  <si>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</si>
  <si>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</si>
  <si>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</si>
  <si>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</si>
  <si>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</si>
  <si>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</si>
  <si>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</si>
  <si>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</si>
  <si>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</si>
  <si>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</si>
  <si>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</si>
  <si>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</si>
  <si>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</si>
  <si>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</si>
  <si>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</si>
  <si>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</si>
  <si>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</si>
  <si>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</si>
  <si>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</si>
  <si>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</si>
  <si>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</si>
  <si>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</si>
  <si>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</si>
  <si>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</si>
  <si>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</si>
  <si>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</si>
  <si>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</si>
  <si>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</si>
  <si>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</si>
  <si>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</si>
  <si>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</si>
  <si>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</si>
  <si>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</si>
  <si>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</si>
  <si>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</si>
  <si>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</si>
  <si>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</si>
  <si>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</si>
  <si>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</si>
  <si>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</si>
  <si>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</si>
  <si>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</si>
  <si>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</si>
  <si>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</si>
  <si>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</si>
  <si>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</si>
  <si>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</si>
  <si>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</si>
  <si>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</si>
  <si>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</si>
  <si>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</si>
  <si>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</si>
  <si>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</si>
  <si>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</si>
  <si>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</si>
  <si>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</si>
  <si>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</si>
  <si>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</si>
  <si>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</si>
  <si>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</si>
  <si>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</si>
  <si>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</si>
  <si>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</si>
  <si>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</si>
  <si>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</si>
  <si>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</si>
  <si>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</si>
  <si>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</si>
  <si>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</si>
  <si>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</si>
  <si>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</si>
  <si>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</si>
  <si>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</si>
  <si>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</si>
  <si>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</si>
  <si>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</si>
  <si>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</si>
  <si>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</si>
  <si>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</si>
  <si>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</si>
  <si>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</si>
  <si>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</si>
  <si>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</si>
  <si>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</si>
  <si>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</si>
  <si>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</si>
  <si>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</si>
  <si>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</si>
  <si>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</si>
  <si>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</si>
  <si>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</si>
  <si>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</si>
  <si>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</si>
  <si>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</si>
  <si>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</si>
  <si>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</si>
  <si>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</si>
  <si>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</si>
  <si>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</si>
  <si>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</si>
  <si>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</si>
  <si>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</si>
  <si>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</si>
  <si>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</si>
  <si>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</si>
  <si>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</si>
  <si>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</si>
  <si>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</si>
  <si>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</si>
  <si>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גמל הלכתי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</si>
  <si>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</si>
  <si>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</si>
  <si>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</si>
  <si>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</si>
  <si>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</si>
  <si>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</si>
  <si>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1533</t>
  </si>
  <si>
    <t xml:space="preserve">סה"כ בישראל: </t>
  </si>
  <si>
    <t/>
  </si>
  <si>
    <t xml:space="preserve">יתרות מזומנים ועו"ש בש"ח </t>
  </si>
  <si>
    <t>30005920</t>
  </si>
  <si>
    <t>11</t>
  </si>
  <si>
    <t>ilAAA</t>
  </si>
  <si>
    <t>S&amp;P מעלות</t>
  </si>
  <si>
    <t>שקל חדש</t>
  </si>
  <si>
    <t>30021040</t>
  </si>
  <si>
    <t>12</t>
  </si>
  <si>
    <t>30023840</t>
  </si>
  <si>
    <t>10</t>
  </si>
  <si>
    <t>30043190</t>
  </si>
  <si>
    <t>22</t>
  </si>
  <si>
    <t>A3</t>
  </si>
  <si>
    <t>Moodys</t>
  </si>
  <si>
    <t>30056620</t>
  </si>
  <si>
    <t>26</t>
  </si>
  <si>
    <t>30089270</t>
  </si>
  <si>
    <t>30091530</t>
  </si>
  <si>
    <t>30098590</t>
  </si>
  <si>
    <t>30098610</t>
  </si>
  <si>
    <t>27295737</t>
  </si>
  <si>
    <t>27295738</t>
  </si>
  <si>
    <t>30023370</t>
  </si>
  <si>
    <t>30035470</t>
  </si>
  <si>
    <t>20</t>
  </si>
  <si>
    <t>30038310</t>
  </si>
  <si>
    <t>30035240</t>
  </si>
  <si>
    <t>30046640</t>
  </si>
  <si>
    <t>30046670</t>
  </si>
  <si>
    <t>30057380</t>
  </si>
  <si>
    <t>27007345</t>
  </si>
  <si>
    <t xml:space="preserve">יתרות מזומנים ועו"ש נקובים במט"ח </t>
  </si>
  <si>
    <t>30005940</t>
  </si>
  <si>
    <t>30021060</t>
  </si>
  <si>
    <t>30023860</t>
  </si>
  <si>
    <t>30043200</t>
  </si>
  <si>
    <t>30023880</t>
  </si>
  <si>
    <t>30028630</t>
  </si>
  <si>
    <t>30028670</t>
  </si>
  <si>
    <t>30006670</t>
  </si>
  <si>
    <t>30023390</t>
  </si>
  <si>
    <t>30035250</t>
  </si>
  <si>
    <t>28295738</t>
  </si>
  <si>
    <t>26295737</t>
  </si>
  <si>
    <t>30046650</t>
  </si>
  <si>
    <t>30046680</t>
  </si>
  <si>
    <t>265016350</t>
  </si>
  <si>
    <t>26854250</t>
  </si>
  <si>
    <t>27501634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</si>
  <si>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</si>
  <si>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</si>
  <si>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</si>
  <si>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</si>
  <si>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פיקדון סל אגח ממשלתי מזרחי בנק מזרחי טפחות בע"מ</t>
  </si>
  <si>
    <t>67035240</t>
  </si>
  <si>
    <t>67035470</t>
  </si>
  <si>
    <t xml:space="preserve">פקדונות במט"ח עד שלושה חודשים </t>
  </si>
  <si>
    <t>30022530</t>
  </si>
  <si>
    <t>30028690</t>
  </si>
  <si>
    <t>30006730</t>
  </si>
  <si>
    <t>30023470</t>
  </si>
  <si>
    <t xml:space="preserve">סה"כ בחו"ל: </t>
  </si>
  <si>
    <t>30028700</t>
  </si>
  <si>
    <t>88</t>
  </si>
  <si>
    <t>A1</t>
  </si>
  <si>
    <t>28114070</t>
  </si>
  <si>
    <t>98</t>
  </si>
  <si>
    <t>AA</t>
  </si>
  <si>
    <t>S&amp;P</t>
  </si>
  <si>
    <t>30048170</t>
  </si>
  <si>
    <t>26114070</t>
  </si>
  <si>
    <t>30060180</t>
  </si>
  <si>
    <t>30061900</t>
  </si>
  <si>
    <t>30016820</t>
  </si>
  <si>
    <t>30016840</t>
  </si>
  <si>
    <t>סה"כ צמודות למדד</t>
  </si>
  <si>
    <t>ממצ"מ 0841</t>
  </si>
  <si>
    <t>1120583</t>
  </si>
  <si>
    <t>TASE</t>
  </si>
  <si>
    <t>RF</t>
  </si>
  <si>
    <t>28/09/2010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</si>
  <si>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</si>
  <si>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</si>
  <si>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</si>
  <si>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</si>
  <si>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</si>
  <si>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</si>
  <si>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</si>
  <si>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</si>
  <si>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</si>
  <si>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</si>
  <si>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</si>
  <si>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</si>
  <si>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</si>
  <si>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</si>
  <si>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</si>
  <si>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</si>
  <si>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</si>
  <si>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</si>
  <si>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ממצ"מ 1028</t>
  </si>
  <si>
    <t>1197326</t>
  </si>
  <si>
    <t>06/09/2023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</si>
  <si>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</si>
  <si>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</si>
  <si>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</si>
  <si>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</si>
  <si>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</si>
  <si>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</si>
  <si>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</si>
  <si>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114</t>
  </si>
  <si>
    <t>8240111</t>
  </si>
  <si>
    <t>03/01/2023</t>
  </si>
  <si>
    <t>מקמ 314</t>
  </si>
  <si>
    <t>8240319</t>
  </si>
  <si>
    <t>01/03/2023</t>
  </si>
  <si>
    <t>מקמ 414</t>
  </si>
  <si>
    <t>8240418</t>
  </si>
  <si>
    <t>04/04/2023</t>
  </si>
  <si>
    <t>מקמ 914</t>
  </si>
  <si>
    <t>8240913</t>
  </si>
  <si>
    <t>14/09/2023</t>
  </si>
  <si>
    <t>מקמ 614</t>
  </si>
  <si>
    <t>8240616</t>
  </si>
  <si>
    <t>21/09/2023</t>
  </si>
  <si>
    <t>שחר</t>
  </si>
  <si>
    <t>ממשק 0327</t>
  </si>
  <si>
    <t>1139344</t>
  </si>
  <si>
    <t>11/01/2017</t>
  </si>
  <si>
    <t>ממשק 0347</t>
  </si>
  <si>
    <t>1140193</t>
  </si>
  <si>
    <t>18/07/2017</t>
  </si>
  <si>
    <t>ממשק  0928</t>
  </si>
  <si>
    <t>1150879</t>
  </si>
  <si>
    <t>16/08/2018</t>
  </si>
  <si>
    <t>ממשק 0330</t>
  </si>
  <si>
    <t>1160985</t>
  </si>
  <si>
    <t>20/12/2007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</si>
  <si>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</si>
  <si>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</si>
  <si>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</si>
  <si>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</si>
  <si>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</si>
  <si>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</si>
  <si>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</si>
  <si>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</si>
  <si>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</si>
  <si>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ממשק 0229</t>
  </si>
  <si>
    <t>1194802</t>
  </si>
  <si>
    <t>16/07/2023</t>
  </si>
  <si>
    <t>ממשל משתנה 0526 ריפו 23/05/2024</t>
  </si>
  <si>
    <t>999999131</t>
  </si>
  <si>
    <t>23/05/2023</t>
  </si>
  <si>
    <t>ממשל משתנה 1130 ריפו 12/12/2023</t>
  </si>
  <si>
    <t>999999133</t>
  </si>
  <si>
    <t>12/06/2023</t>
  </si>
  <si>
    <t>ממשל משתנה 0526 ריפו 11/07/2024</t>
  </si>
  <si>
    <t>999999134</t>
  </si>
  <si>
    <t>11/07/2023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</si>
  <si>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</si>
  <si>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</si>
  <si>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</si>
  <si>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</si>
  <si>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</si>
  <si>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</si>
  <si>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</si>
  <si>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</si>
  <si>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</si>
  <si>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</si>
  <si>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</si>
  <si>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</si>
  <si>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10/01/2018</t>
  </si>
  <si>
    <t>סה"כ אג"ח שהנפיקו ממשלות זרות בחו"ל</t>
  </si>
  <si>
    <t>T 2.875 05/15/32</t>
  </si>
  <si>
    <t>US91282CEP23</t>
  </si>
  <si>
    <t>Aaa</t>
  </si>
  <si>
    <t>25/11/2022</t>
  </si>
  <si>
    <t>T 4.125 11/15/32</t>
  </si>
  <si>
    <t>US91282CFV81</t>
  </si>
  <si>
    <t>09/03/2023</t>
  </si>
  <si>
    <t>T 3.375 05/15/33</t>
  </si>
  <si>
    <t>US91282CHC82</t>
  </si>
  <si>
    <t>סה"כ צמודות למט"ח</t>
  </si>
  <si>
    <t>סה"כ בחו"ל</t>
  </si>
  <si>
    <t>אפי נכסים אגח יד</t>
  </si>
  <si>
    <t>1184530</t>
  </si>
  <si>
    <t>510560188</t>
  </si>
  <si>
    <t>A2.il</t>
  </si>
  <si>
    <t>מידרוג</t>
  </si>
  <si>
    <t>20/02/2022</t>
  </si>
  <si>
    <t>מזרחי אגח 64</t>
  </si>
  <si>
    <t>2310555</t>
  </si>
  <si>
    <t>520032046</t>
  </si>
  <si>
    <t>Aaa.il</t>
  </si>
  <si>
    <t>11/04/2022</t>
  </si>
  <si>
    <t>פועלים אגח 203</t>
  </si>
  <si>
    <t>1199868</t>
  </si>
  <si>
    <t>520000118</t>
  </si>
  <si>
    <t>27/09/2023</t>
  </si>
  <si>
    <t>בינלאומי כתב התחייבות כז</t>
  </si>
  <si>
    <t>1189497</t>
  </si>
  <si>
    <t>513141879</t>
  </si>
  <si>
    <t>Aa3.il</t>
  </si>
  <si>
    <t>13/09/2022</t>
  </si>
  <si>
    <t>הראל הנפקות אגח טז</t>
  </si>
  <si>
    <t>1157601</t>
  </si>
  <si>
    <t>513834200</t>
  </si>
  <si>
    <t>18/04/2019</t>
  </si>
  <si>
    <t>מנורה הון אגח ז</t>
  </si>
  <si>
    <t>1184191</t>
  </si>
  <si>
    <t>513937714</t>
  </si>
  <si>
    <t>18/09/2006</t>
  </si>
  <si>
    <t>מזרחי אגח 63</t>
  </si>
  <si>
    <t>2310548</t>
  </si>
  <si>
    <t>מנורה הון אגח ח</t>
  </si>
  <si>
    <t>1199470</t>
  </si>
  <si>
    <t>A3.il</t>
  </si>
  <si>
    <t>07/09/2023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</si>
  <si>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</si>
  <si>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</si>
  <si>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</si>
  <si>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</si>
  <si>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</si>
  <si>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</si>
  <si>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</si>
  <si>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</si>
  <si>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פסגות קרן סל תא 125 כשרה</t>
  </si>
  <si>
    <t>1155324</t>
  </si>
  <si>
    <t>513765339</t>
  </si>
  <si>
    <t>מניות</t>
  </si>
  <si>
    <t>הראל קרן סל תא 125 כשרה</t>
  </si>
  <si>
    <t>1155340</t>
  </si>
  <si>
    <t>511776783</t>
  </si>
  <si>
    <t>קסם קרן סל תא 125 כשרה</t>
  </si>
  <si>
    <t>1155365</t>
  </si>
  <si>
    <t>510938608</t>
  </si>
  <si>
    <t>תכלית קרן סל תא 125 כשרה</t>
  </si>
  <si>
    <t>1155373</t>
  </si>
  <si>
    <t>513534974</t>
  </si>
  <si>
    <t>MTF סל (4A) כשרה תא-125</t>
  </si>
  <si>
    <t>1159714</t>
  </si>
  <si>
    <t>511303661</t>
  </si>
  <si>
    <t>סה"כ שעוקבות אחר מדדי מניות בחו"ל</t>
  </si>
  <si>
    <t>סה"כ שעוקבות אחר מדדים אחרים בישראל</t>
  </si>
  <si>
    <t>פסגות קרן סל תלבונד 60 כשרה</t>
  </si>
  <si>
    <t>1155076</t>
  </si>
  <si>
    <t>אג"ח</t>
  </si>
  <si>
    <t>תכלית קרן סל תלבונד תשואות כשרה</t>
  </si>
  <si>
    <t>1155100</t>
  </si>
  <si>
    <t>תכלית קרן סל תלבונד צמודות יתר כשרה</t>
  </si>
  <si>
    <t>1155118</t>
  </si>
  <si>
    <t>קסם קרן סל תלבונד 60 כשרה</t>
  </si>
  <si>
    <t>1155126</t>
  </si>
  <si>
    <t>הראל קרן סל תלבונד 60 כשרה</t>
  </si>
  <si>
    <t>1155092</t>
  </si>
  <si>
    <t>קסם קרן סל תלבונד שקלי כשרה</t>
  </si>
  <si>
    <t>1155159</t>
  </si>
  <si>
    <t>תכלית קרן סל תלבונד שקלי כשרה</t>
  </si>
  <si>
    <t>1155183</t>
  </si>
  <si>
    <t>הראל קרן סל תלבונד שקלי כשרה</t>
  </si>
  <si>
    <t>1155191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</si>
  <si>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</si>
  <si>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</si>
  <si>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</si>
  <si>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</si>
  <si>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</si>
  <si>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NYSE</t>
  </si>
  <si>
    <t>Stocks</t>
  </si>
  <si>
    <t>VOO US Equity</t>
  </si>
  <si>
    <t>US9229083632</t>
  </si>
  <si>
    <t>SPXS LN Equity</t>
  </si>
  <si>
    <t>IE00B3YCGJ38</t>
  </si>
  <si>
    <t>LSE</t>
  </si>
  <si>
    <t>LSPU LN Equity</t>
  </si>
  <si>
    <t>LU0496786657</t>
  </si>
  <si>
    <t>I500 NA Equity</t>
  </si>
  <si>
    <t>IE00BMTX1Y45</t>
  </si>
  <si>
    <t>XSXD LN Equity</t>
  </si>
  <si>
    <t>LU2009147757</t>
  </si>
  <si>
    <t>IEUX NA Equity</t>
  </si>
  <si>
    <t>IE00B14X4N27</t>
  </si>
  <si>
    <t>VERX NA Equity</t>
  </si>
  <si>
    <t>IE00BKX55S42</t>
  </si>
  <si>
    <t>1306 JP Equity</t>
  </si>
  <si>
    <t>JP3027630007</t>
  </si>
  <si>
    <t>TSE</t>
  </si>
  <si>
    <t>DXJZ LN Equity</t>
  </si>
  <si>
    <t>IE00BYQCZN58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</si>
  <si>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</si>
  <si>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</si>
  <si>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</si>
  <si>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</si>
  <si>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</si>
  <si>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</si>
  <si>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</si>
  <si>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</si>
  <si>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AASU FP Equity</t>
  </si>
  <si>
    <t>LU1681044563</t>
  </si>
  <si>
    <t>CAC</t>
  </si>
  <si>
    <t>EMXC US Equity</t>
  </si>
  <si>
    <t>US46434G7640</t>
  </si>
  <si>
    <t>NASDAQ</t>
  </si>
  <si>
    <t>XMME LN Equity</t>
  </si>
  <si>
    <t>IE00BTJRMP35</t>
  </si>
  <si>
    <t>AEME LN Equity</t>
  </si>
  <si>
    <t>LU1437017350</t>
  </si>
  <si>
    <t>4BRZ GY Equity</t>
  </si>
  <si>
    <t>DE000A0Q4R85</t>
  </si>
  <si>
    <t>DAX</t>
  </si>
  <si>
    <t>LEMA LN Equity</t>
  </si>
  <si>
    <t>LU2573967036</t>
  </si>
  <si>
    <t>סה"כ שעוקבות אחר מדדים אחרים</t>
  </si>
  <si>
    <t>XDGU LN Equity</t>
  </si>
  <si>
    <t>IE00BZ036H21</t>
  </si>
  <si>
    <t>Bonds</t>
  </si>
  <si>
    <t>IHYU LN Equity</t>
  </si>
  <si>
    <t>IE00B4PY7Y77</t>
  </si>
  <si>
    <t>IHYG LN Equity</t>
  </si>
  <si>
    <t>IE00B66F4759</t>
  </si>
  <si>
    <t>IEML LN Equity</t>
  </si>
  <si>
    <t>IE00B5M4WH52</t>
  </si>
  <si>
    <t>CCBO LN Equity</t>
  </si>
  <si>
    <t>IE00BZ0XVF52</t>
  </si>
  <si>
    <t>EHBA IM Equity</t>
  </si>
  <si>
    <t>IE00BKWD3B81</t>
  </si>
  <si>
    <t>XLE US Equity</t>
  </si>
  <si>
    <t>US81369Y5069</t>
  </si>
  <si>
    <t>XLV US Equity</t>
  </si>
  <si>
    <t>US81369Y2090</t>
  </si>
  <si>
    <t>QQQ US Equity</t>
  </si>
  <si>
    <t>US46090E1038</t>
  </si>
  <si>
    <t>XLU US Equity</t>
  </si>
  <si>
    <t>US81369Y8865</t>
  </si>
  <si>
    <t>XLF US Equity</t>
  </si>
  <si>
    <t>US81369Y6059</t>
  </si>
  <si>
    <t>XLY US Equity</t>
  </si>
  <si>
    <t>US81369Y4070</t>
  </si>
  <si>
    <t>OIH US Equity</t>
  </si>
  <si>
    <t>US92189H6071</t>
  </si>
  <si>
    <t>XBI US Equity</t>
  </si>
  <si>
    <t>US78464A8707</t>
  </si>
  <si>
    <t>FIVG US Equity</t>
  </si>
  <si>
    <t>US26922A2895</t>
  </si>
  <si>
    <t>IHF US Equity</t>
  </si>
  <si>
    <t>US4642888287</t>
  </si>
  <si>
    <t>COPX US Equity</t>
  </si>
  <si>
    <t>US37954Y8306</t>
  </si>
  <si>
    <t>TAN US Equity</t>
  </si>
  <si>
    <t>US46138G7060</t>
  </si>
  <si>
    <t>FHLC US Equity</t>
  </si>
  <si>
    <t>US3160926008</t>
  </si>
  <si>
    <t>ICLN US Equity</t>
  </si>
  <si>
    <t>US4642882249</t>
  </si>
  <si>
    <t>XLRE US Equity</t>
  </si>
  <si>
    <t>US81369Y8600</t>
  </si>
  <si>
    <t>IUES LN Equity</t>
  </si>
  <si>
    <t>IE00B42NKQ00</t>
  </si>
  <si>
    <t>QQQM US Equity</t>
  </si>
  <si>
    <t>US46138G6492</t>
  </si>
  <si>
    <t>XPH US Equity</t>
  </si>
  <si>
    <t>US78464A7220</t>
  </si>
  <si>
    <t>HLT FP Equity</t>
  </si>
  <si>
    <t>LU1834986900</t>
  </si>
  <si>
    <t>STN FP Equity</t>
  </si>
  <si>
    <t>IE00BKWQ0F09</t>
  </si>
  <si>
    <t>1615JP Equity</t>
  </si>
  <si>
    <t>JP3040170007</t>
  </si>
  <si>
    <t>KWEB US Equity</t>
  </si>
  <si>
    <t>US5007673065</t>
  </si>
  <si>
    <t>סה"כ אג"ח ממשלתי</t>
  </si>
  <si>
    <t>PIMEMBI ID Equity</t>
  </si>
  <si>
    <t>IE0030759645</t>
  </si>
  <si>
    <t>NR</t>
  </si>
  <si>
    <t>JP Morgan Liquidity Dollar</t>
  </si>
  <si>
    <t>X9X9USD02A31</t>
  </si>
  <si>
    <t>2711006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</si>
  <si>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</si>
  <si>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</si>
  <si>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</si>
  <si>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</si>
  <si>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</si>
  <si>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</si>
  <si>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A2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</si>
  <si>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</si>
  <si>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</si>
  <si>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</si>
  <si>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</si>
  <si>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</si>
  <si>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SPXW US 12/29/23 P4000 Index</t>
  </si>
  <si>
    <t>70168060</t>
  </si>
  <si>
    <t>SPXW US 12/29/23 P4475 Index</t>
  </si>
  <si>
    <t>70174247</t>
  </si>
  <si>
    <t>סה"כ מטבע</t>
  </si>
  <si>
    <t>סה"כ סחורות</t>
  </si>
  <si>
    <t>12/2023 JPM VGZ3 Index משתנה</t>
  </si>
  <si>
    <t>DE000C6JGBY9</t>
  </si>
  <si>
    <t>EUX</t>
  </si>
  <si>
    <t>12/2023 JPM VGZ3 Index התחייבות</t>
  </si>
  <si>
    <t>557000780</t>
  </si>
  <si>
    <t>12/2023 JPM ESZ3 Index משתנה</t>
  </si>
  <si>
    <t>557000783</t>
  </si>
  <si>
    <t>CME</t>
  </si>
  <si>
    <t>12/2023 JPM ESZ3 Index התחייבות</t>
  </si>
  <si>
    <t>557000784</t>
  </si>
  <si>
    <t>UXYZ3 Comdty</t>
  </si>
  <si>
    <t>70175946</t>
  </si>
  <si>
    <t>CBT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</si>
  <si>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</si>
  <si>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</si>
  <si>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</si>
  <si>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</si>
  <si>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</si>
  <si>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</si>
  <si>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</si>
  <si>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</si>
  <si>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</si>
  <si>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</si>
  <si>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</si>
  <si>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</si>
  <si>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</si>
  <si>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</si>
  <si>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</si>
  <si>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</si>
  <si>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</si>
  <si>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</si>
  <si>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</si>
  <si>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</si>
  <si>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</si>
  <si>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</si>
  <si>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</si>
  <si>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</si>
  <si>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</si>
  <si>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</si>
  <si>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</si>
  <si>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</si>
  <si>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</si>
  <si>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</si>
  <si>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</si>
  <si>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</si>
  <si>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</si>
  <si>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</si>
  <si>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</si>
  <si>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IRS 4.245 FLOAT ILS 2023-2032</t>
  </si>
  <si>
    <t>2010852</t>
  </si>
  <si>
    <t>IRS 4.255 FLOAT ILS 2023-2032</t>
  </si>
  <si>
    <t>2010854</t>
  </si>
  <si>
    <t>IRS 4.245 FIX ILS 2023-2032</t>
  </si>
  <si>
    <t>2010851</t>
  </si>
  <si>
    <t>IRS 4.255 FIX 2023-2032</t>
  </si>
  <si>
    <t>2010853</t>
  </si>
  <si>
    <t>סה"כ  אחר</t>
  </si>
  <si>
    <t>FW EURUSD 18/10/2023 - USD</t>
  </si>
  <si>
    <t>445270132</t>
  </si>
  <si>
    <t>09/05/2023</t>
  </si>
  <si>
    <t>FW EURUSD 18/10/2023 - EUR</t>
  </si>
  <si>
    <t>445270133</t>
  </si>
  <si>
    <t>445272400</t>
  </si>
  <si>
    <t>06/06/2023</t>
  </si>
  <si>
    <t>445272401</t>
  </si>
  <si>
    <t>FW USDILS 06/12/2023 - ILS</t>
  </si>
  <si>
    <t>445267288</t>
  </si>
  <si>
    <t>24/04/2023</t>
  </si>
  <si>
    <t>FW USDILS 06/12/2023 - USD</t>
  </si>
  <si>
    <t>445267289</t>
  </si>
  <si>
    <t>FW USDILS 26/06/2024 - ILS</t>
  </si>
  <si>
    <t>445269480</t>
  </si>
  <si>
    <t>03/05/2023</t>
  </si>
  <si>
    <t>FW USDILS 26/06/2024 - USD</t>
  </si>
  <si>
    <t>445269481</t>
  </si>
  <si>
    <t>FW USDILS 24/07/2024 - ILS</t>
  </si>
  <si>
    <t>445271276</t>
  </si>
  <si>
    <t>22/05/2023</t>
  </si>
  <si>
    <t>FW USDILS 24/07/2024 - USD</t>
  </si>
  <si>
    <t>445271277</t>
  </si>
  <si>
    <t>445271332</t>
  </si>
  <si>
    <t>445271333</t>
  </si>
  <si>
    <t>445274450</t>
  </si>
  <si>
    <t>28/06/2023</t>
  </si>
  <si>
    <t>445274451</t>
  </si>
  <si>
    <t>445274756</t>
  </si>
  <si>
    <t>05/07/2023</t>
  </si>
  <si>
    <t>445274757</t>
  </si>
  <si>
    <t>445275094</t>
  </si>
  <si>
    <t>10/07/2023</t>
  </si>
  <si>
    <t>445275095</t>
  </si>
  <si>
    <t>445275180</t>
  </si>
  <si>
    <t>445275181</t>
  </si>
  <si>
    <t>445275226</t>
  </si>
  <si>
    <t>12/07/2023</t>
  </si>
  <si>
    <t>445275227</t>
  </si>
  <si>
    <t>445276676</t>
  </si>
  <si>
    <t>24/07/2023</t>
  </si>
  <si>
    <t>445276677</t>
  </si>
  <si>
    <t>445276718</t>
  </si>
  <si>
    <t>25/07/2023</t>
  </si>
  <si>
    <t>445276719</t>
  </si>
  <si>
    <t>445276942</t>
  </si>
  <si>
    <t>26/07/2023</t>
  </si>
  <si>
    <t>445276943</t>
  </si>
  <si>
    <t>445277506</t>
  </si>
  <si>
    <t>01/08/2023</t>
  </si>
  <si>
    <t>445277507</t>
  </si>
  <si>
    <t>445278184</t>
  </si>
  <si>
    <t>09/08/2023</t>
  </si>
  <si>
    <t>445278185</t>
  </si>
  <si>
    <t>445278522</t>
  </si>
  <si>
    <t>14/08/2023</t>
  </si>
  <si>
    <t>445278523</t>
  </si>
  <si>
    <t>445278788</t>
  </si>
  <si>
    <t>16/08/2023</t>
  </si>
  <si>
    <t>445278789</t>
  </si>
  <si>
    <t>445278884</t>
  </si>
  <si>
    <t>21/08/2023</t>
  </si>
  <si>
    <t>445278885</t>
  </si>
  <si>
    <t>445279044</t>
  </si>
  <si>
    <t>22/08/2023</t>
  </si>
  <si>
    <t>445279045</t>
  </si>
  <si>
    <t>445279580</t>
  </si>
  <si>
    <t>445279581</t>
  </si>
  <si>
    <t>445280222</t>
  </si>
  <si>
    <t>445280223</t>
  </si>
  <si>
    <t>445281422</t>
  </si>
  <si>
    <t>20/09/2023</t>
  </si>
  <si>
    <t>445281423</t>
  </si>
  <si>
    <t>445282266</t>
  </si>
  <si>
    <t>445282267</t>
  </si>
  <si>
    <t>445282428</t>
  </si>
  <si>
    <t>26/09/2023</t>
  </si>
  <si>
    <t>445282429</t>
  </si>
  <si>
    <t>445282610</t>
  </si>
  <si>
    <t>28/09/2023</t>
  </si>
  <si>
    <t>445282611</t>
  </si>
  <si>
    <t>סה"כ חוזים עתידיים בחו"ל</t>
  </si>
  <si>
    <t>FW GBPUSD 18/10/2023 - GBP</t>
  </si>
  <si>
    <t>445273386</t>
  </si>
  <si>
    <t>21/06/2023</t>
  </si>
  <si>
    <t>FW GBPUSD 18/10/2023 - USD</t>
  </si>
  <si>
    <t>445273387</t>
  </si>
  <si>
    <t>FW USDJPY 25/10/2023 - JPY</t>
  </si>
  <si>
    <t>445277190</t>
  </si>
  <si>
    <t>28/07/2023</t>
  </si>
  <si>
    <t>FW USDJPY 25/10/2023 - USD</t>
  </si>
  <si>
    <t>445277191</t>
  </si>
  <si>
    <t>FW GBPUSD 28/02/2024 - USD</t>
  </si>
  <si>
    <t>445280864</t>
  </si>
  <si>
    <t>18/09/2023</t>
  </si>
  <si>
    <t>FW GBPUSD 28/02/2024 - GBP</t>
  </si>
  <si>
    <t>445280865</t>
  </si>
  <si>
    <t>445281484</t>
  </si>
  <si>
    <t>445281485</t>
  </si>
  <si>
    <t>445281486</t>
  </si>
  <si>
    <t>445281487</t>
  </si>
  <si>
    <t>445281880</t>
  </si>
  <si>
    <t>445281881</t>
  </si>
  <si>
    <t>FW EURUSD 20/03/2024 - USD</t>
  </si>
  <si>
    <t>445281882</t>
  </si>
  <si>
    <t>FW EURUSD 20/03/2024 - EUR</t>
  </si>
  <si>
    <t>445281883</t>
  </si>
  <si>
    <t>סה"כ כנגד חסכון עמיתים/מבוטחים</t>
  </si>
  <si>
    <t>333014018</t>
  </si>
  <si>
    <t>סה"כ מובטחות במשכנתא או תיקי משכנתאות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</si>
  <si>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</si>
  <si>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</si>
  <si>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</si>
  <si>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</si>
  <si>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</si>
  <si>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</si>
  <si>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</si>
  <si>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</si>
  <si>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</si>
  <si>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פק' דיסקונט פריים-1.42% 12/12/23</t>
  </si>
  <si>
    <t>20803074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</si>
  <si>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</si>
  <si>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</si>
  <si>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</si>
  <si>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</si>
  <si>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</si>
  <si>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</si>
  <si>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</si>
  <si>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</si>
  <si>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שקל  דיסקונט בנק דיסקונט לישראל בע"מ</t>
  </si>
  <si>
    <t>שקל  סיטי בנק סיטיבנק</t>
  </si>
  <si>
    <t>דולר  דיסקונט בנק דיסקונט לישראל בע"מ</t>
  </si>
  <si>
    <t>דולר  סיטי בנק סיטיבנק</t>
  </si>
  <si>
    <t>דולר  סיטי בנק עדכון ידני סיטיבנק</t>
  </si>
  <si>
    <t>שקל  יו בנק בנק יו-בנק בע"מ</t>
  </si>
  <si>
    <t>דולר  JPM עדכון ידני JPM</t>
  </si>
  <si>
    <t>Margin FW  JPM USD JPM</t>
  </si>
  <si>
    <t>Margin Future  JPM USD JPM</t>
  </si>
  <si>
    <t>Margin Future  JPM EURO JPM</t>
  </si>
  <si>
    <t>שקל  יו בנק עדכון ידני בנק יו-בנק בע"מ</t>
  </si>
  <si>
    <t>דולר  דיסקונט עדכון ידני בנק דיסקונט לישראל בע"מ</t>
  </si>
  <si>
    <t>Margin FW  Discont USD בנק דיסקונט לישראל בע"מ</t>
  </si>
  <si>
    <t>שקל  הפועלים בנק הפועלים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</si>
  <si>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</si>
  <si>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</si>
  <si>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</si>
  <si>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</si>
  <si>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דולר  הפועלים בנק הפועלים בע"מ</t>
  </si>
  <si>
    <t>דולר  פועלים בנק הפועלים בע"מ</t>
  </si>
  <si>
    <t>דולר  לאומי בנק לאומי לישראל בע"מ</t>
  </si>
  <si>
    <t>אירו  לאומי בנק לאומי לישראל בע"מ</t>
  </si>
  <si>
    <t>דולר  לאומי עדכון ידני בנק לאומי לישראל בע"מ</t>
  </si>
  <si>
    <t>דולר  מזרחי בנק מזרחי טפחות בע"מ</t>
  </si>
  <si>
    <t>Margin FW  Hapoalim USD בנק הפועלים בע"מ</t>
  </si>
  <si>
    <t>Margin Future   Leumi USD בנק לאומי לישראל בע"מ</t>
  </si>
  <si>
    <t>Margin FW  Leumi USD בנק לאומי לישראל בע"מ</t>
  </si>
  <si>
    <t>יורו  BNY Bny Mellon</t>
  </si>
  <si>
    <t>Margin  JPM ILS JPM</t>
  </si>
  <si>
    <t>*בעל עניין/צד קשור</t>
  </si>
  <si>
    <t>סה"כ יתרות התחייבות להשקעה</t>
  </si>
  <si>
    <t>יין יפני</t>
  </si>
  <si>
    <t>עמית א</t>
  </si>
  <si>
    <t>עמית ב</t>
  </si>
  <si>
    <t>עמית ג</t>
  </si>
  <si>
    <t>עמית ד</t>
  </si>
  <si>
    <t>עמית ה</t>
  </si>
  <si>
    <t>הלוואה לגורם 197</t>
  </si>
  <si>
    <t>עמודה1</t>
  </si>
  <si>
    <t>לא</t>
  </si>
  <si>
    <t>549300NONTBPOYE08O09</t>
  </si>
  <si>
    <t>22210029BWUM47M5IC61</t>
  </si>
  <si>
    <t>213800EH8RDDKCSGK398</t>
  </si>
  <si>
    <t>549300U6ULJL7WUJ6046</t>
  </si>
  <si>
    <t>635400KZRKKKNVCJXD85</t>
  </si>
  <si>
    <t>635400TBVC4RHQO4KZ59</t>
  </si>
  <si>
    <t>549300FJMHPYN6U09212</t>
  </si>
  <si>
    <t>549300QKN7I8BYECLG85</t>
  </si>
  <si>
    <t>5493002PH3Z252VH0Z10</t>
  </si>
  <si>
    <t>5493003N1TMIMOXBYK56</t>
  </si>
  <si>
    <t>549300OO3LEZN53XCB15</t>
  </si>
  <si>
    <t>549300JWBW5ZYYLO6033</t>
  </si>
  <si>
    <t>353800U3TPEO41XXQE39</t>
  </si>
  <si>
    <t>549300NZAMSJ8FXPQQ63</t>
  </si>
  <si>
    <t>5493002789CX3L0CJP65</t>
  </si>
  <si>
    <t>549300SRFOTV55N8QG37</t>
  </si>
  <si>
    <t>549300RMMYLGSFFMT454</t>
  </si>
  <si>
    <t>549300T3CSCFW1IFJC98</t>
  </si>
  <si>
    <t>54930044TWZ26JPZ4913</t>
  </si>
  <si>
    <t>5493002C2LG0TVRY4T35</t>
  </si>
  <si>
    <t>ECPGFXU8A2SHKVVGJI15</t>
  </si>
  <si>
    <t>549300XNS7MREWVF4X34</t>
  </si>
  <si>
    <t>549300H5C1MUD4I96848</t>
  </si>
  <si>
    <t>54930020KNXIHXO0YU88</t>
  </si>
  <si>
    <t>549300MRTM72PCY20F40</t>
  </si>
  <si>
    <t>549300TN3252QWI8QN78</t>
  </si>
  <si>
    <t>549300WONOCNDW382894</t>
  </si>
  <si>
    <t>549300PNOE8XF3W40W61</t>
  </si>
  <si>
    <t>549300K3LKK0EYI2HU78</t>
  </si>
  <si>
    <t>549300Y1NOU164X4H550</t>
  </si>
  <si>
    <t>549300L5RUQZ388WGS57</t>
  </si>
  <si>
    <t>549300Q2OQ2U87KJR762</t>
  </si>
  <si>
    <t>549300TKJ3EA6QHM7D23</t>
  </si>
  <si>
    <t>5493000J69Q6KCUCL849</t>
  </si>
  <si>
    <t>549300URDNVSGEWBN526</t>
  </si>
  <si>
    <t>213800MPG89TQUBL5C29</t>
  </si>
  <si>
    <t>353800A9AYNTIQFRDM29</t>
  </si>
  <si>
    <t>549300VY6FEJBCIMET58</t>
  </si>
  <si>
    <t>549300ERQDM80PRYUH21</t>
  </si>
  <si>
    <t>549300CD2I087Y919K79</t>
  </si>
  <si>
    <t>549300SPMSTD3BRHL041</t>
  </si>
  <si>
    <t>549300XR8J1YR1L99580</t>
  </si>
  <si>
    <t>54930064FLK0RD4TRU75</t>
  </si>
  <si>
    <t>549300EJNY3KKJHPOY44</t>
  </si>
  <si>
    <t>549300Y12KQ6ZG08NY28</t>
  </si>
  <si>
    <t>549300Y3ODFMPD5XXL58</t>
  </si>
  <si>
    <t>549300YVZ2R8N1KQH698</t>
  </si>
  <si>
    <t>549300WSDUDKDJCJOV22</t>
  </si>
  <si>
    <t>51AMXMBYJTZWXA4L4L83</t>
  </si>
  <si>
    <t>549300NHQGC72RX55X16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</si>
</sst>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29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4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7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D816C-CF78-4CD9-89E7-5FC1476C27AA}" name="סכום נכסי הקרן1" displayName="סכום_נכסי_הקרן1" ref="A5:C41" totalsRowShown="0" headerRowDxfId="636" dataDxfId="635">
  <tableColumns count="3">
    <tableColumn id="1" xr3:uid="{975506E2-CB19-4837-9994-0ACECB961D21}" name="עמודה1" dataDxfId="634"/>
    <tableColumn id="2" xr3:uid="{A2B29484-D520-45DF-90BD-1361ED61784B}" name="שווי הוגן" dataDxfId="633"/>
    <tableColumn id="3" xr3:uid="{ED38233E-256A-40D4-899B-58C1B82000CA}" name="שיעור מנכסי השקעה" dataDxfId="632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28A891-4070-4728-AFE1-B496E71C52B0}" name="סכום נכסי הקרן0" displayName="סכום_נכסי_הקרן0" ref="B42:C66" totalsRowShown="0" headerRowDxfId="631" dataDxfId="629" headerRowBorderDxfId="630" tableBorderDxfId="628" totalsRowBorderDxfId="627">
  <tableColumns count="2">
    <tableColumn id="1" xr3:uid="{6A27EBA6-4835-4F71-A8A4-ECF095CA6B2A}" name="שם המטבע" dataDxfId="626"/>
    <tableColumn id="2" xr3:uid="{9B16467F-99FE-41D0-9AC3-F97411AA8A06}" name="שע&quot;ח" dataDxfId="62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640853-AB96-4A63-9374-0B398AD2F229}" name="מזומנים1" displayName="מזומנים1" ref="A5:K74" totalsRowShown="0" headerRowDxfId="624" headerRowBorderDxfId="623" tableBorderDxfId="622" headerRowCellStyle="Percent">
  <tableColumns count="11">
    <tableColumn id="1" xr3:uid="{75C846C3-19F4-4FBC-B71C-D2B801125F6D}" name="שם המנפיק/שם נייר ערך" dataDxfId="621"/>
    <tableColumn id="2" xr3:uid="{455BD7F0-2083-489D-8457-4C5404D4B3C7}" name="מספר נ&quot;ע" dataDxfId="620"/>
    <tableColumn id="3" xr3:uid="{3E0C2F70-7160-410A-ACE7-427F19A380EE}" name="מספר מנפיק" dataDxfId="619"/>
    <tableColumn id="4" xr3:uid="{587F21B8-0404-487C-9627-E126D32A3D0E}" name="דירוג" dataDxfId="618"/>
    <tableColumn id="5" xr3:uid="{4F9D7D69-07AD-41AE-BEC1-6D5BDE9263B5}" name="שם מדרג" dataDxfId="617" dataCellStyle="Percent"/>
    <tableColumn id="6" xr3:uid="{EEA51B2C-C02D-41BA-A4AB-F7D5D03A4A92}" name="סוג מטבע" dataDxfId="616"/>
    <tableColumn id="7" xr3:uid="{5B5EA1EA-BF63-44EF-8407-07DA811234C6}" name="שעור ריבית" dataDxfId="615" dataCellStyle="Percent"/>
    <tableColumn id="8" xr3:uid="{D6DCCAC9-3AEB-4CC8-956E-84D3C1B36D1E}" name="תשואה לפדיון" dataDxfId="614" dataCellStyle="Comma"/>
    <tableColumn id="9" xr3:uid="{C5DC7AA2-F035-4163-B0E6-5D81B8195B02}" name="שווי שוק" dataDxfId="613" dataCellStyle="Percent"/>
    <tableColumn id="10" xr3:uid="{32B23CC9-DE10-4C9C-8765-9E1012D077B8}" name="שעור מנכסי אפיק ההשקעה" dataDxfId="612" dataCellStyle="Percent"/>
    <tableColumn id="11" xr3:uid="{1F301F45-19AF-4ED9-ACE3-2886A7D71C6E}" name="שעור מנכסי השקעה" dataDxfId="611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747BC5-0003-45C6-BD2F-F7EDB84481E2}" name="תעודות התחייבות ממשלתיות1" displayName="תעודות_התחייבות_ממשלתיות1" ref="A6:Q56" totalsRowShown="0" headerRowDxfId="610" dataDxfId="608" headerRowBorderDxfId="609" tableBorderDxfId="607" headerRowCellStyle="Percent" dataCellStyle="Percent">
  <tableColumns count="17">
    <tableColumn id="1" xr3:uid="{B684AF12-99E4-4D02-BCE3-0CEFD0BFD5C9}" name="שם המנפיק/שם נייר ערך" dataDxfId="606"/>
    <tableColumn id="2" xr3:uid="{F908AF8A-DCA2-423B-A977-4E8BCE7597C0}" name="מספר נ&quot;ע" dataDxfId="605"/>
    <tableColumn id="3" xr3:uid="{41E0AD77-A3F2-400B-B432-966387B52223}" name="זירת מסחר" dataDxfId="604"/>
    <tableColumn id="4" xr3:uid="{6B6B32DB-B1B0-4B8F-8A69-660F5E66AC2F}" name="דירוג" dataDxfId="603"/>
    <tableColumn id="5" xr3:uid="{398885F2-7B14-489D-8CCE-9B78FA47BF61}" name="שם מדרג" dataDxfId="602" dataCellStyle="Percent"/>
    <tableColumn id="6" xr3:uid="{0BF505BE-3019-490F-BE15-191BC8C9DDC8}" name="תאריך רכישה" dataDxfId="601" dataCellStyle="Percent"/>
    <tableColumn id="7" xr3:uid="{4A867306-9C14-4E5C-9745-E7883C4029B9}" name="מח&quot;מ" dataDxfId="600" dataCellStyle="Percent"/>
    <tableColumn id="8" xr3:uid="{FB6396EE-958D-450B-91BD-E13287744487}" name="סוג מטבע" dataDxfId="599"/>
    <tableColumn id="9" xr3:uid="{5C434A7B-9362-4172-8681-00C871D21850}" name="שעור ריבית" dataDxfId="598" dataCellStyle="Percent"/>
    <tableColumn id="10" xr3:uid="{E1CD0F17-1243-4767-A220-A9EF4609E9A3}" name="תשואה לפדיון" dataDxfId="597" dataCellStyle="Comma"/>
    <tableColumn id="11" xr3:uid="{23909943-EBBD-44DE-86FA-7434863F47D0}" name="ערך נקוב" dataDxfId="596" dataCellStyle="Comma"/>
    <tableColumn id="12" xr3:uid="{E2B35DD0-FD93-4318-8653-E2813DF8F3A6}" name="שער" dataDxfId="595" dataCellStyle="Comma"/>
    <tableColumn id="13" xr3:uid="{F3174FFD-4CE4-4FAA-A8A1-946529E1FC3D}" name="פדיון/ריבית לקבל" dataDxfId="594" dataCellStyle="Comma"/>
    <tableColumn id="14" xr3:uid="{EFA8D136-471C-4EF1-930D-18B66A59D070}" name="שווי שוק" dataDxfId="593" dataCellStyle="Percent"/>
    <tableColumn id="15" xr3:uid="{F367D921-D631-4143-88A0-AB388BA7F5DF}" name="שעור מערך נקוב מונפק" dataDxfId="592" dataCellStyle="Percent"/>
    <tableColumn id="16" xr3:uid="{C1497771-8433-467F-B770-38110ED4E3D9}" name="שעור מנכסי אפיק ההשקעה" dataDxfId="591" dataCellStyle="Percent"/>
    <tableColumn id="17" xr3:uid="{129517A5-6ECE-4335-AAC9-378BCC6DD9DF}" name="שעור מנכסי השקעה" dataDxfId="590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4182D9-19EE-4CA5-96C7-C3F7CC86E264}" name="תעודות חוב מסחריות1" displayName="תעודות_חוב_מסחריות1" ref="A6:T21" totalsRowShown="0" headerRowDxfId="589" dataDxfId="587" headerRowBorderDxfId="588" tableBorderDxfId="586" headerRowCellStyle="Percent" dataCellStyle="Comma">
  <tableColumns count="20">
    <tableColumn id="1" xr3:uid="{73F07CFA-5E78-4181-9295-D4D0512CFEE0}" name="שם המנפיק/שם נייר ערך" dataDxfId="585"/>
    <tableColumn id="2" xr3:uid="{1E24DE0D-5701-417A-844C-085594197008}" name="מספר נ&quot;ע" dataDxfId="584"/>
    <tableColumn id="3" xr3:uid="{D351202B-BD59-4562-87D8-1EB4F96C57FA}" name="זירת מסחר" dataDxfId="583"/>
    <tableColumn id="4" xr3:uid="{58A922E0-E26B-49D9-9F57-B8DBDF8F0DEA}" name="ספק מידע" dataDxfId="582"/>
    <tableColumn id="5" xr3:uid="{53E149D5-69D7-4D93-8CEE-41A1F4A923B8}" name="מספר מנפיק" dataDxfId="581"/>
    <tableColumn id="6" xr3:uid="{51587209-7870-4401-BBF1-8825A58E61B8}" name="ענף מסחר" dataDxfId="580"/>
    <tableColumn id="7" xr3:uid="{A1C9A089-6595-43EE-97B5-13A7FC7AA214}" name="דירוג" dataDxfId="579" dataCellStyle="Percent"/>
    <tableColumn id="8" xr3:uid="{44CDCF16-71D5-4250-BAB5-BD1099B1026A}" name="שם מדרג" dataDxfId="578" dataCellStyle="Percent"/>
    <tableColumn id="9" xr3:uid="{B3A22F57-7B4D-4FAD-968A-228CAE1598DC}" name="תאריך רכישה" dataDxfId="577" dataCellStyle="Percent"/>
    <tableColumn id="10" xr3:uid="{339338FE-0E15-48BB-BAB9-8C9ABE2D2134}" name="מח&quot;מ" dataDxfId="576"/>
    <tableColumn id="11" xr3:uid="{78C4E63A-38C0-4DC6-8D8A-8769D3BC4BAE}" name="סוג מטבע" dataDxfId="575" dataCellStyle="Percent"/>
    <tableColumn id="12" xr3:uid="{13837613-8C7C-47BA-A82A-C37A250462BE}" name="שעור ריבית" dataDxfId="574" dataCellStyle="Comma"/>
    <tableColumn id="13" xr3:uid="{1AFF5270-E26B-4478-AB77-9801D3B728F6}" name="תשואה לפדיון" dataDxfId="573" dataCellStyle="Comma"/>
    <tableColumn id="14" xr3:uid="{F44A5BDB-2E9E-47F4-B38D-72B0099C3BC9}" name="ערך נקוב" dataDxfId="572" dataCellStyle="Comma"/>
    <tableColumn id="15" xr3:uid="{8FD58B20-B395-426E-8EA2-3DBA4118D1E9}" name="שער" dataDxfId="571" dataCellStyle="Percent"/>
    <tableColumn id="16" xr3:uid="{EA8E043B-D1F7-472F-A5D2-5873B31CA50B}" name="פדיון/ריבית לקבל" dataDxfId="570" dataCellStyle="Percent"/>
    <tableColumn id="17" xr3:uid="{27092AD3-5E9C-4DB1-B062-3120878304D2}" name="שווי שוק" dataDxfId="569" dataCellStyle="Percent"/>
    <tableColumn id="18" xr3:uid="{1BA874BC-62BC-460F-8166-42729F6DD1E3}" name="שעור מערך נקוב מונפק" dataDxfId="568" dataCellStyle="Comma"/>
    <tableColumn id="19" xr3:uid="{09C9CDC5-8A5A-4183-B90B-EFF467E24AAD}" name="שעור מנכסי אפיק ההשקעה" dataDxfId="567" dataCellStyle="Comma"/>
    <tableColumn id="20" xr3:uid="{64276437-C482-450E-A78C-6945ADF35BEB}" name="שעור מנכסי השקעה" dataDxfId="566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7E5EFF-C843-4F7A-8B14-439A79B427B7}" name="אג&quot;ח קונצרני1" displayName="אג_ח_קונצרני1" ref="A6:T30" totalsRowShown="0" headerRowDxfId="565" dataDxfId="563" headerRowBorderDxfId="564" tableBorderDxfId="562" headerRowCellStyle="Percent" dataCellStyle="Comma">
  <tableColumns count="20">
    <tableColumn id="1" xr3:uid="{5EE9C23B-1AA2-4651-AEE9-95200326F17A}" name="שם המנפיק/שם נייר ערך" dataDxfId="561"/>
    <tableColumn id="2" xr3:uid="{9F44DDB2-0C49-452B-B272-65B3A682DFEE}" name="מספר נ&quot;ע" dataDxfId="560"/>
    <tableColumn id="3" xr3:uid="{14B3F507-8B07-4F0C-9C09-F93375C155F7}" name="זירת מסחר" dataDxfId="559"/>
    <tableColumn id="4" xr3:uid="{3F0CF9CA-5F2D-4FB3-B440-296CEEFA8916}" name="ספק מידע" dataDxfId="558"/>
    <tableColumn id="5" xr3:uid="{6C0B93BB-BAAE-4672-AB41-E13B5CF6070D}" name="מספר מנפיק" dataDxfId="557"/>
    <tableColumn id="6" xr3:uid="{ECCE867A-E07D-4ADC-BFA4-37969025D13B}" name="ענף מסחר" dataDxfId="556"/>
    <tableColumn id="7" xr3:uid="{BA1C788E-A369-4671-8724-312235528A13}" name="דירוג" dataDxfId="555" dataCellStyle="Percent"/>
    <tableColumn id="8" xr3:uid="{9154C893-5E25-4C08-B167-93AD8DE9E664}" name="שם מדרג" dataDxfId="554" dataCellStyle="Percent"/>
    <tableColumn id="9" xr3:uid="{4E4E8D50-72EC-4FAE-A207-A72652659DDD}" name="תאריך רכישה" dataDxfId="553" dataCellStyle="Percent"/>
    <tableColumn id="10" xr3:uid="{E65601F1-5161-4900-BF51-C3C37D23C775}" name="מח&quot;מ" dataDxfId="552"/>
    <tableColumn id="11" xr3:uid="{A55A6E40-5FEC-4684-9E90-BCC7C097CCD7}" name="סוג מטבע" dataDxfId="551" dataCellStyle="Percent"/>
    <tableColumn id="12" xr3:uid="{7E2874C0-B2D7-4878-8480-2CEE6DDC02C1}" name="שעור ריבית" dataDxfId="550" dataCellStyle="Comma"/>
    <tableColumn id="13" xr3:uid="{AEF23924-17AE-4717-90C3-1EE62986223E}" name="תשואה לפדיון" dataDxfId="549" dataCellStyle="Comma"/>
    <tableColumn id="14" xr3:uid="{A0AC412B-918C-4CD0-991E-397CDD1F084C}" name="ערך נקוב" dataDxfId="548" dataCellStyle="Comma"/>
    <tableColumn id="15" xr3:uid="{E1BFCD43-BD51-428E-A9C7-DC349235050A}" name="שער" dataDxfId="547" dataCellStyle="Percent"/>
    <tableColumn id="16" xr3:uid="{92E026FE-B925-4C67-BF8D-CE65AA67308E}" name="פדיון/ריבית לקבל" dataDxfId="546" dataCellStyle="Percent"/>
    <tableColumn id="17" xr3:uid="{8842DDAE-1BA5-4484-A33C-E3664A4C07D9}" name="שווי שוק" dataDxfId="545" dataCellStyle="Percent"/>
    <tableColumn id="18" xr3:uid="{B3BFEF0C-2B5E-49E8-B257-4D6C7F9B7C7B}" name="שעור מערך נקוב מונפק" dataDxfId="544" dataCellStyle="Comma"/>
    <tableColumn id="19" xr3:uid="{17EE8491-58A6-4BF8-978C-503FC1457337}" name="שעור מנכסי אפיק ההשקעה" dataDxfId="543" dataCellStyle="Comma"/>
    <tableColumn id="20" xr3:uid="{6C14B43F-5C0F-4D37-9471-8D287EDF9C41}" name="שעור מנכסי השקעה" dataDxfId="542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20C1B6C-3F3D-4960-82B4-4A9C329C22C2}" name="מניות1" displayName="מניות1" ref="A6:N24" totalsRowShown="0" headerRowDxfId="541" dataDxfId="539" headerRowBorderDxfId="540" tableBorderDxfId="538" headerRowCellStyle="Percent" dataCellStyle="Percent">
  <tableColumns count="14">
    <tableColumn id="1" xr3:uid="{51BF966E-B234-48B9-B457-91561FE42A48}" name="שם המנפיק/שם נייר ערך" dataDxfId="537"/>
    <tableColumn id="2" xr3:uid="{603B63BD-0EAE-4770-9911-DAB53D585201}" name="מספר נ&quot;ע" dataDxfId="536"/>
    <tableColumn id="3" xr3:uid="{5D74CB69-E8FA-4924-8CDE-B79AD49256C9}" name="זירת מסחר" dataDxfId="535"/>
    <tableColumn id="4" xr3:uid="{39A35E37-0EDC-4523-AF12-D85CED89DFC4}" name="ספק מידע" dataDxfId="534"/>
    <tableColumn id="5" xr3:uid="{B4FE6D95-84FB-4075-86E9-B8369EB5F099}" name="מספר מנפיק" dataDxfId="533"/>
    <tableColumn id="6" xr3:uid="{8E6BF0F9-9091-485D-92F3-FAB93952E7AC}" name="ענף מסחר" dataDxfId="532"/>
    <tableColumn id="7" xr3:uid="{7C162616-7711-4554-9506-37E136C45C93}" name="סוג מטבע" dataDxfId="531" dataCellStyle="Percent"/>
    <tableColumn id="8" xr3:uid="{71AD51D9-F44E-4180-AE70-D14C958DD806}" name="ערך נקוב" dataDxfId="530" dataCellStyle="Percent"/>
    <tableColumn id="9" xr3:uid="{EF165720-6C2B-4FEE-A92F-5825E71CAB5D}" name="שער" dataDxfId="529" dataCellStyle="Percent"/>
    <tableColumn id="10" xr3:uid="{04B1ED60-3873-4654-81B3-FE55FA336EF2}" name="פדיון/ריבית לקבל" dataDxfId="528" dataCellStyle="Percent"/>
    <tableColumn id="11" xr3:uid="{38C089EE-54A6-40D6-B9FE-D1E70A2B0779}" name="שווי שוק" dataDxfId="527"/>
    <tableColumn id="12" xr3:uid="{06B06CE3-B01F-457F-9D8F-37D8E7A4525D}" name="שעור מערך נקוב מונפק" dataDxfId="526" dataCellStyle="Percent"/>
    <tableColumn id="13" xr3:uid="{C91CB066-65B1-4384-A13B-4E2AC3497C3B}" name="שעור מנכסי אפיק ההשקעה" dataDxfId="525" dataCellStyle="Percent"/>
    <tableColumn id="14" xr3:uid="{DCEE72B9-D431-480A-9229-B6F6444F6969}" name="שעור מנכסי השקעה" dataDxfId="524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2DD2BB6-82C5-4C91-9907-35CA8F13845D}" name="קרנות סל1" displayName="קרנות_סל1" ref="A6:M87" totalsRowShown="0" headerRowDxfId="523" dataDxfId="521" headerRowBorderDxfId="522" tableBorderDxfId="520" headerRowCellStyle="Percent" dataCellStyle="Percent">
  <tableColumns count="13">
    <tableColumn id="1" xr3:uid="{4086FE27-D3DE-4859-8CD0-49773A8926FC}" name="שם המנפיק/שם נייר ערך" dataDxfId="519"/>
    <tableColumn id="2" xr3:uid="{5C2EC3F6-CAB1-4F20-9BA4-CE787717CA05}" name="מספר נ&quot;ע" dataDxfId="518"/>
    <tableColumn id="3" xr3:uid="{A051D807-CD4C-49F1-898D-4A23CDD75A9D}" name="זירת מסחר" dataDxfId="517"/>
    <tableColumn id="4" xr3:uid="{2C31B61A-4130-45D8-B018-2D195D461576}" name="מספר מנפיק" dataDxfId="516"/>
    <tableColumn id="5" xr3:uid="{5F858565-A4AF-4BD4-A4CC-6B0FC96A0706}" name="ענף מסחר" dataDxfId="515"/>
    <tableColumn id="6" xr3:uid="{55E6D997-0438-4442-925E-B21827F0FE68}" name="סוג מטבע" dataDxfId="514"/>
    <tableColumn id="7" xr3:uid="{602982B3-F83E-4ABE-82C8-7374D36480F1}" name="ערך נקוב" dataDxfId="513" dataCellStyle="Percent"/>
    <tableColumn id="8" xr3:uid="{5AC5E0C0-349B-44E5-8591-5EA975972925}" name="שער" dataDxfId="512" dataCellStyle="Percent"/>
    <tableColumn id="9" xr3:uid="{BDBBADCF-9127-4824-A202-9286B0E36753}" name="פדיון/ריבית לקבל" dataDxfId="511" dataCellStyle="Percent"/>
    <tableColumn id="10" xr3:uid="{342C6C38-DD77-4595-8B79-EECF9E19DF5D}" name="שווי שוק" dataDxfId="510" dataCellStyle="Percent"/>
    <tableColumn id="11" xr3:uid="{A019C69C-59C3-4180-AD1D-3E18E5F225D3}" name="שעור מערך נקוב מונפק" dataDxfId="509"/>
    <tableColumn id="12" xr3:uid="{3A4D3B63-3895-4114-929D-6250D14DC07E}" name="שעור מנכסי אפיק ההשקעה" dataDxfId="508"/>
    <tableColumn id="13" xr3:uid="{14FCB46C-E302-42F2-B0A3-480297185F99}" name="שעור מנכסי השקעה" dataDxfId="507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A29F7A-557B-482D-A03D-E763E8BE91D8}" name="קרנות נאמנות1" displayName="קרנות_נאמנות1" ref="A6:N29" totalsRowShown="0" headerRowDxfId="506" dataDxfId="504" headerRowBorderDxfId="505" tableBorderDxfId="503" headerRowCellStyle="Percent" dataCellStyle="Comma">
  <tableColumns count="14">
    <tableColumn id="1" xr3:uid="{7ABA1BD6-D285-4E7A-BC46-84D82408B58A}" name="שם המנפיק/שם נייר ערך" dataDxfId="502"/>
    <tableColumn id="2" xr3:uid="{533C85CA-54F5-4D19-9E8F-0F378EA682B4}" name="מספר נ&quot;ע" dataDxfId="501"/>
    <tableColumn id="3" xr3:uid="{E864BECA-9294-4EDF-B857-291DEB89B997}" name="זירת מסחר" dataDxfId="500"/>
    <tableColumn id="4" xr3:uid="{66E37D9A-1EA7-400D-9639-F2B0C405E67E}" name="מספר מנפיק" dataDxfId="499"/>
    <tableColumn id="5" xr3:uid="{FFD84F29-6C23-459C-BBA2-0F37292B4C64}" name="ענף מסחר" dataDxfId="498"/>
    <tableColumn id="6" xr3:uid="{409B4106-F54E-40F0-AEEB-F1254AEAB2B4}" name="דירוג" dataDxfId="497" dataCellStyle="Percent"/>
    <tableColumn id="7" xr3:uid="{6163F8DC-D61B-4CC3-B429-C8348C18C80A}" name="שם מדרג" dataDxfId="496" dataCellStyle="Percent"/>
    <tableColumn id="8" xr3:uid="{5FF74828-3264-4A68-A520-C07D6AB2D85B}" name="סוג מטבע" dataDxfId="495" dataCellStyle="Percent"/>
    <tableColumn id="9" xr3:uid="{3BF170FA-4571-41CF-9768-C74A679AD4F9}" name="ערך נקוב" dataDxfId="494"/>
    <tableColumn id="10" xr3:uid="{D26D7153-CC9B-4C69-B6EA-BA9A84677D98}" name="שער" dataDxfId="493" dataCellStyle="Percent"/>
    <tableColumn id="11" xr3:uid="{FD958D81-4324-401B-B1CC-9B1F7D22CF8F}" name="שווי שוק" dataDxfId="492" dataCellStyle="Comma"/>
    <tableColumn id="12" xr3:uid="{2A181225-781B-4725-9D6C-2581284C4213}" name="שעור מערך נקוב מונפק" dataDxfId="491" dataCellStyle="Comma"/>
    <tableColumn id="13" xr3:uid="{3DB7037C-9899-44B6-ACBF-F9C1A53D8C8B}" name="שעור מנכסי אפיק ההשקעה" dataDxfId="490" dataCellStyle="Comma"/>
    <tableColumn id="14" xr3:uid="{2CB6BF04-AC99-4034-BC78-2DFEC3AB8266}" name="שעור מנכסי השקעה" dataDxfId="489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D92B143-C6A0-4E35-B948-3EADEBB37ED0}" name="כתבי אופציה1" displayName="כתבי_אופציה1" ref="A6:K18" totalsRowShown="0" headerRowDxfId="488" dataDxfId="486" headerRowBorderDxfId="487" tableBorderDxfId="485" headerRowCellStyle="Percent" dataCellStyle="Percent">
  <tableColumns count="11">
    <tableColumn id="1" xr3:uid="{E1A392C1-F8CA-46D0-9212-3030EE7E8E33}" name="שם המנפיק/שם נייר ערך" dataDxfId="484"/>
    <tableColumn id="2" xr3:uid="{9ED75283-EB78-449A-B32F-49B4422541E7}" name="מספר נ&quot;ע" dataDxfId="483"/>
    <tableColumn id="3" xr3:uid="{E810FBA7-5F93-4F50-AF9E-9E18078DAF4E}" name="זירת מסחר" dataDxfId="482"/>
    <tableColumn id="4" xr3:uid="{451B6D0A-1887-40A9-AAF8-7769449D97FF}" name="ענף מסחר" dataDxfId="481"/>
    <tableColumn id="5" xr3:uid="{013CE7A0-13FD-4BD5-8398-7CF7D5239E68}" name="סוג מטבע" dataDxfId="480" dataCellStyle="Percent"/>
    <tableColumn id="6" xr3:uid="{61C28583-321F-4108-A2B2-BFED1056CD5C}" name="ערך נקוב" dataDxfId="479" dataCellStyle="Percent"/>
    <tableColumn id="7" xr3:uid="{D53645AD-5EE8-469E-A00C-D06C29418820}" name="שער" dataDxfId="478" dataCellStyle="Percent"/>
    <tableColumn id="8" xr3:uid="{37E27F6C-6201-4FA5-83D9-B5FF20F81DD5}" name="שווי שוק" dataDxfId="477"/>
    <tableColumn id="9" xr3:uid="{67C09DFA-CA18-4FF4-9FAF-2FCE485042E1}" name="שעור מערך נקוב מונפק" dataDxfId="476" dataCellStyle="Percent"/>
    <tableColumn id="10" xr3:uid="{BA424E56-03DD-47E5-8AB0-2F1D121CBB86}" name="שעור מנכסי אפיק ההשקעה" dataDxfId="475" dataCellStyle="Percent"/>
    <tableColumn id="11" xr3:uid="{49C18BE8-48A7-48F4-B437-A4556E54F143}" name="שעור מנכסי השקעה" dataDxfId="474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660B67C-8B38-4493-A9F9-87B521013A7E}" name="אופציות1" displayName="אופציות1" ref="A6:K27" totalsRowShown="0" headerRowDxfId="473" dataDxfId="471" headerRowBorderDxfId="472" tableBorderDxfId="470" headerRowCellStyle="Percent" dataCellStyle="Percent">
  <tableColumns count="11">
    <tableColumn id="1" xr3:uid="{77213134-67B6-40BF-8122-C2A32BE966B4}" name="שם המנפיק/שם נייר ערך" dataDxfId="469"/>
    <tableColumn id="2" xr3:uid="{FA93F304-A57B-4D09-8FD0-C85FF56D12F1}" name="מספר נ&quot;ע" dataDxfId="468"/>
    <tableColumn id="3" xr3:uid="{D3BF6961-75FC-488E-976E-7AA9F89B3234}" name="זירת מסחר" dataDxfId="467"/>
    <tableColumn id="4" xr3:uid="{84299318-3E74-4C74-AC42-1BFF7E11DC6D}" name="ענף מסחר" dataDxfId="466"/>
    <tableColumn id="5" xr3:uid="{0AF1578C-165F-4AB1-8986-2F621D861E22}" name="סוג מטבע" dataDxfId="465"/>
    <tableColumn id="6" xr3:uid="{60D45DE0-2F11-428C-9944-1058625F15C8}" name="ערך נקוב" dataDxfId="464" dataCellStyle="Percent"/>
    <tableColumn id="7" xr3:uid="{35E23CEB-4ED5-42F7-BEC7-031607820873}" name="שער" dataDxfId="463" dataCellStyle="Percent"/>
    <tableColumn id="8" xr3:uid="{4046C4F7-B633-4CD3-B2C7-9805B701E7D7}" name="שווי שוק" dataDxfId="462" dataCellStyle="Percent"/>
    <tableColumn id="9" xr3:uid="{7EAFA984-1A3D-4AA8-A0B8-79F4F3A825DE}" name="שעור מערך נקוב מונפק" dataDxfId="461"/>
    <tableColumn id="10" xr3:uid="{BC225B83-452A-4CD6-A601-B0DE988F75D4}" name="שעור מנכסי אפיק ההשקעה" dataDxfId="460" dataCellStyle="Percent"/>
    <tableColumn id="11" xr3:uid="{D20676FB-E641-41D4-9866-122166D93841}" name="שעור מנכסי השקעה" dataDxfId="459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7854111-244A-46F8-ACC9-9ED172C481D2}" name="חוזים עתידיים1" displayName="חוזים_עתידיים1" ref="A6:J21" totalsRowShown="0" headerRowDxfId="458" dataDxfId="456" headerRowBorderDxfId="457" tableBorderDxfId="455" headerRowCellStyle="Percent" dataCellStyle="Percent">
  <tableColumns count="10">
    <tableColumn id="1" xr3:uid="{16A445A3-5A98-468B-993A-16EAD1457A01}" name="שם המנפיק/שם נייר ערך" dataDxfId="454"/>
    <tableColumn id="2" xr3:uid="{457A5080-8C21-4FCA-9DA8-BCEA57D5D28B}" name="מספר נ&quot;ע" dataDxfId="453"/>
    <tableColumn id="3" xr3:uid="{4EC9EC58-C715-42E5-AA9A-6FEEE7CCD7DF}" name="זירת מסחר" dataDxfId="452"/>
    <tableColumn id="4" xr3:uid="{FEE15E0B-EE8C-43F7-A603-DCF2C29080A0}" name="ענף מסחר" dataDxfId="451"/>
    <tableColumn id="5" xr3:uid="{830E2B6F-FCEE-49DA-861C-0A4C7826970A}" name="סוג מטבע" dataDxfId="450" dataCellStyle="Percent"/>
    <tableColumn id="6" xr3:uid="{57717625-3245-496C-9D06-5181C7AC6A2B}" name="ערך נקוב" dataDxfId="449" dataCellStyle="Percent"/>
    <tableColumn id="7" xr3:uid="{592908FE-DFC7-4B1E-9253-C7F4EF7D9DA2}" name="שער" dataDxfId="448" dataCellStyle="Percent"/>
    <tableColumn id="8" xr3:uid="{10CE46BC-0DC0-476A-AF22-96E69CB5E671}" name="שווי שוק" dataDxfId="447"/>
    <tableColumn id="9" xr3:uid="{0120105F-7164-4F49-AC39-29A3E4ED5880}" name="שעור מנכסי אפיק ההשקעה" dataDxfId="446"/>
    <tableColumn id="10" xr3:uid="{0BF437C8-7632-4B87-8462-FA6F6B6F8D9B}" name="שעור מנכסי השקעה" dataDxfId="445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80B9028-ECA9-4D5F-8B68-752E19CB19E0}" name="מוצרים מובנים1" displayName="מוצרים_מובנים1" ref="A6:P30" totalsRowShown="0" headerRowDxfId="444" dataDxfId="442" headerRowBorderDxfId="443" tableBorderDxfId="441" headerRowCellStyle="Percent" dataCellStyle="Comma">
  <tableColumns count="16">
    <tableColumn id="1" xr3:uid="{C225B491-1BDF-4510-9C97-5F1416025348}" name="שם המנפיק/שם נייר ערך" dataDxfId="440"/>
    <tableColumn id="2" xr3:uid="{D7A51DCE-1381-4DA3-B442-1A47F520C1B9}" name="מספר נ&quot;ע" dataDxfId="439"/>
    <tableColumn id="3" xr3:uid="{8163550B-2DBB-4B31-974F-4BFB769A2B12}" name="נכס הבסיס" dataDxfId="438"/>
    <tableColumn id="4" xr3:uid="{B95A5921-4269-4E9E-BE41-191EA49DEEE5}" name="דירוג" dataDxfId="437" dataCellStyle="Percent"/>
    <tableColumn id="5" xr3:uid="{6DA8C4FB-5505-4DDE-B4E0-F784C8995DAB}" name="שם מדרג" dataDxfId="436" dataCellStyle="Percent"/>
    <tableColumn id="6" xr3:uid="{F191392A-7002-47B3-8411-902F900A1D82}" name="תאריך רכישה" dataDxfId="435" dataCellStyle="Percent"/>
    <tableColumn id="7" xr3:uid="{EDC451B0-9B78-48D0-B298-CE22366B606B}" name="מח&quot;מ" dataDxfId="434"/>
    <tableColumn id="8" xr3:uid="{1692BEFF-0FB9-422E-A15E-A070B97646EA}" name="סוג מטבע" dataDxfId="433" dataCellStyle="Percent"/>
    <tableColumn id="9" xr3:uid="{5565173B-E3EB-49B0-A542-134D7C0C9C6F}" name="שעור ריבית" dataDxfId="432" dataCellStyle="Comma"/>
    <tableColumn id="10" xr3:uid="{C17CFA8C-2B82-4E9E-86A6-47CE456E79AB}" name="תשואה לפדיון" dataDxfId="431" dataCellStyle="Comma"/>
    <tableColumn id="11" xr3:uid="{0C25BAFD-2720-4442-A393-EA8E5A0C6596}" name="ערך נקוב" dataDxfId="430" dataCellStyle="Comma"/>
    <tableColumn id="12" xr3:uid="{48870AFE-EF21-40E4-A050-2CF4960761BD}" name="שער" dataDxfId="429" dataCellStyle="Percent"/>
    <tableColumn id="13" xr3:uid="{31E3C03E-AD3E-4E0A-9271-2E6C20E0FA2D}" name="שווי שוק" dataDxfId="428" dataCellStyle="Percent"/>
    <tableColumn id="14" xr3:uid="{4E2E3E06-24EE-4857-805D-187A7A419EE3}" name="שעור מערך נקוב מונפק" dataDxfId="427" dataCellStyle="Comma"/>
    <tableColumn id="15" xr3:uid="{35028122-F7B4-4CEE-81F1-10DA6554CDEC}" name="שעור מנכסי אפיק ההשקעה" dataDxfId="426" dataCellStyle="Comma"/>
    <tableColumn id="16" xr3:uid="{51F37B26-E5CE-445E-BD9B-049E8A3B3A54}" name="שעור מנכסי השקעה" dataDxfId="425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C7D18B2-6B7F-4016-A4F4-74C6B210E643}" name="לא סחיר- תעודות התחייבות ממשלתי1" displayName="לא_סחיר__תעודות_התחייבות_ממשלתי1" ref="A6:O23" totalsRowShown="0" headerRowDxfId="424" dataDxfId="422" headerRowBorderDxfId="423" tableBorderDxfId="421" headerRowCellStyle="Percent" dataCellStyle="Percent">
  <tableColumns count="15">
    <tableColumn id="1" xr3:uid="{F54A1B6F-20E1-4226-B649-4854AA53CB93}" name="שם המנפיק/שם נייר ערך" dataDxfId="420"/>
    <tableColumn id="2" xr3:uid="{47CEA77A-A592-4C6C-A8B9-77D8BB95D56F}" name="מספר נ&quot;ע" dataDxfId="419"/>
    <tableColumn id="3" xr3:uid="{87880023-87DC-46AA-B844-8A2690492A19}" name="דירוג" dataDxfId="418"/>
    <tableColumn id="4" xr3:uid="{496ADCEA-7A68-4B39-977F-32BCF97448D4}" name="שם מדרג" dataDxfId="417" dataCellStyle="Percent"/>
    <tableColumn id="5" xr3:uid="{EB47A873-2EC5-476E-84BD-33CB118DCF37}" name="תאריך רכישה" dataDxfId="416" dataCellStyle="Percent"/>
    <tableColumn id="6" xr3:uid="{FCE2B0AE-4F3C-4730-A1E9-09DA0AFB00D6}" name="מח&quot;מ" dataDxfId="415" dataCellStyle="Percent"/>
    <tableColumn id="7" xr3:uid="{8AEF958E-C54C-47E2-986E-FC6E3239753E}" name="סוג מטבע" dataDxfId="414"/>
    <tableColumn id="8" xr3:uid="{9F17E67C-2101-4906-8657-0ED7A590AFFF}" name="שעור ריבית" dataDxfId="413" dataCellStyle="Percent"/>
    <tableColumn id="9" xr3:uid="{A0B06B85-85CB-486F-BD53-676B4CFCCDC3}" name="תשואה לפדיון" dataDxfId="412" dataCellStyle="Comma"/>
    <tableColumn id="10" xr3:uid="{EF7FBEE1-6691-4D40-8595-FE536B78B8A5}" name="ערך נקוב" dataDxfId="411" dataCellStyle="Comma"/>
    <tableColumn id="11" xr3:uid="{A31A5B94-A48D-4ECD-B5D9-4DB0DF6B7F04}" name="שער" dataDxfId="410" dataCellStyle="Comma"/>
    <tableColumn id="12" xr3:uid="{6E930BB8-4DEE-4FE8-8939-CCF1632751B9}" name="שווי הוגן" dataDxfId="409" dataCellStyle="Percent"/>
    <tableColumn id="13" xr3:uid="{DFC7A0FB-DB29-4792-9004-65BAE5B276FF}" name="שעור מערך נקוב מונפק" dataDxfId="408" dataCellStyle="Percent"/>
    <tableColumn id="14" xr3:uid="{A779D6B5-109E-4317-AD83-69A4CA55C36C}" name="שעור מנכסי אפיק ההשקעה" dataDxfId="407" dataCellStyle="Percent"/>
    <tableColumn id="15" xr3:uid="{7EAEB61D-7CCB-4A49-B246-218D53A95C19}" name="שעור מנכסי השקעה" dataDxfId="406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3897BAE-1E59-4849-8F12-D8401A5FE7D5}" name="לא סחיר - תעודות חוב מסחריות1" displayName="לא_סחיר___תעודות_חוב_מסחריות1" ref="A6:R22" totalsRowShown="0" headerRowDxfId="405" dataDxfId="403" headerRowBorderDxfId="404" tableBorderDxfId="402" headerRowCellStyle="Percent" dataCellStyle="Comma">
  <tableColumns count="18">
    <tableColumn id="1" xr3:uid="{2FB0F452-ADC6-47E6-9687-F87AF2CFE9D9}" name="שם המנפיק/שם נייר ערך" dataDxfId="401"/>
    <tableColumn id="2" xr3:uid="{7CF9B210-37BE-4A0C-967E-F26ECD3C499B}" name="מספר נ&quot;ע" dataDxfId="400"/>
    <tableColumn id="3" xr3:uid="{FB88E65B-74E9-4AA8-9DD4-54C7EC28E064}" name="ספק המידע" dataDxfId="399"/>
    <tableColumn id="4" xr3:uid="{9A70B829-395B-4026-A160-3E8C509B0321}" name="מספר מנפיק" dataDxfId="398"/>
    <tableColumn id="5" xr3:uid="{E31DEB14-8E95-455C-9D3B-67B3C49ECCEE}" name="ענף מסחר" dataDxfId="397"/>
    <tableColumn id="6" xr3:uid="{A74A5C76-6F1F-4216-880B-2F91332D40CB}" name="דירוג" dataDxfId="396" dataCellStyle="Percent"/>
    <tableColumn id="7" xr3:uid="{D882D72B-EBD2-4DD8-A86D-3D46CE699CF9}" name="שם מדרג" dataDxfId="395" dataCellStyle="Percent"/>
    <tableColumn id="8" xr3:uid="{F8BFF046-C04B-4A00-A998-07215564EF5B}" name="תאריך רכישה" dataDxfId="394" dataCellStyle="Percent"/>
    <tableColumn id="9" xr3:uid="{A656D6F7-2985-4484-B653-20CE8C482FF3}" name="מח&quot;מ" dataDxfId="393"/>
    <tableColumn id="10" xr3:uid="{74F20A3F-0457-4018-9DA1-E9264BB29333}" name="סוג מטבע" dataDxfId="392" dataCellStyle="Percent"/>
    <tableColumn id="11" xr3:uid="{FD3D465F-C793-4BD1-9536-98D5DE16195C}" name="שעור ריבית" dataDxfId="391" dataCellStyle="Comma"/>
    <tableColumn id="12" xr3:uid="{7D2FBB27-F911-4442-8813-9A3414E1CE7F}" name="תשואה לפדיון" dataDxfId="390" dataCellStyle="Comma"/>
    <tableColumn id="13" xr3:uid="{9E2DB105-9917-43F0-8144-4C385E00FAEE}" name="ערך נקוב" dataDxfId="389" dataCellStyle="Comma"/>
    <tableColumn id="14" xr3:uid="{03ECE69D-32D5-410D-8CA6-3F9A75A3CA87}" name="שער" dataDxfId="388" dataCellStyle="Percent"/>
    <tableColumn id="15" xr3:uid="{16BDB32F-0256-4571-8A77-7A2CDC6B6CC6}" name="שווי הוגן" dataDxfId="387" dataCellStyle="Percent"/>
    <tableColumn id="16" xr3:uid="{BF8CD066-497D-4314-8035-34CCA1457301}" name="שעור מערך נקוב מונפק" dataDxfId="386" dataCellStyle="Comma"/>
    <tableColumn id="17" xr3:uid="{76B88921-321B-4159-B669-E5477E279472}" name="שעור מנכסי אפיק ההשקעה" dataDxfId="385" dataCellStyle="Comma"/>
    <tableColumn id="18" xr3:uid="{82DC47CE-FF57-46DF-9FEF-99B14F1D2A3E}" name="שעור מנכסי השקעה" dataDxfId="384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D98D2EF-3728-419C-90BF-31A418FBFCA9}" name="לא סחיר - אג&quot;ח קונצרני1" displayName="לא_סחיר___אג_ח_קונצרני1" ref="A6:R22" totalsRowShown="0" headerRowDxfId="383" dataDxfId="381" headerRowBorderDxfId="382" tableBorderDxfId="380" headerRowCellStyle="Percent" dataCellStyle="Comma">
  <tableColumns count="18">
    <tableColumn id="1" xr3:uid="{DDDD2A90-BE18-4441-B5DB-ADE3A7DB4748}" name="שם המנפיק/שם נייר ערך" dataDxfId="379"/>
    <tableColumn id="2" xr3:uid="{445AB3FA-B7B2-40DD-B752-75DACBDEE5CE}" name="מספר נ&quot;ע" dataDxfId="378"/>
    <tableColumn id="3" xr3:uid="{FBD34A4E-DA3F-45C7-BF34-91DDB28CDB30}" name="ספק המידע" dataDxfId="377"/>
    <tableColumn id="4" xr3:uid="{48CCD77C-4AD3-4F41-B39F-CA0403D4D79F}" name="מספר מנפיק" dataDxfId="376"/>
    <tableColumn id="5" xr3:uid="{EA853B77-D361-48D4-A6A9-B3C582855857}" name="ענף מסחר" dataDxfId="375"/>
    <tableColumn id="6" xr3:uid="{E6442346-D237-429B-888F-04BDDD282BEE}" name="דירוג" dataDxfId="374" dataCellStyle="Percent"/>
    <tableColumn id="7" xr3:uid="{4250E445-E2F0-451B-B40F-54EE813AFA19}" name="שם מדרג" dataDxfId="373" dataCellStyle="Percent"/>
    <tableColumn id="8" xr3:uid="{48EFBE16-F570-4AE7-8DDD-51F7574CA993}" name="תאריך רכישה" dataDxfId="372" dataCellStyle="Percent"/>
    <tableColumn id="9" xr3:uid="{CADFA45D-7EAA-465D-AE8B-29DE8145587D}" name="מח&quot;מ" dataDxfId="371"/>
    <tableColumn id="10" xr3:uid="{34BC1BA2-3CC8-4378-A614-386F1D6C6DF4}" name="סוג מטבע" dataDxfId="370" dataCellStyle="Percent"/>
    <tableColumn id="11" xr3:uid="{2494FE7B-B481-42A8-8CBC-7665352146FD}" name="שעור ריבית" dataDxfId="369" dataCellStyle="Comma"/>
    <tableColumn id="12" xr3:uid="{374706FF-3600-49CF-91D2-4C4DC803D0E5}" name="תשואה לפדיון" dataDxfId="368" dataCellStyle="Comma"/>
    <tableColumn id="13" xr3:uid="{81CDC1D9-8B7A-4BDE-A89A-859711696E02}" name="ערך נקוב" dataDxfId="367" dataCellStyle="Comma"/>
    <tableColumn id="14" xr3:uid="{8C233239-A1E2-4A0E-80FC-EC72BEBF457B}" name="שער" dataDxfId="366" dataCellStyle="Percent"/>
    <tableColumn id="15" xr3:uid="{8EE75512-5965-4830-8708-9AF697C96D65}" name="שווי הוגן" dataDxfId="365" dataCellStyle="Percent"/>
    <tableColumn id="16" xr3:uid="{97D6698C-E56C-4919-935F-9D0C544649BD}" name="שעור מערך נקוב מונפק" dataDxfId="364" dataCellStyle="Comma"/>
    <tableColumn id="17" xr3:uid="{362077FF-8E40-4A5E-A2F2-BBBB448E3C79}" name="שעור מנכסי אפיק ההשקעה" dataDxfId="363" dataCellStyle="Comma"/>
    <tableColumn id="18" xr3:uid="{D72E39A2-FAEC-4650-A731-BB66BE16C963}" name="שעור מנכסי השקעה" dataDxfId="362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5856DD3-D191-48D9-8BA5-2DB3E276D615}" name="לא סחיר - מניות1" displayName="לא_סחיר___מניות1" ref="A6:L18" totalsRowShown="0" headerRowDxfId="361" dataDxfId="359" headerRowBorderDxfId="360" tableBorderDxfId="358" headerRowCellStyle="Percent" dataCellStyle="Percent">
  <tableColumns count="12">
    <tableColumn id="1" xr3:uid="{E318FEC1-F9B8-4A6B-ADB7-A34EE203ACFB}" name="שם המנפיק/שם נייר ערך" dataDxfId="357"/>
    <tableColumn id="2" xr3:uid="{3A12A72B-10E5-40F4-B258-7A659C7E7A4B}" name="מספר נ&quot;ע" dataDxfId="356"/>
    <tableColumn id="3" xr3:uid="{790C7C70-1537-460F-9669-97B90FEA6801}" name="ספק המידע" dataDxfId="355"/>
    <tableColumn id="4" xr3:uid="{6FD38049-120C-47C9-A36B-260B7DC36EB6}" name="מספר מנפיק" dataDxfId="354"/>
    <tableColumn id="5" xr3:uid="{E8E6A2E2-4227-4A31-B5CD-FD6C2E8A2C6F}" name="ענף מסחר" dataDxfId="353"/>
    <tableColumn id="6" xr3:uid="{6930BEBB-4E00-43BF-9EBA-22D40688FAFF}" name="סוג מטבע" dataDxfId="352" dataCellStyle="Percent"/>
    <tableColumn id="7" xr3:uid="{91017054-60B1-4009-864C-BE39C0141ECF}" name="ערך נקוב" dataDxfId="351" dataCellStyle="Percent"/>
    <tableColumn id="8" xr3:uid="{910868E3-0F0D-440E-973A-D994EFC427DC}" name="שער" dataDxfId="350" dataCellStyle="Percent"/>
    <tableColumn id="9" xr3:uid="{5CF3D705-E23F-46A5-9811-98C4FD2DAA71}" name="שווי שוק" dataDxfId="349"/>
    <tableColumn id="10" xr3:uid="{011A8705-1213-4505-AB2E-6B5B8C17E659}" name="שעור מערך נקוב מונפק" dataDxfId="348" dataCellStyle="Percent"/>
    <tableColumn id="11" xr3:uid="{4DD387F0-E153-4755-9C3A-A55DA4D94466}" name="שעור מנכסי אפיק ההשקעה" dataDxfId="347" dataCellStyle="Percent"/>
    <tableColumn id="12" xr3:uid="{06756577-35A3-489D-98FC-ABB591721794}" name="שעור מנכסי השקעה" dataDxfId="346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51E0B58-F735-44E9-86A9-BAF58DA7D85E}" name="לא סחיר - קרנות השקעה1" displayName="לא_סחיר___קרנות_השקעה1" ref="A6:J24" totalsRowShown="0" headerRowDxfId="345" dataDxfId="343" headerRowBorderDxfId="344" tableBorderDxfId="342" headerRowCellStyle="Percent" dataCellStyle="Comma">
  <tableColumns count="10">
    <tableColumn id="1" xr3:uid="{66D89DE6-11A9-4EDE-BDB3-EB895318F785}" name="שם המנפיק/שם נייר ערך" dataDxfId="341"/>
    <tableColumn id="2" xr3:uid="{8B50778D-A4D8-4680-9B7C-8C55711CB187}" name="מספר נ&quot;ע" dataDxfId="340"/>
    <tableColumn id="3" xr3:uid="{46D2C994-A706-4790-BCDC-63E870420271}" name="סוג מטבע" dataDxfId="339" dataCellStyle="Percent"/>
    <tableColumn id="4" xr3:uid="{980A4D06-19B6-48B3-B82A-E957EC2682D1}" name="תאריך רכישה" dataDxfId="338" dataCellStyle="Percent"/>
    <tableColumn id="5" xr3:uid="{30AF698D-C515-4D83-B28D-7423480B62E0}" name="ערך נקוב" dataDxfId="337" dataCellStyle="Percent"/>
    <tableColumn id="6" xr3:uid="{E3CF0D79-990F-4C02-A95E-A11FB5114A9F}" name="שער" dataDxfId="336"/>
    <tableColumn id="7" xr3:uid="{4CAEC47C-9D79-4744-B726-D4D41618B23E}" name="שווי הוגן" dataDxfId="335" dataCellStyle="Percent"/>
    <tableColumn id="8" xr3:uid="{923E5953-EDD0-4E13-88E0-BCB2EFAA7FC6}" name="שעור מערך נקוב מונפק" dataDxfId="334" dataCellStyle="Comma"/>
    <tableColumn id="9" xr3:uid="{E99F8476-7882-4A6A-BB96-A6218EBA3C6B}" name="שעור מנכסי אפיק ההשקעה" dataDxfId="333" dataCellStyle="Comma"/>
    <tableColumn id="10" xr3:uid="{7EDE69CA-3874-4018-9DDD-1B5546DBDEF3}" name="שעור מנכסי השקעה" dataDxfId="332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3F3AA81-F760-48CD-9BD0-26C4A853ABA8}" name="לא סחיר - כתבי אופציה1" displayName="לא_סחיר___כתבי_אופציה1" ref="A6:K16" totalsRowShown="0" headerRowDxfId="331" dataDxfId="329" headerRowBorderDxfId="330" tableBorderDxfId="328" headerRowCellStyle="Percent" dataCellStyle="Comma">
  <tableColumns count="11">
    <tableColumn id="1" xr3:uid="{8E76EDC6-44F3-4EEA-95C5-C92508B84E3F}" name="שם המנפיק/שם נייר ערך" dataDxfId="327"/>
    <tableColumn id="2" xr3:uid="{786AC644-8880-41C2-B11D-86CE3B24620C}" name="מספר נ&quot;ע" dataDxfId="326"/>
    <tableColumn id="3" xr3:uid="{CE60FFA6-B086-4AFE-8CD3-39541A0F5DAF}" name="ענף מסחר" dataDxfId="325"/>
    <tableColumn id="4" xr3:uid="{29F07953-A0AD-428D-A2EA-0691D125F286}" name="סוג מטבע" dataDxfId="324" dataCellStyle="Percent"/>
    <tableColumn id="5" xr3:uid="{1134E0A9-1D12-400A-8D55-C193CE17AFF8}" name="תאריך רכישה" dataDxfId="323" dataCellStyle="Percent"/>
    <tableColumn id="6" xr3:uid="{DEF71E6F-D265-42C1-BCF0-5FD7F5F9FA22}" name="ערך נקוב" dataDxfId="322" dataCellStyle="Percent"/>
    <tableColumn id="7" xr3:uid="{22CD2056-B600-41D3-BB16-0AA881CE13F6}" name="שער" dataDxfId="321"/>
    <tableColumn id="8" xr3:uid="{DE992515-D891-46C7-BBC2-C72500380C02}" name="שווי הוגן" dataDxfId="320" dataCellStyle="Percent"/>
    <tableColumn id="9" xr3:uid="{FB239E98-24EB-4136-838A-A3FC92326A11}" name="שעור מערך נקוב מונפק" dataDxfId="319" dataCellStyle="Comma"/>
    <tableColumn id="10" xr3:uid="{9F73834A-140E-401D-87CA-FBA0696C466C}" name="שעור מנכסי אפיק ההשקעה" dataDxfId="318" dataCellStyle="Comma"/>
    <tableColumn id="11" xr3:uid="{FE06A4E5-2AAF-486B-BB20-F46572606C43}" name="שעור מנכסי השקעה" dataDxfId="317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9781444-5710-4905-B423-124F172AAD1F}" name="לא סחיר - אופציות1" displayName="לא_סחיר___אופציות1" ref="A6:K26" totalsRowShown="0" headerRowDxfId="316" dataDxfId="314" headerRowBorderDxfId="315" tableBorderDxfId="313" headerRowCellStyle="Percent" dataCellStyle="Comma">
  <tableColumns count="11">
    <tableColumn id="1" xr3:uid="{7D10174F-BF03-45D8-97CF-CF78053E2029}" name="שם המנפיק/שם נייר ערך" dataDxfId="312"/>
    <tableColumn id="2" xr3:uid="{8E43E6A1-BD91-4BA3-AE30-14EBDF3BF12F}" name="מספר נ&quot;ע" dataDxfId="311"/>
    <tableColumn id="3" xr3:uid="{9BCD1BE5-17FC-498A-A091-571F3BC1F536}" name="ענף מסחר" dataDxfId="310"/>
    <tableColumn id="4" xr3:uid="{7D960541-DFA5-488C-A3E4-FA6E56DC6294}" name="סוג מטבע" dataDxfId="309" dataCellStyle="Percent"/>
    <tableColumn id="5" xr3:uid="{3FD81414-952D-4E95-8D0A-8AD8717D22D2}" name="תאריך רכישה" dataDxfId="308" dataCellStyle="Percent"/>
    <tableColumn id="6" xr3:uid="{6F8265FA-EE1C-45B1-989E-78647071049C}" name="ערך נקוב" dataDxfId="307" dataCellStyle="Percent"/>
    <tableColumn id="7" xr3:uid="{B44960B2-FFCE-4B07-8BED-0737C2AD0B94}" name="שער" dataDxfId="306"/>
    <tableColumn id="8" xr3:uid="{50634F1F-F3BF-48B8-A765-60E03DB49C24}" name="שווי הוגן" dataDxfId="305" dataCellStyle="Percent"/>
    <tableColumn id="9" xr3:uid="{346B18B1-079C-4750-9114-77840060DE1C}" name="שעור מערך נקוב מונפק" dataDxfId="304" dataCellStyle="Comma"/>
    <tableColumn id="10" xr3:uid="{0C190E53-F9B4-4F0F-8100-B42A0ADE3190}" name="שעור מנכסי אפיק ההשקעה" dataDxfId="303" dataCellStyle="Comma"/>
    <tableColumn id="11" xr3:uid="{D55101E7-FD2E-44BE-A5F9-084797241226}" name="שעור מנכסי השקעה" dataDxfId="302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BDD8212-043C-4FFE-B43D-2BA007D91A6D}" name="לא סחיר - חוזים עתידיים1" displayName="לא_סחיר___חוזים_עתידיים1" ref="A6:J95" totalsRowShown="0" headerRowDxfId="301" dataDxfId="299" headerRowBorderDxfId="300" tableBorderDxfId="298" headerRowCellStyle="Percent" dataCellStyle="Percent">
  <tableColumns count="10">
    <tableColumn id="1" xr3:uid="{8C1FCCD0-FAD7-4F00-963C-B084B2695C48}" name="שם המנפיק/שם נייר ערך" dataDxfId="297"/>
    <tableColumn id="2" xr3:uid="{1F4B0970-7992-4E06-A3BB-8C9141D289C7}" name="מספר נ&quot;ע" dataDxfId="296"/>
    <tableColumn id="3" xr3:uid="{9ED510DA-FA70-4963-8526-2AD55FF71439}" name="ענף מסחר" dataDxfId="295"/>
    <tableColumn id="4" xr3:uid="{3E777931-8351-40CC-AA2A-EA7B2C082E16}" name="סוג מטבע" dataDxfId="294" dataCellStyle="Percent"/>
    <tableColumn id="5" xr3:uid="{0A698BA0-8EE5-4275-84F1-A484FFB5F3D8}" name="תאריך רכישה" dataDxfId="293" dataCellStyle="Percent"/>
    <tableColumn id="6" xr3:uid="{CD506D60-D0D6-4C4E-9F54-A02C20013886}" name="ערך נקוב" dataDxfId="292" dataCellStyle="Percent"/>
    <tableColumn id="7" xr3:uid="{DE98B5D2-F69A-4F2C-8BA1-165C524DBD5D}" name="שער" dataDxfId="291"/>
    <tableColumn id="8" xr3:uid="{0D5487CC-36AB-47F0-81E7-454BF747ED5C}" name="שווי הוגן" dataDxfId="290" dataCellStyle="Percent"/>
    <tableColumn id="9" xr3:uid="{07E790D7-3B7C-4C73-9146-3BAE14DE7891}" name="שעור מנכסי אפיק ההשקעה" dataDxfId="289" dataCellStyle="Percent"/>
    <tableColumn id="10" xr3:uid="{F2A7E9BB-ABB6-41F3-B934-373A622C20B9}" name="שעור מנכסי השקעה" dataDxfId="288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BF81FB7-FEF8-4B04-B2FB-44B7020D2A9A}" name="לא סחיר - מוצרים מובנים1" displayName="לא_סחיר___מוצרים_מובנים1" ref="A6:P30" totalsRowShown="0" headerRowDxfId="287" dataDxfId="285" headerRowBorderDxfId="286" tableBorderDxfId="284" headerRowCellStyle="Percent" dataCellStyle="Comma">
  <tableColumns count="16">
    <tableColumn id="1" xr3:uid="{9B2C4E38-1253-41BF-BEED-D94B93B1515F}" name="שם המנפיק/שם נייר ערך" dataDxfId="283"/>
    <tableColumn id="2" xr3:uid="{4D601B56-95E2-4E8B-9E43-E256388E3303}" name="מספר נ&quot;ע" dataDxfId="282"/>
    <tableColumn id="3" xr3:uid="{C0F464D1-8D1D-4B2E-B856-CF42E3258DF6}" name="נכס הבסיס" dataDxfId="281"/>
    <tableColumn id="4" xr3:uid="{21E89C73-7544-4580-97A3-1D3339E3CD99}" name="דירוג" dataDxfId="280" dataCellStyle="Percent"/>
    <tableColumn id="5" xr3:uid="{FA63761C-FE8A-4C1D-A244-B4B09B801614}" name="שם מדרג" dataDxfId="279" dataCellStyle="Percent"/>
    <tableColumn id="6" xr3:uid="{19EE7643-E5BD-4E0F-A58A-DE1B0305015E}" name="תאריך רכישה" dataDxfId="278" dataCellStyle="Percent"/>
    <tableColumn id="7" xr3:uid="{1FE98E44-4464-4875-A59B-A912A74A9754}" name="מח&quot;מ" dataDxfId="277"/>
    <tableColumn id="8" xr3:uid="{D1CAE0D2-739A-47A9-988D-4999BA88F5E7}" name="סוג מטבע" dataDxfId="276" dataCellStyle="Percent"/>
    <tableColumn id="9" xr3:uid="{76990E89-3934-4988-AA3D-770206501F22}" name="שעור ריבית" dataDxfId="275" dataCellStyle="Comma"/>
    <tableColumn id="10" xr3:uid="{98D408BF-CF57-4B10-9C27-ED06B98414C5}" name="תשואה לפדיון" dataDxfId="274" dataCellStyle="Comma"/>
    <tableColumn id="11" xr3:uid="{5ED7F955-D00D-4AE7-8F7B-3DF801B5B636}" name="ערך נקוב" dataDxfId="273" dataCellStyle="Comma"/>
    <tableColumn id="12" xr3:uid="{7DA03258-3FA7-4BCA-BC47-8ED44DB664A2}" name="שער" dataDxfId="272" dataCellStyle="Percent"/>
    <tableColumn id="13" xr3:uid="{860BF4A6-894A-463D-BF0C-DE80BBAF518C}" name="שווי שוק" dataDxfId="271" dataCellStyle="Percent"/>
    <tableColumn id="14" xr3:uid="{9932636A-A1FC-4050-A45E-EAC95052B0F0}" name="שעור מערך נקוב מונפק" dataDxfId="270" dataCellStyle="Comma"/>
    <tableColumn id="15" xr3:uid="{19AB2588-58A2-4F48-AEF3-29A6F090B4E3}" name="שעור מנכסי אפיק ההשקעה" dataDxfId="269" dataCellStyle="Comma"/>
    <tableColumn id="16" xr3:uid="{B6F5A6FB-25AA-45BC-9B71-3F21446033C1}" name="שעור מנכסי השקעה" dataDxfId="268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802A773-F156-41DD-B7F1-B5FCC2CFC9C1}" name="הלוואות1" displayName="הלוואות1" ref="A5:Q35" totalsRowShown="0" headerRowDxfId="267" dataDxfId="265" headerRowBorderDxfId="266" tableBorderDxfId="264" headerRowCellStyle="Percent" dataCellStyle="Comma">
  <tableColumns count="17">
    <tableColumn id="1" xr3:uid="{8666E306-59D6-43C8-BF72-60DB61724579}" name="שם המנפיק/שם נייר ערך" dataDxfId="263"/>
    <tableColumn id="2" xr3:uid="{4C4F6BE2-C7BD-423C-940F-CCD5F87BB164}" name="קונסורציום" dataDxfId="262"/>
    <tableColumn id="3" xr3:uid="{94AC2A88-2A62-4E7E-937F-37EAC911BBD0}" name="מספר נ&quot;ע" dataDxfId="261"/>
    <tableColumn id="4" xr3:uid="{F6B5D218-DDEB-457F-B80B-1CF152086496}" name="מספר מנפיק" dataDxfId="260"/>
    <tableColumn id="5" xr3:uid="{5C78B7AC-5DC6-41B4-8538-170563771CEE}" name="דירוג" dataDxfId="259"/>
    <tableColumn id="6" xr3:uid="{997B9AEF-E7B3-46B4-BB5D-B75C5BEE5885}" name="תאריך רכישה" dataDxfId="258" dataCellStyle="Percent"/>
    <tableColumn id="7" xr3:uid="{B98A8374-6978-4701-9615-961916FB11C0}" name="שם מדרג" dataDxfId="257" dataCellStyle="Percent"/>
    <tableColumn id="8" xr3:uid="{5CDC324F-1B1B-4560-BCCA-D204B4DB5F14}" name="מח&quot;מ" dataDxfId="256" dataCellStyle="Percent"/>
    <tableColumn id="9" xr3:uid="{3CCD6AF3-2D0A-4DF8-81F0-E62A661EDB32}" name="ענף משק" dataDxfId="255" dataCellStyle="Percent"/>
    <tableColumn id="10" xr3:uid="{8CCD20D6-DBB8-49C7-840B-85DC31D90882}" name="סוג מטבע" dataDxfId="254" dataCellStyle="Percent"/>
    <tableColumn id="11" xr3:uid="{2B1BB966-45EB-465D-9854-D9FF4C05F480}" name="שעור ריבית ממוצע" dataDxfId="253"/>
    <tableColumn id="12" xr3:uid="{2781530A-1C8F-4272-B675-3D7AF65DA6FF}" name="תשואה לפדיון" dataDxfId="252" dataCellStyle="Percent"/>
    <tableColumn id="13" xr3:uid="{444CA4F6-B1BA-4BB3-B131-D37693A0BEF5}" name="ערך נקוב" dataDxfId="251" dataCellStyle="Comma"/>
    <tableColumn id="14" xr3:uid="{15DB4AFA-BB0E-4DF9-BBCB-522E963C355C}" name="שער" dataDxfId="250" dataCellStyle="Comma"/>
    <tableColumn id="15" xr3:uid="{BEA2D6AC-186F-4250-8490-7315FDCD2DED}" name="שווי הוגן" dataDxfId="249" dataCellStyle="Comma"/>
    <tableColumn id="16" xr3:uid="{E48156FD-9366-49E7-A8F6-3D87595C4F8E}" name="שעור מנכסי אפיק ההשקעה" dataDxfId="248" dataCellStyle="Comma"/>
    <tableColumn id="17" xr3:uid="{310FD94C-8E92-41BD-A208-07CFA6208174}" name="שעור מנכסי השקעה" dataDxfId="247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3716130-E726-4BCB-8F30-7B2F13BC24D7}" name="פקדונות מעל 3 חודשים1" displayName="פקדונות_מעל_3_חודשים1" ref="A5:N21" totalsRowShown="0" headerRowDxfId="246" dataDxfId="244" headerRowBorderDxfId="245" tableBorderDxfId="243" headerRowCellStyle="Percent" dataCellStyle="Comma">
  <tableColumns count="14">
    <tableColumn id="1" xr3:uid="{C76FCDDC-AA9F-4876-A5B3-144695A946F7}" name="שם המנפיק/שם נייר ערך" dataDxfId="242"/>
    <tableColumn id="2" xr3:uid="{18C8214D-20F1-4D6D-8DC2-56D179745897}" name="מספר נ&quot;ע" dataDxfId="241"/>
    <tableColumn id="3" xr3:uid="{73017CA3-28BA-4F83-8230-39DAF9299363}" name="מספר מנפיק" dataDxfId="240"/>
    <tableColumn id="4" xr3:uid="{3F06027A-D42D-4669-8309-D5F4AA6C29D8}" name="דירוג" dataDxfId="239"/>
    <tableColumn id="5" xr3:uid="{1FB2A520-711E-4FF2-A9BB-4AD65112FBB9}" name="שם מדרג" dataDxfId="238" dataCellStyle="Percent"/>
    <tableColumn id="6" xr3:uid="{D08CB307-E43C-41FD-954C-555E0E263E22}" name="מח&quot;מ" dataDxfId="237" dataCellStyle="Percent"/>
    <tableColumn id="7" xr3:uid="{881A7B54-1D33-4264-AB38-BCECE5C6FC1A}" name="סוג מטבע" dataDxfId="236" dataCellStyle="Percent"/>
    <tableColumn id="8" xr3:uid="{E951019E-2C7D-4B73-BCAB-6D5DDE0683EE}" name="תנאי ושיעור ריבית" dataDxfId="235"/>
    <tableColumn id="9" xr3:uid="{43787DCD-A9AA-480A-9901-66C9E7B355EE}" name="תשואה לפדיון" dataDxfId="234" dataCellStyle="Percent"/>
    <tableColumn id="10" xr3:uid="{073F2E6E-BB4C-4530-BE63-5C3FB476444F}" name="ערך נקוב" dataDxfId="233" dataCellStyle="Comma"/>
    <tableColumn id="11" xr3:uid="{753805E9-7409-4FDE-B37E-E2483F7BC30A}" name="שער" dataDxfId="232" dataCellStyle="Comma"/>
    <tableColumn id="12" xr3:uid="{F32080FE-74B8-4BDE-81DC-72C1C89B393B}" name="שווי הוגן" dataDxfId="231" dataCellStyle="Comma"/>
    <tableColumn id="13" xr3:uid="{BFFD5AC4-06E6-42B6-A3DF-52F8772962DF}" name="שעור מנכסי אפיק ההשקעה" dataDxfId="230" dataCellStyle="Comma"/>
    <tableColumn id="14" xr3:uid="{38987A0E-15D8-44CC-A2F9-6A0E032451CD}" name="שעור מנכסי השקעה" dataDxfId="229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1034AD5-9CB5-459F-B6AC-0B0505D17C41}" name="זכויות מקרקעין1" displayName="זכויות_מקרקעין1" ref="A5:I19" totalsRowShown="0" headerRowDxfId="228" dataDxfId="226" headerRowBorderDxfId="227" tableBorderDxfId="225" headerRowCellStyle="Percent" dataCellStyle="Percent">
  <tableColumns count="9">
    <tableColumn id="1" xr3:uid="{0CDF46B4-90E3-4B54-A8FC-FA0927797ECD}" name="שם המנפיק/שם נייר ערך" dataDxfId="224"/>
    <tableColumn id="2" xr3:uid="{4D80CA74-2B87-4FF7-9C4B-72827AF157B8}" name="תאריך שערוך אחרון" dataDxfId="223"/>
    <tableColumn id="3" xr3:uid="{428F5CE8-9233-467B-9188-8B9EBD09138F}" name="אופי הנכס" dataDxfId="222"/>
    <tableColumn id="4" xr3:uid="{D48B75F4-D08F-4CF5-99E4-2EDF56DED4C5}" name="שעור תשואה במהלך התקופה" dataDxfId="221" dataCellStyle="Percent"/>
    <tableColumn id="5" xr3:uid="{75A8DA52-31C2-43F0-B25B-3E04D74CA1B9}" name="סוג מטבע" dataDxfId="220" dataCellStyle="Percent"/>
    <tableColumn id="6" xr3:uid="{D08DC8DE-3547-44CD-A4B5-AD4EDBF5A6B9}" name="שווי משוערך" dataDxfId="219" dataCellStyle="Percent"/>
    <tableColumn id="7" xr3:uid="{ABF15EAC-24E9-43AE-B244-AA7BF6858B76}" name="שעור מנכסי אפיק ההשקעה" dataDxfId="218" dataCellStyle="Percent"/>
    <tableColumn id="8" xr3:uid="{0FDDA65E-3209-4414-AADA-C49518487724}" name="שעור מנכסי השקעה" dataDxfId="217" dataCellStyle="Percent"/>
    <tableColumn id="9" xr3:uid="{5ECF7366-B1BA-4C49-9C8A-9D9F4B4B34A7}" name="כתובת הנכס" dataDxfId="216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8E17E81-74AC-42AE-BA6D-A8512D1EA6F2}" name="השקעה בחברות מוחזקות1" displayName="השקעה_בחברות_מוחזקות1" ref="A5:J15" totalsRowShown="0" headerRowDxfId="215" dataDxfId="213" headerRowBorderDxfId="214" tableBorderDxfId="212" headerRowCellStyle="Percent" dataCellStyle="Percent">
  <tableColumns count="10">
    <tableColumn id="1" xr3:uid="{D0F19851-25C8-451C-AAC2-791E9A8FAA20}" name="שם המנפיק/שם נייר ערך" dataDxfId="211"/>
    <tableColumn id="2" xr3:uid="{4C85A863-5B94-40B1-A605-019119CF579A}" name="מספר מנפיק" dataDxfId="210"/>
    <tableColumn id="3" xr3:uid="{0B4E8CD5-1A48-422F-9335-27B5D29A361A}" name="דירוג" dataDxfId="209"/>
    <tableColumn id="4" xr3:uid="{291CA9DC-E69C-4369-939D-1C3AE6ABF273}" name="שם המדרג" dataDxfId="208" dataCellStyle="Percent"/>
    <tableColumn id="5" xr3:uid="{B0790A2D-ACD0-430A-A5EE-710DBE948DFF}" name="שעור הריבית" dataDxfId="207" dataCellStyle="Percent"/>
    <tableColumn id="6" xr3:uid="{1FB29AAE-33F2-473E-A170-92F1AD0830DD}" name="סוג מטבע" dataDxfId="206" dataCellStyle="Percent"/>
    <tableColumn id="7" xr3:uid="{2A7A276C-1F85-41B8-943F-F3C100EEFAFC}" name="תשואה לפדיון" dataDxfId="205" dataCellStyle="Percent"/>
    <tableColumn id="8" xr3:uid="{F573DC48-9EFF-4886-A29F-F78A9B7B1E43}" name="שווי הוגן" dataDxfId="204" dataCellStyle="Percent"/>
    <tableColumn id="9" xr3:uid="{17711122-6EA3-4C69-AB60-7FC0E979B402}" name="שעור מנכסי אפיק ההשקעה" dataDxfId="203" dataCellStyle="Percent"/>
    <tableColumn id="10" xr3:uid="{115262D5-EA2F-48E2-8170-542C75C89495}" name="שעור מסך נכסי השקעה" dataDxfId="202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1456AD3-3E76-438E-B6AD-140EC72A8D39}" name="השקעות אחרות1" displayName="השקעות_אחרות1" ref="A5:J16" totalsRowShown="0" headerRowDxfId="201" dataDxfId="199" headerRowBorderDxfId="200" tableBorderDxfId="198" headerRowCellStyle="Percent" dataCellStyle="Percent">
  <tableColumns count="10">
    <tableColumn id="1" xr3:uid="{19658BD2-CED6-4870-8E6E-F584358B689A}" name="שם המנפיק/שם נייר ערך" dataDxfId="197"/>
    <tableColumn id="2" xr3:uid="{27B1E297-EBFB-49DE-BCD0-6EEF4F4874E4}" name="מספר נייר" dataDxfId="196"/>
    <tableColumn id="3" xr3:uid="{82AB616F-EA76-44B8-A847-16069B984904}" name="דירוג" dataDxfId="195"/>
    <tableColumn id="4" xr3:uid="{603C8772-9774-44D1-B61D-AF517C00EA11}" name="שם מדרג" dataDxfId="194"/>
    <tableColumn id="5" xr3:uid="{507D9DD3-A721-469C-9F4C-DFBAE81025C3}" name="שעור ריבית" dataDxfId="193" dataCellStyle="Percent"/>
    <tableColumn id="6" xr3:uid="{0690AF84-C85C-4B5F-AD6E-99C14C0D7186}" name="סוג מטבע" dataDxfId="192" dataCellStyle="Percent"/>
    <tableColumn id="7" xr3:uid="{61D5E970-0ED9-4CE1-8D6C-A403E9C5D4C9}" name="תשואה לפדיון" dataDxfId="191" dataCellStyle="Percent"/>
    <tableColumn id="8" xr3:uid="{A5B2068A-8065-4F8D-B212-73AFA5EE63DF}" name="שווי הוגן" dataDxfId="190" dataCellStyle="Percent"/>
    <tableColumn id="9" xr3:uid="{6A8DF162-7793-4AB4-8A2C-6A2421A1CA14}" name="שעור מנכסי אפיק ההשקעה" dataDxfId="189" dataCellStyle="Percent"/>
    <tableColumn id="10" xr3:uid="{9816D767-8A4B-4944-94D9-ACFB6766FE56}" name="שעור מנכסי השקעה" dataDxfId="188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E2D5DD5-2505-4CAA-8FCD-FA21B617E4AE}" name="יתרת התחייבות להשקעה1" displayName="יתרת_התחייבות_להשקעה1" ref="A5:C11" totalsRowShown="0" headerRowBorderDxfId="187" tableBorderDxfId="186">
  <tableColumns count="3">
    <tableColumn id="1" xr3:uid="{00932EE5-4B4B-4A7F-A1FF-567AA3C67978}" name="שם המנפיק/שם נייר ערך"/>
    <tableColumn id="2" xr3:uid="{BF5807E9-D1E7-4A16-941B-4AA6FFB7060F}" name="סכום ההתחייבות"/>
    <tableColumn id="3" xr3:uid="{2BFE601E-44B5-498B-B872-A17DD85122DF}" name="תאריך סיום ההתחייבות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692B37F-3E95-4AFE-8B5D-83C3C7B1A1A4}" name="עלות מתואמת אג&quot;ח קונצרני סחיר1" displayName="עלות_מתואמת_אג_ח_קונצרני_סחיר1" ref="A5:O16" totalsRowShown="0" headerRowDxfId="185" headerRowBorderDxfId="184" tableBorderDxfId="183" headerRowCellStyle="Percent">
  <tableColumns count="15">
    <tableColumn id="1" xr3:uid="{F3EF89BA-FD07-4C89-B9D8-3341A4330805}" name="שם המנפיק/שם נייר ערך" dataDxfId="182"/>
    <tableColumn id="2" xr3:uid="{F2F92AE5-83E3-4F6B-B560-EC153D386EBF}" name="מספר ני&quot;ע" dataDxfId="181" dataCellStyle="Percent"/>
    <tableColumn id="3" xr3:uid="{0CBF3C48-327E-44CD-AA17-2B40228B1DBE}" name="ענף מסחר" dataDxfId="180" dataCellStyle="Percent"/>
    <tableColumn id="4" xr3:uid="{4B35D723-E00D-49D8-92AF-DF45C2701905}" name="דירוג" dataDxfId="179" dataCellStyle="Percent"/>
    <tableColumn id="5" xr3:uid="{B0E7EA87-DF02-466B-9956-2103D38C3EFE}" name="שם מדרג" dataDxfId="178" dataCellStyle="Percent"/>
    <tableColumn id="6" xr3:uid="{FC2E03C5-CF60-4980-91D7-09200054E77A}" name="תאריך רכישה" dataDxfId="177" dataCellStyle="Percent"/>
    <tableColumn id="7" xr3:uid="{5EAE40E7-9C3E-4529-B842-FC9FA7F9D89D}" name="מח&quot;מ" dataDxfId="176" dataCellStyle="Percent"/>
    <tableColumn id="8" xr3:uid="{150D2D8D-72A6-4EC4-A046-A300930E1314}" name="סוג מטבע" dataDxfId="175" dataCellStyle="Percent"/>
    <tableColumn id="9" xr3:uid="{1E30535F-60B2-4C6C-B006-49C1B3CD9A7E}" name="שיעור ריבית" dataDxfId="174" dataCellStyle="Percent"/>
    <tableColumn id="10" xr3:uid="{9A27EB79-07C2-45CF-8765-8D78C4AA2528}" name="ריבית אפקטיבית" dataDxfId="173" dataCellStyle="Percent"/>
    <tableColumn id="11" xr3:uid="{E9D280C2-AEC5-43DA-B331-E80C13944C65}" name="ערך נקוב" dataDxfId="172" dataCellStyle="Comma"/>
    <tableColumn id="12" xr3:uid="{20CF07D1-6E69-40E4-8440-FC99BA4EAAA8}" name="עלות מתואמת" dataDxfId="171" dataCellStyle="Percent"/>
    <tableColumn id="13" xr3:uid="{2AF0BB3B-AB62-4BE7-B593-82803981664E}" name="שעור מערך נקוב מונפק" dataDxfId="170" dataCellStyle="Comma"/>
    <tableColumn id="14" xr3:uid="{F339F5C5-C4ED-4544-A426-D432BE517B59}" name="שעור מנכסי אפיק ההשקעה" dataDxfId="169" dataCellStyle="Percent"/>
    <tableColumn id="15" xr3:uid="{B0E1FF2D-FFDD-42CD-BD6F-62B015C281A2}" name="שעור מסך נכסי השקעה**" dataDxfId="168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48206B4-70E8-4A4C-BE75-482056640915}" name="עלות מתואמת אג&quot;ח קונצרני ל.סחיר1" displayName="עלות_מתואמת_אג_ח_קונצרני_ל.סחיר1" ref="A5:O16" totalsRowShown="0" headerRowDxfId="167" headerRowBorderDxfId="166" tableBorderDxfId="165" headerRowCellStyle="Percent">
  <tableColumns count="15">
    <tableColumn id="1" xr3:uid="{261495B6-3CF4-4054-9321-94BEE7157E34}" name="שם המנפיק/שם נייר ערך" dataDxfId="164"/>
    <tableColumn id="2" xr3:uid="{98D3E2BC-CFAC-46F5-958F-C2AD3098DE30}" name="מספר ני&quot;ע" dataDxfId="163" dataCellStyle="Percent"/>
    <tableColumn id="3" xr3:uid="{100681BF-73E8-4707-B421-66880511BCC5}" name="ענף מסחר" dataDxfId="162" dataCellStyle="Percent"/>
    <tableColumn id="4" xr3:uid="{22E40C27-B5BA-4A6A-A3F1-64D6094C227A}" name="דירוג" dataDxfId="161" dataCellStyle="Percent"/>
    <tableColumn id="5" xr3:uid="{6772CB12-4B80-40BD-8A92-A78AF849855E}" name="שם מדרג" dataDxfId="160" dataCellStyle="Percent"/>
    <tableColumn id="6" xr3:uid="{034C7889-E137-4A27-BDEE-86427407D80C}" name="תאריך רכישה" dataDxfId="159" dataCellStyle="Percent"/>
    <tableColumn id="7" xr3:uid="{4B47F723-8697-46AC-B0AD-B91E2BF1EB6D}" name="מח&quot;מ" dataDxfId="158" dataCellStyle="Percent"/>
    <tableColumn id="8" xr3:uid="{15C0D015-A4FF-4177-9CC1-F85C66AC4E3D}" name="סוג מטבע" dataDxfId="157" dataCellStyle="Percent"/>
    <tableColumn id="9" xr3:uid="{ABED9BB3-980E-4316-8183-B0F57E8FF3E9}" name="שיעור ריבית" dataDxfId="156" dataCellStyle="Percent"/>
    <tableColumn id="10" xr3:uid="{DD3489AA-D695-4477-8FE3-9075DD4DD77C}" name="ריבית אפקטיבית" dataDxfId="155" dataCellStyle="Percent"/>
    <tableColumn id="11" xr3:uid="{646C5A41-F4C8-42AB-A88A-606735430C12}" name="ערך נקוב" dataDxfId="154" dataCellStyle="Comma"/>
    <tableColumn id="12" xr3:uid="{1933AEBF-54BC-489C-BD4F-9E27FFADD7A5}" name="עלות מתואמת" dataDxfId="153" dataCellStyle="Percent"/>
    <tableColumn id="13" xr3:uid="{77B8B809-A936-4A75-B524-09EA67C1DBE1}" name="שעור מערך נקוב מונפק" dataDxfId="152" dataCellStyle="Comma"/>
    <tableColumn id="14" xr3:uid="{2444AF16-933C-4E8F-8A1D-A6EC0C58AD18}" name="שעור מנכסי אפיק ההשקעה" dataDxfId="151" dataCellStyle="Percent"/>
    <tableColumn id="15" xr3:uid="{DB26D27E-DD9F-474D-9F12-471E644101B3}" name="שעור מסך נכסי השקעה**" dataDxfId="150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09C8A62-FEF5-4069-BE0A-E48CFBD1D484}" name="עלות מתואמת מסגרות אשראי ללווים1" displayName="עלות_מתואמת_מסגרות_אשראי_ללווים1" ref="A5:O16" totalsRowShown="0" headerRowDxfId="149" headerRowBorderDxfId="148" tableBorderDxfId="147" headerRowCellStyle="Percent">
  <tableColumns count="15">
    <tableColumn id="1" xr3:uid="{ADC2688D-DAF9-4EA3-A45D-BAA4D45F2860}" name="שם המנפיק/שם נייר ערך" dataDxfId="146"/>
    <tableColumn id="2" xr3:uid="{C950A8F1-C64B-4C1F-9DB8-D692896BCA35}" name="מספר ני&quot;ע" dataDxfId="145" dataCellStyle="Percent"/>
    <tableColumn id="3" xr3:uid="{6FD4DE5B-CBAD-46FC-B5DF-62CA7F2BCCC7}" name="ענף מסחר" dataDxfId="144" dataCellStyle="Percent"/>
    <tableColumn id="4" xr3:uid="{971F931E-5E8E-41EE-911E-BA495D5621FA}" name="דירוג" dataDxfId="143" dataCellStyle="Percent"/>
    <tableColumn id="5" xr3:uid="{3DA7F8E7-6339-4B5B-90F2-37E94DFDCBE8}" name="שם מדרג" dataDxfId="142" dataCellStyle="Percent"/>
    <tableColumn id="6" xr3:uid="{0CB38680-CD4B-4A70-8068-E6019B711194}" name="תאריך רכישה" dataDxfId="141" dataCellStyle="Percent"/>
    <tableColumn id="7" xr3:uid="{A60B4EB2-DE96-4F2C-BA6B-9AC7736EB5C7}" name="מח&quot;מ" dataDxfId="140" dataCellStyle="Percent"/>
    <tableColumn id="8" xr3:uid="{4D0143FA-2D37-4C43-BFAA-42A48522A184}" name="סוג מטבע" dataDxfId="139" dataCellStyle="Percent"/>
    <tableColumn id="9" xr3:uid="{9201FFBA-9E83-41B6-9568-E65A5AD68FC9}" name="שיעור ריבית" dataDxfId="138" dataCellStyle="Percent"/>
    <tableColumn id="10" xr3:uid="{2B14C726-61DF-4CD0-879B-1D649ED32A51}" name="ריבית אפקטיבית" dataDxfId="137" dataCellStyle="Percent"/>
    <tableColumn id="11" xr3:uid="{ED74A2CC-8238-4C22-B0F3-6EF3AD52099B}" name="ערך נקוב" dataDxfId="136" dataCellStyle="Comma"/>
    <tableColumn id="12" xr3:uid="{8F52A35F-C334-408B-A2E2-1116838521D7}" name="עלות מתואמת" dataDxfId="135" dataCellStyle="Percent"/>
    <tableColumn id="13" xr3:uid="{EF79823B-AC6D-4E84-BF4E-D38D62769734}" name="שעור מערך נקוב מונפק" dataDxfId="134" dataCellStyle="Comma"/>
    <tableColumn id="14" xr3:uid="{7714ADCC-ED17-4A28-8E5B-09A0B5FDF78D}" name="שעור מנכסי אפיק ההשקעה" dataDxfId="133" dataCellStyle="Percent"/>
    <tableColumn id="15" xr3:uid="{8305FECB-EDD4-46B0-8673-17594EC42420}" name="שעור מסך נכסי השקעה**" dataDxfId="132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585FF91-746B-42A9-AEFA-448359993052}" name="טבלה32" displayName="טבלה32" ref="A1:B72" headerRowCount="0" totalsRowShown="0">
  <tableColumns count="2">
    <tableColumn id="1" xr3:uid="{1D5FA89A-C616-43A5-82AE-E5334AAB6C9E}" name="עמודה1"/>
    <tableColumn id="2" xr3:uid="{0E8D8D3F-6AEA-441A-B11D-28F3D44FEDC0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topLeftCell="A20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0" t="s">
        <v>237</v>
      </c>
      <c r="B1" s="40" t="s">
        <v>150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</row>
    <row r="2" spans="1:54" x14ac:dyDescent="0.25">
      <c r="A2" s="40" t="s">
        <v>238</v>
      </c>
      <c r="B2" s="40" t="s">
        <v>239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</row>
    <row r="3" spans="1:54" x14ac:dyDescent="0.25">
      <c r="A3" s="40" t="s">
        <v>240</v>
      </c>
      <c r="B3" s="40" t="s">
        <v>246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</row>
    <row r="4" spans="1:54" ht="21.75" customHeight="1" x14ac:dyDescent="0.25">
      <c r="A4" s="210" t="s">
        <v>51</v>
      </c>
      <c r="B4" s="211"/>
      <c r="C4" s="212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</row>
    <row r="5" spans="1:54" ht="21.75" customHeight="1" x14ac:dyDescent="0.25">
      <c r="A5" s="186" t="s">
        <v>866</v>
      </c>
      <c r="B5" s="171" t="s">
        <v>29</v>
      </c>
      <c r="C5" s="171" t="s">
        <v>72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</row>
    <row r="6" spans="1:54" ht="15.6" x14ac:dyDescent="0.25">
      <c r="A6" s="170"/>
      <c r="B6" s="179" t="s">
        <v>10</v>
      </c>
      <c r="C6" s="179" t="s">
        <v>9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</row>
    <row r="7" spans="1:54" ht="15.6" x14ac:dyDescent="0.25">
      <c r="A7" s="172"/>
      <c r="B7" s="173" t="s">
        <v>49</v>
      </c>
      <c r="C7" s="173" t="s">
        <v>50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</row>
    <row r="8" spans="1:54" x14ac:dyDescent="0.25">
      <c r="A8" s="174" t="s">
        <v>97</v>
      </c>
      <c r="B8" s="173"/>
      <c r="C8" s="173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</row>
    <row r="9" spans="1:54" x14ac:dyDescent="0.25">
      <c r="A9" s="180" t="s">
        <v>43</v>
      </c>
      <c r="B9" s="181">
        <v>7467.1365689000004</v>
      </c>
      <c r="C9" s="182">
        <v>7.2006322468039383E-2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</row>
    <row r="10" spans="1:54" x14ac:dyDescent="0.25">
      <c r="A10" s="175" t="s">
        <v>45</v>
      </c>
      <c r="B10" s="181">
        <v>93896.045306800006</v>
      </c>
      <c r="C10" s="182">
        <v>0.90544867560003273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</row>
    <row r="11" spans="1:54" x14ac:dyDescent="0.25">
      <c r="A11" s="183" t="s">
        <v>12</v>
      </c>
      <c r="B11" s="181">
        <v>18962.007470700002</v>
      </c>
      <c r="C11" s="182">
        <v>0.18285247791814982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</row>
    <row r="12" spans="1:54" x14ac:dyDescent="0.25">
      <c r="A12" s="183" t="s">
        <v>18</v>
      </c>
      <c r="B12" s="181">
        <v>4.9999999999999998E-7</v>
      </c>
      <c r="C12" s="182">
        <v>4.8215485148577363E-12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</row>
    <row r="13" spans="1:54" x14ac:dyDescent="0.25">
      <c r="A13" s="183" t="s">
        <v>20</v>
      </c>
      <c r="B13" s="181">
        <v>2741.7927205999995</v>
      </c>
      <c r="C13" s="182">
        <v>2.6439373240113362E-2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</row>
    <row r="14" spans="1:54" x14ac:dyDescent="0.25">
      <c r="A14" s="183" t="s">
        <v>21</v>
      </c>
      <c r="B14" s="181">
        <v>6.9999999999999997E-7</v>
      </c>
      <c r="C14" s="182">
        <v>6.7501679208008315E-12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</row>
    <row r="15" spans="1:54" x14ac:dyDescent="0.25">
      <c r="A15" s="183" t="s">
        <v>158</v>
      </c>
      <c r="B15" s="181">
        <v>71026.968261000002</v>
      </c>
      <c r="C15" s="182">
        <v>0.68491994666734435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</row>
    <row r="16" spans="1:54" x14ac:dyDescent="0.25">
      <c r="A16" s="183" t="s">
        <v>44</v>
      </c>
      <c r="B16" s="181">
        <v>1338.9702107999999</v>
      </c>
      <c r="C16" s="182">
        <v>1.291181966264298E-2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</row>
    <row r="17" spans="1:54" x14ac:dyDescent="0.25">
      <c r="A17" s="183" t="s">
        <v>23</v>
      </c>
      <c r="B17" s="181">
        <v>2.0000000000000002E-7</v>
      </c>
      <c r="C17" s="182">
        <v>1.9286194059430948E-12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</row>
    <row r="18" spans="1:54" x14ac:dyDescent="0.25">
      <c r="A18" s="183" t="s">
        <v>24</v>
      </c>
      <c r="B18" s="181">
        <v>57.207040900000003</v>
      </c>
      <c r="C18" s="182">
        <v>5.5165304618160166E-4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</row>
    <row r="19" spans="1:54" x14ac:dyDescent="0.25">
      <c r="A19" s="183" t="s">
        <v>25</v>
      </c>
      <c r="B19" s="181">
        <v>-230.90039979999978</v>
      </c>
      <c r="C19" s="182">
        <v>-2.2265949594714933E-3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</row>
    <row r="20" spans="1:54" x14ac:dyDescent="0.25">
      <c r="A20" s="183" t="s">
        <v>26</v>
      </c>
      <c r="B20" s="181">
        <v>1.2000000000000002E-6</v>
      </c>
      <c r="C20" s="182">
        <v>1.1571716435658569E-11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</row>
    <row r="21" spans="1:54" x14ac:dyDescent="0.25">
      <c r="A21" s="174" t="s">
        <v>46</v>
      </c>
      <c r="B21" s="181">
        <v>-134.29796370000003</v>
      </c>
      <c r="C21" s="182">
        <v>-1.2950482948523067E-3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</row>
    <row r="22" spans="1:54" x14ac:dyDescent="0.25">
      <c r="A22" s="183" t="s">
        <v>12</v>
      </c>
      <c r="B22" s="181">
        <v>6.9999999999999997E-7</v>
      </c>
      <c r="C22" s="182">
        <v>6.7501679208008315E-12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</row>
    <row r="23" spans="1:54" x14ac:dyDescent="0.25">
      <c r="A23" s="183" t="s">
        <v>18</v>
      </c>
      <c r="B23" s="181">
        <v>6.0000000000000008E-7</v>
      </c>
      <c r="C23" s="182">
        <v>5.7858582178292847E-12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</row>
    <row r="24" spans="1:54" x14ac:dyDescent="0.25">
      <c r="A24" s="183" t="s">
        <v>20</v>
      </c>
      <c r="B24" s="181">
        <v>6.0000000000000008E-7</v>
      </c>
      <c r="C24" s="182">
        <v>5.7858582178292847E-12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</row>
    <row r="25" spans="1:54" x14ac:dyDescent="0.25">
      <c r="A25" s="183" t="s">
        <v>21</v>
      </c>
      <c r="B25" s="181">
        <v>3.0000000000000004E-7</v>
      </c>
      <c r="C25" s="182">
        <v>2.8929291089146423E-12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</row>
    <row r="26" spans="1:54" x14ac:dyDescent="0.25">
      <c r="A26" s="183" t="s">
        <v>30</v>
      </c>
      <c r="B26" s="181">
        <v>8.0000000000000007E-7</v>
      </c>
      <c r="C26" s="182">
        <v>7.7144776237723791E-12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</row>
    <row r="27" spans="1:54" x14ac:dyDescent="0.25">
      <c r="A27" s="183" t="s">
        <v>31</v>
      </c>
      <c r="B27" s="181">
        <v>2.0000000000000002E-7</v>
      </c>
      <c r="C27" s="182">
        <v>1.9286194059430948E-12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</row>
    <row r="28" spans="1:54" x14ac:dyDescent="0.25">
      <c r="A28" s="183" t="s">
        <v>32</v>
      </c>
      <c r="B28" s="181">
        <v>9.9999999999999995E-7</v>
      </c>
      <c r="C28" s="182">
        <v>9.6430970297154726E-12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</row>
    <row r="29" spans="1:54" x14ac:dyDescent="0.25">
      <c r="A29" s="183" t="s">
        <v>33</v>
      </c>
      <c r="B29" s="181">
        <v>-134.29796910000005</v>
      </c>
      <c r="C29" s="182">
        <v>-1.2950483469250308E-3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</row>
    <row r="30" spans="1:54" x14ac:dyDescent="0.25">
      <c r="A30" s="183" t="s">
        <v>34</v>
      </c>
      <c r="B30" s="181">
        <v>1.2000000000000002E-6</v>
      </c>
      <c r="C30" s="182">
        <v>1.1571716435658569E-11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</row>
    <row r="31" spans="1:54" x14ac:dyDescent="0.25">
      <c r="A31" s="183" t="s">
        <v>35</v>
      </c>
      <c r="B31" s="181">
        <v>2311.8335112999998</v>
      </c>
      <c r="C31" s="182">
        <v>2.2293234866013721E-2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</row>
    <row r="32" spans="1:54" x14ac:dyDescent="0.25">
      <c r="A32" s="183" t="s">
        <v>37</v>
      </c>
      <c r="B32" s="181">
        <v>210.9702906</v>
      </c>
      <c r="C32" s="182">
        <v>2.0344069826430701E-3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</row>
    <row r="33" spans="1:54" x14ac:dyDescent="0.25">
      <c r="A33" s="183" t="s">
        <v>47</v>
      </c>
      <c r="B33" s="181">
        <v>4.0000000000000003E-7</v>
      </c>
      <c r="C33" s="182">
        <v>3.8572388118861895E-12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</row>
    <row r="34" spans="1:54" x14ac:dyDescent="0.25">
      <c r="A34" s="183" t="s">
        <v>86</v>
      </c>
      <c r="B34" s="181">
        <v>2.0000000000000002E-7</v>
      </c>
      <c r="C34" s="182">
        <v>1.9286194059430948E-12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</row>
    <row r="35" spans="1:54" x14ac:dyDescent="0.25">
      <c r="A35" s="183" t="s">
        <v>87</v>
      </c>
      <c r="B35" s="181">
        <v>-50.563799799999998</v>
      </c>
      <c r="C35" s="182">
        <v>-4.8759162766250785E-4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</row>
    <row r="36" spans="1:54" x14ac:dyDescent="0.25">
      <c r="A36" s="174" t="s">
        <v>93</v>
      </c>
      <c r="B36" s="184"/>
      <c r="C36" s="182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</row>
    <row r="37" spans="1:54" x14ac:dyDescent="0.25">
      <c r="A37" s="183" t="s">
        <v>94</v>
      </c>
      <c r="B37" s="184">
        <v>0</v>
      </c>
      <c r="C37" s="182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</row>
    <row r="38" spans="1:54" x14ac:dyDescent="0.25">
      <c r="A38" s="183" t="s">
        <v>95</v>
      </c>
      <c r="B38" s="184">
        <v>0</v>
      </c>
      <c r="C38" s="182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</row>
    <row r="39" spans="1:54" x14ac:dyDescent="0.25">
      <c r="A39" s="183" t="s">
        <v>96</v>
      </c>
      <c r="B39" s="184">
        <v>0</v>
      </c>
      <c r="C39" s="182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</row>
    <row r="40" spans="1:54" x14ac:dyDescent="0.25">
      <c r="A40" s="176" t="s">
        <v>48</v>
      </c>
      <c r="B40" s="177">
        <v>103701.12391470002</v>
      </c>
      <c r="C40" s="178">
        <v>0.99999999999999989</v>
      </c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</row>
    <row r="41" spans="1:54" x14ac:dyDescent="0.25">
      <c r="A41" s="185" t="s">
        <v>92</v>
      </c>
      <c r="B41" s="181">
        <v>2.0000000000000002E-7</v>
      </c>
      <c r="C41" s="182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</row>
    <row r="42" spans="1:54" x14ac:dyDescent="0.25">
      <c r="A42" s="196"/>
      <c r="B42" s="187" t="s">
        <v>0</v>
      </c>
      <c r="C42" s="188" t="s">
        <v>1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</row>
    <row r="43" spans="1:54" x14ac:dyDescent="0.25">
      <c r="A43" s="40"/>
      <c r="B43" s="189" t="s">
        <v>49</v>
      </c>
      <c r="C43" s="190" t="s">
        <v>50</v>
      </c>
      <c r="D43" s="105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</row>
    <row r="44" spans="1:54" x14ac:dyDescent="0.25">
      <c r="A44" s="40"/>
      <c r="B44" s="191" t="s">
        <v>125</v>
      </c>
      <c r="C44" s="193">
        <v>3.8239999999999998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</row>
    <row r="45" spans="1:54" x14ac:dyDescent="0.25">
      <c r="A45" s="40"/>
      <c r="B45" s="191" t="s">
        <v>126</v>
      </c>
      <c r="C45" s="193">
        <v>4.0530999999999997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</row>
    <row r="46" spans="1:54" x14ac:dyDescent="0.25">
      <c r="A46" s="40"/>
      <c r="B46" s="191" t="s">
        <v>2</v>
      </c>
      <c r="C46" s="193">
        <v>4.6779000000000002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</row>
    <row r="47" spans="1:54" x14ac:dyDescent="0.25">
      <c r="A47" s="40"/>
      <c r="B47" s="191" t="s">
        <v>131</v>
      </c>
      <c r="C47" s="193">
        <v>2.8424999999999998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</row>
    <row r="48" spans="1:54" x14ac:dyDescent="0.25">
      <c r="A48" s="40"/>
      <c r="B48" s="191" t="s">
        <v>3</v>
      </c>
      <c r="C48" s="193">
        <v>2.4773999999999998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</row>
    <row r="49" spans="1:54" x14ac:dyDescent="0.25">
      <c r="A49" s="40"/>
      <c r="B49" s="191" t="s">
        <v>65</v>
      </c>
      <c r="C49" s="193">
        <v>0.48830000000000001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</row>
    <row r="50" spans="1:54" x14ac:dyDescent="0.25">
      <c r="A50" s="40"/>
      <c r="B50" s="191" t="s">
        <v>127</v>
      </c>
      <c r="C50" s="193">
        <v>2.3062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</row>
    <row r="51" spans="1:54" x14ac:dyDescent="0.25">
      <c r="A51" s="40"/>
      <c r="B51" s="191" t="s">
        <v>90</v>
      </c>
      <c r="C51" s="194">
        <v>0.54420000000000002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</row>
    <row r="52" spans="1:54" x14ac:dyDescent="0.25">
      <c r="A52" s="40"/>
      <c r="B52" s="191" t="s">
        <v>132</v>
      </c>
      <c r="C52" s="194">
        <v>0.34960000000000002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</row>
    <row r="53" spans="1:54" x14ac:dyDescent="0.25">
      <c r="A53" s="40"/>
      <c r="B53" s="191" t="s">
        <v>859</v>
      </c>
      <c r="C53" s="193">
        <v>2.5659999999999998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</row>
    <row r="54" spans="1:54" ht="12" customHeight="1" x14ac:dyDescent="0.25">
      <c r="A54" s="40"/>
      <c r="B54" s="191" t="s">
        <v>130</v>
      </c>
      <c r="C54" s="194">
        <v>0.219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</row>
    <row r="55" spans="1:54" x14ac:dyDescent="0.25">
      <c r="A55" s="40"/>
      <c r="B55" s="191" t="s">
        <v>236</v>
      </c>
      <c r="C55" s="194">
        <v>4.2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</row>
    <row r="56" spans="1:54" x14ac:dyDescent="0.25">
      <c r="A56" s="40"/>
      <c r="B56" s="191" t="s">
        <v>91</v>
      </c>
      <c r="C56" s="194">
        <v>0.52429999999999999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</row>
    <row r="57" spans="1:54" x14ac:dyDescent="0.25">
      <c r="A57" s="40"/>
      <c r="B57" s="191" t="s">
        <v>163</v>
      </c>
      <c r="C57" s="194">
        <v>0.75800000000000001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</row>
    <row r="58" spans="1:54" x14ac:dyDescent="0.25">
      <c r="A58" s="40"/>
      <c r="B58" s="191" t="s">
        <v>129</v>
      </c>
      <c r="C58" s="194">
        <v>0.16639999999999999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</row>
    <row r="59" spans="1:54" x14ac:dyDescent="0.25">
      <c r="A59" s="40"/>
      <c r="B59" s="191" t="s">
        <v>151</v>
      </c>
      <c r="C59" s="194">
        <v>0.35849999999999999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</row>
    <row r="60" spans="1:54" x14ac:dyDescent="0.25">
      <c r="A60" s="40"/>
      <c r="B60" s="191" t="s">
        <v>161</v>
      </c>
      <c r="C60" s="194">
        <v>0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</row>
    <row r="61" spans="1:54" x14ac:dyDescent="0.25">
      <c r="A61" s="40"/>
      <c r="B61" s="191" t="s">
        <v>152</v>
      </c>
      <c r="C61" s="194">
        <v>0.87460000000000004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</row>
    <row r="62" spans="1:54" x14ac:dyDescent="0.25">
      <c r="A62" s="40"/>
      <c r="B62" s="191" t="s">
        <v>153</v>
      </c>
      <c r="C62" s="194">
        <v>4.5838337E-2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</row>
    <row r="63" spans="1:54" x14ac:dyDescent="0.25">
      <c r="A63" s="40"/>
      <c r="B63" s="191" t="s">
        <v>162</v>
      </c>
      <c r="C63" s="194">
        <v>2.4674899999999999E-4</v>
      </c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</row>
    <row r="64" spans="1:54" x14ac:dyDescent="0.25">
      <c r="A64" s="40"/>
      <c r="B64" s="191" t="s">
        <v>154</v>
      </c>
      <c r="C64" s="194">
        <v>3.9300000000000002E-2</v>
      </c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</row>
    <row r="65" spans="1:54" x14ac:dyDescent="0.25">
      <c r="A65" s="40"/>
      <c r="B65" s="191" t="s">
        <v>155</v>
      </c>
      <c r="C65" s="194">
        <v>2.8419999999999999E-3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</row>
    <row r="66" spans="1:54" x14ac:dyDescent="0.25">
      <c r="A66" s="40"/>
      <c r="B66" s="192" t="s">
        <v>156</v>
      </c>
      <c r="C66" s="195">
        <v>6.7530000000000007E-2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</row>
    <row r="67" spans="1:54" x14ac:dyDescent="0.25">
      <c r="A67" s="40"/>
      <c r="B67" s="4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</row>
    <row r="68" spans="1:54" x14ac:dyDescent="0.25">
      <c r="A68" s="40"/>
      <c r="B68" s="41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</row>
    <row r="69" spans="1:54" x14ac:dyDescent="0.25">
      <c r="A69" s="40"/>
      <c r="B69" s="41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</row>
    <row r="70" spans="1:54" x14ac:dyDescent="0.25">
      <c r="A70" s="40"/>
      <c r="B70" s="41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</row>
    <row r="71" spans="1:54" x14ac:dyDescent="0.25">
      <c r="A71" s="40"/>
      <c r="B71" s="41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</row>
    <row r="72" spans="1:54" x14ac:dyDescent="0.25">
      <c r="A72" s="40"/>
      <c r="B72" s="41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</row>
    <row r="73" spans="1:54" x14ac:dyDescent="0.25">
      <c r="A73" s="40"/>
      <c r="B73" s="41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</row>
    <row r="74" spans="1:54" x14ac:dyDescent="0.25">
      <c r="A74" s="40"/>
      <c r="B74" s="41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</row>
    <row r="75" spans="1:54" x14ac:dyDescent="0.25">
      <c r="A75" s="40"/>
      <c r="B75" s="41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</row>
    <row r="76" spans="1:54" x14ac:dyDescent="0.25">
      <c r="A76" s="40"/>
      <c r="B76" s="41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</row>
    <row r="77" spans="1:54" x14ac:dyDescent="0.25">
      <c r="A77" s="40"/>
      <c r="B77" s="41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</row>
    <row r="78" spans="1:54" x14ac:dyDescent="0.25">
      <c r="A78" s="40"/>
      <c r="B78" s="41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</row>
    <row r="79" spans="1:54" x14ac:dyDescent="0.25">
      <c r="A79" s="40"/>
      <c r="B79" s="41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</row>
    <row r="80" spans="1:54" x14ac:dyDescent="0.25">
      <c r="A80" s="40"/>
      <c r="B80" s="41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</row>
    <row r="81" spans="1:54" x14ac:dyDescent="0.25">
      <c r="A81" s="40"/>
      <c r="B81" s="41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</row>
    <row r="82" spans="1:54" x14ac:dyDescent="0.25">
      <c r="A82" s="40"/>
      <c r="B82" s="41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</row>
    <row r="83" spans="1:54" x14ac:dyDescent="0.25">
      <c r="A83" s="40"/>
      <c r="B83" s="41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</row>
    <row r="84" spans="1:54" x14ac:dyDescent="0.25">
      <c r="A84" s="40"/>
      <c r="B84" s="41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</row>
    <row r="85" spans="1:54" x14ac:dyDescent="0.25">
      <c r="A85" s="40"/>
      <c r="B85" s="41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</row>
    <row r="86" spans="1:54" x14ac:dyDescent="0.25">
      <c r="A86" s="40"/>
      <c r="B86" s="41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</row>
    <row r="87" spans="1:54" x14ac:dyDescent="0.25">
      <c r="A87" s="40"/>
      <c r="B87" s="41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</row>
    <row r="88" spans="1:54" x14ac:dyDescent="0.25">
      <c r="A88" s="40"/>
      <c r="B88" s="41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</row>
    <row r="89" spans="1:54" x14ac:dyDescent="0.25">
      <c r="A89" s="40"/>
      <c r="B89" s="41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</row>
    <row r="90" spans="1:54" x14ac:dyDescent="0.25">
      <c r="A90" s="40"/>
      <c r="B90" s="41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</row>
    <row r="91" spans="1:54" x14ac:dyDescent="0.25">
      <c r="A91" s="40"/>
      <c r="B91" s="41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</row>
    <row r="92" spans="1:54" x14ac:dyDescent="0.25">
      <c r="A92" s="40"/>
      <c r="B92" s="41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</row>
    <row r="93" spans="1:54" x14ac:dyDescent="0.25">
      <c r="A93" s="40"/>
      <c r="B93" s="41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</row>
    <row r="94" spans="1:54" x14ac:dyDescent="0.25">
      <c r="A94" s="40"/>
      <c r="B94" s="41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</row>
    <row r="95" spans="1:54" x14ac:dyDescent="0.25">
      <c r="A95" s="40"/>
      <c r="B95" s="41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</row>
    <row r="96" spans="1:54" x14ac:dyDescent="0.25">
      <c r="A96" s="40"/>
      <c r="B96" s="41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</row>
    <row r="97" spans="1:54" x14ac:dyDescent="0.25">
      <c r="A97" s="40"/>
      <c r="B97" s="41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</row>
    <row r="98" spans="1:54" x14ac:dyDescent="0.25">
      <c r="A98" s="40"/>
      <c r="B98" s="41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</row>
    <row r="99" spans="1:54" x14ac:dyDescent="0.25">
      <c r="A99" s="40"/>
      <c r="B99" s="41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</row>
    <row r="100" spans="1:54" x14ac:dyDescent="0.25">
      <c r="A100" s="40"/>
      <c r="B100" s="41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</row>
    <row r="101" spans="1:54" x14ac:dyDescent="0.25">
      <c r="A101" s="40"/>
      <c r="B101" s="41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</row>
    <row r="102" spans="1:54" x14ac:dyDescent="0.25">
      <c r="A102" s="40"/>
      <c r="B102" s="41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</row>
    <row r="103" spans="1:54" x14ac:dyDescent="0.25">
      <c r="A103" s="40"/>
      <c r="B103" s="41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</row>
    <row r="104" spans="1:54" x14ac:dyDescent="0.25">
      <c r="A104" s="40"/>
      <c r="B104" s="41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</row>
    <row r="105" spans="1:54" x14ac:dyDescent="0.25">
      <c r="A105" s="40"/>
      <c r="B105" s="4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</row>
    <row r="106" spans="1:54" x14ac:dyDescent="0.25">
      <c r="A106" s="40"/>
      <c r="B106" s="4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</row>
    <row r="107" spans="1:54" x14ac:dyDescent="0.25">
      <c r="A107" s="40"/>
      <c r="B107" s="4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</row>
    <row r="108" spans="1:54" x14ac:dyDescent="0.25">
      <c r="A108" s="40"/>
      <c r="B108" s="4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</row>
    <row r="109" spans="1:54" x14ac:dyDescent="0.25">
      <c r="A109" s="40"/>
      <c r="B109" s="4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</row>
    <row r="110" spans="1:54" x14ac:dyDescent="0.25">
      <c r="A110" s="40"/>
      <c r="B110" s="4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</row>
    <row r="111" spans="1:54" x14ac:dyDescent="0.25">
      <c r="A111" s="40"/>
      <c r="B111" s="4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</row>
    <row r="112" spans="1:54" x14ac:dyDescent="0.25">
      <c r="A112" s="40"/>
      <c r="B112" s="4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</row>
    <row r="113" spans="1:54" x14ac:dyDescent="0.25">
      <c r="A113" s="40"/>
      <c r="B113" s="4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</row>
    <row r="114" spans="1:54" x14ac:dyDescent="0.25">
      <c r="A114" s="40"/>
      <c r="B114" s="4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</row>
    <row r="115" spans="1:54" x14ac:dyDescent="0.25">
      <c r="A115" s="40"/>
      <c r="B115" s="4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</row>
    <row r="116" spans="1:54" x14ac:dyDescent="0.25">
      <c r="A116" s="40"/>
      <c r="B116" s="4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</row>
    <row r="117" spans="1:54" x14ac:dyDescent="0.25">
      <c r="A117" s="40"/>
      <c r="B117" s="4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</row>
    <row r="118" spans="1:54" x14ac:dyDescent="0.25">
      <c r="A118" s="40"/>
      <c r="B118" s="4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</row>
    <row r="119" spans="1:54" x14ac:dyDescent="0.25">
      <c r="A119" s="40"/>
      <c r="B119" s="4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</row>
    <row r="120" spans="1:54" x14ac:dyDescent="0.25">
      <c r="A120" s="40"/>
      <c r="B120" s="4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</row>
    <row r="121" spans="1:54" x14ac:dyDescent="0.25">
      <c r="A121" s="40"/>
      <c r="B121" s="4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</row>
    <row r="122" spans="1:54" x14ac:dyDescent="0.25">
      <c r="A122" s="40"/>
      <c r="B122" s="4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</row>
    <row r="123" spans="1:54" x14ac:dyDescent="0.25">
      <c r="A123" s="40"/>
      <c r="B123" s="4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</row>
    <row r="124" spans="1:54" x14ac:dyDescent="0.25">
      <c r="A124" s="40"/>
      <c r="B124" s="4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</row>
    <row r="125" spans="1:54" x14ac:dyDescent="0.25">
      <c r="A125" s="40"/>
      <c r="B125" s="4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</row>
    <row r="126" spans="1:54" x14ac:dyDescent="0.25">
      <c r="A126" s="40"/>
      <c r="B126" s="4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</row>
    <row r="127" spans="1:54" x14ac:dyDescent="0.25">
      <c r="A127" s="40"/>
      <c r="B127" s="4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</row>
    <row r="128" spans="1:54" x14ac:dyDescent="0.25">
      <c r="A128" s="40"/>
      <c r="B128" s="4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</row>
    <row r="129" spans="1:54" x14ac:dyDescent="0.25">
      <c r="A129" s="40"/>
      <c r="B129" s="4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</row>
    <row r="130" spans="1:54" x14ac:dyDescent="0.25">
      <c r="A130" s="40"/>
      <c r="B130" s="4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</row>
    <row r="131" spans="1:54" x14ac:dyDescent="0.25">
      <c r="A131" s="40"/>
      <c r="B131" s="4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</row>
    <row r="132" spans="1:54" x14ac:dyDescent="0.25">
      <c r="A132" s="40"/>
      <c r="B132" s="4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</row>
    <row r="133" spans="1:54" x14ac:dyDescent="0.25">
      <c r="A133" s="40"/>
      <c r="B133" s="4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</row>
    <row r="134" spans="1:54" x14ac:dyDescent="0.25">
      <c r="A134" s="40"/>
      <c r="B134" s="4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</row>
    <row r="135" spans="1:54" x14ac:dyDescent="0.25">
      <c r="A135" s="40"/>
      <c r="B135" s="4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</row>
    <row r="136" spans="1:54" x14ac:dyDescent="0.25">
      <c r="A136" s="40"/>
      <c r="B136" s="4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</row>
    <row r="137" spans="1:54" x14ac:dyDescent="0.25">
      <c r="A137" s="40"/>
      <c r="B137" s="4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</row>
    <row r="138" spans="1:54" x14ac:dyDescent="0.25">
      <c r="A138" s="40"/>
      <c r="B138" s="4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</row>
    <row r="139" spans="1:54" x14ac:dyDescent="0.25">
      <c r="A139" s="40"/>
      <c r="B139" s="4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</row>
    <row r="140" spans="1:54" x14ac:dyDescent="0.25">
      <c r="A140" s="40"/>
      <c r="B140" s="4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</row>
    <row r="141" spans="1:54" x14ac:dyDescent="0.25">
      <c r="A141" s="40"/>
      <c r="B141" s="4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</row>
    <row r="142" spans="1:54" x14ac:dyDescent="0.25">
      <c r="A142" s="40"/>
      <c r="B142" s="4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</row>
    <row r="143" spans="1:54" x14ac:dyDescent="0.25">
      <c r="A143" s="40"/>
      <c r="B143" s="4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</row>
    <row r="144" spans="1:54" x14ac:dyDescent="0.25">
      <c r="A144" s="40"/>
      <c r="B144" s="4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</row>
    <row r="145" spans="1:54" x14ac:dyDescent="0.25">
      <c r="A145" s="40"/>
      <c r="B145" s="4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</row>
    <row r="146" spans="1:54" x14ac:dyDescent="0.25">
      <c r="A146" s="40"/>
      <c r="B146" s="4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</row>
    <row r="147" spans="1:54" x14ac:dyDescent="0.25">
      <c r="A147" s="40"/>
      <c r="B147" s="4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</row>
    <row r="148" spans="1:54" x14ac:dyDescent="0.25">
      <c r="A148" s="40"/>
      <c r="B148" s="4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</row>
    <row r="149" spans="1:54" x14ac:dyDescent="0.25">
      <c r="A149" s="40"/>
      <c r="B149" s="4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</row>
    <row r="150" spans="1:54" x14ac:dyDescent="0.25">
      <c r="A150" s="40"/>
      <c r="B150" s="4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</row>
    <row r="151" spans="1:54" x14ac:dyDescent="0.25">
      <c r="A151" s="40"/>
      <c r="B151" s="4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</row>
    <row r="152" spans="1:54" x14ac:dyDescent="0.25">
      <c r="A152" s="40"/>
      <c r="B152" s="4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</row>
    <row r="153" spans="1:54" x14ac:dyDescent="0.25">
      <c r="A153" s="40"/>
      <c r="B153" s="4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</row>
    <row r="154" spans="1:54" x14ac:dyDescent="0.25">
      <c r="A154" s="40"/>
      <c r="B154" s="4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</row>
    <row r="155" spans="1:54" x14ac:dyDescent="0.25">
      <c r="A155" s="40"/>
      <c r="B155" s="4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</row>
    <row r="156" spans="1:54" x14ac:dyDescent="0.25">
      <c r="A156" s="40"/>
      <c r="B156" s="4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</row>
    <row r="157" spans="1:54" x14ac:dyDescent="0.25">
      <c r="A157" s="40"/>
      <c r="B157" s="4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</row>
    <row r="158" spans="1:54" x14ac:dyDescent="0.25">
      <c r="A158" s="40"/>
      <c r="B158" s="4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</row>
    <row r="159" spans="1:54" x14ac:dyDescent="0.25">
      <c r="A159" s="40"/>
      <c r="B159" s="4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</row>
    <row r="160" spans="1:54" x14ac:dyDescent="0.25">
      <c r="A160" s="40"/>
      <c r="B160" s="4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</row>
    <row r="161" spans="1:54" x14ac:dyDescent="0.25">
      <c r="A161" s="40"/>
      <c r="B161" s="4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</row>
    <row r="162" spans="1:54" x14ac:dyDescent="0.25">
      <c r="A162" s="40"/>
      <c r="B162" s="4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</row>
    <row r="163" spans="1:54" x14ac:dyDescent="0.25">
      <c r="A163" s="40"/>
      <c r="B163" s="4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</row>
    <row r="164" spans="1:54" x14ac:dyDescent="0.25">
      <c r="A164" s="40"/>
      <c r="B164" s="4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</row>
    <row r="165" spans="1:54" x14ac:dyDescent="0.25">
      <c r="A165" s="40"/>
      <c r="B165" s="4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</row>
    <row r="166" spans="1:54" x14ac:dyDescent="0.25">
      <c r="A166" s="40"/>
      <c r="B166" s="4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</row>
    <row r="167" spans="1:54" x14ac:dyDescent="0.25">
      <c r="A167" s="40"/>
      <c r="B167" s="4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</row>
    <row r="168" spans="1:54" x14ac:dyDescent="0.25">
      <c r="A168" s="40"/>
      <c r="B168" s="4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</row>
    <row r="169" spans="1:54" x14ac:dyDescent="0.25">
      <c r="A169" s="40"/>
      <c r="B169" s="4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</row>
    <row r="170" spans="1:54" x14ac:dyDescent="0.25">
      <c r="A170" s="40"/>
      <c r="B170" s="4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</row>
    <row r="171" spans="1:54" x14ac:dyDescent="0.25">
      <c r="A171" s="40"/>
      <c r="B171" s="4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</row>
    <row r="172" spans="1:54" x14ac:dyDescent="0.25">
      <c r="A172" s="40"/>
      <c r="B172" s="4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</row>
    <row r="173" spans="1:54" x14ac:dyDescent="0.25">
      <c r="A173" s="40"/>
      <c r="B173" s="4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</row>
    <row r="174" spans="1:54" x14ac:dyDescent="0.25">
      <c r="A174" s="40"/>
      <c r="B174" s="4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</row>
    <row r="175" spans="1:54" x14ac:dyDescent="0.25">
      <c r="A175" s="40"/>
      <c r="B175" s="4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</row>
    <row r="176" spans="1:54" x14ac:dyDescent="0.25">
      <c r="A176" s="40"/>
      <c r="B176" s="4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</row>
    <row r="177" spans="1:54" x14ac:dyDescent="0.25">
      <c r="A177" s="40"/>
      <c r="B177" s="4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</row>
    <row r="178" spans="1:54" x14ac:dyDescent="0.25">
      <c r="A178" s="40"/>
      <c r="B178" s="4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</row>
    <row r="179" spans="1:54" x14ac:dyDescent="0.25">
      <c r="A179" s="40"/>
      <c r="B179" s="4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</row>
    <row r="180" spans="1:54" x14ac:dyDescent="0.25">
      <c r="A180" s="40"/>
      <c r="B180" s="4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</row>
    <row r="181" spans="1:54" x14ac:dyDescent="0.25">
      <c r="A181" s="40"/>
      <c r="B181" s="4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</row>
    <row r="182" spans="1:54" x14ac:dyDescent="0.25">
      <c r="A182" s="40"/>
      <c r="B182" s="4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</row>
    <row r="183" spans="1:54" x14ac:dyDescent="0.25">
      <c r="A183" s="40"/>
      <c r="B183" s="4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</row>
    <row r="184" spans="1:54" x14ac:dyDescent="0.25">
      <c r="A184" s="40"/>
      <c r="B184" s="4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</row>
    <row r="185" spans="1:54" x14ac:dyDescent="0.25">
      <c r="A185" s="40"/>
      <c r="B185" s="4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</row>
    <row r="186" spans="1:54" x14ac:dyDescent="0.25">
      <c r="A186" s="40"/>
      <c r="B186" s="4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</row>
    <row r="187" spans="1:54" x14ac:dyDescent="0.25">
      <c r="A187" s="40"/>
      <c r="B187" s="4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</row>
    <row r="188" spans="1:54" x14ac:dyDescent="0.25">
      <c r="A188" s="40"/>
      <c r="B188" s="4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</row>
    <row r="189" spans="1:54" x14ac:dyDescent="0.25">
      <c r="A189" s="40"/>
      <c r="B189" s="4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</row>
    <row r="190" spans="1:54" x14ac:dyDescent="0.25">
      <c r="A190" s="40"/>
      <c r="B190" s="4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</row>
    <row r="191" spans="1:54" x14ac:dyDescent="0.25">
      <c r="A191" s="40"/>
      <c r="B191" s="4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</row>
    <row r="192" spans="1:54" x14ac:dyDescent="0.25">
      <c r="A192" s="40"/>
      <c r="B192" s="4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</row>
    <row r="193" spans="1:54" x14ac:dyDescent="0.25">
      <c r="A193" s="40"/>
      <c r="B193" s="4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</row>
    <row r="194" spans="1:54" x14ac:dyDescent="0.25">
      <c r="A194" s="40"/>
      <c r="B194" s="4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</row>
    <row r="195" spans="1:54" x14ac:dyDescent="0.25">
      <c r="A195" s="40"/>
      <c r="B195" s="4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</row>
    <row r="196" spans="1:54" x14ac:dyDescent="0.25">
      <c r="A196" s="40"/>
      <c r="B196" s="4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</row>
    <row r="197" spans="1:54" x14ac:dyDescent="0.25">
      <c r="A197" s="40"/>
      <c r="B197" s="4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</row>
    <row r="198" spans="1:54" x14ac:dyDescent="0.25">
      <c r="A198" s="40"/>
      <c r="B198" s="4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</row>
    <row r="199" spans="1:54" x14ac:dyDescent="0.25">
      <c r="A199" s="40"/>
      <c r="B199" s="4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</row>
    <row r="200" spans="1:54" x14ac:dyDescent="0.25">
      <c r="A200" s="40"/>
      <c r="B200" s="4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</row>
    <row r="201" spans="1:54" x14ac:dyDescent="0.25">
      <c r="A201" s="40"/>
      <c r="B201" s="4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</row>
    <row r="202" spans="1:54" x14ac:dyDescent="0.25">
      <c r="A202" s="40"/>
      <c r="B202" s="4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</row>
    <row r="203" spans="1:54" x14ac:dyDescent="0.25">
      <c r="A203" s="40"/>
      <c r="B203" s="4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</row>
    <row r="204" spans="1:54" x14ac:dyDescent="0.25">
      <c r="A204" s="40"/>
      <c r="B204" s="4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</row>
    <row r="205" spans="1:54" x14ac:dyDescent="0.25">
      <c r="A205" s="40"/>
      <c r="B205" s="4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</row>
    <row r="206" spans="1:54" x14ac:dyDescent="0.25">
      <c r="A206" s="40"/>
      <c r="B206" s="4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</row>
    <row r="207" spans="1:54" x14ac:dyDescent="0.25">
      <c r="A207" s="40"/>
      <c r="B207" s="4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</row>
    <row r="208" spans="1:54" x14ac:dyDescent="0.25">
      <c r="A208" s="40"/>
      <c r="B208" s="4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</row>
    <row r="209" spans="1:54" x14ac:dyDescent="0.25">
      <c r="A209" s="40"/>
      <c r="B209" s="4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</row>
    <row r="210" spans="1:54" x14ac:dyDescent="0.25">
      <c r="A210" s="40"/>
      <c r="B210" s="4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</row>
    <row r="211" spans="1:54" x14ac:dyDescent="0.25">
      <c r="A211" s="40"/>
      <c r="B211" s="4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</row>
    <row r="212" spans="1:54" x14ac:dyDescent="0.25">
      <c r="A212" s="40"/>
      <c r="B212" s="4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</row>
    <row r="213" spans="1:54" x14ac:dyDescent="0.25">
      <c r="A213" s="40"/>
      <c r="B213" s="4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</row>
    <row r="214" spans="1:54" x14ac:dyDescent="0.25">
      <c r="A214" s="40"/>
      <c r="B214" s="4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</row>
    <row r="215" spans="1:54" x14ac:dyDescent="0.25">
      <c r="A215" s="40"/>
      <c r="B215" s="4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</row>
    <row r="216" spans="1:54" x14ac:dyDescent="0.25">
      <c r="A216" s="40"/>
      <c r="B216" s="4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</row>
    <row r="217" spans="1:54" x14ac:dyDescent="0.25">
      <c r="A217" s="40"/>
      <c r="B217" s="4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</row>
    <row r="218" spans="1:54" x14ac:dyDescent="0.25">
      <c r="A218" s="40"/>
      <c r="B218" s="4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</row>
    <row r="219" spans="1:54" x14ac:dyDescent="0.25">
      <c r="A219" s="40"/>
      <c r="B219" s="4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</row>
    <row r="220" spans="1:54" x14ac:dyDescent="0.25">
      <c r="A220" s="40"/>
      <c r="B220" s="4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</row>
    <row r="221" spans="1:54" x14ac:dyDescent="0.25">
      <c r="A221" s="40"/>
      <c r="B221" s="4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</row>
    <row r="222" spans="1:54" x14ac:dyDescent="0.25">
      <c r="A222" s="40"/>
      <c r="B222" s="4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</row>
    <row r="223" spans="1:54" x14ac:dyDescent="0.25">
      <c r="A223" s="40"/>
      <c r="B223" s="4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</row>
    <row r="224" spans="1:54" x14ac:dyDescent="0.25">
      <c r="A224" s="40"/>
      <c r="B224" s="4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</row>
    <row r="225" spans="1:54" x14ac:dyDescent="0.25">
      <c r="A225" s="40"/>
      <c r="B225" s="4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</row>
    <row r="226" spans="1:54" x14ac:dyDescent="0.25">
      <c r="A226" s="40"/>
      <c r="B226" s="4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</row>
    <row r="227" spans="1:54" x14ac:dyDescent="0.25">
      <c r="A227" s="40"/>
      <c r="B227" s="4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</row>
    <row r="228" spans="1:54" x14ac:dyDescent="0.25">
      <c r="A228" s="40"/>
      <c r="B228" s="4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</row>
    <row r="229" spans="1:54" x14ac:dyDescent="0.25">
      <c r="A229" s="40"/>
      <c r="B229" s="4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</row>
    <row r="230" spans="1:54" x14ac:dyDescent="0.25">
      <c r="A230" s="40"/>
      <c r="B230" s="4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</row>
    <row r="231" spans="1:54" x14ac:dyDescent="0.25">
      <c r="A231" s="40"/>
      <c r="B231" s="4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</row>
    <row r="232" spans="1:54" x14ac:dyDescent="0.25">
      <c r="A232" s="40"/>
      <c r="B232" s="4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</row>
    <row r="233" spans="1:54" x14ac:dyDescent="0.25">
      <c r="A233" s="40"/>
      <c r="B233" s="4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</row>
    <row r="234" spans="1:54" x14ac:dyDescent="0.25">
      <c r="A234" s="40"/>
      <c r="B234" s="4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</row>
    <row r="235" spans="1:54" x14ac:dyDescent="0.25">
      <c r="A235" s="40"/>
      <c r="B235" s="4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</row>
    <row r="236" spans="1:54" x14ac:dyDescent="0.25">
      <c r="A236" s="40"/>
      <c r="B236" s="4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</row>
    <row r="237" spans="1:54" x14ac:dyDescent="0.25">
      <c r="A237" s="40"/>
      <c r="B237" s="4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</row>
    <row r="238" spans="1:54" x14ac:dyDescent="0.25">
      <c r="A238" s="40"/>
      <c r="B238" s="4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</row>
    <row r="239" spans="1:54" x14ac:dyDescent="0.25">
      <c r="A239" s="40"/>
      <c r="B239" s="4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</row>
    <row r="240" spans="1:54" x14ac:dyDescent="0.25">
      <c r="A240" s="40"/>
      <c r="B240" s="4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</row>
    <row r="241" spans="1:54" x14ac:dyDescent="0.25">
      <c r="A241" s="40"/>
      <c r="B241" s="4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</row>
    <row r="242" spans="1:54" x14ac:dyDescent="0.25">
      <c r="A242" s="40"/>
      <c r="B242" s="4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</row>
    <row r="243" spans="1:54" x14ac:dyDescent="0.25">
      <c r="A243" s="40"/>
      <c r="B243" s="4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</row>
    <row r="244" spans="1:54" x14ac:dyDescent="0.25">
      <c r="A244" s="40"/>
      <c r="B244" s="4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</row>
    <row r="245" spans="1:54" x14ac:dyDescent="0.25">
      <c r="A245" s="40"/>
      <c r="B245" s="4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</row>
    <row r="246" spans="1:54" x14ac:dyDescent="0.25">
      <c r="A246" s="40"/>
      <c r="B246" s="4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</row>
    <row r="247" spans="1:54" x14ac:dyDescent="0.25">
      <c r="A247" s="40"/>
      <c r="B247" s="4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</row>
    <row r="248" spans="1:54" x14ac:dyDescent="0.25">
      <c r="A248" s="40"/>
      <c r="B248" s="4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</row>
    <row r="249" spans="1:54" x14ac:dyDescent="0.25">
      <c r="A249" s="40"/>
      <c r="B249" s="4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</row>
    <row r="250" spans="1:54" x14ac:dyDescent="0.25">
      <c r="A250" s="40"/>
      <c r="B250" s="4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</row>
    <row r="251" spans="1:54" x14ac:dyDescent="0.25">
      <c r="A251" s="40"/>
      <c r="B251" s="4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</row>
    <row r="252" spans="1:54" x14ac:dyDescent="0.25">
      <c r="A252" s="40"/>
      <c r="B252" s="4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</row>
    <row r="253" spans="1:54" x14ac:dyDescent="0.25">
      <c r="A253" s="40"/>
      <c r="B253" s="4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</row>
    <row r="254" spans="1:54" x14ac:dyDescent="0.25">
      <c r="A254" s="40"/>
      <c r="B254" s="4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</row>
    <row r="255" spans="1:54" x14ac:dyDescent="0.25">
      <c r="A255" s="40"/>
      <c r="B255" s="4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</row>
    <row r="256" spans="1:54" x14ac:dyDescent="0.25">
      <c r="A256" s="40"/>
      <c r="B256" s="4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</row>
    <row r="257" spans="1:54" x14ac:dyDescent="0.25">
      <c r="A257" s="40"/>
      <c r="B257" s="4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</row>
    <row r="258" spans="1:54" x14ac:dyDescent="0.25">
      <c r="A258" s="40"/>
      <c r="B258" s="4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</row>
    <row r="259" spans="1:54" x14ac:dyDescent="0.25">
      <c r="A259" s="40"/>
      <c r="B259" s="4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</row>
    <row r="260" spans="1:54" x14ac:dyDescent="0.25">
      <c r="A260" s="40"/>
      <c r="B260" s="4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</row>
    <row r="261" spans="1:54" x14ac:dyDescent="0.25">
      <c r="A261" s="40"/>
      <c r="B261" s="4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</row>
    <row r="262" spans="1:54" x14ac:dyDescent="0.25">
      <c r="A262" s="40"/>
      <c r="B262" s="4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</row>
    <row r="263" spans="1:54" x14ac:dyDescent="0.25">
      <c r="A263" s="40"/>
      <c r="B263" s="4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</row>
    <row r="264" spans="1:54" x14ac:dyDescent="0.25">
      <c r="A264" s="40"/>
      <c r="B264" s="4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</row>
    <row r="265" spans="1:54" x14ac:dyDescent="0.25">
      <c r="A265" s="40"/>
      <c r="B265" s="4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</row>
    <row r="266" spans="1:54" x14ac:dyDescent="0.25">
      <c r="A266" s="40"/>
      <c r="B266" s="4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</row>
    <row r="267" spans="1:54" x14ac:dyDescent="0.25">
      <c r="A267" s="40"/>
      <c r="B267" s="4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</row>
    <row r="268" spans="1:54" x14ac:dyDescent="0.25">
      <c r="A268" s="40"/>
      <c r="B268" s="4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</row>
    <row r="269" spans="1:54" x14ac:dyDescent="0.25">
      <c r="A269" s="40"/>
      <c r="B269" s="4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</row>
    <row r="270" spans="1:54" x14ac:dyDescent="0.25">
      <c r="A270" s="40"/>
      <c r="B270" s="4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</row>
    <row r="271" spans="1:54" x14ac:dyDescent="0.25">
      <c r="A271" s="40"/>
      <c r="B271" s="4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</row>
    <row r="272" spans="1:54" x14ac:dyDescent="0.25">
      <c r="A272" s="40"/>
      <c r="B272" s="4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</row>
    <row r="273" spans="1:54" x14ac:dyDescent="0.25">
      <c r="A273" s="40"/>
      <c r="B273" s="4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</row>
    <row r="274" spans="1:54" x14ac:dyDescent="0.25">
      <c r="A274" s="40"/>
      <c r="B274" s="4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</row>
    <row r="275" spans="1:54" x14ac:dyDescent="0.25">
      <c r="A275" s="40"/>
      <c r="B275" s="4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</row>
    <row r="276" spans="1:54" x14ac:dyDescent="0.25">
      <c r="A276" s="40"/>
      <c r="B276" s="4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</row>
    <row r="277" spans="1:54" x14ac:dyDescent="0.25">
      <c r="A277" s="40"/>
      <c r="B277" s="4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</row>
    <row r="278" spans="1:54" x14ac:dyDescent="0.25">
      <c r="A278" s="40"/>
      <c r="B278" s="4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</row>
    <row r="279" spans="1:54" x14ac:dyDescent="0.25">
      <c r="A279" s="40"/>
      <c r="B279" s="4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</row>
    <row r="280" spans="1:54" x14ac:dyDescent="0.25">
      <c r="A280" s="40"/>
      <c r="B280" s="4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</row>
    <row r="281" spans="1:54" x14ac:dyDescent="0.25">
      <c r="A281" s="40"/>
      <c r="B281" s="4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</row>
    <row r="282" spans="1:54" x14ac:dyDescent="0.25">
      <c r="A282" s="40"/>
      <c r="B282" s="4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</row>
    <row r="283" spans="1:54" x14ac:dyDescent="0.25">
      <c r="A283" s="40"/>
      <c r="B283" s="4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</row>
    <row r="284" spans="1:54" x14ac:dyDescent="0.25">
      <c r="A284" s="40"/>
      <c r="B284" s="4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</row>
    <row r="285" spans="1:54" x14ac:dyDescent="0.25">
      <c r="A285" s="40"/>
      <c r="B285" s="4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</row>
    <row r="286" spans="1:54" x14ac:dyDescent="0.25">
      <c r="A286" s="40"/>
      <c r="B286" s="4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</row>
    <row r="287" spans="1:54" x14ac:dyDescent="0.25">
      <c r="A287" s="40"/>
      <c r="B287" s="4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</row>
    <row r="288" spans="1:54" x14ac:dyDescent="0.25">
      <c r="A288" s="40"/>
      <c r="B288" s="4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</row>
    <row r="289" spans="1:54" x14ac:dyDescent="0.25">
      <c r="A289" s="40"/>
      <c r="B289" s="4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</row>
    <row r="290" spans="1:54" x14ac:dyDescent="0.25">
      <c r="A290" s="40"/>
      <c r="B290" s="4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</row>
    <row r="291" spans="1:54" x14ac:dyDescent="0.25">
      <c r="A291" s="40"/>
      <c r="B291" s="4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</row>
    <row r="292" spans="1:54" x14ac:dyDescent="0.25">
      <c r="A292" s="40"/>
      <c r="B292" s="4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</row>
    <row r="293" spans="1:54" x14ac:dyDescent="0.25">
      <c r="A293" s="40"/>
      <c r="B293" s="4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</row>
    <row r="294" spans="1:54" x14ac:dyDescent="0.25">
      <c r="A294" s="40"/>
      <c r="B294" s="4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</row>
    <row r="295" spans="1:54" x14ac:dyDescent="0.25">
      <c r="A295" s="40"/>
      <c r="B295" s="4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</row>
    <row r="296" spans="1:54" x14ac:dyDescent="0.25">
      <c r="A296" s="40"/>
      <c r="B296" s="4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</row>
    <row r="297" spans="1:54" x14ac:dyDescent="0.25">
      <c r="A297" s="40"/>
      <c r="B297" s="4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</row>
    <row r="298" spans="1:54" x14ac:dyDescent="0.25">
      <c r="A298" s="40"/>
      <c r="B298" s="4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</row>
    <row r="299" spans="1:54" x14ac:dyDescent="0.25">
      <c r="A299" s="40"/>
      <c r="B299" s="4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</row>
    <row r="300" spans="1:54" x14ac:dyDescent="0.25">
      <c r="A300" s="40"/>
      <c r="B300" s="4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</row>
    <row r="301" spans="1:54" x14ac:dyDescent="0.25">
      <c r="A301" s="40"/>
      <c r="B301" s="4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</row>
    <row r="302" spans="1:54" x14ac:dyDescent="0.25">
      <c r="A302" s="40"/>
      <c r="B302" s="4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</row>
    <row r="303" spans="1:54" x14ac:dyDescent="0.25">
      <c r="A303" s="40"/>
      <c r="B303" s="4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</row>
    <row r="304" spans="1:54" x14ac:dyDescent="0.25">
      <c r="A304" s="40"/>
      <c r="B304" s="4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</row>
    <row r="305" spans="1:54" x14ac:dyDescent="0.25">
      <c r="A305" s="40"/>
      <c r="B305" s="4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</row>
    <row r="306" spans="1:54" x14ac:dyDescent="0.25">
      <c r="A306" s="40"/>
      <c r="B306" s="4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</row>
    <row r="307" spans="1:54" x14ac:dyDescent="0.25">
      <c r="A307" s="40"/>
      <c r="B307" s="4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</row>
    <row r="308" spans="1:54" x14ac:dyDescent="0.25">
      <c r="A308" s="40"/>
      <c r="B308" s="4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</row>
    <row r="309" spans="1:54" x14ac:dyDescent="0.25">
      <c r="A309" s="40"/>
      <c r="B309" s="4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</row>
    <row r="310" spans="1:54" x14ac:dyDescent="0.25">
      <c r="A310" s="40"/>
      <c r="B310" s="4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</row>
    <row r="311" spans="1:54" x14ac:dyDescent="0.25">
      <c r="A311" s="40"/>
      <c r="B311" s="4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</row>
    <row r="312" spans="1:54" x14ac:dyDescent="0.25">
      <c r="A312" s="40"/>
      <c r="B312" s="4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</row>
    <row r="313" spans="1:54" x14ac:dyDescent="0.25">
      <c r="A313" s="40"/>
      <c r="B313" s="4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</row>
    <row r="314" spans="1:54" x14ac:dyDescent="0.25">
      <c r="A314" s="40"/>
      <c r="B314" s="4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</row>
    <row r="315" spans="1:54" x14ac:dyDescent="0.25">
      <c r="A315" s="40"/>
      <c r="B315" s="4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</row>
    <row r="316" spans="1:54" x14ac:dyDescent="0.25">
      <c r="A316" s="40"/>
      <c r="B316" s="4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</row>
    <row r="317" spans="1:54" x14ac:dyDescent="0.25">
      <c r="A317" s="40"/>
      <c r="B317" s="4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</row>
    <row r="318" spans="1:54" x14ac:dyDescent="0.25">
      <c r="A318" s="40"/>
      <c r="B318" s="4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</row>
    <row r="319" spans="1:54" x14ac:dyDescent="0.25">
      <c r="A319" s="40"/>
      <c r="B319" s="4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</row>
    <row r="320" spans="1:54" x14ac:dyDescent="0.25">
      <c r="A320" s="40"/>
      <c r="B320" s="4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</row>
    <row r="321" spans="1:54" x14ac:dyDescent="0.25">
      <c r="A321" s="40"/>
      <c r="B321" s="4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</row>
    <row r="322" spans="1:54" x14ac:dyDescent="0.25">
      <c r="A322" s="40"/>
      <c r="B322" s="4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</row>
    <row r="323" spans="1:54" x14ac:dyDescent="0.25">
      <c r="A323" s="40"/>
      <c r="B323" s="4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</row>
    <row r="324" spans="1:54" x14ac:dyDescent="0.25">
      <c r="A324" s="40"/>
      <c r="B324" s="4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</row>
    <row r="325" spans="1:54" x14ac:dyDescent="0.25">
      <c r="A325" s="40"/>
      <c r="B325" s="4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</row>
    <row r="326" spans="1:54" x14ac:dyDescent="0.25">
      <c r="A326" s="40"/>
      <c r="B326" s="4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</row>
    <row r="327" spans="1:54" x14ac:dyDescent="0.25">
      <c r="A327" s="40"/>
      <c r="B327" s="4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</row>
    <row r="328" spans="1:54" x14ac:dyDescent="0.25">
      <c r="A328" s="40"/>
      <c r="B328" s="4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</row>
    <row r="329" spans="1:54" x14ac:dyDescent="0.25">
      <c r="A329" s="40"/>
      <c r="B329" s="4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</row>
    <row r="330" spans="1:54" x14ac:dyDescent="0.25">
      <c r="A330" s="40"/>
      <c r="B330" s="4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</row>
    <row r="331" spans="1:54" x14ac:dyDescent="0.25">
      <c r="A331" s="40"/>
      <c r="B331" s="4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</row>
    <row r="332" spans="1:54" x14ac:dyDescent="0.25">
      <c r="A332" s="40"/>
      <c r="B332" s="4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</row>
    <row r="333" spans="1:54" x14ac:dyDescent="0.25">
      <c r="A333" s="40"/>
      <c r="B333" s="4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</row>
    <row r="334" spans="1:54" x14ac:dyDescent="0.25">
      <c r="A334" s="40"/>
      <c r="B334" s="4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</row>
    <row r="335" spans="1:54" x14ac:dyDescent="0.25">
      <c r="A335" s="40"/>
      <c r="B335" s="4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</row>
    <row r="336" spans="1:54" x14ac:dyDescent="0.25">
      <c r="A336" s="40"/>
      <c r="B336" s="4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</row>
    <row r="337" spans="1:54" x14ac:dyDescent="0.25">
      <c r="A337" s="40"/>
      <c r="B337" s="4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</row>
    <row r="338" spans="1:54" x14ac:dyDescent="0.25">
      <c r="A338" s="40"/>
      <c r="B338" s="4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</row>
    <row r="339" spans="1:54" x14ac:dyDescent="0.25">
      <c r="A339" s="40"/>
      <c r="B339" s="4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</row>
    <row r="340" spans="1:54" x14ac:dyDescent="0.25">
      <c r="A340" s="40"/>
      <c r="B340" s="4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</row>
    <row r="341" spans="1:54" x14ac:dyDescent="0.25">
      <c r="A341" s="40"/>
      <c r="B341" s="4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</row>
    <row r="342" spans="1:54" x14ac:dyDescent="0.25">
      <c r="A342" s="40"/>
      <c r="B342" s="4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</row>
    <row r="343" spans="1:54" x14ac:dyDescent="0.25">
      <c r="A343" s="40"/>
      <c r="B343" s="4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</row>
    <row r="344" spans="1:54" x14ac:dyDescent="0.25">
      <c r="A344" s="40"/>
      <c r="B344" s="4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</row>
    <row r="345" spans="1:54" x14ac:dyDescent="0.25">
      <c r="A345" s="40"/>
      <c r="B345" s="4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</row>
    <row r="346" spans="1:54" x14ac:dyDescent="0.25">
      <c r="A346" s="40"/>
      <c r="B346" s="4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</row>
    <row r="347" spans="1:54" x14ac:dyDescent="0.25">
      <c r="A347" s="40"/>
      <c r="B347" s="4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</row>
    <row r="348" spans="1:54" x14ac:dyDescent="0.25">
      <c r="A348" s="40"/>
      <c r="B348" s="4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</row>
    <row r="349" spans="1:54" x14ac:dyDescent="0.25">
      <c r="A349" s="40"/>
      <c r="B349" s="4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</row>
    <row r="350" spans="1:54" x14ac:dyDescent="0.25">
      <c r="A350" s="40"/>
      <c r="B350" s="4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</row>
    <row r="351" spans="1:54" x14ac:dyDescent="0.25">
      <c r="A351" s="40"/>
      <c r="B351" s="4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</row>
    <row r="352" spans="1:54" x14ac:dyDescent="0.25">
      <c r="A352" s="40"/>
      <c r="B352" s="4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</row>
    <row r="353" spans="1:54" x14ac:dyDescent="0.25">
      <c r="A353" s="40"/>
      <c r="B353" s="4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</row>
    <row r="354" spans="1:54" x14ac:dyDescent="0.25">
      <c r="A354" s="40"/>
      <c r="B354" s="4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</row>
    <row r="355" spans="1:54" x14ac:dyDescent="0.25">
      <c r="A355" s="40"/>
      <c r="B355" s="4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</row>
    <row r="356" spans="1:54" x14ac:dyDescent="0.25">
      <c r="A356" s="40"/>
      <c r="B356" s="4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</row>
    <row r="357" spans="1:54" x14ac:dyDescent="0.25">
      <c r="A357" s="40"/>
      <c r="B357" s="4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</row>
    <row r="358" spans="1:54" x14ac:dyDescent="0.25">
      <c r="A358" s="40"/>
      <c r="B358" s="4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</row>
    <row r="359" spans="1:54" x14ac:dyDescent="0.25">
      <c r="A359" s="40"/>
      <c r="B359" s="4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</row>
    <row r="360" spans="1:54" x14ac:dyDescent="0.25">
      <c r="A360" s="40"/>
      <c r="B360" s="4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</row>
    <row r="361" spans="1:54" x14ac:dyDescent="0.25">
      <c r="A361" s="40"/>
      <c r="B361" s="4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</row>
    <row r="362" spans="1:54" x14ac:dyDescent="0.25">
      <c r="A362" s="40"/>
      <c r="B362" s="4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</row>
    <row r="363" spans="1:54" x14ac:dyDescent="0.25">
      <c r="A363" s="40"/>
      <c r="B363" s="4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</row>
    <row r="364" spans="1:54" x14ac:dyDescent="0.25">
      <c r="A364" s="40"/>
      <c r="B364" s="4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</row>
    <row r="365" spans="1:54" x14ac:dyDescent="0.25">
      <c r="A365" s="40"/>
      <c r="B365" s="4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</row>
    <row r="366" spans="1:54" x14ac:dyDescent="0.25">
      <c r="A366" s="40"/>
      <c r="B366" s="4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</row>
    <row r="367" spans="1:54" x14ac:dyDescent="0.25">
      <c r="A367" s="40"/>
      <c r="B367" s="4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</row>
    <row r="368" spans="1:54" x14ac:dyDescent="0.25">
      <c r="A368" s="40"/>
      <c r="B368" s="4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</row>
    <row r="369" spans="1:54" x14ac:dyDescent="0.25">
      <c r="A369" s="40"/>
      <c r="B369" s="4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</row>
    <row r="370" spans="1:54" x14ac:dyDescent="0.25">
      <c r="A370" s="40"/>
      <c r="B370" s="4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</row>
    <row r="371" spans="1:54" x14ac:dyDescent="0.25">
      <c r="A371" s="40"/>
      <c r="B371" s="4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</row>
    <row r="372" spans="1:54" x14ac:dyDescent="0.25">
      <c r="A372" s="40"/>
      <c r="B372" s="4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</row>
    <row r="373" spans="1:54" x14ac:dyDescent="0.25">
      <c r="A373" s="40"/>
      <c r="B373" s="4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</row>
    <row r="374" spans="1:54" x14ac:dyDescent="0.25">
      <c r="A374" s="40"/>
      <c r="B374" s="4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</row>
    <row r="375" spans="1:54" x14ac:dyDescent="0.25">
      <c r="A375" s="40"/>
      <c r="B375" s="4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</row>
    <row r="376" spans="1:54" x14ac:dyDescent="0.25">
      <c r="A376" s="40"/>
      <c r="B376" s="4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</row>
    <row r="377" spans="1:54" x14ac:dyDescent="0.25">
      <c r="A377" s="40"/>
      <c r="B377" s="4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</row>
    <row r="378" spans="1:54" x14ac:dyDescent="0.25">
      <c r="A378" s="40"/>
      <c r="B378" s="4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</row>
    <row r="379" spans="1:54" x14ac:dyDescent="0.25">
      <c r="A379" s="40"/>
      <c r="B379" s="4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</row>
    <row r="380" spans="1:54" x14ac:dyDescent="0.25">
      <c r="A380" s="40"/>
      <c r="B380" s="4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</row>
    <row r="381" spans="1:54" x14ac:dyDescent="0.25">
      <c r="A381" s="40"/>
      <c r="B381" s="4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</row>
    <row r="382" spans="1:54" x14ac:dyDescent="0.25">
      <c r="A382" s="40"/>
      <c r="B382" s="4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</row>
    <row r="383" spans="1:54" x14ac:dyDescent="0.25">
      <c r="A383" s="40"/>
      <c r="B383" s="4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</row>
    <row r="384" spans="1:54" x14ac:dyDescent="0.25">
      <c r="A384" s="40"/>
      <c r="B384" s="4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</row>
    <row r="385" spans="1:54" x14ac:dyDescent="0.25">
      <c r="A385" s="40"/>
      <c r="B385" s="4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</row>
    <row r="386" spans="1:54" x14ac:dyDescent="0.25">
      <c r="A386" s="40"/>
      <c r="B386" s="4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</row>
    <row r="387" spans="1:54" x14ac:dyDescent="0.25">
      <c r="A387" s="40"/>
      <c r="B387" s="4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</row>
    <row r="388" spans="1:54" x14ac:dyDescent="0.25">
      <c r="A388" s="40"/>
      <c r="B388" s="4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</row>
    <row r="389" spans="1:54" x14ac:dyDescent="0.25">
      <c r="A389" s="40"/>
      <c r="B389" s="4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</row>
    <row r="390" spans="1:54" x14ac:dyDescent="0.25">
      <c r="A390" s="40"/>
      <c r="B390" s="4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</row>
    <row r="391" spans="1:54" x14ac:dyDescent="0.25">
      <c r="A391" s="40"/>
      <c r="B391" s="4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</row>
    <row r="392" spans="1:54" x14ac:dyDescent="0.25">
      <c r="A392" s="40"/>
      <c r="B392" s="4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</row>
    <row r="393" spans="1:54" x14ac:dyDescent="0.25">
      <c r="A393" s="40"/>
      <c r="B393" s="4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</row>
    <row r="394" spans="1:54" x14ac:dyDescent="0.25">
      <c r="A394" s="40"/>
      <c r="B394" s="4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</row>
    <row r="395" spans="1:54" x14ac:dyDescent="0.25">
      <c r="A395" s="40"/>
      <c r="B395" s="4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</row>
    <row r="396" spans="1:54" x14ac:dyDescent="0.25">
      <c r="A396" s="40"/>
      <c r="B396" s="4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</row>
    <row r="397" spans="1:54" x14ac:dyDescent="0.25">
      <c r="A397" s="40"/>
      <c r="B397" s="4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</row>
    <row r="398" spans="1:54" x14ac:dyDescent="0.25">
      <c r="A398" s="40"/>
      <c r="B398" s="4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</row>
    <row r="399" spans="1:54" x14ac:dyDescent="0.25">
      <c r="A399" s="40"/>
      <c r="B399" s="4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</row>
    <row r="400" spans="1:54" x14ac:dyDescent="0.25">
      <c r="A400" s="40"/>
      <c r="B400" s="4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</row>
    <row r="401" spans="1:54" x14ac:dyDescent="0.25">
      <c r="A401" s="40"/>
      <c r="B401" s="4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</row>
    <row r="402" spans="1:54" x14ac:dyDescent="0.25">
      <c r="A402" s="40"/>
      <c r="B402" s="4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</row>
    <row r="403" spans="1:54" x14ac:dyDescent="0.25">
      <c r="A403" s="40"/>
      <c r="B403" s="4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</row>
    <row r="404" spans="1:54" x14ac:dyDescent="0.25">
      <c r="A404" s="40"/>
      <c r="B404" s="4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</row>
    <row r="405" spans="1:54" x14ac:dyDescent="0.25">
      <c r="A405" s="40"/>
      <c r="B405" s="4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</row>
    <row r="406" spans="1:54" x14ac:dyDescent="0.25">
      <c r="A406" s="40"/>
      <c r="B406" s="4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</row>
    <row r="407" spans="1:54" x14ac:dyDescent="0.25">
      <c r="A407" s="40"/>
      <c r="B407" s="4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</row>
    <row r="408" spans="1:54" x14ac:dyDescent="0.25">
      <c r="A408" s="40"/>
      <c r="B408" s="4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</row>
    <row r="409" spans="1:54" x14ac:dyDescent="0.25">
      <c r="A409" s="40"/>
      <c r="B409" s="4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</row>
    <row r="410" spans="1:54" x14ac:dyDescent="0.25">
      <c r="A410" s="40"/>
      <c r="B410" s="4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</row>
    <row r="411" spans="1:54" x14ac:dyDescent="0.25">
      <c r="A411" s="40"/>
      <c r="B411" s="4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</row>
    <row r="412" spans="1:54" x14ac:dyDescent="0.25">
      <c r="A412" s="40"/>
      <c r="B412" s="4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</row>
    <row r="413" spans="1:54" x14ac:dyDescent="0.25">
      <c r="A413" s="40"/>
      <c r="B413" s="4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</row>
    <row r="414" spans="1:54" x14ac:dyDescent="0.25">
      <c r="A414" s="40"/>
      <c r="B414" s="4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</row>
    <row r="415" spans="1:54" x14ac:dyDescent="0.25">
      <c r="A415" s="40"/>
      <c r="B415" s="4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</row>
    <row r="416" spans="1:54" x14ac:dyDescent="0.25">
      <c r="A416" s="40"/>
      <c r="B416" s="4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</row>
    <row r="417" spans="1:54" x14ac:dyDescent="0.25">
      <c r="A417" s="40"/>
      <c r="B417" s="4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</row>
    <row r="418" spans="1:54" x14ac:dyDescent="0.25">
      <c r="A418" s="40"/>
      <c r="B418" s="4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</row>
    <row r="419" spans="1:54" x14ac:dyDescent="0.25">
      <c r="A419" s="40"/>
      <c r="B419" s="4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</row>
    <row r="420" spans="1:54" x14ac:dyDescent="0.25">
      <c r="A420" s="40"/>
      <c r="B420" s="4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</row>
    <row r="421" spans="1:54" x14ac:dyDescent="0.25">
      <c r="A421" s="40"/>
      <c r="B421" s="4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</row>
    <row r="422" spans="1:54" x14ac:dyDescent="0.25">
      <c r="A422" s="40"/>
      <c r="B422" s="4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</row>
    <row r="423" spans="1:54" x14ac:dyDescent="0.25">
      <c r="A423" s="40"/>
      <c r="B423" s="4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</row>
    <row r="424" spans="1:54" x14ac:dyDescent="0.25">
      <c r="A424" s="40"/>
      <c r="B424" s="4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</row>
    <row r="425" spans="1:54" x14ac:dyDescent="0.25">
      <c r="A425" s="40"/>
      <c r="B425" s="4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</row>
    <row r="426" spans="1:54" x14ac:dyDescent="0.25">
      <c r="A426" s="40"/>
      <c r="B426" s="4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</row>
    <row r="427" spans="1:54" x14ac:dyDescent="0.25">
      <c r="A427" s="40"/>
      <c r="B427" s="4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</row>
    <row r="428" spans="1:54" x14ac:dyDescent="0.25">
      <c r="A428" s="40"/>
      <c r="B428" s="4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</row>
    <row r="429" spans="1:54" x14ac:dyDescent="0.25">
      <c r="A429" s="40"/>
      <c r="B429" s="4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</row>
    <row r="430" spans="1:54" x14ac:dyDescent="0.25">
      <c r="A430" s="40"/>
      <c r="B430" s="4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</row>
    <row r="431" spans="1:54" x14ac:dyDescent="0.25">
      <c r="A431" s="40"/>
      <c r="B431" s="4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</row>
    <row r="432" spans="1:54" x14ac:dyDescent="0.25">
      <c r="A432" s="40"/>
      <c r="B432" s="4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</row>
    <row r="433" spans="1:54" x14ac:dyDescent="0.25">
      <c r="A433" s="40"/>
      <c r="B433" s="4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</row>
    <row r="434" spans="1:54" x14ac:dyDescent="0.25">
      <c r="A434" s="40"/>
      <c r="B434" s="4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</row>
    <row r="435" spans="1:54" x14ac:dyDescent="0.25">
      <c r="A435" s="40"/>
      <c r="B435" s="4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</row>
    <row r="436" spans="1:54" x14ac:dyDescent="0.25">
      <c r="A436" s="40"/>
      <c r="B436" s="4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</row>
    <row r="437" spans="1:54" x14ac:dyDescent="0.25">
      <c r="A437" s="40"/>
      <c r="B437" s="4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</row>
    <row r="438" spans="1:54" x14ac:dyDescent="0.25">
      <c r="A438" s="40"/>
      <c r="B438" s="4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</row>
    <row r="439" spans="1:54" x14ac:dyDescent="0.25">
      <c r="A439" s="40"/>
      <c r="B439" s="4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</row>
    <row r="440" spans="1:54" x14ac:dyDescent="0.25">
      <c r="A440" s="40"/>
      <c r="B440" s="4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</row>
    <row r="441" spans="1:54" x14ac:dyDescent="0.25">
      <c r="A441" s="40"/>
      <c r="B441" s="4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</row>
    <row r="442" spans="1:54" x14ac:dyDescent="0.25">
      <c r="A442" s="40"/>
      <c r="B442" s="4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</row>
    <row r="443" spans="1:54" x14ac:dyDescent="0.25">
      <c r="A443" s="40"/>
      <c r="B443" s="4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</row>
    <row r="444" spans="1:54" x14ac:dyDescent="0.25">
      <c r="A444" s="40"/>
      <c r="B444" s="4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</row>
    <row r="445" spans="1:54" x14ac:dyDescent="0.25">
      <c r="A445" s="40"/>
      <c r="B445" s="4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</row>
    <row r="446" spans="1:54" x14ac:dyDescent="0.25">
      <c r="A446" s="40"/>
      <c r="B446" s="4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</row>
    <row r="447" spans="1:54" x14ac:dyDescent="0.25">
      <c r="A447" s="40"/>
      <c r="B447" s="4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</row>
    <row r="448" spans="1:54" x14ac:dyDescent="0.25">
      <c r="A448" s="40"/>
      <c r="B448" s="4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</row>
    <row r="449" spans="1:54" x14ac:dyDescent="0.25">
      <c r="A449" s="40"/>
      <c r="B449" s="4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</row>
    <row r="450" spans="1:54" x14ac:dyDescent="0.25">
      <c r="A450" s="40"/>
      <c r="B450" s="4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</row>
    <row r="451" spans="1:54" x14ac:dyDescent="0.25">
      <c r="A451" s="40"/>
      <c r="B451" s="4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</row>
    <row r="452" spans="1:54" x14ac:dyDescent="0.25">
      <c r="A452" s="40"/>
      <c r="B452" s="4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</row>
    <row r="453" spans="1:54" x14ac:dyDescent="0.25">
      <c r="A453" s="40"/>
      <c r="B453" s="4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</row>
    <row r="454" spans="1:54" x14ac:dyDescent="0.25">
      <c r="A454" s="40"/>
      <c r="B454" s="4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</row>
    <row r="455" spans="1:54" x14ac:dyDescent="0.25">
      <c r="A455" s="40"/>
      <c r="B455" s="4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</row>
    <row r="456" spans="1:54" x14ac:dyDescent="0.25">
      <c r="A456" s="40"/>
      <c r="B456" s="4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</row>
    <row r="457" spans="1:54" x14ac:dyDescent="0.25">
      <c r="A457" s="40"/>
      <c r="B457" s="4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</row>
    <row r="458" spans="1:54" x14ac:dyDescent="0.25">
      <c r="A458" s="40"/>
      <c r="B458" s="4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</row>
    <row r="459" spans="1:54" x14ac:dyDescent="0.25">
      <c r="A459" s="40"/>
      <c r="B459" s="4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</row>
    <row r="460" spans="1:54" x14ac:dyDescent="0.25">
      <c r="A460" s="40"/>
      <c r="B460" s="4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</row>
    <row r="461" spans="1:54" x14ac:dyDescent="0.25">
      <c r="A461" s="40"/>
      <c r="B461" s="4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</row>
    <row r="462" spans="1:54" x14ac:dyDescent="0.25">
      <c r="A462" s="40"/>
      <c r="B462" s="4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</row>
    <row r="463" spans="1:54" x14ac:dyDescent="0.25">
      <c r="A463" s="40"/>
      <c r="B463" s="4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</row>
    <row r="464" spans="1:54" x14ac:dyDescent="0.25">
      <c r="A464" s="40"/>
      <c r="B464" s="4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</row>
    <row r="465" spans="1:54" x14ac:dyDescent="0.25">
      <c r="A465" s="40"/>
      <c r="B465" s="4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</row>
    <row r="466" spans="1:54" x14ac:dyDescent="0.25">
      <c r="A466" s="40"/>
      <c r="B466" s="4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</row>
    <row r="467" spans="1:54" x14ac:dyDescent="0.25">
      <c r="A467" s="40"/>
      <c r="B467" s="4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</row>
    <row r="468" spans="1:54" x14ac:dyDescent="0.25">
      <c r="A468" s="40"/>
      <c r="B468" s="4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</row>
    <row r="469" spans="1:54" x14ac:dyDescent="0.25">
      <c r="A469" s="40"/>
      <c r="B469" s="4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</row>
    <row r="470" spans="1:54" x14ac:dyDescent="0.25">
      <c r="A470" s="40"/>
      <c r="B470" s="4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</row>
    <row r="471" spans="1:54" x14ac:dyDescent="0.25">
      <c r="A471" s="40"/>
      <c r="B471" s="4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</row>
    <row r="472" spans="1:54" x14ac:dyDescent="0.25">
      <c r="A472" s="40"/>
      <c r="B472" s="4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</row>
    <row r="473" spans="1:54" x14ac:dyDescent="0.25">
      <c r="A473" s="40"/>
      <c r="B473" s="4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</row>
    <row r="474" spans="1:54" x14ac:dyDescent="0.25">
      <c r="A474" s="40"/>
      <c r="B474" s="4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</row>
    <row r="475" spans="1:54" x14ac:dyDescent="0.25">
      <c r="A475" s="40"/>
      <c r="B475" s="4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</row>
    <row r="476" spans="1:54" x14ac:dyDescent="0.25">
      <c r="A476" s="40"/>
      <c r="B476" s="4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</row>
    <row r="477" spans="1:54" x14ac:dyDescent="0.25">
      <c r="A477" s="40"/>
      <c r="B477" s="4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</row>
    <row r="478" spans="1:54" x14ac:dyDescent="0.25">
      <c r="A478" s="40"/>
      <c r="B478" s="4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</row>
    <row r="479" spans="1:54" x14ac:dyDescent="0.25">
      <c r="A479" s="40"/>
      <c r="B479" s="4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</row>
    <row r="480" spans="1:54" x14ac:dyDescent="0.25">
      <c r="A480" s="40"/>
      <c r="B480" s="4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</row>
    <row r="481" spans="1:54" x14ac:dyDescent="0.25">
      <c r="A481" s="40"/>
      <c r="B481" s="4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</row>
    <row r="482" spans="1:54" x14ac:dyDescent="0.25">
      <c r="A482" s="40"/>
      <c r="B482" s="4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</row>
    <row r="483" spans="1:54" x14ac:dyDescent="0.25">
      <c r="A483" s="40"/>
      <c r="B483" s="4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</row>
    <row r="484" spans="1:54" x14ac:dyDescent="0.25">
      <c r="A484" s="40"/>
      <c r="B484" s="4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</row>
    <row r="485" spans="1:54" x14ac:dyDescent="0.25">
      <c r="A485" s="40"/>
      <c r="B485" s="4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</row>
    <row r="486" spans="1:54" x14ac:dyDescent="0.25">
      <c r="A486" s="40"/>
      <c r="B486" s="4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</row>
    <row r="487" spans="1:54" x14ac:dyDescent="0.25">
      <c r="A487" s="40"/>
      <c r="B487" s="4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</row>
    <row r="488" spans="1:54" x14ac:dyDescent="0.25">
      <c r="A488" s="40"/>
      <c r="B488" s="4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</row>
    <row r="489" spans="1:54" x14ac:dyDescent="0.25">
      <c r="A489" s="40"/>
      <c r="B489" s="4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</row>
    <row r="490" spans="1:54" x14ac:dyDescent="0.25">
      <c r="A490" s="40"/>
      <c r="B490" s="4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</row>
    <row r="491" spans="1:54" x14ac:dyDescent="0.25">
      <c r="A491" s="40"/>
      <c r="B491" s="4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</row>
    <row r="492" spans="1:54" x14ac:dyDescent="0.25">
      <c r="A492" s="40"/>
      <c r="B492" s="4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</row>
    <row r="493" spans="1:54" x14ac:dyDescent="0.25">
      <c r="A493" s="40"/>
      <c r="B493" s="4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</row>
    <row r="494" spans="1:54" x14ac:dyDescent="0.25">
      <c r="A494" s="40"/>
      <c r="B494" s="4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</row>
    <row r="495" spans="1:54" x14ac:dyDescent="0.25">
      <c r="A495" s="40"/>
      <c r="B495" s="4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</row>
    <row r="496" spans="1:54" x14ac:dyDescent="0.25">
      <c r="A496" s="40"/>
      <c r="B496" s="4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</row>
    <row r="497" spans="1:54" x14ac:dyDescent="0.25">
      <c r="A497" s="40"/>
      <c r="B497" s="4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</row>
    <row r="498" spans="1:54" x14ac:dyDescent="0.25">
      <c r="A498" s="40"/>
      <c r="B498" s="4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</row>
    <row r="499" spans="1:54" x14ac:dyDescent="0.25">
      <c r="A499" s="40"/>
      <c r="B499" s="4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</row>
    <row r="500" spans="1:54" x14ac:dyDescent="0.25">
      <c r="A500" s="40"/>
      <c r="B500" s="4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</row>
    <row r="501" spans="1:54" x14ac:dyDescent="0.25">
      <c r="A501" s="40"/>
      <c r="B501" s="4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</row>
    <row r="502" spans="1:54" x14ac:dyDescent="0.25">
      <c r="A502" s="40"/>
      <c r="B502" s="4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</row>
    <row r="503" spans="1:54" x14ac:dyDescent="0.25">
      <c r="A503" s="40"/>
      <c r="B503" s="4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</row>
    <row r="504" spans="1:54" x14ac:dyDescent="0.25">
      <c r="A504" s="40"/>
      <c r="B504" s="4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</row>
    <row r="505" spans="1:54" x14ac:dyDescent="0.25">
      <c r="A505" s="40"/>
      <c r="B505" s="4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</row>
    <row r="506" spans="1:54" x14ac:dyDescent="0.25">
      <c r="A506" s="40"/>
      <c r="B506" s="4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</row>
    <row r="507" spans="1:54" x14ac:dyDescent="0.25">
      <c r="A507" s="40"/>
      <c r="B507" s="4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</row>
    <row r="508" spans="1:54" x14ac:dyDescent="0.25">
      <c r="A508" s="40"/>
      <c r="B508" s="4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</row>
    <row r="509" spans="1:54" x14ac:dyDescent="0.25">
      <c r="A509" s="40"/>
      <c r="B509" s="4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</row>
    <row r="510" spans="1:54" x14ac:dyDescent="0.25">
      <c r="A510" s="40"/>
      <c r="B510" s="4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</row>
    <row r="511" spans="1:54" x14ac:dyDescent="0.25">
      <c r="A511" s="40"/>
      <c r="B511" s="4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</row>
    <row r="512" spans="1:54" x14ac:dyDescent="0.25">
      <c r="A512" s="40"/>
      <c r="B512" s="4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</row>
    <row r="513" spans="1:54" x14ac:dyDescent="0.25">
      <c r="A513" s="40"/>
      <c r="B513" s="4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</row>
    <row r="514" spans="1:54" x14ac:dyDescent="0.25">
      <c r="A514" s="40"/>
      <c r="B514" s="4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</row>
    <row r="515" spans="1:54" x14ac:dyDescent="0.25">
      <c r="A515" s="40"/>
      <c r="B515" s="4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</row>
    <row r="516" spans="1:54" x14ac:dyDescent="0.25">
      <c r="A516" s="40"/>
      <c r="B516" s="4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</row>
    <row r="517" spans="1:54" x14ac:dyDescent="0.25">
      <c r="A517" s="40"/>
      <c r="B517" s="4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</row>
    <row r="518" spans="1:54" x14ac:dyDescent="0.25">
      <c r="A518" s="40"/>
      <c r="B518" s="4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</row>
    <row r="519" spans="1:54" x14ac:dyDescent="0.25">
      <c r="A519" s="40"/>
      <c r="B519" s="4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</row>
    <row r="520" spans="1:54" x14ac:dyDescent="0.25">
      <c r="A520" s="40"/>
      <c r="B520" s="4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</row>
    <row r="521" spans="1:54" x14ac:dyDescent="0.25">
      <c r="A521" s="40"/>
      <c r="B521" s="4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</row>
    <row r="522" spans="1:54" x14ac:dyDescent="0.25">
      <c r="A522" s="40"/>
      <c r="B522" s="4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</row>
    <row r="523" spans="1:54" x14ac:dyDescent="0.25">
      <c r="A523" s="40"/>
      <c r="B523" s="4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</row>
    <row r="524" spans="1:54" x14ac:dyDescent="0.25">
      <c r="A524" s="40"/>
      <c r="B524" s="4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</row>
    <row r="525" spans="1:54" x14ac:dyDescent="0.25">
      <c r="A525" s="40"/>
      <c r="B525" s="4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</row>
    <row r="526" spans="1:54" x14ac:dyDescent="0.25">
      <c r="A526" s="40"/>
      <c r="B526" s="4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</row>
    <row r="527" spans="1:54" x14ac:dyDescent="0.25">
      <c r="A527" s="40"/>
      <c r="B527" s="4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</row>
    <row r="528" spans="1:54" x14ac:dyDescent="0.25">
      <c r="A528" s="40"/>
      <c r="B528" s="4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</row>
    <row r="529" spans="1:54" x14ac:dyDescent="0.25">
      <c r="A529" s="40"/>
      <c r="B529" s="4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</row>
    <row r="530" spans="1:54" x14ac:dyDescent="0.25">
      <c r="A530" s="40"/>
      <c r="B530" s="4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</row>
    <row r="531" spans="1:54" x14ac:dyDescent="0.25">
      <c r="A531" s="40"/>
      <c r="B531" s="4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</row>
    <row r="532" spans="1:54" x14ac:dyDescent="0.25">
      <c r="A532" s="40"/>
      <c r="B532" s="4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</row>
    <row r="533" spans="1:54" x14ac:dyDescent="0.25">
      <c r="A533" s="40"/>
      <c r="B533" s="4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</row>
    <row r="534" spans="1:54" x14ac:dyDescent="0.25">
      <c r="A534" s="40"/>
      <c r="B534" s="4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</row>
    <row r="535" spans="1:54" x14ac:dyDescent="0.25">
      <c r="A535" s="40"/>
      <c r="B535" s="4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</row>
    <row r="536" spans="1:54" x14ac:dyDescent="0.25">
      <c r="A536" s="40"/>
      <c r="B536" s="4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</row>
    <row r="537" spans="1:54" x14ac:dyDescent="0.25">
      <c r="A537" s="40"/>
      <c r="B537" s="4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</row>
    <row r="538" spans="1:54" x14ac:dyDescent="0.25">
      <c r="A538" s="40"/>
      <c r="B538" s="4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</row>
    <row r="539" spans="1:54" x14ac:dyDescent="0.25">
      <c r="A539" s="40"/>
      <c r="B539" s="4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</row>
    <row r="540" spans="1:54" x14ac:dyDescent="0.25">
      <c r="A540" s="40"/>
      <c r="B540" s="4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</row>
    <row r="541" spans="1:54" x14ac:dyDescent="0.25">
      <c r="A541" s="40"/>
      <c r="B541" s="4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</row>
    <row r="542" spans="1:54" x14ac:dyDescent="0.25">
      <c r="A542" s="40"/>
      <c r="B542" s="4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</row>
    <row r="543" spans="1:54" x14ac:dyDescent="0.25">
      <c r="A543" s="40"/>
      <c r="B543" s="4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</row>
    <row r="544" spans="1:54" x14ac:dyDescent="0.25">
      <c r="A544" s="40"/>
      <c r="B544" s="4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</row>
    <row r="545" spans="1:54" x14ac:dyDescent="0.25">
      <c r="A545" s="40"/>
      <c r="B545" s="4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</row>
    <row r="546" spans="1:54" x14ac:dyDescent="0.25">
      <c r="A546" s="40"/>
      <c r="B546" s="4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</row>
    <row r="547" spans="1:54" x14ac:dyDescent="0.25">
      <c r="A547" s="40"/>
      <c r="B547" s="4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</row>
    <row r="548" spans="1:54" x14ac:dyDescent="0.25">
      <c r="A548" s="40"/>
      <c r="B548" s="4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</row>
    <row r="549" spans="1:54" x14ac:dyDescent="0.25">
      <c r="A549" s="40"/>
      <c r="B549" s="4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</row>
    <row r="550" spans="1:54" x14ac:dyDescent="0.25">
      <c r="A550" s="40"/>
      <c r="B550" s="4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</row>
    <row r="551" spans="1:54" x14ac:dyDescent="0.25">
      <c r="A551" s="40"/>
      <c r="B551" s="4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</row>
    <row r="552" spans="1:54" x14ac:dyDescent="0.25">
      <c r="A552" s="40"/>
      <c r="B552" s="4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</row>
    <row r="553" spans="1:54" x14ac:dyDescent="0.25">
      <c r="A553" s="40"/>
      <c r="B553" s="4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</row>
    <row r="554" spans="1:54" x14ac:dyDescent="0.25">
      <c r="A554" s="40"/>
      <c r="B554" s="4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</row>
    <row r="555" spans="1:54" x14ac:dyDescent="0.25">
      <c r="A555" s="40"/>
      <c r="B555" s="4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</row>
    <row r="556" spans="1:54" x14ac:dyDescent="0.25">
      <c r="A556" s="40"/>
      <c r="B556" s="4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</row>
    <row r="557" spans="1:54" x14ac:dyDescent="0.25">
      <c r="A557" s="40"/>
      <c r="B557" s="4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</row>
    <row r="558" spans="1:54" x14ac:dyDescent="0.25">
      <c r="A558" s="40"/>
      <c r="B558" s="4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</row>
    <row r="559" spans="1:54" x14ac:dyDescent="0.25">
      <c r="A559" s="40"/>
      <c r="B559" s="4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</row>
    <row r="560" spans="1:54" x14ac:dyDescent="0.25">
      <c r="A560" s="40"/>
      <c r="B560" s="4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</row>
    <row r="561" spans="1:54" x14ac:dyDescent="0.25">
      <c r="A561" s="40"/>
      <c r="B561" s="4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</row>
    <row r="562" spans="1:54" x14ac:dyDescent="0.25">
      <c r="A562" s="40"/>
      <c r="B562" s="4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</row>
    <row r="563" spans="1:54" x14ac:dyDescent="0.25">
      <c r="A563" s="40"/>
      <c r="B563" s="4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</row>
    <row r="564" spans="1:54" x14ac:dyDescent="0.25">
      <c r="A564" s="40"/>
      <c r="B564" s="4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</row>
    <row r="565" spans="1:54" x14ac:dyDescent="0.25">
      <c r="A565" s="40"/>
      <c r="B565" s="4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</row>
    <row r="566" spans="1:54" x14ac:dyDescent="0.25">
      <c r="A566" s="40"/>
      <c r="B566" s="4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</row>
    <row r="567" spans="1:54" x14ac:dyDescent="0.25">
      <c r="A567" s="40"/>
      <c r="B567" s="4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</row>
    <row r="568" spans="1:54" x14ac:dyDescent="0.25">
      <c r="A568" s="40"/>
      <c r="B568" s="4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</row>
    <row r="569" spans="1:54" x14ac:dyDescent="0.25">
      <c r="A569" s="40"/>
      <c r="B569" s="4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</row>
    <row r="570" spans="1:54" x14ac:dyDescent="0.25">
      <c r="A570" s="40"/>
      <c r="B570" s="4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</row>
    <row r="571" spans="1:54" x14ac:dyDescent="0.25">
      <c r="A571" s="40"/>
      <c r="B571" s="4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</row>
    <row r="572" spans="1:54" x14ac:dyDescent="0.25">
      <c r="A572" s="40"/>
      <c r="B572" s="4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</row>
    <row r="573" spans="1:54" x14ac:dyDescent="0.25">
      <c r="A573" s="40"/>
      <c r="B573" s="4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</row>
    <row r="574" spans="1:54" x14ac:dyDescent="0.25">
      <c r="A574" s="40"/>
      <c r="B574" s="4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</row>
    <row r="575" spans="1:54" x14ac:dyDescent="0.25">
      <c r="A575" s="40"/>
      <c r="B575" s="4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</row>
    <row r="576" spans="1:54" x14ac:dyDescent="0.25">
      <c r="A576" s="40"/>
      <c r="B576" s="4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</row>
    <row r="577" spans="1:54" x14ac:dyDescent="0.25">
      <c r="A577" s="40"/>
      <c r="B577" s="4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</row>
    <row r="578" spans="1:54" x14ac:dyDescent="0.25">
      <c r="A578" s="40"/>
      <c r="B578" s="4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</row>
    <row r="579" spans="1:54" x14ac:dyDescent="0.25">
      <c r="A579" s="40"/>
      <c r="B579" s="4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</row>
    <row r="580" spans="1:54" x14ac:dyDescent="0.25">
      <c r="A580" s="40"/>
      <c r="B580" s="4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</row>
    <row r="581" spans="1:54" x14ac:dyDescent="0.25">
      <c r="A581" s="40"/>
      <c r="B581" s="4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</row>
    <row r="582" spans="1:54" x14ac:dyDescent="0.25">
      <c r="A582" s="40"/>
      <c r="B582" s="4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</row>
    <row r="583" spans="1:54" x14ac:dyDescent="0.25">
      <c r="A583" s="40"/>
      <c r="B583" s="4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</row>
    <row r="584" spans="1:54" x14ac:dyDescent="0.25">
      <c r="A584" s="40"/>
      <c r="B584" s="4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</row>
    <row r="585" spans="1:54" x14ac:dyDescent="0.25">
      <c r="A585" s="40"/>
      <c r="B585" s="4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</row>
    <row r="586" spans="1:54" x14ac:dyDescent="0.25">
      <c r="A586" s="40"/>
      <c r="B586" s="4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</row>
    <row r="587" spans="1:54" x14ac:dyDescent="0.25">
      <c r="A587" s="40"/>
      <c r="B587" s="4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</row>
    <row r="588" spans="1:54" x14ac:dyDescent="0.25">
      <c r="A588" s="40"/>
      <c r="B588" s="4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</row>
    <row r="589" spans="1:54" x14ac:dyDescent="0.25">
      <c r="A589" s="40"/>
      <c r="B589" s="4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</row>
    <row r="590" spans="1:54" x14ac:dyDescent="0.25">
      <c r="A590" s="40"/>
      <c r="B590" s="4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</row>
    <row r="591" spans="1:54" x14ac:dyDescent="0.25">
      <c r="A591" s="40"/>
      <c r="B591" s="4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</row>
    <row r="592" spans="1:54" x14ac:dyDescent="0.25">
      <c r="A592" s="40"/>
      <c r="B592" s="4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</row>
    <row r="593" spans="1:54" x14ac:dyDescent="0.25">
      <c r="A593" s="40"/>
      <c r="B593" s="4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</row>
    <row r="594" spans="1:54" x14ac:dyDescent="0.25">
      <c r="A594" s="40"/>
      <c r="B594" s="4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</row>
    <row r="595" spans="1:54" x14ac:dyDescent="0.25">
      <c r="A595" s="40"/>
      <c r="B595" s="4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</row>
    <row r="596" spans="1:54" x14ac:dyDescent="0.25">
      <c r="A596" s="40"/>
      <c r="B596" s="4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</row>
    <row r="597" spans="1:54" x14ac:dyDescent="0.25">
      <c r="A597" s="40"/>
      <c r="B597" s="4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</row>
    <row r="598" spans="1:54" x14ac:dyDescent="0.25">
      <c r="A598" s="40"/>
      <c r="B598" s="4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</row>
    <row r="599" spans="1:54" x14ac:dyDescent="0.25">
      <c r="A599" s="40"/>
      <c r="B599" s="4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</row>
    <row r="600" spans="1:54" x14ac:dyDescent="0.25">
      <c r="A600" s="40"/>
      <c r="B600" s="4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</row>
    <row r="601" spans="1:54" x14ac:dyDescent="0.25">
      <c r="A601" s="40"/>
      <c r="B601" s="4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</row>
    <row r="602" spans="1:54" x14ac:dyDescent="0.25">
      <c r="A602" s="40"/>
      <c r="B602" s="4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</row>
    <row r="603" spans="1:54" x14ac:dyDescent="0.25">
      <c r="A603" s="40"/>
      <c r="B603" s="4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</row>
    <row r="604" spans="1:54" x14ac:dyDescent="0.25">
      <c r="A604" s="40"/>
      <c r="B604" s="4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</row>
    <row r="605" spans="1:54" x14ac:dyDescent="0.25">
      <c r="A605" s="40"/>
      <c r="B605" s="4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</row>
    <row r="606" spans="1:54" x14ac:dyDescent="0.25">
      <c r="A606" s="40"/>
      <c r="B606" s="4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</row>
    <row r="607" spans="1:54" x14ac:dyDescent="0.25">
      <c r="A607" s="40"/>
      <c r="B607" s="4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</row>
    <row r="608" spans="1:54" x14ac:dyDescent="0.25">
      <c r="A608" s="40"/>
      <c r="B608" s="4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</row>
    <row r="609" spans="1:54" x14ac:dyDescent="0.25">
      <c r="A609" s="40"/>
      <c r="B609" s="4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</row>
    <row r="610" spans="1:54" x14ac:dyDescent="0.25">
      <c r="A610" s="40"/>
      <c r="B610" s="4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</row>
    <row r="611" spans="1:54" x14ac:dyDescent="0.25">
      <c r="A611" s="40"/>
      <c r="B611" s="4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</row>
    <row r="612" spans="1:54" x14ac:dyDescent="0.25">
      <c r="A612" s="40"/>
      <c r="B612" s="4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</row>
    <row r="613" spans="1:54" x14ac:dyDescent="0.25">
      <c r="A613" s="40"/>
      <c r="B613" s="4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</row>
    <row r="614" spans="1:54" x14ac:dyDescent="0.25">
      <c r="A614" s="40"/>
      <c r="B614" s="4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</row>
    <row r="615" spans="1:54" x14ac:dyDescent="0.25">
      <c r="A615" s="40"/>
      <c r="B615" s="4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</row>
    <row r="616" spans="1:54" x14ac:dyDescent="0.25">
      <c r="A616" s="40"/>
      <c r="B616" s="4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</row>
    <row r="617" spans="1:54" x14ac:dyDescent="0.25">
      <c r="A617" s="40"/>
      <c r="B617" s="4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</row>
    <row r="618" spans="1:54" x14ac:dyDescent="0.25">
      <c r="A618" s="40"/>
      <c r="B618" s="4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</row>
    <row r="619" spans="1:54" x14ac:dyDescent="0.25">
      <c r="A619" s="40"/>
      <c r="B619" s="4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</row>
    <row r="620" spans="1:54" x14ac:dyDescent="0.25">
      <c r="A620" s="40"/>
      <c r="B620" s="4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</row>
    <row r="621" spans="1:54" x14ac:dyDescent="0.25">
      <c r="A621" s="40"/>
      <c r="B621" s="4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</row>
    <row r="622" spans="1:54" x14ac:dyDescent="0.25">
      <c r="A622" s="40"/>
      <c r="B622" s="4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</row>
    <row r="623" spans="1:54" x14ac:dyDescent="0.25">
      <c r="A623" s="40"/>
      <c r="B623" s="4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</row>
    <row r="624" spans="1:54" x14ac:dyDescent="0.25">
      <c r="A624" s="40"/>
      <c r="B624" s="4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</row>
    <row r="625" spans="1:54" x14ac:dyDescent="0.25">
      <c r="A625" s="40"/>
      <c r="B625" s="4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</row>
    <row r="626" spans="1:54" x14ac:dyDescent="0.25">
      <c r="A626" s="40"/>
      <c r="B626" s="4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</row>
    <row r="627" spans="1:54" x14ac:dyDescent="0.25">
      <c r="A627" s="40"/>
      <c r="B627" s="4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</row>
    <row r="628" spans="1:54" x14ac:dyDescent="0.25">
      <c r="A628" s="40"/>
      <c r="B628" s="4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</row>
    <row r="629" spans="1:54" x14ac:dyDescent="0.25">
      <c r="A629" s="40"/>
      <c r="B629" s="4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</row>
    <row r="630" spans="1:54" x14ac:dyDescent="0.25">
      <c r="A630" s="40"/>
      <c r="B630" s="4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</row>
    <row r="631" spans="1:54" x14ac:dyDescent="0.25">
      <c r="A631" s="40"/>
      <c r="B631" s="4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</row>
    <row r="632" spans="1:54" x14ac:dyDescent="0.25">
      <c r="A632" s="40"/>
      <c r="B632" s="4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</row>
    <row r="633" spans="1:54" x14ac:dyDescent="0.25">
      <c r="A633" s="40"/>
      <c r="B633" s="4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</row>
    <row r="634" spans="1:54" x14ac:dyDescent="0.25">
      <c r="A634" s="40"/>
      <c r="B634" s="4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</row>
    <row r="635" spans="1:54" x14ac:dyDescent="0.25">
      <c r="A635" s="40"/>
      <c r="B635" s="4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</row>
    <row r="636" spans="1:54" x14ac:dyDescent="0.25">
      <c r="A636" s="40"/>
      <c r="B636" s="4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</row>
    <row r="637" spans="1:54" x14ac:dyDescent="0.25">
      <c r="A637" s="40"/>
      <c r="B637" s="4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</row>
    <row r="638" spans="1:54" x14ac:dyDescent="0.25">
      <c r="A638" s="40"/>
      <c r="B638" s="4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</row>
    <row r="639" spans="1:54" x14ac:dyDescent="0.25">
      <c r="A639" s="40"/>
      <c r="B639" s="4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</row>
    <row r="640" spans="1:54" x14ac:dyDescent="0.25">
      <c r="A640" s="40"/>
      <c r="B640" s="4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</row>
    <row r="641" spans="1:54" x14ac:dyDescent="0.25">
      <c r="A641" s="40"/>
      <c r="B641" s="4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</row>
    <row r="642" spans="1:54" x14ac:dyDescent="0.25">
      <c r="A642" s="40"/>
      <c r="B642" s="4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</row>
    <row r="643" spans="1:54" x14ac:dyDescent="0.25">
      <c r="A643" s="40"/>
      <c r="B643" s="4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</row>
    <row r="644" spans="1:54" x14ac:dyDescent="0.25">
      <c r="A644" s="40"/>
      <c r="B644" s="4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</row>
    <row r="645" spans="1:54" x14ac:dyDescent="0.25">
      <c r="A645" s="40"/>
      <c r="B645" s="4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</row>
    <row r="646" spans="1:54" x14ac:dyDescent="0.25">
      <c r="A646" s="40"/>
      <c r="B646" s="4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</row>
    <row r="647" spans="1:54" x14ac:dyDescent="0.25">
      <c r="A647" s="40"/>
      <c r="B647" s="4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</row>
    <row r="648" spans="1:54" x14ac:dyDescent="0.25">
      <c r="A648" s="40"/>
      <c r="B648" s="4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</row>
    <row r="649" spans="1:54" x14ac:dyDescent="0.25">
      <c r="A649" s="40"/>
      <c r="B649" s="4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</row>
    <row r="650" spans="1:54" x14ac:dyDescent="0.25">
      <c r="A650" s="40"/>
      <c r="B650" s="4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</row>
    <row r="651" spans="1:54" x14ac:dyDescent="0.25">
      <c r="A651" s="40"/>
      <c r="B651" s="4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</row>
    <row r="652" spans="1:54" x14ac:dyDescent="0.25">
      <c r="A652" s="40"/>
      <c r="B652" s="4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</row>
    <row r="653" spans="1:54" x14ac:dyDescent="0.25">
      <c r="A653" s="40"/>
      <c r="B653" s="4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</row>
    <row r="654" spans="1:54" x14ac:dyDescent="0.25">
      <c r="A654" s="40"/>
      <c r="B654" s="4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</row>
    <row r="655" spans="1:54" x14ac:dyDescent="0.25">
      <c r="A655" s="40"/>
      <c r="B655" s="4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</row>
    <row r="656" spans="1:54" x14ac:dyDescent="0.25">
      <c r="A656" s="40"/>
      <c r="B656" s="4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</row>
    <row r="657" spans="1:54" x14ac:dyDescent="0.25">
      <c r="A657" s="40"/>
      <c r="B657" s="4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</row>
    <row r="658" spans="1:54" x14ac:dyDescent="0.25">
      <c r="A658" s="40"/>
      <c r="B658" s="4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</row>
    <row r="659" spans="1:54" x14ac:dyDescent="0.25">
      <c r="A659" s="40"/>
      <c r="B659" s="4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</row>
    <row r="660" spans="1:54" x14ac:dyDescent="0.25">
      <c r="A660" s="40"/>
      <c r="B660" s="4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</row>
    <row r="661" spans="1:54" x14ac:dyDescent="0.25">
      <c r="A661" s="40"/>
      <c r="B661" s="4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</row>
    <row r="662" spans="1:54" x14ac:dyDescent="0.25">
      <c r="A662" s="40"/>
      <c r="B662" s="4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</row>
    <row r="663" spans="1:54" x14ac:dyDescent="0.25">
      <c r="A663" s="40"/>
      <c r="B663" s="4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</row>
    <row r="664" spans="1:54" x14ac:dyDescent="0.25">
      <c r="A664" s="40"/>
      <c r="B664" s="4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</row>
    <row r="665" spans="1:54" x14ac:dyDescent="0.25">
      <c r="A665" s="40"/>
      <c r="B665" s="4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</row>
    <row r="666" spans="1:54" x14ac:dyDescent="0.25">
      <c r="A666" s="40"/>
      <c r="B666" s="4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</row>
    <row r="667" spans="1:54" x14ac:dyDescent="0.25">
      <c r="A667" s="40"/>
      <c r="B667" s="4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</row>
    <row r="668" spans="1:54" x14ac:dyDescent="0.25">
      <c r="A668" s="40"/>
      <c r="B668" s="4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</row>
    <row r="669" spans="1:54" x14ac:dyDescent="0.25">
      <c r="A669" s="40"/>
      <c r="B669" s="4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</row>
    <row r="670" spans="1:54" x14ac:dyDescent="0.25">
      <c r="A670" s="40"/>
      <c r="B670" s="4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</row>
    <row r="671" spans="1:54" x14ac:dyDescent="0.25">
      <c r="A671" s="40"/>
      <c r="B671" s="4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</row>
    <row r="672" spans="1:54" x14ac:dyDescent="0.25">
      <c r="A672" s="40"/>
      <c r="B672" s="4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</row>
    <row r="673" spans="1:54" x14ac:dyDescent="0.25">
      <c r="A673" s="40"/>
      <c r="B673" s="4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</row>
    <row r="674" spans="1:54" x14ac:dyDescent="0.25">
      <c r="A674" s="40"/>
      <c r="B674" s="4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</row>
    <row r="675" spans="1:54" x14ac:dyDescent="0.25">
      <c r="A675" s="40"/>
      <c r="B675" s="4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</row>
    <row r="676" spans="1:54" x14ac:dyDescent="0.25">
      <c r="A676" s="40"/>
      <c r="B676" s="4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</row>
    <row r="677" spans="1:54" x14ac:dyDescent="0.25">
      <c r="A677" s="40"/>
      <c r="B677" s="4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</row>
    <row r="678" spans="1:54" x14ac:dyDescent="0.25">
      <c r="A678" s="40"/>
      <c r="B678" s="4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</row>
    <row r="679" spans="1:54" x14ac:dyDescent="0.25">
      <c r="A679" s="40"/>
      <c r="B679" s="4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</row>
    <row r="680" spans="1:54" x14ac:dyDescent="0.25">
      <c r="A680" s="40"/>
      <c r="B680" s="4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</row>
    <row r="681" spans="1:54" x14ac:dyDescent="0.25">
      <c r="A681" s="40"/>
      <c r="B681" s="4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</row>
    <row r="682" spans="1:54" x14ac:dyDescent="0.25">
      <c r="A682" s="40"/>
      <c r="B682" s="4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</row>
    <row r="683" spans="1:54" x14ac:dyDescent="0.25">
      <c r="A683" s="40"/>
      <c r="B683" s="4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</row>
    <row r="684" spans="1:54" x14ac:dyDescent="0.25">
      <c r="A684" s="40"/>
      <c r="B684" s="4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</row>
    <row r="685" spans="1:54" x14ac:dyDescent="0.25">
      <c r="A685" s="40"/>
      <c r="B685" s="4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</row>
    <row r="686" spans="1:54" x14ac:dyDescent="0.25">
      <c r="A686" s="40"/>
      <c r="B686" s="4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</row>
    <row r="687" spans="1:54" x14ac:dyDescent="0.25">
      <c r="A687" s="40"/>
      <c r="B687" s="4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</row>
    <row r="688" spans="1:54" x14ac:dyDescent="0.25">
      <c r="A688" s="40"/>
      <c r="B688" s="4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</row>
  </sheetData>
  <mergeCells count="1">
    <mergeCell ref="A4:C4"/>
  </mergeCells>
  <phoneticPr fontId="3" type="noConversion"/>
  <conditionalFormatting sqref="A8:A41">
    <cfRule type="expression" dxfId="131" priority="22" stopIfTrue="1">
      <formula>$E8&gt;0</formula>
    </cfRule>
    <cfRule type="expression" dxfId="130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74"/>
  <sheetViews>
    <sheetView rightToLeft="1" zoomScale="90" workbookViewId="0"/>
  </sheetViews>
  <sheetFormatPr defaultColWidth="9.109375" defaultRowHeight="13.2" x14ac:dyDescent="0.25"/>
  <cols>
    <col min="1" max="1" width="51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7" customWidth="1"/>
    <col min="6" max="6" width="11.33203125" style="36" bestFit="1" customWidth="1"/>
    <col min="7" max="7" width="11.88671875" style="59" customWidth="1"/>
    <col min="8" max="8" width="13.6640625" style="61" customWidth="1"/>
    <col min="9" max="9" width="10" style="59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7"/>
      <c r="F1" s="36"/>
      <c r="G1" s="59"/>
      <c r="H1" s="60"/>
      <c r="I1" s="59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7"/>
      <c r="F2" s="36"/>
      <c r="G2" s="59"/>
      <c r="H2" s="60"/>
      <c r="I2" s="59"/>
      <c r="J2" s="12"/>
      <c r="K2" s="14"/>
    </row>
    <row r="3" spans="1:11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36"/>
      <c r="G3" s="59"/>
      <c r="H3" s="60"/>
      <c r="I3" s="59"/>
      <c r="J3" s="12"/>
      <c r="K3" s="14"/>
    </row>
    <row r="4" spans="1:11" s="7" customFormat="1" x14ac:dyDescent="0.25">
      <c r="A4" s="213" t="s">
        <v>4</v>
      </c>
      <c r="B4" s="214"/>
      <c r="C4" s="214"/>
      <c r="D4" s="214"/>
      <c r="E4" s="214"/>
      <c r="F4" s="214"/>
      <c r="G4" s="214"/>
      <c r="H4" s="214"/>
      <c r="I4" s="214"/>
      <c r="J4" s="214"/>
      <c r="K4" s="215"/>
    </row>
    <row r="5" spans="1:11" s="7" customFormat="1" x14ac:dyDescent="0.25">
      <c r="A5" s="83" t="s">
        <v>157</v>
      </c>
      <c r="B5" s="197" t="s">
        <v>69</v>
      </c>
      <c r="C5" s="197" t="s">
        <v>74</v>
      </c>
      <c r="D5" s="197" t="s">
        <v>70</v>
      </c>
      <c r="E5" s="197" t="s">
        <v>5</v>
      </c>
      <c r="F5" s="197" t="s">
        <v>6</v>
      </c>
      <c r="G5" s="198" t="s">
        <v>66</v>
      </c>
      <c r="H5" s="198" t="s">
        <v>71</v>
      </c>
      <c r="I5" s="198" t="s">
        <v>7</v>
      </c>
      <c r="J5" s="86" t="s">
        <v>75</v>
      </c>
      <c r="K5" s="87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7" t="s">
        <v>9</v>
      </c>
      <c r="H6" s="47" t="s">
        <v>9</v>
      </c>
      <c r="I6" s="47" t="s">
        <v>10</v>
      </c>
      <c r="J6" s="46" t="s">
        <v>9</v>
      </c>
      <c r="K6" s="48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2" customFormat="1" ht="12.75" customHeight="1" thickBot="1" x14ac:dyDescent="0.3">
      <c r="A8" s="69" t="s">
        <v>78</v>
      </c>
      <c r="B8" s="113"/>
      <c r="C8" s="113"/>
      <c r="D8" s="113"/>
      <c r="E8" s="113"/>
      <c r="F8" s="113"/>
      <c r="G8" s="113"/>
      <c r="H8" s="113"/>
      <c r="I8" s="77">
        <v>7467.1365689000004</v>
      </c>
      <c r="J8" s="74">
        <v>1</v>
      </c>
      <c r="K8" s="56">
        <v>7.2006322468039383E-2</v>
      </c>
    </row>
    <row r="9" spans="1:11" s="112" customFormat="1" x14ac:dyDescent="0.25">
      <c r="A9" s="88" t="s">
        <v>247</v>
      </c>
      <c r="B9" s="114" t="s">
        <v>248</v>
      </c>
      <c r="C9" s="114" t="s">
        <v>248</v>
      </c>
      <c r="D9" s="115" t="s">
        <v>248</v>
      </c>
      <c r="E9" s="115" t="s">
        <v>248</v>
      </c>
      <c r="F9" s="115" t="s">
        <v>248</v>
      </c>
      <c r="G9" s="114" t="s">
        <v>248</v>
      </c>
      <c r="H9" s="114" t="s">
        <v>248</v>
      </c>
      <c r="I9" s="116">
        <v>6200.3117887000008</v>
      </c>
      <c r="J9" s="114">
        <v>0.83034664378897005</v>
      </c>
      <c r="K9" s="114">
        <v>5.9790208192922814E-2</v>
      </c>
    </row>
    <row r="10" spans="1:11" s="112" customFormat="1" x14ac:dyDescent="0.25">
      <c r="A10" s="89" t="s">
        <v>249</v>
      </c>
      <c r="B10" s="114" t="s">
        <v>248</v>
      </c>
      <c r="C10" s="114" t="s">
        <v>248</v>
      </c>
      <c r="D10" s="115" t="s">
        <v>248</v>
      </c>
      <c r="E10" s="115" t="s">
        <v>248</v>
      </c>
      <c r="F10" s="115" t="s">
        <v>248</v>
      </c>
      <c r="G10" s="114" t="s">
        <v>248</v>
      </c>
      <c r="H10" s="114" t="s">
        <v>248</v>
      </c>
      <c r="I10" s="117">
        <v>4396.6026981000005</v>
      </c>
      <c r="J10" s="114">
        <v>0.58879366374675446</v>
      </c>
      <c r="K10" s="114">
        <v>4.2396866418887152E-2</v>
      </c>
    </row>
    <row r="11" spans="1:11" x14ac:dyDescent="0.25">
      <c r="A11" s="16" t="s">
        <v>828</v>
      </c>
      <c r="B11" s="32" t="s">
        <v>250</v>
      </c>
      <c r="C11" s="32" t="s">
        <v>251</v>
      </c>
      <c r="D11" s="63" t="s">
        <v>252</v>
      </c>
      <c r="E11" s="63" t="s">
        <v>253</v>
      </c>
      <c r="F11" s="63" t="s">
        <v>254</v>
      </c>
      <c r="G11" s="32">
        <v>0</v>
      </c>
      <c r="H11" s="32">
        <v>0</v>
      </c>
      <c r="I11" s="81">
        <v>43.635280000000002</v>
      </c>
      <c r="J11" s="32">
        <v>5.8436429543470914E-3</v>
      </c>
      <c r="K11" s="32">
        <v>4.2077923895880303E-4</v>
      </c>
    </row>
    <row r="12" spans="1:11" x14ac:dyDescent="0.25">
      <c r="A12" s="16" t="s">
        <v>828</v>
      </c>
      <c r="B12" s="32" t="s">
        <v>266</v>
      </c>
      <c r="C12" s="32" t="s">
        <v>251</v>
      </c>
      <c r="D12" s="63" t="s">
        <v>252</v>
      </c>
      <c r="E12" s="63" t="s">
        <v>253</v>
      </c>
      <c r="F12" s="63" t="s">
        <v>254</v>
      </c>
      <c r="G12" s="32">
        <v>0</v>
      </c>
      <c r="H12" s="32">
        <v>0</v>
      </c>
      <c r="I12" s="81">
        <v>128.41495</v>
      </c>
      <c r="J12" s="32">
        <v>1.7197348517079162E-2</v>
      </c>
      <c r="K12" s="32">
        <v>1.2383178229160611E-3</v>
      </c>
    </row>
    <row r="13" spans="1:11" x14ac:dyDescent="0.25">
      <c r="A13" s="16" t="s">
        <v>828</v>
      </c>
      <c r="B13" s="32" t="s">
        <v>274</v>
      </c>
      <c r="C13" s="32" t="s">
        <v>251</v>
      </c>
      <c r="D13" s="63" t="s">
        <v>252</v>
      </c>
      <c r="E13" s="63" t="s">
        <v>253</v>
      </c>
      <c r="F13" s="63" t="s">
        <v>254</v>
      </c>
      <c r="G13" s="32">
        <v>0</v>
      </c>
      <c r="H13" s="32">
        <v>0</v>
      </c>
      <c r="I13" s="81">
        <v>0.57201999999999997</v>
      </c>
      <c r="J13" s="32">
        <v>7.6605000420430972E-5</v>
      </c>
      <c r="K13" s="32">
        <v>5.516044362937845E-6</v>
      </c>
    </row>
    <row r="14" spans="1:11" x14ac:dyDescent="0.25">
      <c r="A14" s="16" t="s">
        <v>841</v>
      </c>
      <c r="B14" s="32" t="s">
        <v>255</v>
      </c>
      <c r="C14" s="32" t="s">
        <v>256</v>
      </c>
      <c r="D14" s="63" t="s">
        <v>252</v>
      </c>
      <c r="E14" s="63" t="s">
        <v>253</v>
      </c>
      <c r="F14" s="63" t="s">
        <v>254</v>
      </c>
      <c r="G14" s="32">
        <v>0</v>
      </c>
      <c r="H14" s="32">
        <v>0</v>
      </c>
      <c r="I14" s="81">
        <v>362.97559000000001</v>
      </c>
      <c r="J14" s="32">
        <v>4.8609743058907348E-2</v>
      </c>
      <c r="K14" s="32">
        <v>3.5002088337882215E-3</v>
      </c>
    </row>
    <row r="15" spans="1:11" x14ac:dyDescent="0.25">
      <c r="A15" s="16" t="s">
        <v>841</v>
      </c>
      <c r="B15" s="32" t="s">
        <v>265</v>
      </c>
      <c r="C15" s="32" t="s">
        <v>256</v>
      </c>
      <c r="D15" s="63" t="s">
        <v>252</v>
      </c>
      <c r="E15" s="63" t="s">
        <v>253</v>
      </c>
      <c r="F15" s="63" t="s">
        <v>254</v>
      </c>
      <c r="G15" s="32">
        <v>0</v>
      </c>
      <c r="H15" s="32">
        <v>0</v>
      </c>
      <c r="I15" s="81">
        <v>62.717220000000005</v>
      </c>
      <c r="J15" s="32">
        <v>8.3990990952558676E-3</v>
      </c>
      <c r="K15" s="32">
        <v>6.0478823789401198E-4</v>
      </c>
    </row>
    <row r="16" spans="1:11" x14ac:dyDescent="0.25">
      <c r="A16" s="16" t="s">
        <v>842</v>
      </c>
      <c r="B16" s="32" t="s">
        <v>271</v>
      </c>
      <c r="C16" s="32" t="s">
        <v>256</v>
      </c>
      <c r="D16" s="63" t="s">
        <v>252</v>
      </c>
      <c r="E16" s="63" t="s">
        <v>253</v>
      </c>
      <c r="F16" s="63" t="s">
        <v>254</v>
      </c>
      <c r="G16" s="32">
        <v>0</v>
      </c>
      <c r="H16" s="32">
        <v>0</v>
      </c>
      <c r="I16" s="81">
        <v>0.12207</v>
      </c>
      <c r="J16" s="32">
        <v>1.6347631903293605E-5</v>
      </c>
      <c r="K16" s="32">
        <v>1.177132854417368E-6</v>
      </c>
    </row>
    <row r="17" spans="1:11" x14ac:dyDescent="0.25">
      <c r="A17" s="16" t="s">
        <v>833</v>
      </c>
      <c r="B17" s="32" t="s">
        <v>263</v>
      </c>
      <c r="C17" s="32" t="s">
        <v>264</v>
      </c>
      <c r="D17" s="63" t="s">
        <v>252</v>
      </c>
      <c r="E17" s="63" t="s">
        <v>253</v>
      </c>
      <c r="F17" s="63" t="s">
        <v>254</v>
      </c>
      <c r="G17" s="32">
        <v>0</v>
      </c>
      <c r="H17" s="32">
        <v>0</v>
      </c>
      <c r="I17" s="81">
        <v>0.42764999999999997</v>
      </c>
      <c r="J17" s="32">
        <v>5.7270949319599492E-5</v>
      </c>
      <c r="K17" s="32">
        <v>4.1238704447578221E-6</v>
      </c>
    </row>
    <row r="18" spans="1:11" x14ac:dyDescent="0.25">
      <c r="A18" s="16" t="s">
        <v>833</v>
      </c>
      <c r="B18" s="32" t="s">
        <v>278</v>
      </c>
      <c r="C18" s="32" t="s">
        <v>264</v>
      </c>
      <c r="D18" s="63" t="s">
        <v>252</v>
      </c>
      <c r="E18" s="63" t="s">
        <v>253</v>
      </c>
      <c r="F18" s="63" t="s">
        <v>254</v>
      </c>
      <c r="G18" s="32">
        <v>0</v>
      </c>
      <c r="H18" s="32">
        <v>0</v>
      </c>
      <c r="I18" s="81">
        <v>8.1979999999999997E-2</v>
      </c>
      <c r="J18" s="32">
        <v>1.0978773354894814E-5</v>
      </c>
      <c r="K18" s="32">
        <v>7.9054109449607446E-7</v>
      </c>
    </row>
    <row r="19" spans="1:11" x14ac:dyDescent="0.25">
      <c r="A19" s="16" t="s">
        <v>838</v>
      </c>
      <c r="B19" s="32" t="s">
        <v>279</v>
      </c>
      <c r="C19" s="32" t="s">
        <v>264</v>
      </c>
      <c r="D19" s="63" t="s">
        <v>252</v>
      </c>
      <c r="E19" s="63" t="s">
        <v>253</v>
      </c>
      <c r="F19" s="63" t="s">
        <v>254</v>
      </c>
      <c r="G19" s="32">
        <v>0</v>
      </c>
      <c r="H19" s="32">
        <v>0</v>
      </c>
      <c r="I19" s="81">
        <v>0</v>
      </c>
      <c r="J19" s="32">
        <v>0</v>
      </c>
      <c r="K19" s="32">
        <v>0</v>
      </c>
    </row>
    <row r="20" spans="1:11" x14ac:dyDescent="0.25">
      <c r="A20" s="16" t="s">
        <v>843</v>
      </c>
      <c r="B20" s="32" t="s">
        <v>257</v>
      </c>
      <c r="C20" s="32" t="s">
        <v>258</v>
      </c>
      <c r="D20" s="63" t="s">
        <v>252</v>
      </c>
      <c r="E20" s="63" t="s">
        <v>253</v>
      </c>
      <c r="F20" s="63" t="s">
        <v>254</v>
      </c>
      <c r="G20" s="32">
        <v>0</v>
      </c>
      <c r="H20" s="32">
        <v>0</v>
      </c>
      <c r="I20" s="81">
        <v>3787.160018</v>
      </c>
      <c r="J20" s="32">
        <v>0.50717701264139259</v>
      </c>
      <c r="K20" s="32">
        <v>3.6519951520632997E-2</v>
      </c>
    </row>
    <row r="21" spans="1:11" x14ac:dyDescent="0.25">
      <c r="A21" s="16" t="s">
        <v>843</v>
      </c>
      <c r="B21" s="32" t="s">
        <v>267</v>
      </c>
      <c r="C21" s="32" t="s">
        <v>258</v>
      </c>
      <c r="D21" s="63" t="s">
        <v>252</v>
      </c>
      <c r="E21" s="63" t="s">
        <v>253</v>
      </c>
      <c r="F21" s="63" t="s">
        <v>254</v>
      </c>
      <c r="G21" s="32">
        <v>0</v>
      </c>
      <c r="H21" s="32">
        <v>0</v>
      </c>
      <c r="I21" s="81">
        <v>0.64688999999999997</v>
      </c>
      <c r="J21" s="32">
        <v>8.6631601555841738E-5</v>
      </c>
      <c r="K21" s="32">
        <v>6.2380230375526423E-6</v>
      </c>
    </row>
    <row r="22" spans="1:11" x14ac:dyDescent="0.25">
      <c r="A22" s="16" t="s">
        <v>843</v>
      </c>
      <c r="B22" s="32" t="s">
        <v>268</v>
      </c>
      <c r="C22" s="32" t="s">
        <v>258</v>
      </c>
      <c r="D22" s="63" t="s">
        <v>252</v>
      </c>
      <c r="E22" s="63" t="s">
        <v>253</v>
      </c>
      <c r="F22" s="63" t="s">
        <v>254</v>
      </c>
      <c r="G22" s="32">
        <v>0</v>
      </c>
      <c r="H22" s="32">
        <v>0</v>
      </c>
      <c r="I22" s="81">
        <v>0.79864000000000002</v>
      </c>
      <c r="J22" s="32">
        <v>1.0695398331487183E-4</v>
      </c>
      <c r="K22" s="32">
        <v>7.7013630118119669E-6</v>
      </c>
    </row>
    <row r="23" spans="1:11" x14ac:dyDescent="0.25">
      <c r="A23" s="16" t="s">
        <v>844</v>
      </c>
      <c r="B23" s="32" t="s">
        <v>269</v>
      </c>
      <c r="C23" s="32" t="s">
        <v>258</v>
      </c>
      <c r="D23" s="63" t="s">
        <v>252</v>
      </c>
      <c r="E23" s="63" t="s">
        <v>253</v>
      </c>
      <c r="F23" s="63" t="s">
        <v>254</v>
      </c>
      <c r="G23" s="32">
        <v>0</v>
      </c>
      <c r="H23" s="32">
        <v>0</v>
      </c>
      <c r="I23" s="81">
        <v>3.9880000000000006E-2</v>
      </c>
      <c r="J23" s="32">
        <v>5.3407353182874499E-6</v>
      </c>
      <c r="K23" s="32">
        <v>3.8456670954505314E-7</v>
      </c>
    </row>
    <row r="24" spans="1:11" x14ac:dyDescent="0.25">
      <c r="A24" s="16" t="s">
        <v>844</v>
      </c>
      <c r="B24" s="32" t="s">
        <v>270</v>
      </c>
      <c r="C24" s="32" t="s">
        <v>258</v>
      </c>
      <c r="D24" s="63" t="s">
        <v>252</v>
      </c>
      <c r="E24" s="63" t="s">
        <v>253</v>
      </c>
      <c r="F24" s="63" t="s">
        <v>254</v>
      </c>
      <c r="G24" s="32">
        <v>0</v>
      </c>
      <c r="H24" s="32">
        <v>0</v>
      </c>
      <c r="I24" s="81">
        <v>8.2574599999999982</v>
      </c>
      <c r="J24" s="32">
        <v>1.1058402272152929E-3</v>
      </c>
      <c r="K24" s="32">
        <v>7.9627487998994325E-5</v>
      </c>
    </row>
    <row r="25" spans="1:11" x14ac:dyDescent="0.25">
      <c r="A25" s="16" t="s">
        <v>845</v>
      </c>
      <c r="B25" s="32" t="s">
        <v>272</v>
      </c>
      <c r="C25" s="32" t="s">
        <v>273</v>
      </c>
      <c r="D25" s="63" t="s">
        <v>252</v>
      </c>
      <c r="E25" s="63" t="s">
        <v>253</v>
      </c>
      <c r="F25" s="63" t="s">
        <v>254</v>
      </c>
      <c r="G25" s="32">
        <v>0</v>
      </c>
      <c r="H25" s="32">
        <v>0</v>
      </c>
      <c r="I25" s="81">
        <v>9.1699999999999993E-3</v>
      </c>
      <c r="J25" s="32">
        <v>1.2280477148619839E-6</v>
      </c>
      <c r="K25" s="32">
        <v>8.8427199762490889E-8</v>
      </c>
    </row>
    <row r="26" spans="1:11" x14ac:dyDescent="0.25">
      <c r="A26" s="16" t="s">
        <v>845</v>
      </c>
      <c r="B26" s="32" t="s">
        <v>275</v>
      </c>
      <c r="C26" s="32" t="s">
        <v>273</v>
      </c>
      <c r="D26" s="63" t="s">
        <v>252</v>
      </c>
      <c r="E26" s="63" t="s">
        <v>253</v>
      </c>
      <c r="F26" s="63" t="s">
        <v>254</v>
      </c>
      <c r="G26" s="32">
        <v>0</v>
      </c>
      <c r="H26" s="32">
        <v>0</v>
      </c>
      <c r="I26" s="81">
        <v>4.3319999999999997E-2</v>
      </c>
      <c r="J26" s="32">
        <v>5.801420611539928E-6</v>
      </c>
      <c r="K26" s="32">
        <v>4.1773896332727429E-7</v>
      </c>
    </row>
    <row r="27" spans="1:11" x14ac:dyDescent="0.25">
      <c r="A27" s="16" t="s">
        <v>829</v>
      </c>
      <c r="B27" s="32" t="s">
        <v>259</v>
      </c>
      <c r="C27" s="32" t="s">
        <v>260</v>
      </c>
      <c r="D27" s="63" t="s">
        <v>261</v>
      </c>
      <c r="E27" s="63" t="s">
        <v>262</v>
      </c>
      <c r="F27" s="63" t="s">
        <v>254</v>
      </c>
      <c r="G27" s="32">
        <v>0</v>
      </c>
      <c r="H27" s="32">
        <v>0</v>
      </c>
      <c r="I27" s="81">
        <v>0.68079999999999996</v>
      </c>
      <c r="J27" s="32">
        <v>9.1172833618106714E-5</v>
      </c>
      <c r="K27" s="32">
        <v>6.5650204578302937E-6</v>
      </c>
    </row>
    <row r="28" spans="1:11" x14ac:dyDescent="0.25">
      <c r="A28" s="16" t="s">
        <v>829</v>
      </c>
      <c r="B28" s="32" t="s">
        <v>276</v>
      </c>
      <c r="C28" s="32" t="s">
        <v>260</v>
      </c>
      <c r="D28" s="63" t="s">
        <v>261</v>
      </c>
      <c r="E28" s="63" t="s">
        <v>262</v>
      </c>
      <c r="F28" s="63" t="s">
        <v>254</v>
      </c>
      <c r="G28" s="32">
        <v>0</v>
      </c>
      <c r="H28" s="32">
        <v>0</v>
      </c>
      <c r="I28" s="81">
        <v>7.0999999999999991E-4</v>
      </c>
      <c r="J28" s="32">
        <v>9.5083301805017279E-8</v>
      </c>
      <c r="K28" s="32">
        <v>6.8465988910979852E-9</v>
      </c>
    </row>
    <row r="29" spans="1:11" x14ac:dyDescent="0.25">
      <c r="A29" s="16" t="s">
        <v>829</v>
      </c>
      <c r="B29" s="32" t="s">
        <v>277</v>
      </c>
      <c r="C29" s="32" t="s">
        <v>260</v>
      </c>
      <c r="D29" s="63" t="s">
        <v>261</v>
      </c>
      <c r="E29" s="63" t="s">
        <v>262</v>
      </c>
      <c r="F29" s="63" t="s">
        <v>254</v>
      </c>
      <c r="G29" s="32">
        <v>0</v>
      </c>
      <c r="H29" s="32">
        <v>0</v>
      </c>
      <c r="I29" s="81">
        <v>1.8710000000000001E-2</v>
      </c>
      <c r="J29" s="32">
        <v>2.5056458827772865E-6</v>
      </c>
      <c r="K29" s="32">
        <v>1.8042234542597653E-7</v>
      </c>
    </row>
    <row r="30" spans="1:11" s="112" customFormat="1" x14ac:dyDescent="0.25">
      <c r="A30" s="89" t="s">
        <v>280</v>
      </c>
      <c r="B30" s="114" t="s">
        <v>248</v>
      </c>
      <c r="C30" s="114" t="s">
        <v>248</v>
      </c>
      <c r="D30" s="115" t="s">
        <v>248</v>
      </c>
      <c r="E30" s="115" t="s">
        <v>248</v>
      </c>
      <c r="F30" s="115" t="s">
        <v>248</v>
      </c>
      <c r="G30" s="114" t="s">
        <v>248</v>
      </c>
      <c r="H30" s="114" t="s">
        <v>248</v>
      </c>
      <c r="I30" s="117">
        <v>804.09092009999983</v>
      </c>
      <c r="J30" s="114">
        <v>0.1076839713162568</v>
      </c>
      <c r="K30" s="114">
        <v>7.753926763237491E-3</v>
      </c>
    </row>
    <row r="31" spans="1:11" x14ac:dyDescent="0.25">
      <c r="A31" s="16" t="s">
        <v>830</v>
      </c>
      <c r="B31" s="32" t="s">
        <v>281</v>
      </c>
      <c r="C31" s="32" t="s">
        <v>251</v>
      </c>
      <c r="D31" s="63" t="s">
        <v>252</v>
      </c>
      <c r="E31" s="63" t="s">
        <v>253</v>
      </c>
      <c r="F31" s="63" t="s">
        <v>125</v>
      </c>
      <c r="G31" s="32">
        <v>0</v>
      </c>
      <c r="H31" s="32">
        <v>0</v>
      </c>
      <c r="I31" s="81">
        <v>47.784469999999999</v>
      </c>
      <c r="J31" s="32">
        <v>6.3993030740884431E-3</v>
      </c>
      <c r="K31" s="32">
        <v>4.6079028072352817E-4</v>
      </c>
    </row>
    <row r="32" spans="1:11" x14ac:dyDescent="0.25">
      <c r="A32" s="16" t="s">
        <v>830</v>
      </c>
      <c r="B32" s="32" t="s">
        <v>288</v>
      </c>
      <c r="C32" s="32" t="s">
        <v>251</v>
      </c>
      <c r="D32" s="63" t="s">
        <v>252</v>
      </c>
      <c r="E32" s="63" t="s">
        <v>253</v>
      </c>
      <c r="F32" s="63" t="s">
        <v>125</v>
      </c>
      <c r="G32" s="32">
        <v>0</v>
      </c>
      <c r="H32" s="32">
        <v>0</v>
      </c>
      <c r="I32" s="81">
        <v>0.57464000000000004</v>
      </c>
      <c r="J32" s="32">
        <v>7.6955871196105827E-5</v>
      </c>
      <c r="K32" s="32">
        <v>5.5413092771557002E-6</v>
      </c>
    </row>
    <row r="33" spans="1:11" x14ac:dyDescent="0.25">
      <c r="A33" s="16" t="s">
        <v>839</v>
      </c>
      <c r="B33" s="32" t="s">
        <v>296</v>
      </c>
      <c r="C33" s="32" t="s">
        <v>251</v>
      </c>
      <c r="D33" s="63" t="s">
        <v>252</v>
      </c>
      <c r="E33" s="63" t="s">
        <v>253</v>
      </c>
      <c r="F33" s="63" t="s">
        <v>125</v>
      </c>
      <c r="G33" s="32">
        <v>0</v>
      </c>
      <c r="H33" s="32">
        <v>0</v>
      </c>
      <c r="I33" s="81">
        <v>-10.320620000000002</v>
      </c>
      <c r="J33" s="32">
        <v>-1.3821389102463347E-3</v>
      </c>
      <c r="K33" s="32">
        <v>-9.9522740066822129E-5</v>
      </c>
    </row>
    <row r="34" spans="1:11" x14ac:dyDescent="0.25">
      <c r="A34" s="16" t="s">
        <v>846</v>
      </c>
      <c r="B34" s="32" t="s">
        <v>282</v>
      </c>
      <c r="C34" s="32" t="s">
        <v>256</v>
      </c>
      <c r="D34" s="63" t="s">
        <v>252</v>
      </c>
      <c r="E34" s="63" t="s">
        <v>253</v>
      </c>
      <c r="F34" s="63" t="s">
        <v>125</v>
      </c>
      <c r="G34" s="32">
        <v>0</v>
      </c>
      <c r="H34" s="32">
        <v>0</v>
      </c>
      <c r="I34" s="81">
        <v>385.02552000000003</v>
      </c>
      <c r="J34" s="32">
        <v>5.1562672846188339E-2</v>
      </c>
      <c r="K34" s="32">
        <v>3.7128384482766558E-3</v>
      </c>
    </row>
    <row r="35" spans="1:11" x14ac:dyDescent="0.25">
      <c r="A35" s="16" t="s">
        <v>847</v>
      </c>
      <c r="B35" s="32" t="s">
        <v>289</v>
      </c>
      <c r="C35" s="32" t="s">
        <v>256</v>
      </c>
      <c r="D35" s="63" t="s">
        <v>252</v>
      </c>
      <c r="E35" s="63" t="s">
        <v>253</v>
      </c>
      <c r="F35" s="63" t="s">
        <v>125</v>
      </c>
      <c r="G35" s="32">
        <v>0</v>
      </c>
      <c r="H35" s="32">
        <v>0</v>
      </c>
      <c r="I35" s="81">
        <v>2.4986999999999999</v>
      </c>
      <c r="J35" s="32">
        <v>3.3462626228196717E-4</v>
      </c>
      <c r="K35" s="32">
        <v>2.4095206548150052E-5</v>
      </c>
    </row>
    <row r="36" spans="1:11" x14ac:dyDescent="0.25">
      <c r="A36" s="16" t="s">
        <v>848</v>
      </c>
      <c r="B36" s="32" t="s">
        <v>283</v>
      </c>
      <c r="C36" s="32" t="s">
        <v>258</v>
      </c>
      <c r="D36" s="63" t="s">
        <v>252</v>
      </c>
      <c r="E36" s="63" t="s">
        <v>253</v>
      </c>
      <c r="F36" s="63" t="s">
        <v>125</v>
      </c>
      <c r="G36" s="32">
        <v>0</v>
      </c>
      <c r="H36" s="32">
        <v>0</v>
      </c>
      <c r="I36" s="81">
        <v>218.73639</v>
      </c>
      <c r="J36" s="32">
        <v>2.9293208712830938E-2</v>
      </c>
      <c r="K36" s="32">
        <v>2.1092962326996856E-3</v>
      </c>
    </row>
    <row r="37" spans="1:11" x14ac:dyDescent="0.25">
      <c r="A37" s="16" t="s">
        <v>849</v>
      </c>
      <c r="B37" s="32" t="s">
        <v>285</v>
      </c>
      <c r="C37" s="32" t="s">
        <v>258</v>
      </c>
      <c r="D37" s="63" t="s">
        <v>252</v>
      </c>
      <c r="E37" s="63" t="s">
        <v>253</v>
      </c>
      <c r="F37" s="63" t="s">
        <v>126</v>
      </c>
      <c r="G37" s="32">
        <v>0</v>
      </c>
      <c r="H37" s="32">
        <v>0</v>
      </c>
      <c r="I37" s="81">
        <v>12.16039</v>
      </c>
      <c r="J37" s="32">
        <v>1.6285211724460763E-3</v>
      </c>
      <c r="K37" s="32">
        <v>1.1726382068918174E-4</v>
      </c>
    </row>
    <row r="38" spans="1:11" x14ac:dyDescent="0.25">
      <c r="A38" s="16" t="s">
        <v>848</v>
      </c>
      <c r="B38" s="32" t="s">
        <v>286</v>
      </c>
      <c r="C38" s="32" t="s">
        <v>258</v>
      </c>
      <c r="D38" s="63" t="s">
        <v>252</v>
      </c>
      <c r="E38" s="63" t="s">
        <v>253</v>
      </c>
      <c r="F38" s="63" t="s">
        <v>125</v>
      </c>
      <c r="G38" s="32">
        <v>0</v>
      </c>
      <c r="H38" s="32">
        <v>0</v>
      </c>
      <c r="I38" s="81">
        <v>0</v>
      </c>
      <c r="J38" s="32">
        <v>0</v>
      </c>
      <c r="K38" s="32">
        <v>0</v>
      </c>
    </row>
    <row r="39" spans="1:11" x14ac:dyDescent="0.25">
      <c r="A39" s="16" t="s">
        <v>848</v>
      </c>
      <c r="B39" s="32" t="s">
        <v>287</v>
      </c>
      <c r="C39" s="32" t="s">
        <v>258</v>
      </c>
      <c r="D39" s="63" t="s">
        <v>252</v>
      </c>
      <c r="E39" s="63" t="s">
        <v>253</v>
      </c>
      <c r="F39" s="63" t="s">
        <v>125</v>
      </c>
      <c r="G39" s="32">
        <v>0</v>
      </c>
      <c r="H39" s="32">
        <v>0</v>
      </c>
      <c r="I39" s="81">
        <v>0.63697999999999999</v>
      </c>
      <c r="J39" s="32">
        <v>8.5304452934873115E-5</v>
      </c>
      <c r="K39" s="32">
        <v>6.1424599459881621E-6</v>
      </c>
    </row>
    <row r="40" spans="1:11" x14ac:dyDescent="0.25">
      <c r="A40" s="16" t="s">
        <v>850</v>
      </c>
      <c r="B40" s="32" t="s">
        <v>291</v>
      </c>
      <c r="C40" s="32" t="s">
        <v>258</v>
      </c>
      <c r="D40" s="63" t="s">
        <v>252</v>
      </c>
      <c r="E40" s="63" t="s">
        <v>253</v>
      </c>
      <c r="F40" s="63" t="s">
        <v>125</v>
      </c>
      <c r="G40" s="32">
        <v>0</v>
      </c>
      <c r="H40" s="32">
        <v>0</v>
      </c>
      <c r="I40" s="81">
        <v>9.1069999999999998E-2</v>
      </c>
      <c r="J40" s="32">
        <v>1.2196107458285808E-5</v>
      </c>
      <c r="K40" s="32">
        <v>8.781968464961882E-7</v>
      </c>
    </row>
    <row r="41" spans="1:11" x14ac:dyDescent="0.25">
      <c r="A41" s="16" t="s">
        <v>850</v>
      </c>
      <c r="B41" s="32" t="s">
        <v>292</v>
      </c>
      <c r="C41" s="32" t="s">
        <v>258</v>
      </c>
      <c r="D41" s="63" t="s">
        <v>252</v>
      </c>
      <c r="E41" s="63" t="s">
        <v>253</v>
      </c>
      <c r="F41" s="63" t="s">
        <v>125</v>
      </c>
      <c r="G41" s="32">
        <v>0</v>
      </c>
      <c r="H41" s="32">
        <v>0</v>
      </c>
      <c r="I41" s="81">
        <v>-3.4501300000000001</v>
      </c>
      <c r="J41" s="32">
        <v>-4.62041904304992E-4</v>
      </c>
      <c r="K41" s="32">
        <v>-3.3269938355132246E-5</v>
      </c>
    </row>
    <row r="42" spans="1:11" x14ac:dyDescent="0.25">
      <c r="A42" s="16" t="s">
        <v>851</v>
      </c>
      <c r="B42" s="32" t="s">
        <v>290</v>
      </c>
      <c r="C42" s="32" t="s">
        <v>273</v>
      </c>
      <c r="D42" s="63" t="s">
        <v>252</v>
      </c>
      <c r="E42" s="63" t="s">
        <v>253</v>
      </c>
      <c r="F42" s="63" t="s">
        <v>125</v>
      </c>
      <c r="G42" s="32">
        <v>0</v>
      </c>
      <c r="H42" s="32">
        <v>0</v>
      </c>
      <c r="I42" s="81">
        <v>0.35377999999999998</v>
      </c>
      <c r="J42" s="32">
        <v>4.7378268327576073E-5</v>
      </c>
      <c r="K42" s="32">
        <v>3.4115348671727403E-6</v>
      </c>
    </row>
    <row r="43" spans="1:11" x14ac:dyDescent="0.25">
      <c r="A43" s="16" t="s">
        <v>831</v>
      </c>
      <c r="B43" s="32" t="s">
        <v>284</v>
      </c>
      <c r="C43" s="32" t="s">
        <v>260</v>
      </c>
      <c r="D43" s="63" t="s">
        <v>261</v>
      </c>
      <c r="E43" s="63" t="s">
        <v>262</v>
      </c>
      <c r="F43" s="63" t="s">
        <v>125</v>
      </c>
      <c r="G43" s="32">
        <v>0</v>
      </c>
      <c r="H43" s="32">
        <v>0</v>
      </c>
      <c r="I43" s="81">
        <v>132.07109</v>
      </c>
      <c r="J43" s="32">
        <v>1.768697931012338E-2</v>
      </c>
      <c r="K43" s="32">
        <v>1.273574335690285E-3</v>
      </c>
    </row>
    <row r="44" spans="1:11" x14ac:dyDescent="0.25">
      <c r="A44" s="16" t="s">
        <v>831</v>
      </c>
      <c r="B44" s="32" t="s">
        <v>293</v>
      </c>
      <c r="C44" s="32" t="s">
        <v>260</v>
      </c>
      <c r="D44" s="63" t="s">
        <v>261</v>
      </c>
      <c r="E44" s="63" t="s">
        <v>262</v>
      </c>
      <c r="F44" s="63" t="s">
        <v>125</v>
      </c>
      <c r="G44" s="32">
        <v>0</v>
      </c>
      <c r="H44" s="32">
        <v>0</v>
      </c>
      <c r="I44" s="81">
        <v>2.8309999999999998E-2</v>
      </c>
      <c r="J44" s="32">
        <v>3.7912792592958299E-6</v>
      </c>
      <c r="K44" s="32">
        <v>2.7299607691124506E-7</v>
      </c>
    </row>
    <row r="45" spans="1:11" x14ac:dyDescent="0.25">
      <c r="A45" s="16" t="s">
        <v>831</v>
      </c>
      <c r="B45" s="32" t="s">
        <v>294</v>
      </c>
      <c r="C45" s="32" t="s">
        <v>260</v>
      </c>
      <c r="D45" s="63" t="s">
        <v>261</v>
      </c>
      <c r="E45" s="63" t="s">
        <v>262</v>
      </c>
      <c r="F45" s="63" t="s">
        <v>125</v>
      </c>
      <c r="G45" s="32">
        <v>0</v>
      </c>
      <c r="H45" s="32">
        <v>0</v>
      </c>
      <c r="I45" s="81">
        <v>0.14552999999999999</v>
      </c>
      <c r="J45" s="32">
        <v>1.9489398467160796E-5</v>
      </c>
      <c r="K45" s="32">
        <v>1.4033599107344928E-6</v>
      </c>
    </row>
    <row r="46" spans="1:11" x14ac:dyDescent="0.25">
      <c r="A46" s="16" t="s">
        <v>832</v>
      </c>
      <c r="B46" s="32" t="s">
        <v>295</v>
      </c>
      <c r="C46" s="32" t="s">
        <v>260</v>
      </c>
      <c r="D46" s="63" t="s">
        <v>261</v>
      </c>
      <c r="E46" s="63" t="s">
        <v>262</v>
      </c>
      <c r="F46" s="63" t="s">
        <v>125</v>
      </c>
      <c r="G46" s="32">
        <v>0</v>
      </c>
      <c r="H46" s="32">
        <v>0</v>
      </c>
      <c r="I46" s="81">
        <v>13.389089999999999</v>
      </c>
      <c r="J46" s="32">
        <v>1.7930688526261111E-3</v>
      </c>
      <c r="K46" s="32">
        <v>1.2911229400959314E-4</v>
      </c>
    </row>
    <row r="47" spans="1:11" x14ac:dyDescent="0.25">
      <c r="A47" s="16" t="s">
        <v>832</v>
      </c>
      <c r="B47" s="32" t="s">
        <v>297</v>
      </c>
      <c r="C47" s="32" t="s">
        <v>260</v>
      </c>
      <c r="D47" s="63" t="s">
        <v>261</v>
      </c>
      <c r="E47" s="63" t="s">
        <v>262</v>
      </c>
      <c r="F47" s="63" t="s">
        <v>125</v>
      </c>
      <c r="G47" s="32">
        <v>0</v>
      </c>
      <c r="H47" s="32">
        <v>0</v>
      </c>
      <c r="I47" s="81">
        <v>4.3653399999999998</v>
      </c>
      <c r="J47" s="32">
        <v>5.8460695873452698E-4</v>
      </c>
      <c r="K47" s="32">
        <v>4.2095397187698146E-5</v>
      </c>
    </row>
    <row r="48" spans="1:11" s="112" customFormat="1" x14ac:dyDescent="0.25">
      <c r="A48" s="89" t="s">
        <v>298</v>
      </c>
      <c r="B48" s="114" t="s">
        <v>248</v>
      </c>
      <c r="C48" s="114" t="s">
        <v>248</v>
      </c>
      <c r="D48" s="115" t="s">
        <v>248</v>
      </c>
      <c r="E48" s="115" t="s">
        <v>248</v>
      </c>
      <c r="F48" s="115" t="s">
        <v>248</v>
      </c>
      <c r="G48" s="114" t="s">
        <v>248</v>
      </c>
      <c r="H48" s="114" t="s">
        <v>248</v>
      </c>
      <c r="I48" s="117">
        <v>0</v>
      </c>
      <c r="J48" s="114">
        <v>0</v>
      </c>
      <c r="K48" s="114">
        <v>0</v>
      </c>
    </row>
    <row r="49" spans="1:11" s="112" customFormat="1" x14ac:dyDescent="0.25">
      <c r="A49" s="89" t="s">
        <v>299</v>
      </c>
      <c r="B49" s="114" t="s">
        <v>248</v>
      </c>
      <c r="C49" s="114" t="s">
        <v>248</v>
      </c>
      <c r="D49" s="115" t="s">
        <v>248</v>
      </c>
      <c r="E49" s="115" t="s">
        <v>248</v>
      </c>
      <c r="F49" s="115" t="s">
        <v>248</v>
      </c>
      <c r="G49" s="114" t="s">
        <v>248</v>
      </c>
      <c r="H49" s="114" t="s">
        <v>248</v>
      </c>
      <c r="I49" s="117">
        <v>0</v>
      </c>
      <c r="J49" s="114">
        <v>0</v>
      </c>
      <c r="K49" s="114">
        <v>0</v>
      </c>
    </row>
    <row r="50" spans="1:11" s="112" customFormat="1" x14ac:dyDescent="0.25">
      <c r="A50" s="89" t="s">
        <v>300</v>
      </c>
      <c r="B50" s="114" t="s">
        <v>248</v>
      </c>
      <c r="C50" s="114" t="s">
        <v>248</v>
      </c>
      <c r="D50" s="115" t="s">
        <v>248</v>
      </c>
      <c r="E50" s="115" t="s">
        <v>248</v>
      </c>
      <c r="F50" s="115" t="s">
        <v>248</v>
      </c>
      <c r="G50" s="114" t="s">
        <v>248</v>
      </c>
      <c r="H50" s="114" t="s">
        <v>248</v>
      </c>
      <c r="I50" s="117">
        <v>0</v>
      </c>
      <c r="J50" s="114">
        <v>0</v>
      </c>
      <c r="K50" s="114">
        <v>0</v>
      </c>
    </row>
    <row r="51" spans="1:11" s="112" customFormat="1" x14ac:dyDescent="0.25">
      <c r="A51" s="89" t="s">
        <v>301</v>
      </c>
      <c r="B51" s="114" t="s">
        <v>248</v>
      </c>
      <c r="C51" s="114" t="s">
        <v>248</v>
      </c>
      <c r="D51" s="115" t="s">
        <v>248</v>
      </c>
      <c r="E51" s="115" t="s">
        <v>248</v>
      </c>
      <c r="F51" s="115" t="s">
        <v>248</v>
      </c>
      <c r="G51" s="114" t="s">
        <v>248</v>
      </c>
      <c r="H51" s="114" t="s">
        <v>248</v>
      </c>
      <c r="I51" s="117">
        <v>877.3007801</v>
      </c>
      <c r="J51" s="114">
        <v>0.11748824626482451</v>
      </c>
      <c r="K51" s="114">
        <v>8.4598965467493781E-3</v>
      </c>
    </row>
    <row r="52" spans="1:11" x14ac:dyDescent="0.25">
      <c r="A52" s="16" t="s">
        <v>302</v>
      </c>
      <c r="B52" s="32" t="s">
        <v>303</v>
      </c>
      <c r="C52" s="32" t="s">
        <v>273</v>
      </c>
      <c r="D52" s="63" t="s">
        <v>252</v>
      </c>
      <c r="E52" s="63" t="s">
        <v>253</v>
      </c>
      <c r="F52" s="63" t="s">
        <v>254</v>
      </c>
      <c r="G52" s="32">
        <v>0</v>
      </c>
      <c r="H52" s="32">
        <v>0</v>
      </c>
      <c r="I52" s="81">
        <v>434.83373999999998</v>
      </c>
      <c r="J52" s="32">
        <v>5.8232996810456926E-2</v>
      </c>
      <c r="K52" s="32">
        <v>4.19314394661407E-3</v>
      </c>
    </row>
    <row r="53" spans="1:11" x14ac:dyDescent="0.25">
      <c r="A53" s="16" t="s">
        <v>302</v>
      </c>
      <c r="B53" s="32" t="s">
        <v>304</v>
      </c>
      <c r="C53" s="32" t="s">
        <v>273</v>
      </c>
      <c r="D53" s="63" t="s">
        <v>252</v>
      </c>
      <c r="E53" s="63" t="s">
        <v>253</v>
      </c>
      <c r="F53" s="63" t="s">
        <v>254</v>
      </c>
      <c r="G53" s="32">
        <v>8.0000000000000004E-4</v>
      </c>
      <c r="H53" s="32">
        <v>8.0000000000000004E-4</v>
      </c>
      <c r="I53" s="81">
        <v>442.46704</v>
      </c>
      <c r="J53" s="32">
        <v>5.9255249440975571E-2</v>
      </c>
      <c r="K53" s="32">
        <v>4.2667525991709979E-3</v>
      </c>
    </row>
    <row r="54" spans="1:11" s="112" customFormat="1" x14ac:dyDescent="0.25">
      <c r="A54" s="89" t="s">
        <v>305</v>
      </c>
      <c r="B54" s="114" t="s">
        <v>248</v>
      </c>
      <c r="C54" s="114" t="s">
        <v>248</v>
      </c>
      <c r="D54" s="115" t="s">
        <v>248</v>
      </c>
      <c r="E54" s="115" t="s">
        <v>248</v>
      </c>
      <c r="F54" s="115" t="s">
        <v>248</v>
      </c>
      <c r="G54" s="114" t="s">
        <v>248</v>
      </c>
      <c r="H54" s="114" t="s">
        <v>248</v>
      </c>
      <c r="I54" s="117">
        <v>122.31739009999998</v>
      </c>
      <c r="J54" s="114">
        <v>1.6380762420958216E-2</v>
      </c>
      <c r="K54" s="114">
        <v>1.1795184611558588E-3</v>
      </c>
    </row>
    <row r="55" spans="1:11" x14ac:dyDescent="0.25">
      <c r="A55" s="16" t="s">
        <v>840</v>
      </c>
      <c r="B55" s="32" t="s">
        <v>308</v>
      </c>
      <c r="C55" s="32" t="s">
        <v>251</v>
      </c>
      <c r="D55" s="63" t="s">
        <v>252</v>
      </c>
      <c r="E55" s="63" t="s">
        <v>253</v>
      </c>
      <c r="F55" s="63" t="s">
        <v>125</v>
      </c>
      <c r="G55" s="32">
        <v>0</v>
      </c>
      <c r="H55" s="32">
        <v>0</v>
      </c>
      <c r="I55" s="81">
        <v>50.378629999999994</v>
      </c>
      <c r="J55" s="32">
        <v>6.7467133532581663E-3</v>
      </c>
      <c r="K55" s="32">
        <v>4.858060173141348E-4</v>
      </c>
    </row>
    <row r="56" spans="1:11" x14ac:dyDescent="0.25">
      <c r="A56" s="16" t="s">
        <v>852</v>
      </c>
      <c r="B56" s="32" t="s">
        <v>309</v>
      </c>
      <c r="C56" s="32" t="s">
        <v>256</v>
      </c>
      <c r="D56" s="63" t="s">
        <v>252</v>
      </c>
      <c r="E56" s="63" t="s">
        <v>253</v>
      </c>
      <c r="F56" s="63" t="s">
        <v>125</v>
      </c>
      <c r="G56" s="32">
        <v>0</v>
      </c>
      <c r="H56" s="32">
        <v>0</v>
      </c>
      <c r="I56" s="81">
        <v>4.1392600000000002</v>
      </c>
      <c r="J56" s="32">
        <v>5.5433029271751528E-4</v>
      </c>
      <c r="K56" s="32">
        <v>3.9915285811220075E-5</v>
      </c>
    </row>
    <row r="57" spans="1:11" x14ac:dyDescent="0.25">
      <c r="A57" s="16" t="s">
        <v>853</v>
      </c>
      <c r="B57" s="32" t="s">
        <v>306</v>
      </c>
      <c r="C57" s="32" t="s">
        <v>258</v>
      </c>
      <c r="D57" s="63" t="s">
        <v>252</v>
      </c>
      <c r="E57" s="63" t="s">
        <v>253</v>
      </c>
      <c r="F57" s="63" t="s">
        <v>125</v>
      </c>
      <c r="G57" s="32">
        <v>0</v>
      </c>
      <c r="H57" s="32">
        <v>0</v>
      </c>
      <c r="I57" s="81">
        <v>65.393779999999992</v>
      </c>
      <c r="J57" s="32">
        <v>8.7575443942407086E-3</v>
      </c>
      <c r="K57" s="32">
        <v>6.3059856567986711E-4</v>
      </c>
    </row>
    <row r="58" spans="1:11" x14ac:dyDescent="0.25">
      <c r="A58" s="16" t="s">
        <v>854</v>
      </c>
      <c r="B58" s="32" t="s">
        <v>307</v>
      </c>
      <c r="C58" s="32" t="s">
        <v>258</v>
      </c>
      <c r="D58" s="63" t="s">
        <v>252</v>
      </c>
      <c r="E58" s="63" t="s">
        <v>253</v>
      </c>
      <c r="F58" s="63" t="s">
        <v>125</v>
      </c>
      <c r="G58" s="32">
        <v>0</v>
      </c>
      <c r="H58" s="32">
        <v>0</v>
      </c>
      <c r="I58" s="81">
        <v>2.4057199999999996</v>
      </c>
      <c r="J58" s="32">
        <v>3.2217436734981154E-4</v>
      </c>
      <c r="K58" s="32">
        <v>2.3198591386327106E-5</v>
      </c>
    </row>
    <row r="59" spans="1:11" s="112" customFormat="1" x14ac:dyDescent="0.25">
      <c r="A59" s="89" t="s">
        <v>310</v>
      </c>
      <c r="B59" s="114" t="s">
        <v>248</v>
      </c>
      <c r="C59" s="114" t="s">
        <v>248</v>
      </c>
      <c r="D59" s="115" t="s">
        <v>248</v>
      </c>
      <c r="E59" s="115" t="s">
        <v>248</v>
      </c>
      <c r="F59" s="115" t="s">
        <v>248</v>
      </c>
      <c r="G59" s="114" t="s">
        <v>248</v>
      </c>
      <c r="H59" s="114" t="s">
        <v>248</v>
      </c>
      <c r="I59" s="117">
        <v>1266.8247801999996</v>
      </c>
      <c r="J59" s="114">
        <v>0.16965335621102995</v>
      </c>
      <c r="K59" s="114">
        <v>1.2216114275116574E-2</v>
      </c>
    </row>
    <row r="60" spans="1:11" s="112" customFormat="1" x14ac:dyDescent="0.25">
      <c r="A60" s="89" t="s">
        <v>280</v>
      </c>
      <c r="B60" s="114" t="s">
        <v>248</v>
      </c>
      <c r="C60" s="114" t="s">
        <v>248</v>
      </c>
      <c r="D60" s="115" t="s">
        <v>248</v>
      </c>
      <c r="E60" s="115" t="s">
        <v>248</v>
      </c>
      <c r="F60" s="115" t="s">
        <v>248</v>
      </c>
      <c r="G60" s="114" t="s">
        <v>248</v>
      </c>
      <c r="H60" s="114" t="s">
        <v>248</v>
      </c>
      <c r="I60" s="117">
        <v>-2.7989199</v>
      </c>
      <c r="J60" s="114">
        <v>-3.7483175433770255E-4</v>
      </c>
      <c r="K60" s="114">
        <v>-2.6990256174101532E-5</v>
      </c>
    </row>
    <row r="61" spans="1:11" x14ac:dyDescent="0.25">
      <c r="A61" s="16" t="s">
        <v>855</v>
      </c>
      <c r="B61" s="32" t="s">
        <v>311</v>
      </c>
      <c r="C61" s="32" t="s">
        <v>312</v>
      </c>
      <c r="D61" s="63" t="s">
        <v>313</v>
      </c>
      <c r="E61" s="63" t="s">
        <v>262</v>
      </c>
      <c r="F61" s="63" t="s">
        <v>126</v>
      </c>
      <c r="G61" s="32">
        <v>0</v>
      </c>
      <c r="H61" s="32">
        <v>0</v>
      </c>
      <c r="I61" s="81">
        <v>6.8899999999999994E-3</v>
      </c>
      <c r="J61" s="32">
        <v>9.2270978793882972E-7</v>
      </c>
      <c r="K61" s="32">
        <v>6.6440938534739608E-8</v>
      </c>
    </row>
    <row r="62" spans="1:11" x14ac:dyDescent="0.25">
      <c r="A62" s="16" t="s">
        <v>834</v>
      </c>
      <c r="B62" s="32" t="s">
        <v>314</v>
      </c>
      <c r="C62" s="32" t="s">
        <v>315</v>
      </c>
      <c r="D62" s="63" t="s">
        <v>316</v>
      </c>
      <c r="E62" s="63" t="s">
        <v>317</v>
      </c>
      <c r="F62" s="63" t="s">
        <v>125</v>
      </c>
      <c r="G62" s="32">
        <v>0</v>
      </c>
      <c r="H62" s="32">
        <v>0</v>
      </c>
      <c r="I62" s="81">
        <v>-2.8058100000000001</v>
      </c>
      <c r="J62" s="32">
        <v>-3.7575447751765569E-4</v>
      </c>
      <c r="K62" s="32">
        <v>-2.7056698076945973E-5</v>
      </c>
    </row>
    <row r="63" spans="1:11" s="112" customFormat="1" x14ac:dyDescent="0.25">
      <c r="A63" s="89" t="s">
        <v>305</v>
      </c>
      <c r="B63" s="114" t="s">
        <v>248</v>
      </c>
      <c r="C63" s="114" t="s">
        <v>248</v>
      </c>
      <c r="D63" s="115" t="s">
        <v>248</v>
      </c>
      <c r="E63" s="115" t="s">
        <v>248</v>
      </c>
      <c r="F63" s="115" t="s">
        <v>248</v>
      </c>
      <c r="G63" s="114" t="s">
        <v>248</v>
      </c>
      <c r="H63" s="114" t="s">
        <v>248</v>
      </c>
      <c r="I63" s="117">
        <v>1269.6237001</v>
      </c>
      <c r="J63" s="114">
        <v>0.1700281879653677</v>
      </c>
      <c r="K63" s="114">
        <v>1.2243104531290679E-2</v>
      </c>
    </row>
    <row r="64" spans="1:11" x14ac:dyDescent="0.25">
      <c r="A64" s="16" t="s">
        <v>835</v>
      </c>
      <c r="B64" s="32" t="s">
        <v>318</v>
      </c>
      <c r="C64" s="32" t="s">
        <v>315</v>
      </c>
      <c r="D64" s="63" t="s">
        <v>316</v>
      </c>
      <c r="E64" s="63" t="s">
        <v>317</v>
      </c>
      <c r="F64" s="63" t="s">
        <v>125</v>
      </c>
      <c r="G64" s="32">
        <v>0</v>
      </c>
      <c r="H64" s="32">
        <v>0</v>
      </c>
      <c r="I64" s="81">
        <v>6.7054399999999994</v>
      </c>
      <c r="J64" s="32">
        <v>8.9799348627526065E-4</v>
      </c>
      <c r="K64" s="32">
        <v>6.4661208546935319E-5</v>
      </c>
    </row>
    <row r="65" spans="1:11" x14ac:dyDescent="0.25">
      <c r="A65" s="16" t="s">
        <v>834</v>
      </c>
      <c r="B65" s="32" t="s">
        <v>319</v>
      </c>
      <c r="C65" s="32" t="s">
        <v>315</v>
      </c>
      <c r="D65" s="63" t="s">
        <v>316</v>
      </c>
      <c r="E65" s="63" t="s">
        <v>317</v>
      </c>
      <c r="F65" s="63" t="s">
        <v>125</v>
      </c>
      <c r="G65" s="32">
        <v>0</v>
      </c>
      <c r="H65" s="32">
        <v>0</v>
      </c>
      <c r="I65" s="81">
        <v>-1.8713199999999999</v>
      </c>
      <c r="J65" s="32">
        <v>-2.5060744272361262E-4</v>
      </c>
      <c r="K65" s="32">
        <v>-1.8045320333647158E-5</v>
      </c>
    </row>
    <row r="66" spans="1:11" x14ac:dyDescent="0.25">
      <c r="A66" s="16" t="s">
        <v>856</v>
      </c>
      <c r="B66" s="32" t="s">
        <v>320</v>
      </c>
      <c r="C66" s="32" t="s">
        <v>315</v>
      </c>
      <c r="D66" s="63" t="s">
        <v>316</v>
      </c>
      <c r="E66" s="63" t="s">
        <v>317</v>
      </c>
      <c r="F66" s="63" t="s">
        <v>254</v>
      </c>
      <c r="G66" s="32">
        <v>0</v>
      </c>
      <c r="H66" s="32">
        <v>0</v>
      </c>
      <c r="I66" s="81">
        <v>-8.2200300000000013</v>
      </c>
      <c r="J66" s="32">
        <v>-1.1008275962483046E-3</v>
      </c>
      <c r="K66" s="32">
        <v>-7.9266546877172097E-5</v>
      </c>
    </row>
    <row r="67" spans="1:11" x14ac:dyDescent="0.25">
      <c r="A67" s="16" t="s">
        <v>835</v>
      </c>
      <c r="B67" s="32" t="s">
        <v>321</v>
      </c>
      <c r="C67" s="32" t="s">
        <v>315</v>
      </c>
      <c r="D67" s="63" t="s">
        <v>316</v>
      </c>
      <c r="E67" s="63" t="s">
        <v>317</v>
      </c>
      <c r="F67" s="63" t="s">
        <v>125</v>
      </c>
      <c r="G67" s="32">
        <v>0</v>
      </c>
      <c r="H67" s="32">
        <v>0</v>
      </c>
      <c r="I67" s="81">
        <v>3.7500800000000001</v>
      </c>
      <c r="J67" s="32">
        <v>5.0221125131402712E-4</v>
      </c>
      <c r="K67" s="32">
        <v>3.6162385309195402E-5</v>
      </c>
    </row>
    <row r="68" spans="1:11" x14ac:dyDescent="0.25">
      <c r="A68" s="16" t="s">
        <v>836</v>
      </c>
      <c r="B68" s="32" t="s">
        <v>322</v>
      </c>
      <c r="C68" s="32" t="s">
        <v>315</v>
      </c>
      <c r="D68" s="63" t="s">
        <v>316</v>
      </c>
      <c r="E68" s="63" t="s">
        <v>317</v>
      </c>
      <c r="F68" s="63" t="s">
        <v>125</v>
      </c>
      <c r="G68" s="32">
        <v>0</v>
      </c>
      <c r="H68" s="32">
        <v>0</v>
      </c>
      <c r="I68" s="81">
        <v>924.90751</v>
      </c>
      <c r="J68" s="32">
        <v>0.12386374635923528</v>
      </c>
      <c r="K68" s="32">
        <v>8.9189728624425348E-3</v>
      </c>
    </row>
    <row r="69" spans="1:11" x14ac:dyDescent="0.25">
      <c r="A69" s="16" t="s">
        <v>837</v>
      </c>
      <c r="B69" s="32" t="s">
        <v>323</v>
      </c>
      <c r="C69" s="32" t="s">
        <v>315</v>
      </c>
      <c r="D69" s="63" t="s">
        <v>316</v>
      </c>
      <c r="E69" s="63" t="s">
        <v>317</v>
      </c>
      <c r="F69" s="63" t="s">
        <v>126</v>
      </c>
      <c r="G69" s="32">
        <v>0</v>
      </c>
      <c r="H69" s="32">
        <v>0</v>
      </c>
      <c r="I69" s="81">
        <v>344.35202000000004</v>
      </c>
      <c r="J69" s="32">
        <v>4.611567189412303E-2</v>
      </c>
      <c r="K69" s="32">
        <v>3.3206199412385237E-3</v>
      </c>
    </row>
    <row r="70" spans="1:11" s="112" customFormat="1" x14ac:dyDescent="0.25">
      <c r="A70" s="75" t="s">
        <v>241</v>
      </c>
      <c r="B70" s="118"/>
      <c r="C70" s="118"/>
      <c r="D70" s="118"/>
      <c r="E70" s="119"/>
      <c r="F70" s="120"/>
      <c r="G70" s="121"/>
      <c r="H70" s="122"/>
      <c r="I70" s="121"/>
      <c r="J70" s="123"/>
    </row>
    <row r="71" spans="1:11" s="112" customFormat="1" x14ac:dyDescent="0.25">
      <c r="A71" s="75" t="s">
        <v>242</v>
      </c>
      <c r="B71" s="118"/>
      <c r="C71" s="118"/>
      <c r="D71" s="118"/>
      <c r="E71" s="119"/>
      <c r="F71" s="120"/>
      <c r="G71" s="121"/>
      <c r="H71" s="122"/>
      <c r="I71" s="121"/>
      <c r="J71" s="123"/>
    </row>
    <row r="72" spans="1:11" s="112" customFormat="1" x14ac:dyDescent="0.25">
      <c r="A72" s="75" t="s">
        <v>243</v>
      </c>
      <c r="B72" s="118"/>
      <c r="C72" s="118"/>
      <c r="D72" s="118"/>
      <c r="E72" s="119"/>
      <c r="F72" s="120"/>
      <c r="G72" s="121"/>
      <c r="H72" s="122"/>
      <c r="I72" s="121"/>
      <c r="J72" s="123"/>
    </row>
    <row r="73" spans="1:11" s="112" customFormat="1" x14ac:dyDescent="0.25">
      <c r="A73" s="75" t="s">
        <v>244</v>
      </c>
      <c r="B73" s="118"/>
      <c r="C73" s="118"/>
      <c r="D73" s="118"/>
      <c r="E73" s="119"/>
      <c r="F73" s="120"/>
      <c r="G73" s="121"/>
      <c r="H73" s="122"/>
      <c r="I73" s="121"/>
      <c r="J73" s="123"/>
    </row>
    <row r="74" spans="1:11" s="112" customFormat="1" x14ac:dyDescent="0.25">
      <c r="A74" s="75" t="s">
        <v>245</v>
      </c>
      <c r="B74" s="118"/>
      <c r="C74" s="118"/>
      <c r="D74" s="118"/>
      <c r="E74" s="119"/>
      <c r="F74" s="120"/>
      <c r="G74" s="121"/>
      <c r="H74" s="122"/>
      <c r="I74" s="121"/>
      <c r="J74" s="123"/>
    </row>
  </sheetData>
  <mergeCells count="1">
    <mergeCell ref="A4:K4"/>
  </mergeCells>
  <phoneticPr fontId="3" type="noConversion"/>
  <conditionalFormatting sqref="A9:A69 I9:K69">
    <cfRule type="expression" dxfId="129" priority="43" stopIfTrue="1">
      <formula>OR(LEFT(#REF!,3)="TIR",LEFT(#REF!,2)="IR")</formula>
    </cfRule>
  </conditionalFormatting>
  <conditionalFormatting sqref="B9:F69 J9:K69">
    <cfRule type="expression" dxfId="128" priority="39" stopIfTrue="1">
      <formula>LEFT(#REF!,3)="TIR"</formula>
    </cfRule>
  </conditionalFormatting>
  <conditionalFormatting sqref="G1:G3 G9:H69 G70:G55604">
    <cfRule type="expression" dxfId="127" priority="35" stopIfTrue="1">
      <formula>LEFT(#REF!,3)="TIR"</formula>
    </cfRule>
  </conditionalFormatting>
  <conditionalFormatting sqref="G5">
    <cfRule type="expression" dxfId="126" priority="38" stopIfTrue="1">
      <formula>LEFT(#REF!,3)="TIR"</formula>
    </cfRule>
  </conditionalFormatting>
  <conditionalFormatting sqref="I9:J69 A9:A69">
    <cfRule type="expression" dxfId="125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6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5.109375" style="8" bestFit="1" customWidth="1"/>
    <col min="3" max="3" width="12.33203125" style="8" customWidth="1"/>
    <col min="4" max="4" width="7.5546875" style="8" customWidth="1"/>
    <col min="5" max="5" width="11.109375" style="57" customWidth="1"/>
    <col min="6" max="6" width="14.109375" style="57" customWidth="1"/>
    <col min="7" max="7" width="7.88671875" style="57" customWidth="1"/>
    <col min="8" max="8" width="12" style="36" bestFit="1" customWidth="1"/>
    <col min="9" max="9" width="12.5546875" style="59" customWidth="1"/>
    <col min="10" max="10" width="14.109375" style="61" customWidth="1"/>
    <col min="11" max="11" width="12.44140625" style="61" bestFit="1" customWidth="1"/>
    <col min="12" max="12" width="8.88671875" style="61" bestFit="1" customWidth="1"/>
    <col min="13" max="13" width="16.5546875" style="61" customWidth="1"/>
    <col min="14" max="14" width="11.33203125" style="59" bestFit="1" customWidth="1"/>
    <col min="15" max="15" width="22" style="59" customWidth="1"/>
    <col min="16" max="16" width="25.44140625" style="59" customWidth="1"/>
    <col min="17" max="17" width="20.6640625" style="62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60"/>
      <c r="K1" s="60"/>
      <c r="L1" s="60"/>
      <c r="M1" s="60"/>
      <c r="N1" s="59"/>
      <c r="O1" s="59"/>
      <c r="P1" s="59"/>
      <c r="Q1" s="62"/>
    </row>
    <row r="2" spans="1:17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60"/>
      <c r="K2" s="60"/>
      <c r="L2" s="60"/>
      <c r="M2" s="60"/>
      <c r="N2" s="59"/>
      <c r="O2" s="59"/>
      <c r="P2" s="59"/>
      <c r="Q2" s="62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60"/>
      <c r="K3" s="60"/>
      <c r="L3" s="60"/>
      <c r="M3" s="60"/>
      <c r="N3" s="59"/>
      <c r="O3" s="59"/>
      <c r="P3" s="59"/>
      <c r="Q3" s="62"/>
    </row>
    <row r="4" spans="1:17" s="7" customFormat="1" ht="13.8" thickBot="1" x14ac:dyDescent="0.3">
      <c r="A4" s="213" t="s">
        <v>11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5"/>
    </row>
    <row r="5" spans="1:17" s="7" customFormat="1" x14ac:dyDescent="0.25">
      <c r="A5" s="216" t="s">
        <v>12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8"/>
    </row>
    <row r="6" spans="1:17" s="7" customFormat="1" ht="28.5" customHeight="1" x14ac:dyDescent="0.25">
      <c r="A6" s="199" t="s">
        <v>157</v>
      </c>
      <c r="B6" s="197" t="s">
        <v>69</v>
      </c>
      <c r="C6" s="197" t="s">
        <v>76</v>
      </c>
      <c r="D6" s="197" t="s">
        <v>70</v>
      </c>
      <c r="E6" s="197" t="s">
        <v>5</v>
      </c>
      <c r="F6" s="197" t="s">
        <v>13</v>
      </c>
      <c r="G6" s="197" t="s">
        <v>14</v>
      </c>
      <c r="H6" s="197" t="s">
        <v>6</v>
      </c>
      <c r="I6" s="198" t="s">
        <v>66</v>
      </c>
      <c r="J6" s="198" t="s">
        <v>71</v>
      </c>
      <c r="K6" s="198" t="s">
        <v>67</v>
      </c>
      <c r="L6" s="198" t="s">
        <v>68</v>
      </c>
      <c r="M6" s="198" t="s">
        <v>134</v>
      </c>
      <c r="N6" s="198" t="s">
        <v>7</v>
      </c>
      <c r="O6" s="86" t="s">
        <v>17</v>
      </c>
      <c r="P6" s="86" t="s">
        <v>75</v>
      </c>
      <c r="Q6" s="87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2" customFormat="1" ht="12.75" customHeight="1" thickBot="1" x14ac:dyDescent="0.3">
      <c r="A9" s="96" t="s">
        <v>52</v>
      </c>
      <c r="B9" s="64"/>
      <c r="C9" s="64"/>
      <c r="D9" s="97"/>
      <c r="E9" s="97"/>
      <c r="F9" s="97"/>
      <c r="G9" s="97"/>
      <c r="H9" s="97"/>
      <c r="I9" s="64"/>
      <c r="J9" s="64"/>
      <c r="K9" s="100"/>
      <c r="L9" s="97"/>
      <c r="M9" s="97" t="s">
        <v>248</v>
      </c>
      <c r="N9" s="101">
        <v>18962.007470700002</v>
      </c>
      <c r="O9" s="64"/>
      <c r="P9" s="64">
        <v>1</v>
      </c>
      <c r="Q9" s="78">
        <v>0.18285247791814982</v>
      </c>
    </row>
    <row r="10" spans="1:17" s="112" customFormat="1" x14ac:dyDescent="0.25">
      <c r="A10" s="88" t="s">
        <v>137</v>
      </c>
      <c r="B10" s="124" t="s">
        <v>248</v>
      </c>
      <c r="C10" s="124" t="s">
        <v>248</v>
      </c>
      <c r="D10" s="124" t="s">
        <v>248</v>
      </c>
      <c r="E10" s="124" t="s">
        <v>248</v>
      </c>
      <c r="F10" s="124" t="s">
        <v>248</v>
      </c>
      <c r="G10" s="125" t="s">
        <v>248</v>
      </c>
      <c r="H10" s="124" t="s">
        <v>248</v>
      </c>
      <c r="I10" s="124" t="s">
        <v>248</v>
      </c>
      <c r="J10" s="124" t="s">
        <v>248</v>
      </c>
      <c r="K10" s="126" t="s">
        <v>248</v>
      </c>
      <c r="L10" s="115" t="s">
        <v>248</v>
      </c>
      <c r="M10" s="115" t="s">
        <v>248</v>
      </c>
      <c r="N10" s="127">
        <v>15850.017310500003</v>
      </c>
      <c r="O10" s="114" t="s">
        <v>248</v>
      </c>
      <c r="P10" s="114">
        <v>0.83588287447894793</v>
      </c>
      <c r="Q10" s="114">
        <v>0.15284325484782141</v>
      </c>
    </row>
    <row r="11" spans="1:17" s="112" customFormat="1" x14ac:dyDescent="0.25">
      <c r="A11" s="89" t="s">
        <v>324</v>
      </c>
      <c r="B11" s="124" t="s">
        <v>248</v>
      </c>
      <c r="C11" s="124" t="s">
        <v>248</v>
      </c>
      <c r="D11" s="124" t="s">
        <v>248</v>
      </c>
      <c r="E11" s="124" t="s">
        <v>248</v>
      </c>
      <c r="F11" s="124" t="s">
        <v>248</v>
      </c>
      <c r="G11" s="125" t="s">
        <v>248</v>
      </c>
      <c r="H11" s="124" t="s">
        <v>248</v>
      </c>
      <c r="I11" s="124" t="s">
        <v>248</v>
      </c>
      <c r="J11" s="124" t="s">
        <v>248</v>
      </c>
      <c r="K11" s="128" t="s">
        <v>248</v>
      </c>
      <c r="L11" s="129" t="s">
        <v>248</v>
      </c>
      <c r="M11" s="129" t="s">
        <v>248</v>
      </c>
      <c r="N11" s="117">
        <v>9032.7674501000001</v>
      </c>
      <c r="O11" s="130"/>
      <c r="P11" s="114">
        <v>0.47636134855749779</v>
      </c>
      <c r="Q11" s="114">
        <v>8.7103852968169929E-2</v>
      </c>
    </row>
    <row r="12" spans="1:17" x14ac:dyDescent="0.25">
      <c r="A12" s="16" t="s">
        <v>351</v>
      </c>
      <c r="B12" s="110" t="s">
        <v>352</v>
      </c>
      <c r="C12" s="110" t="s">
        <v>327</v>
      </c>
      <c r="D12" s="110" t="s">
        <v>316</v>
      </c>
      <c r="E12" s="110" t="s">
        <v>317</v>
      </c>
      <c r="F12" s="110" t="s">
        <v>353</v>
      </c>
      <c r="G12" s="111">
        <v>0</v>
      </c>
      <c r="H12" s="110" t="s">
        <v>254</v>
      </c>
      <c r="I12" s="110">
        <v>0</v>
      </c>
      <c r="J12" s="110">
        <v>0</v>
      </c>
      <c r="K12" s="66">
        <v>-239188.06455172249</v>
      </c>
      <c r="L12" s="58">
        <v>103.2394</v>
      </c>
      <c r="M12" s="58">
        <v>0</v>
      </c>
      <c r="N12" s="81">
        <v>-246.93631999999999</v>
      </c>
      <c r="O12" s="24">
        <v>0</v>
      </c>
      <c r="P12" s="32">
        <v>-1.3022688677955894E-2</v>
      </c>
      <c r="Q12" s="32">
        <v>-2.3812308939208699E-3</v>
      </c>
    </row>
    <row r="13" spans="1:17" x14ac:dyDescent="0.25">
      <c r="A13" s="16" t="s">
        <v>354</v>
      </c>
      <c r="B13" s="110" t="s">
        <v>355</v>
      </c>
      <c r="C13" s="110" t="s">
        <v>327</v>
      </c>
      <c r="D13" s="110" t="s">
        <v>316</v>
      </c>
      <c r="E13" s="110" t="s">
        <v>317</v>
      </c>
      <c r="F13" s="110" t="s">
        <v>356</v>
      </c>
      <c r="G13" s="111">
        <v>0</v>
      </c>
      <c r="H13" s="110" t="s">
        <v>254</v>
      </c>
      <c r="I13" s="110">
        <v>0</v>
      </c>
      <c r="J13" s="110">
        <v>0</v>
      </c>
      <c r="K13" s="66">
        <v>-191350.45164137799</v>
      </c>
      <c r="L13" s="58">
        <v>106.00689999999999</v>
      </c>
      <c r="M13" s="58">
        <v>0</v>
      </c>
      <c r="N13" s="81">
        <v>-202.84467999999998</v>
      </c>
      <c r="O13" s="24">
        <v>0</v>
      </c>
      <c r="P13" s="32">
        <v>-1.0697426436174258E-2</v>
      </c>
      <c r="Q13" s="32">
        <v>-1.9560509312015854E-3</v>
      </c>
    </row>
    <row r="14" spans="1:17" x14ac:dyDescent="0.25">
      <c r="A14" s="16" t="s">
        <v>325</v>
      </c>
      <c r="B14" s="110" t="s">
        <v>326</v>
      </c>
      <c r="C14" s="110" t="s">
        <v>327</v>
      </c>
      <c r="D14" s="110" t="s">
        <v>328</v>
      </c>
      <c r="E14" s="110" t="s">
        <v>218</v>
      </c>
      <c r="F14" s="110" t="s">
        <v>329</v>
      </c>
      <c r="G14" s="111">
        <v>14.71</v>
      </c>
      <c r="H14" s="110" t="s">
        <v>254</v>
      </c>
      <c r="I14" s="110">
        <v>2.75E-2</v>
      </c>
      <c r="J14" s="110">
        <v>1.54E-2</v>
      </c>
      <c r="K14" s="66">
        <v>592.36454989847209</v>
      </c>
      <c r="L14" s="58">
        <v>141.94</v>
      </c>
      <c r="M14" s="66">
        <v>0</v>
      </c>
      <c r="N14" s="81">
        <v>0.84079999999999999</v>
      </c>
      <c r="O14" s="24">
        <v>3.3027550935722616E-8</v>
      </c>
      <c r="P14" s="32">
        <v>4.4341296737658176E-5</v>
      </c>
      <c r="Q14" s="32">
        <v>8.10791598258477E-6</v>
      </c>
    </row>
    <row r="15" spans="1:17" x14ac:dyDescent="0.25">
      <c r="A15" s="16" t="s">
        <v>330</v>
      </c>
      <c r="B15" s="110" t="s">
        <v>331</v>
      </c>
      <c r="C15" s="110" t="s">
        <v>327</v>
      </c>
      <c r="D15" s="110" t="s">
        <v>328</v>
      </c>
      <c r="E15" s="110" t="s">
        <v>218</v>
      </c>
      <c r="F15" s="110" t="s">
        <v>332</v>
      </c>
      <c r="G15" s="111">
        <v>2.0699999999999998</v>
      </c>
      <c r="H15" s="110" t="s">
        <v>254</v>
      </c>
      <c r="I15" s="110">
        <v>7.4999999999999997E-3</v>
      </c>
      <c r="J15" s="110">
        <v>1.7399999999999999E-2</v>
      </c>
      <c r="K15" s="66">
        <v>2736178.452686274</v>
      </c>
      <c r="L15" s="58">
        <v>110.35999999999999</v>
      </c>
      <c r="M15" s="58">
        <v>0</v>
      </c>
      <c r="N15" s="81">
        <v>3019.6465400000002</v>
      </c>
      <c r="O15" s="24">
        <v>1.2503543171518304E-4</v>
      </c>
      <c r="P15" s="32">
        <v>0.15924719704208229</v>
      </c>
      <c r="Q15" s="32">
        <v>2.9118744580664609E-2</v>
      </c>
    </row>
    <row r="16" spans="1:17" x14ac:dyDescent="0.25">
      <c r="A16" s="16" t="s">
        <v>333</v>
      </c>
      <c r="B16" s="110" t="s">
        <v>334</v>
      </c>
      <c r="C16" s="110" t="s">
        <v>327</v>
      </c>
      <c r="D16" s="110" t="s">
        <v>328</v>
      </c>
      <c r="E16" s="110" t="s">
        <v>218</v>
      </c>
      <c r="F16" s="110" t="s">
        <v>335</v>
      </c>
      <c r="G16" s="111">
        <v>3.63</v>
      </c>
      <c r="H16" s="110" t="s">
        <v>254</v>
      </c>
      <c r="I16" s="110">
        <v>7.4999999999999997E-3</v>
      </c>
      <c r="J16" s="110">
        <v>1.5600000000000001E-2</v>
      </c>
      <c r="K16" s="66">
        <v>928545.55219405773</v>
      </c>
      <c r="L16" s="58">
        <v>109.59</v>
      </c>
      <c r="M16" s="58">
        <v>0</v>
      </c>
      <c r="N16" s="81">
        <v>1017.5930699999999</v>
      </c>
      <c r="O16" s="24">
        <v>4.6371486659772174E-5</v>
      </c>
      <c r="P16" s="32">
        <v>5.3664838576420751E-2</v>
      </c>
      <c r="Q16" s="32">
        <v>9.8127487107760487E-3</v>
      </c>
    </row>
    <row r="17" spans="1:17" x14ac:dyDescent="0.25">
      <c r="A17" s="16" t="s">
        <v>336</v>
      </c>
      <c r="B17" s="110" t="s">
        <v>337</v>
      </c>
      <c r="C17" s="110" t="s">
        <v>327</v>
      </c>
      <c r="D17" s="110" t="s">
        <v>328</v>
      </c>
      <c r="E17" s="110" t="s">
        <v>218</v>
      </c>
      <c r="F17" s="110" t="s">
        <v>338</v>
      </c>
      <c r="G17" s="111">
        <v>5.6</v>
      </c>
      <c r="H17" s="110" t="s">
        <v>254</v>
      </c>
      <c r="I17" s="110">
        <v>5.0000000000000001E-3</v>
      </c>
      <c r="J17" s="110">
        <v>1.4999999999999999E-2</v>
      </c>
      <c r="K17" s="66">
        <v>1049463.1440628953</v>
      </c>
      <c r="L17" s="58">
        <v>105.57</v>
      </c>
      <c r="M17" s="58">
        <v>0</v>
      </c>
      <c r="N17" s="81">
        <v>1107.91824</v>
      </c>
      <c r="O17" s="24">
        <v>5.1908404147698636E-5</v>
      </c>
      <c r="P17" s="32">
        <v>5.8428319982045653E-2</v>
      </c>
      <c r="Q17" s="32">
        <v>1.0683763089311595E-2</v>
      </c>
    </row>
    <row r="18" spans="1:17" x14ac:dyDescent="0.25">
      <c r="A18" s="16" t="s">
        <v>339</v>
      </c>
      <c r="B18" s="110" t="s">
        <v>340</v>
      </c>
      <c r="C18" s="110" t="s">
        <v>327</v>
      </c>
      <c r="D18" s="110" t="s">
        <v>328</v>
      </c>
      <c r="E18" s="110" t="s">
        <v>218</v>
      </c>
      <c r="F18" s="110" t="s">
        <v>341</v>
      </c>
      <c r="G18" s="111">
        <v>25.83</v>
      </c>
      <c r="H18" s="110" t="s">
        <v>254</v>
      </c>
      <c r="I18" s="110">
        <v>5.0000000000000001E-3</v>
      </c>
      <c r="J18" s="110">
        <v>1.66E-2</v>
      </c>
      <c r="K18" s="66">
        <v>23007.006245064953</v>
      </c>
      <c r="L18" s="58">
        <v>82.95</v>
      </c>
      <c r="M18" s="58">
        <v>0</v>
      </c>
      <c r="N18" s="81">
        <v>19.084310000000002</v>
      </c>
      <c r="O18" s="24">
        <v>3.7283306127614225E-6</v>
      </c>
      <c r="P18" s="32">
        <v>1.00644987243513E-3</v>
      </c>
      <c r="Q18" s="32">
        <v>1.8403185307516934E-4</v>
      </c>
    </row>
    <row r="19" spans="1:17" x14ac:dyDescent="0.25">
      <c r="A19" s="16" t="s">
        <v>342</v>
      </c>
      <c r="B19" s="110" t="s">
        <v>343</v>
      </c>
      <c r="C19" s="110" t="s">
        <v>327</v>
      </c>
      <c r="D19" s="110" t="s">
        <v>328</v>
      </c>
      <c r="E19" s="110" t="s">
        <v>218</v>
      </c>
      <c r="F19" s="110" t="s">
        <v>344</v>
      </c>
      <c r="G19" s="111">
        <v>2.84</v>
      </c>
      <c r="H19" s="110" t="s">
        <v>254</v>
      </c>
      <c r="I19" s="110">
        <v>1E-3</v>
      </c>
      <c r="J19" s="110">
        <v>1.6399999999999998E-2</v>
      </c>
      <c r="K19" s="66">
        <v>1266762.6180135813</v>
      </c>
      <c r="L19" s="58">
        <v>106.72</v>
      </c>
      <c r="M19" s="58">
        <v>0</v>
      </c>
      <c r="N19" s="81">
        <v>1351.8890700000002</v>
      </c>
      <c r="O19" s="24">
        <v>1.4680262240859376E-4</v>
      </c>
      <c r="P19" s="32">
        <v>7.129461751815741E-2</v>
      </c>
      <c r="Q19" s="32">
        <v>1.3036397475421816E-2</v>
      </c>
    </row>
    <row r="20" spans="1:17" x14ac:dyDescent="0.25">
      <c r="A20" s="16" t="s">
        <v>345</v>
      </c>
      <c r="B20" s="110" t="s">
        <v>346</v>
      </c>
      <c r="C20" s="110" t="s">
        <v>327</v>
      </c>
      <c r="D20" s="110" t="s">
        <v>328</v>
      </c>
      <c r="E20" s="110" t="s">
        <v>218</v>
      </c>
      <c r="F20" s="110" t="s">
        <v>347</v>
      </c>
      <c r="G20" s="111">
        <v>8.14</v>
      </c>
      <c r="H20" s="110" t="s">
        <v>254</v>
      </c>
      <c r="I20" s="110">
        <v>1E-3</v>
      </c>
      <c r="J20" s="110">
        <v>1.52E-2</v>
      </c>
      <c r="K20" s="66">
        <v>2798042.9214762296</v>
      </c>
      <c r="L20" s="58">
        <v>99.42</v>
      </c>
      <c r="M20" s="58">
        <v>0</v>
      </c>
      <c r="N20" s="81">
        <v>2781.8142699999999</v>
      </c>
      <c r="O20" s="24">
        <v>3.9316417998721458E-4</v>
      </c>
      <c r="P20" s="32">
        <v>0.14670462894281869</v>
      </c>
      <c r="Q20" s="32">
        <v>2.6825304924257116E-2</v>
      </c>
    </row>
    <row r="21" spans="1:17" x14ac:dyDescent="0.25">
      <c r="A21" s="16" t="s">
        <v>348</v>
      </c>
      <c r="B21" s="110" t="s">
        <v>349</v>
      </c>
      <c r="C21" s="110" t="s">
        <v>327</v>
      </c>
      <c r="D21" s="110" t="s">
        <v>328</v>
      </c>
      <c r="E21" s="110" t="s">
        <v>218</v>
      </c>
      <c r="F21" s="110" t="s">
        <v>350</v>
      </c>
      <c r="G21" s="111">
        <v>4.97</v>
      </c>
      <c r="H21" s="110" t="s">
        <v>254</v>
      </c>
      <c r="I21" s="110">
        <v>1.1000000000000001E-2</v>
      </c>
      <c r="J21" s="110">
        <v>1.4999999999999999E-2</v>
      </c>
      <c r="K21" s="66">
        <v>185562.10047922633</v>
      </c>
      <c r="L21" s="58">
        <v>99.03</v>
      </c>
      <c r="M21" s="58">
        <v>0</v>
      </c>
      <c r="N21" s="81">
        <v>183.76214999999999</v>
      </c>
      <c r="O21" s="24">
        <v>7.0050502714719321E-5</v>
      </c>
      <c r="P21" s="32">
        <v>9.6910704356565798E-3</v>
      </c>
      <c r="Q21" s="32">
        <v>1.7720362428391293E-3</v>
      </c>
    </row>
    <row r="22" spans="1:17" s="112" customFormat="1" x14ac:dyDescent="0.25">
      <c r="A22" s="89" t="s">
        <v>139</v>
      </c>
      <c r="B22" s="124" t="s">
        <v>248</v>
      </c>
      <c r="C22" s="124" t="s">
        <v>248</v>
      </c>
      <c r="D22" s="124" t="s">
        <v>248</v>
      </c>
      <c r="E22" s="124" t="s">
        <v>248</v>
      </c>
      <c r="F22" s="124" t="s">
        <v>248</v>
      </c>
      <c r="G22" s="125" t="s">
        <v>248</v>
      </c>
      <c r="H22" s="124" t="s">
        <v>248</v>
      </c>
      <c r="I22" s="124" t="s">
        <v>248</v>
      </c>
      <c r="J22" s="124" t="s">
        <v>248</v>
      </c>
      <c r="K22" s="128" t="s">
        <v>248</v>
      </c>
      <c r="L22" s="129" t="s">
        <v>248</v>
      </c>
      <c r="M22" s="129" t="s">
        <v>248</v>
      </c>
      <c r="N22" s="117">
        <v>6817.2498602999985</v>
      </c>
      <c r="O22" s="130"/>
      <c r="P22" s="114">
        <v>0.35952152591617625</v>
      </c>
      <c r="Q22" s="114">
        <v>6.573940187868714E-2</v>
      </c>
    </row>
    <row r="23" spans="1:17" s="112" customFormat="1" x14ac:dyDescent="0.25">
      <c r="A23" s="89" t="s">
        <v>357</v>
      </c>
      <c r="B23" s="124" t="s">
        <v>248</v>
      </c>
      <c r="C23" s="124" t="s">
        <v>248</v>
      </c>
      <c r="D23" s="124" t="s">
        <v>248</v>
      </c>
      <c r="E23" s="124" t="s">
        <v>248</v>
      </c>
      <c r="F23" s="124" t="s">
        <v>248</v>
      </c>
      <c r="G23" s="125" t="s">
        <v>248</v>
      </c>
      <c r="H23" s="124" t="s">
        <v>248</v>
      </c>
      <c r="I23" s="124" t="s">
        <v>248</v>
      </c>
      <c r="J23" s="124" t="s">
        <v>248</v>
      </c>
      <c r="K23" s="128" t="s">
        <v>248</v>
      </c>
      <c r="L23" s="129" t="s">
        <v>248</v>
      </c>
      <c r="M23" s="129" t="s">
        <v>248</v>
      </c>
      <c r="N23" s="117">
        <v>1022.8793001</v>
      </c>
      <c r="O23" s="130"/>
      <c r="P23" s="114">
        <v>5.3943618663822794E-2</v>
      </c>
      <c r="Q23" s="114">
        <v>9.8637243405517525E-3</v>
      </c>
    </row>
    <row r="24" spans="1:17" x14ac:dyDescent="0.25">
      <c r="A24" s="16" t="s">
        <v>358</v>
      </c>
      <c r="B24" s="110" t="s">
        <v>359</v>
      </c>
      <c r="C24" s="110" t="s">
        <v>327</v>
      </c>
      <c r="D24" s="110" t="s">
        <v>328</v>
      </c>
      <c r="E24" s="110" t="s">
        <v>218</v>
      </c>
      <c r="F24" s="110" t="s">
        <v>360</v>
      </c>
      <c r="G24" s="111">
        <v>0.26</v>
      </c>
      <c r="H24" s="110" t="s">
        <v>254</v>
      </c>
      <c r="I24" s="110">
        <v>0</v>
      </c>
      <c r="J24" s="110">
        <v>4.7800000000000002E-2</v>
      </c>
      <c r="K24" s="66">
        <v>296430.7159582575</v>
      </c>
      <c r="L24" s="58">
        <v>98.78</v>
      </c>
      <c r="M24" s="58">
        <v>0</v>
      </c>
      <c r="N24" s="81">
        <v>292.81425999999999</v>
      </c>
      <c r="O24" s="24">
        <v>8.7185504693605138E-6</v>
      </c>
      <c r="P24" s="32">
        <v>1.5442155080492142E-2</v>
      </c>
      <c r="Q24" s="32">
        <v>2.8236363208643343E-3</v>
      </c>
    </row>
    <row r="25" spans="1:17" x14ac:dyDescent="0.25">
      <c r="A25" s="16" t="s">
        <v>361</v>
      </c>
      <c r="B25" s="110" t="s">
        <v>362</v>
      </c>
      <c r="C25" s="110" t="s">
        <v>327</v>
      </c>
      <c r="D25" s="110" t="s">
        <v>328</v>
      </c>
      <c r="E25" s="110" t="s">
        <v>218</v>
      </c>
      <c r="F25" s="110" t="s">
        <v>363</v>
      </c>
      <c r="G25" s="111">
        <v>0.44</v>
      </c>
      <c r="H25" s="110" t="s">
        <v>254</v>
      </c>
      <c r="I25" s="110">
        <v>0</v>
      </c>
      <c r="J25" s="110">
        <v>4.82E-2</v>
      </c>
      <c r="K25" s="66">
        <v>183731.30157752335</v>
      </c>
      <c r="L25" s="58">
        <v>97.97</v>
      </c>
      <c r="M25" s="58">
        <v>0</v>
      </c>
      <c r="N25" s="81">
        <v>180.00155999999998</v>
      </c>
      <c r="O25" s="24">
        <v>5.9268161799201083E-6</v>
      </c>
      <c r="P25" s="32">
        <v>9.4927480794497893E-3</v>
      </c>
      <c r="Q25" s="32">
        <v>1.7357725085801515E-3</v>
      </c>
    </row>
    <row r="26" spans="1:17" x14ac:dyDescent="0.25">
      <c r="A26" s="16" t="s">
        <v>364</v>
      </c>
      <c r="B26" s="110" t="s">
        <v>365</v>
      </c>
      <c r="C26" s="110" t="s">
        <v>327</v>
      </c>
      <c r="D26" s="110" t="s">
        <v>328</v>
      </c>
      <c r="E26" s="110" t="s">
        <v>218</v>
      </c>
      <c r="F26" s="110" t="s">
        <v>366</v>
      </c>
      <c r="G26" s="111">
        <v>0.51</v>
      </c>
      <c r="H26" s="110" t="s">
        <v>254</v>
      </c>
      <c r="I26" s="110">
        <v>0</v>
      </c>
      <c r="J26" s="110">
        <v>4.7699999999999992E-2</v>
      </c>
      <c r="K26" s="66">
        <v>171769.40128335595</v>
      </c>
      <c r="L26" s="58">
        <v>97.64</v>
      </c>
      <c r="M26" s="58">
        <v>0</v>
      </c>
      <c r="N26" s="81">
        <v>167.71564000000001</v>
      </c>
      <c r="O26" s="24">
        <v>8.5884700641677979E-6</v>
      </c>
      <c r="P26" s="32">
        <v>8.8448251198694743E-3</v>
      </c>
      <c r="Q26" s="32">
        <v>1.6172981899208298E-3</v>
      </c>
    </row>
    <row r="27" spans="1:17" x14ac:dyDescent="0.25">
      <c r="A27" s="16" t="s">
        <v>367</v>
      </c>
      <c r="B27" s="110" t="s">
        <v>368</v>
      </c>
      <c r="C27" s="110" t="s">
        <v>327</v>
      </c>
      <c r="D27" s="110" t="s">
        <v>328</v>
      </c>
      <c r="E27" s="110" t="s">
        <v>218</v>
      </c>
      <c r="F27" s="110" t="s">
        <v>369</v>
      </c>
      <c r="G27" s="111">
        <v>0.93</v>
      </c>
      <c r="H27" s="110" t="s">
        <v>254</v>
      </c>
      <c r="I27" s="110">
        <v>0</v>
      </c>
      <c r="J27" s="110">
        <v>4.7899999999999998E-2</v>
      </c>
      <c r="K27" s="66">
        <v>259045.75446590121</v>
      </c>
      <c r="L27" s="58">
        <v>95.72</v>
      </c>
      <c r="M27" s="58">
        <v>0</v>
      </c>
      <c r="N27" s="81">
        <v>247.95860000000002</v>
      </c>
      <c r="O27" s="24">
        <v>1.4391430803661179E-5</v>
      </c>
      <c r="P27" s="32">
        <v>1.3076600691311E-2</v>
      </c>
      <c r="Q27" s="32">
        <v>2.3910888391524073E-3</v>
      </c>
    </row>
    <row r="28" spans="1:17" x14ac:dyDescent="0.25">
      <c r="A28" s="16" t="s">
        <v>370</v>
      </c>
      <c r="B28" s="110" t="s">
        <v>371</v>
      </c>
      <c r="C28" s="110" t="s">
        <v>327</v>
      </c>
      <c r="D28" s="110" t="s">
        <v>328</v>
      </c>
      <c r="E28" s="110" t="s">
        <v>218</v>
      </c>
      <c r="F28" s="110" t="s">
        <v>372</v>
      </c>
      <c r="G28" s="111">
        <v>0.68</v>
      </c>
      <c r="H28" s="110" t="s">
        <v>254</v>
      </c>
      <c r="I28" s="110">
        <v>0</v>
      </c>
      <c r="J28" s="110">
        <v>4.8000000000000001E-2</v>
      </c>
      <c r="K28" s="66">
        <v>138774.51132101851</v>
      </c>
      <c r="L28" s="58">
        <v>96.84</v>
      </c>
      <c r="M28" s="58">
        <v>0</v>
      </c>
      <c r="N28" s="81">
        <v>134.38924</v>
      </c>
      <c r="O28" s="24">
        <v>7.7096950733899175E-6</v>
      </c>
      <c r="P28" s="32">
        <v>7.0872896874266903E-3</v>
      </c>
      <c r="Q28" s="32">
        <v>1.2959284810697199E-3</v>
      </c>
    </row>
    <row r="29" spans="1:17" s="112" customFormat="1" x14ac:dyDescent="0.25">
      <c r="A29" s="89" t="s">
        <v>373</v>
      </c>
      <c r="B29" s="124" t="s">
        <v>248</v>
      </c>
      <c r="C29" s="124" t="s">
        <v>248</v>
      </c>
      <c r="D29" s="124" t="s">
        <v>248</v>
      </c>
      <c r="E29" s="124" t="s">
        <v>248</v>
      </c>
      <c r="F29" s="124" t="s">
        <v>248</v>
      </c>
      <c r="G29" s="125" t="s">
        <v>248</v>
      </c>
      <c r="H29" s="124" t="s">
        <v>248</v>
      </c>
      <c r="I29" s="124" t="s">
        <v>248</v>
      </c>
      <c r="J29" s="124" t="s">
        <v>248</v>
      </c>
      <c r="K29" s="128" t="s">
        <v>248</v>
      </c>
      <c r="L29" s="129" t="s">
        <v>248</v>
      </c>
      <c r="M29" s="129" t="s">
        <v>248</v>
      </c>
      <c r="N29" s="117">
        <v>4822.6585801000001</v>
      </c>
      <c r="O29" s="130"/>
      <c r="P29" s="114">
        <v>0.25433270119484697</v>
      </c>
      <c r="Q29" s="114">
        <v>4.6505364629094152E-2</v>
      </c>
    </row>
    <row r="30" spans="1:17" x14ac:dyDescent="0.25">
      <c r="A30" s="16" t="s">
        <v>398</v>
      </c>
      <c r="B30" s="110" t="s">
        <v>399</v>
      </c>
      <c r="C30" s="110" t="s">
        <v>327</v>
      </c>
      <c r="D30" s="110" t="s">
        <v>316</v>
      </c>
      <c r="E30" s="110" t="s">
        <v>317</v>
      </c>
      <c r="F30" s="110" t="s">
        <v>400</v>
      </c>
      <c r="G30" s="111">
        <v>0</v>
      </c>
      <c r="H30" s="110" t="s">
        <v>254</v>
      </c>
      <c r="I30" s="110">
        <v>0</v>
      </c>
      <c r="J30" s="110">
        <v>0</v>
      </c>
      <c r="K30" s="66">
        <v>-231290.8522016975</v>
      </c>
      <c r="L30" s="58">
        <v>96.460400000000007</v>
      </c>
      <c r="M30" s="58">
        <v>0</v>
      </c>
      <c r="N30" s="81">
        <v>-223.10407999999998</v>
      </c>
      <c r="O30" s="24">
        <v>0</v>
      </c>
      <c r="P30" s="32">
        <v>-1.1765847067866589E-2</v>
      </c>
      <c r="Q30" s="32">
        <v>-2.1514142911654034E-3</v>
      </c>
    </row>
    <row r="31" spans="1:17" x14ac:dyDescent="0.25">
      <c r="A31" s="16" t="s">
        <v>401</v>
      </c>
      <c r="B31" s="110" t="s">
        <v>402</v>
      </c>
      <c r="C31" s="110" t="s">
        <v>327</v>
      </c>
      <c r="D31" s="110" t="s">
        <v>316</v>
      </c>
      <c r="E31" s="110" t="s">
        <v>317</v>
      </c>
      <c r="F31" s="110" t="s">
        <v>403</v>
      </c>
      <c r="G31" s="111">
        <v>0</v>
      </c>
      <c r="H31" s="110" t="s">
        <v>254</v>
      </c>
      <c r="I31" s="110">
        <v>0</v>
      </c>
      <c r="J31" s="110">
        <v>0</v>
      </c>
      <c r="K31" s="66">
        <v>-231290.8522016975</v>
      </c>
      <c r="L31" s="58">
        <v>90.984300000000005</v>
      </c>
      <c r="M31" s="58">
        <v>0</v>
      </c>
      <c r="N31" s="81">
        <v>-210.43835999999999</v>
      </c>
      <c r="O31" s="24">
        <v>0</v>
      </c>
      <c r="P31" s="32">
        <v>-1.109789458342785E-2</v>
      </c>
      <c r="Q31" s="32">
        <v>-2.0292775242541955E-3</v>
      </c>
    </row>
    <row r="32" spans="1:17" x14ac:dyDescent="0.25">
      <c r="A32" s="16" t="s">
        <v>404</v>
      </c>
      <c r="B32" s="110" t="s">
        <v>405</v>
      </c>
      <c r="C32" s="110" t="s">
        <v>327</v>
      </c>
      <c r="D32" s="110" t="s">
        <v>316</v>
      </c>
      <c r="E32" s="110" t="s">
        <v>317</v>
      </c>
      <c r="F32" s="110" t="s">
        <v>406</v>
      </c>
      <c r="G32" s="111">
        <v>0</v>
      </c>
      <c r="H32" s="110" t="s">
        <v>254</v>
      </c>
      <c r="I32" s="110">
        <v>0</v>
      </c>
      <c r="J32" s="110">
        <v>0</v>
      </c>
      <c r="K32" s="66">
        <v>-231290.8522016975</v>
      </c>
      <c r="L32" s="58">
        <v>93.680499999999995</v>
      </c>
      <c r="M32" s="58">
        <v>0</v>
      </c>
      <c r="N32" s="81">
        <v>-216.67443</v>
      </c>
      <c r="O32" s="24">
        <v>0</v>
      </c>
      <c r="P32" s="32">
        <v>-1.1426766408293225E-2</v>
      </c>
      <c r="Q32" s="32">
        <v>-2.0894125523482935E-3</v>
      </c>
    </row>
    <row r="33" spans="1:17" x14ac:dyDescent="0.25">
      <c r="A33" s="16" t="s">
        <v>374</v>
      </c>
      <c r="B33" s="110" t="s">
        <v>375</v>
      </c>
      <c r="C33" s="110" t="s">
        <v>327</v>
      </c>
      <c r="D33" s="110" t="s">
        <v>328</v>
      </c>
      <c r="E33" s="110" t="s">
        <v>218</v>
      </c>
      <c r="F33" s="110" t="s">
        <v>376</v>
      </c>
      <c r="G33" s="111">
        <v>3.38</v>
      </c>
      <c r="H33" s="110" t="s">
        <v>254</v>
      </c>
      <c r="I33" s="110">
        <v>2.0099999999999996E-2</v>
      </c>
      <c r="J33" s="110">
        <v>4.3200000000000002E-2</v>
      </c>
      <c r="K33" s="66">
        <v>70759.775359500709</v>
      </c>
      <c r="L33" s="58">
        <v>93.59</v>
      </c>
      <c r="M33" s="58">
        <v>0</v>
      </c>
      <c r="N33" s="81">
        <v>66.224070000000012</v>
      </c>
      <c r="O33" s="24">
        <v>3.5196821724220588E-6</v>
      </c>
      <c r="P33" s="32">
        <v>3.4924609170378768E-3</v>
      </c>
      <c r="Q33" s="32">
        <v>6.3860513271266973E-4</v>
      </c>
    </row>
    <row r="34" spans="1:17" x14ac:dyDescent="0.25">
      <c r="A34" s="16" t="s">
        <v>377</v>
      </c>
      <c r="B34" s="110" t="s">
        <v>378</v>
      </c>
      <c r="C34" s="110" t="s">
        <v>327</v>
      </c>
      <c r="D34" s="110" t="s">
        <v>328</v>
      </c>
      <c r="E34" s="110" t="s">
        <v>218</v>
      </c>
      <c r="F34" s="110" t="s">
        <v>379</v>
      </c>
      <c r="G34" s="111">
        <v>15.25</v>
      </c>
      <c r="H34" s="110" t="s">
        <v>254</v>
      </c>
      <c r="I34" s="110">
        <v>3.7499999999999999E-2</v>
      </c>
      <c r="J34" s="110">
        <v>4.4800000000000006E-2</v>
      </c>
      <c r="K34" s="66">
        <v>1001595.3314204561</v>
      </c>
      <c r="L34" s="58">
        <v>91.42</v>
      </c>
      <c r="M34" s="58">
        <v>0</v>
      </c>
      <c r="N34" s="81">
        <v>915.6584499999999</v>
      </c>
      <c r="O34" s="24">
        <v>4.0293888134555505E-5</v>
      </c>
      <c r="P34" s="32">
        <v>4.8289109231439274E-2</v>
      </c>
      <c r="Q34" s="32">
        <v>8.8297832794288732E-3</v>
      </c>
    </row>
    <row r="35" spans="1:17" x14ac:dyDescent="0.25">
      <c r="A35" s="16" t="s">
        <v>380</v>
      </c>
      <c r="B35" s="110" t="s">
        <v>381</v>
      </c>
      <c r="C35" s="110" t="s">
        <v>327</v>
      </c>
      <c r="D35" s="110" t="s">
        <v>328</v>
      </c>
      <c r="E35" s="110" t="s">
        <v>218</v>
      </c>
      <c r="F35" s="110" t="s">
        <v>382</v>
      </c>
      <c r="G35" s="111">
        <v>4.78</v>
      </c>
      <c r="H35" s="110" t="s">
        <v>254</v>
      </c>
      <c r="I35" s="110">
        <v>2.2499999999999999E-2</v>
      </c>
      <c r="J35" s="110">
        <v>4.2500000000000003E-2</v>
      </c>
      <c r="K35" s="66">
        <v>113795.09928323518</v>
      </c>
      <c r="L35" s="58">
        <v>91.16</v>
      </c>
      <c r="M35" s="58">
        <v>0</v>
      </c>
      <c r="N35" s="81">
        <v>103.73560999999999</v>
      </c>
      <c r="O35" s="24">
        <v>6.0142035011483856E-6</v>
      </c>
      <c r="P35" s="32">
        <v>5.4707082127402242E-3</v>
      </c>
      <c r="Q35" s="32">
        <v>1.0003325526667228E-3</v>
      </c>
    </row>
    <row r="36" spans="1:17" x14ac:dyDescent="0.25">
      <c r="A36" s="16" t="s">
        <v>383</v>
      </c>
      <c r="B36" s="110" t="s">
        <v>384</v>
      </c>
      <c r="C36" s="110" t="s">
        <v>327</v>
      </c>
      <c r="D36" s="110" t="s">
        <v>328</v>
      </c>
      <c r="E36" s="110" t="s">
        <v>218</v>
      </c>
      <c r="F36" s="110" t="s">
        <v>385</v>
      </c>
      <c r="G36" s="111">
        <v>6.27</v>
      </c>
      <c r="H36" s="110" t="s">
        <v>254</v>
      </c>
      <c r="I36" s="110">
        <v>0.01</v>
      </c>
      <c r="J36" s="110">
        <v>4.24E-2</v>
      </c>
      <c r="K36" s="66">
        <v>18503.2681761358</v>
      </c>
      <c r="L36" s="58">
        <v>82.4</v>
      </c>
      <c r="M36" s="58">
        <v>0</v>
      </c>
      <c r="N36" s="81">
        <v>15.246690000000001</v>
      </c>
      <c r="O36" s="24">
        <v>7.5630843677917583E-7</v>
      </c>
      <c r="P36" s="32">
        <v>8.0406518263211892E-4</v>
      </c>
      <c r="Q36" s="32">
        <v>1.4702531105199263E-4</v>
      </c>
    </row>
    <row r="37" spans="1:17" x14ac:dyDescent="0.25">
      <c r="A37" s="16" t="s">
        <v>386</v>
      </c>
      <c r="B37" s="110" t="s">
        <v>387</v>
      </c>
      <c r="C37" s="110" t="s">
        <v>327</v>
      </c>
      <c r="D37" s="110" t="s">
        <v>328</v>
      </c>
      <c r="E37" s="110" t="s">
        <v>218</v>
      </c>
      <c r="F37" s="110" t="s">
        <v>388</v>
      </c>
      <c r="G37" s="111">
        <v>12.1</v>
      </c>
      <c r="H37" s="110" t="s">
        <v>254</v>
      </c>
      <c r="I37" s="110">
        <v>1.4999999999999999E-2</v>
      </c>
      <c r="J37" s="110">
        <v>4.3499999999999997E-2</v>
      </c>
      <c r="K37" s="66">
        <v>3524930.6998430672</v>
      </c>
      <c r="L37" s="58">
        <v>71.599999999999994</v>
      </c>
      <c r="M37" s="58">
        <v>0</v>
      </c>
      <c r="N37" s="81">
        <v>2523.8503799999999</v>
      </c>
      <c r="O37" s="24">
        <v>1.9814942783399683E-4</v>
      </c>
      <c r="P37" s="32">
        <v>0.13310037894984697</v>
      </c>
      <c r="Q37" s="32">
        <v>2.433773410282427E-2</v>
      </c>
    </row>
    <row r="38" spans="1:17" x14ac:dyDescent="0.25">
      <c r="A38" s="16" t="s">
        <v>389</v>
      </c>
      <c r="B38" s="110" t="s">
        <v>390</v>
      </c>
      <c r="C38" s="110" t="s">
        <v>327</v>
      </c>
      <c r="D38" s="110" t="s">
        <v>328</v>
      </c>
      <c r="E38" s="110" t="s">
        <v>218</v>
      </c>
      <c r="F38" s="110" t="s">
        <v>391</v>
      </c>
      <c r="G38" s="111">
        <v>8.07</v>
      </c>
      <c r="H38" s="110" t="s">
        <v>254</v>
      </c>
      <c r="I38" s="110">
        <v>1.3000000000000001E-2</v>
      </c>
      <c r="J38" s="110">
        <v>4.24E-2</v>
      </c>
      <c r="K38" s="66">
        <v>1101421.8102686319</v>
      </c>
      <c r="L38" s="58">
        <v>79.739999999999995</v>
      </c>
      <c r="M38" s="58">
        <v>0</v>
      </c>
      <c r="N38" s="81">
        <v>878.27374999999995</v>
      </c>
      <c r="O38" s="24">
        <v>1.9262441994660905E-4</v>
      </c>
      <c r="P38" s="32">
        <v>4.6317551100910813E-2</v>
      </c>
      <c r="Q38" s="32">
        <v>8.4692789899020703E-3</v>
      </c>
    </row>
    <row r="39" spans="1:17" x14ac:dyDescent="0.25">
      <c r="A39" s="16" t="s">
        <v>392</v>
      </c>
      <c r="B39" s="110" t="s">
        <v>393</v>
      </c>
      <c r="C39" s="110" t="s">
        <v>327</v>
      </c>
      <c r="D39" s="110" t="s">
        <v>328</v>
      </c>
      <c r="E39" s="110" t="s">
        <v>218</v>
      </c>
      <c r="F39" s="110" t="s">
        <v>394</v>
      </c>
      <c r="G39" s="111">
        <v>17.95</v>
      </c>
      <c r="H39" s="110" t="s">
        <v>254</v>
      </c>
      <c r="I39" s="110">
        <v>2.7999999999999997E-2</v>
      </c>
      <c r="J39" s="110">
        <v>4.5499999999999999E-2</v>
      </c>
      <c r="K39" s="66">
        <v>652752.09519771638</v>
      </c>
      <c r="L39" s="58">
        <v>74.349999999999994</v>
      </c>
      <c r="M39" s="58">
        <v>0</v>
      </c>
      <c r="N39" s="81">
        <v>485.32117999999997</v>
      </c>
      <c r="O39" s="24">
        <v>1.0583294438023865E-4</v>
      </c>
      <c r="P39" s="32">
        <v>2.5594398733884891E-2</v>
      </c>
      <c r="Q39" s="32">
        <v>4.6799992293160087E-3</v>
      </c>
    </row>
    <row r="40" spans="1:17" x14ac:dyDescent="0.25">
      <c r="A40" s="16" t="s">
        <v>395</v>
      </c>
      <c r="B40" s="110" t="s">
        <v>396</v>
      </c>
      <c r="C40" s="110" t="s">
        <v>327</v>
      </c>
      <c r="D40" s="110" t="s">
        <v>328</v>
      </c>
      <c r="E40" s="110" t="s">
        <v>218</v>
      </c>
      <c r="F40" s="110" t="s">
        <v>397</v>
      </c>
      <c r="G40" s="111">
        <v>4.92</v>
      </c>
      <c r="H40" s="110" t="s">
        <v>254</v>
      </c>
      <c r="I40" s="110">
        <v>3.7499999999999999E-2</v>
      </c>
      <c r="J40" s="110">
        <v>4.2300000000000004E-2</v>
      </c>
      <c r="K40" s="66">
        <v>487490.2665021685</v>
      </c>
      <c r="L40" s="58">
        <v>99.4</v>
      </c>
      <c r="M40" s="58">
        <v>0</v>
      </c>
      <c r="N40" s="81">
        <v>484.56531999999999</v>
      </c>
      <c r="O40" s="24">
        <v>5.9125699198356976E-5</v>
      </c>
      <c r="P40" s="32">
        <v>2.5554536920668756E-2</v>
      </c>
      <c r="Q40" s="32">
        <v>4.6727103979951282E-3</v>
      </c>
    </row>
    <row r="41" spans="1:17" s="112" customFormat="1" x14ac:dyDescent="0.25">
      <c r="A41" s="89" t="s">
        <v>407</v>
      </c>
      <c r="B41" s="124" t="s">
        <v>248</v>
      </c>
      <c r="C41" s="124" t="s">
        <v>248</v>
      </c>
      <c r="D41" s="124" t="s">
        <v>248</v>
      </c>
      <c r="E41" s="124" t="s">
        <v>248</v>
      </c>
      <c r="F41" s="124" t="s">
        <v>248</v>
      </c>
      <c r="G41" s="125" t="s">
        <v>248</v>
      </c>
      <c r="H41" s="124" t="s">
        <v>248</v>
      </c>
      <c r="I41" s="124" t="s">
        <v>248</v>
      </c>
      <c r="J41" s="124" t="s">
        <v>248</v>
      </c>
      <c r="K41" s="128" t="s">
        <v>248</v>
      </c>
      <c r="L41" s="129" t="s">
        <v>248</v>
      </c>
      <c r="M41" s="129" t="s">
        <v>248</v>
      </c>
      <c r="N41" s="117">
        <v>971.71198009999989</v>
      </c>
      <c r="O41" s="130"/>
      <c r="P41" s="114">
        <v>5.1245206057506536E-2</v>
      </c>
      <c r="Q41" s="114">
        <v>9.3703129090412507E-3</v>
      </c>
    </row>
    <row r="42" spans="1:17" x14ac:dyDescent="0.25">
      <c r="A42" s="16" t="s">
        <v>408</v>
      </c>
      <c r="B42" s="110" t="s">
        <v>409</v>
      </c>
      <c r="C42" s="110" t="s">
        <v>327</v>
      </c>
      <c r="D42" s="110" t="s">
        <v>328</v>
      </c>
      <c r="E42" s="110" t="s">
        <v>218</v>
      </c>
      <c r="F42" s="110" t="s">
        <v>410</v>
      </c>
      <c r="G42" s="111">
        <v>2.5099999999999998</v>
      </c>
      <c r="H42" s="110" t="s">
        <v>254</v>
      </c>
      <c r="I42" s="110">
        <v>2.2200000000000001E-2</v>
      </c>
      <c r="J42" s="110">
        <v>5.1900000000000002E-2</v>
      </c>
      <c r="K42" s="66">
        <v>702661.60898875701</v>
      </c>
      <c r="L42" s="58">
        <v>99.62</v>
      </c>
      <c r="M42" s="58">
        <v>0</v>
      </c>
      <c r="N42" s="81">
        <v>699.99149</v>
      </c>
      <c r="O42" s="24">
        <v>3.3266253170574826E-5</v>
      </c>
      <c r="P42" s="32">
        <v>3.6915473801053145E-2</v>
      </c>
      <c r="Q42" s="32">
        <v>6.7500858580451083E-3</v>
      </c>
    </row>
    <row r="43" spans="1:17" x14ac:dyDescent="0.25">
      <c r="A43" s="16" t="s">
        <v>411</v>
      </c>
      <c r="B43" s="110" t="s">
        <v>412</v>
      </c>
      <c r="C43" s="110" t="s">
        <v>327</v>
      </c>
      <c r="D43" s="110" t="s">
        <v>328</v>
      </c>
      <c r="E43" s="110" t="s">
        <v>218</v>
      </c>
      <c r="F43" s="110" t="s">
        <v>413</v>
      </c>
      <c r="G43" s="111">
        <v>6.07</v>
      </c>
      <c r="H43" s="110" t="s">
        <v>254</v>
      </c>
      <c r="I43" s="110">
        <v>2.2200000000000001E-2</v>
      </c>
      <c r="J43" s="110">
        <v>5.3099999999999994E-2</v>
      </c>
      <c r="K43" s="66">
        <v>277549.02264203702</v>
      </c>
      <c r="L43" s="58">
        <v>97.9</v>
      </c>
      <c r="M43" s="58">
        <v>0</v>
      </c>
      <c r="N43" s="81">
        <v>271.72048999999998</v>
      </c>
      <c r="O43" s="24">
        <v>1.6699977848130149E-5</v>
      </c>
      <c r="P43" s="32">
        <v>1.4329732251179686E-2</v>
      </c>
      <c r="Q43" s="32">
        <v>2.620227050031833E-3</v>
      </c>
    </row>
    <row r="44" spans="1:17" s="112" customFormat="1" x14ac:dyDescent="0.25">
      <c r="A44" s="89" t="s">
        <v>414</v>
      </c>
      <c r="B44" s="124" t="s">
        <v>248</v>
      </c>
      <c r="C44" s="124" t="s">
        <v>248</v>
      </c>
      <c r="D44" s="124" t="s">
        <v>248</v>
      </c>
      <c r="E44" s="124" t="s">
        <v>248</v>
      </c>
      <c r="F44" s="124" t="s">
        <v>248</v>
      </c>
      <c r="G44" s="125" t="s">
        <v>248</v>
      </c>
      <c r="H44" s="124" t="s">
        <v>248</v>
      </c>
      <c r="I44" s="124" t="s">
        <v>248</v>
      </c>
      <c r="J44" s="124" t="s">
        <v>248</v>
      </c>
      <c r="K44" s="128" t="s">
        <v>248</v>
      </c>
      <c r="L44" s="129" t="s">
        <v>248</v>
      </c>
      <c r="M44" s="129" t="s">
        <v>248</v>
      </c>
      <c r="N44" s="117">
        <v>0</v>
      </c>
      <c r="O44" s="130"/>
      <c r="P44" s="114">
        <v>0</v>
      </c>
      <c r="Q44" s="114">
        <v>0</v>
      </c>
    </row>
    <row r="45" spans="1:17" s="112" customFormat="1" x14ac:dyDescent="0.25">
      <c r="A45" s="89" t="s">
        <v>415</v>
      </c>
      <c r="B45" s="124" t="s">
        <v>248</v>
      </c>
      <c r="C45" s="124" t="s">
        <v>248</v>
      </c>
      <c r="D45" s="124" t="s">
        <v>248</v>
      </c>
      <c r="E45" s="124" t="s">
        <v>248</v>
      </c>
      <c r="F45" s="124" t="s">
        <v>248</v>
      </c>
      <c r="G45" s="125" t="s">
        <v>248</v>
      </c>
      <c r="H45" s="124" t="s">
        <v>248</v>
      </c>
      <c r="I45" s="124" t="s">
        <v>248</v>
      </c>
      <c r="J45" s="124" t="s">
        <v>248</v>
      </c>
      <c r="K45" s="128" t="s">
        <v>248</v>
      </c>
      <c r="L45" s="129" t="s">
        <v>248</v>
      </c>
      <c r="M45" s="129" t="s">
        <v>248</v>
      </c>
      <c r="N45" s="117">
        <v>3111.9901602</v>
      </c>
      <c r="O45" s="130"/>
      <c r="P45" s="114">
        <v>0.16411712552105209</v>
      </c>
      <c r="Q45" s="114">
        <v>3.0009223070328401E-2</v>
      </c>
    </row>
    <row r="46" spans="1:17" s="112" customFormat="1" x14ac:dyDescent="0.25">
      <c r="A46" s="89" t="s">
        <v>416</v>
      </c>
      <c r="B46" s="124" t="s">
        <v>248</v>
      </c>
      <c r="C46" s="124" t="s">
        <v>248</v>
      </c>
      <c r="D46" s="124" t="s">
        <v>248</v>
      </c>
      <c r="E46" s="124" t="s">
        <v>248</v>
      </c>
      <c r="F46" s="124" t="s">
        <v>248</v>
      </c>
      <c r="G46" s="125" t="s">
        <v>248</v>
      </c>
      <c r="H46" s="124" t="s">
        <v>248</v>
      </c>
      <c r="I46" s="124" t="s">
        <v>248</v>
      </c>
      <c r="J46" s="124" t="s">
        <v>248</v>
      </c>
      <c r="K46" s="128" t="s">
        <v>248</v>
      </c>
      <c r="L46" s="129" t="s">
        <v>248</v>
      </c>
      <c r="M46" s="129" t="s">
        <v>248</v>
      </c>
      <c r="N46" s="117">
        <v>2.9553001000000005</v>
      </c>
      <c r="O46" s="130"/>
      <c r="P46" s="114">
        <v>1.5585375675895681E-4</v>
      </c>
      <c r="Q46" s="114">
        <v>2.8498245616227847E-5</v>
      </c>
    </row>
    <row r="47" spans="1:17" x14ac:dyDescent="0.25">
      <c r="A47" s="16" t="s">
        <v>417</v>
      </c>
      <c r="B47" s="110" t="s">
        <v>418</v>
      </c>
      <c r="C47" s="110" t="s">
        <v>218</v>
      </c>
      <c r="D47" s="110" t="s">
        <v>313</v>
      </c>
      <c r="E47" s="110" t="s">
        <v>262</v>
      </c>
      <c r="F47" s="110" t="s">
        <v>419</v>
      </c>
      <c r="G47" s="111">
        <v>13.65</v>
      </c>
      <c r="H47" s="110" t="s">
        <v>125</v>
      </c>
      <c r="I47" s="110">
        <v>4.1299999999999996E-2</v>
      </c>
      <c r="J47" s="110">
        <v>5.8929999999999996E-2</v>
      </c>
      <c r="K47" s="66">
        <v>1000</v>
      </c>
      <c r="L47" s="58">
        <v>77.283000000000001</v>
      </c>
      <c r="M47" s="58">
        <v>0</v>
      </c>
      <c r="N47" s="81">
        <v>2.9553000000000003</v>
      </c>
      <c r="O47" s="24">
        <v>9.9999999999999995E-7</v>
      </c>
      <c r="P47" s="32">
        <v>1.558537514852536E-4</v>
      </c>
      <c r="Q47" s="32">
        <v>2.8498244651918144E-5</v>
      </c>
    </row>
    <row r="48" spans="1:17" s="112" customFormat="1" x14ac:dyDescent="0.25">
      <c r="A48" s="89" t="s">
        <v>420</v>
      </c>
      <c r="B48" s="124" t="s">
        <v>248</v>
      </c>
      <c r="C48" s="124" t="s">
        <v>248</v>
      </c>
      <c r="D48" s="124" t="s">
        <v>248</v>
      </c>
      <c r="E48" s="124" t="s">
        <v>248</v>
      </c>
      <c r="F48" s="124" t="s">
        <v>248</v>
      </c>
      <c r="G48" s="125" t="s">
        <v>248</v>
      </c>
      <c r="H48" s="124" t="s">
        <v>248</v>
      </c>
      <c r="I48" s="124" t="s">
        <v>248</v>
      </c>
      <c r="J48" s="124" t="s">
        <v>248</v>
      </c>
      <c r="K48" s="128" t="s">
        <v>248</v>
      </c>
      <c r="L48" s="129" t="s">
        <v>248</v>
      </c>
      <c r="M48" s="129" t="s">
        <v>248</v>
      </c>
      <c r="N48" s="117">
        <v>3109.0348601000001</v>
      </c>
      <c r="O48" s="130"/>
      <c r="P48" s="114">
        <v>0.16396127176429315</v>
      </c>
      <c r="Q48" s="114">
        <v>2.9980724824712174E-2</v>
      </c>
    </row>
    <row r="49" spans="1:17" x14ac:dyDescent="0.25">
      <c r="A49" s="16" t="s">
        <v>421</v>
      </c>
      <c r="B49" s="110" t="s">
        <v>422</v>
      </c>
      <c r="C49" s="110" t="s">
        <v>218</v>
      </c>
      <c r="D49" s="110" t="s">
        <v>423</v>
      </c>
      <c r="E49" s="110" t="s">
        <v>262</v>
      </c>
      <c r="F49" s="110" t="s">
        <v>424</v>
      </c>
      <c r="G49" s="111">
        <v>7.3559999999999999</v>
      </c>
      <c r="H49" s="110" t="s">
        <v>125</v>
      </c>
      <c r="I49" s="110">
        <v>2.8799999999999999E-2</v>
      </c>
      <c r="J49" s="110">
        <v>4.6104459999999993E-2</v>
      </c>
      <c r="K49" s="66">
        <v>571998.04218919622</v>
      </c>
      <c r="L49" s="58">
        <v>88.890625</v>
      </c>
      <c r="M49" s="58">
        <v>0</v>
      </c>
      <c r="N49" s="81">
        <v>1944.3228799999999</v>
      </c>
      <c r="O49" s="24">
        <v>4.2897386564462257E-6</v>
      </c>
      <c r="P49" s="32">
        <v>0.10253781847751919</v>
      </c>
      <c r="Q49" s="32">
        <v>1.8749294188935835E-2</v>
      </c>
    </row>
    <row r="50" spans="1:17" x14ac:dyDescent="0.25">
      <c r="A50" s="16" t="s">
        <v>425</v>
      </c>
      <c r="B50" s="110" t="s">
        <v>426</v>
      </c>
      <c r="C50" s="110" t="s">
        <v>218</v>
      </c>
      <c r="D50" s="110" t="s">
        <v>423</v>
      </c>
      <c r="E50" s="110" t="s">
        <v>262</v>
      </c>
      <c r="F50" s="110" t="s">
        <v>427</v>
      </c>
      <c r="G50" s="111">
        <v>7.37</v>
      </c>
      <c r="H50" s="110" t="s">
        <v>125</v>
      </c>
      <c r="I50" s="110">
        <v>4.1299999999999996E-2</v>
      </c>
      <c r="J50" s="110">
        <v>4.6090590000000001E-2</v>
      </c>
      <c r="K50" s="66">
        <v>223889.54493124317</v>
      </c>
      <c r="L50" s="58">
        <v>98.022418000000002</v>
      </c>
      <c r="M50" s="58">
        <v>0</v>
      </c>
      <c r="N50" s="81">
        <v>839.22248000000002</v>
      </c>
      <c r="O50" s="24">
        <v>2.0123998465798678E-6</v>
      </c>
      <c r="P50" s="32">
        <v>4.4258103014502143E-2</v>
      </c>
      <c r="Q50" s="32">
        <v>8.0927038041584531E-3</v>
      </c>
    </row>
    <row r="51" spans="1:17" x14ac:dyDescent="0.25">
      <c r="A51" s="16" t="s">
        <v>428</v>
      </c>
      <c r="B51" s="110" t="s">
        <v>429</v>
      </c>
      <c r="C51" s="110" t="s">
        <v>218</v>
      </c>
      <c r="D51" s="110" t="s">
        <v>423</v>
      </c>
      <c r="E51" s="110" t="s">
        <v>262</v>
      </c>
      <c r="F51" s="110" t="s">
        <v>369</v>
      </c>
      <c r="G51" s="111">
        <v>7.9169999999999998</v>
      </c>
      <c r="H51" s="110" t="s">
        <v>125</v>
      </c>
      <c r="I51" s="110">
        <v>3.3799999999999997E-2</v>
      </c>
      <c r="J51" s="110">
        <v>4.5816129999999997E-2</v>
      </c>
      <c r="K51" s="66">
        <v>92516.340880678996</v>
      </c>
      <c r="L51" s="58">
        <v>92.002717000000004</v>
      </c>
      <c r="M51" s="58">
        <v>0</v>
      </c>
      <c r="N51" s="81">
        <v>325.48950000000002</v>
      </c>
      <c r="O51" s="24">
        <v>8.5256730295976591E-7</v>
      </c>
      <c r="P51" s="32">
        <v>1.7165350266998086E-2</v>
      </c>
      <c r="Q51" s="32">
        <v>3.1387268306535747E-3</v>
      </c>
    </row>
    <row r="52" spans="1:17" s="112" customFormat="1" x14ac:dyDescent="0.25">
      <c r="A52" s="75" t="s">
        <v>241</v>
      </c>
      <c r="B52" s="118"/>
      <c r="C52" s="118"/>
      <c r="D52" s="118"/>
      <c r="E52" s="119"/>
      <c r="F52" s="119"/>
      <c r="G52" s="119"/>
      <c r="H52" s="120"/>
      <c r="I52" s="121"/>
      <c r="J52" s="122"/>
      <c r="K52" s="122"/>
      <c r="L52" s="122"/>
      <c r="M52" s="122"/>
      <c r="N52" s="121"/>
      <c r="O52" s="121"/>
      <c r="P52" s="121"/>
      <c r="Q52" s="131"/>
    </row>
    <row r="53" spans="1:17" s="112" customFormat="1" x14ac:dyDescent="0.25">
      <c r="A53" s="75" t="s">
        <v>242</v>
      </c>
      <c r="B53" s="118"/>
      <c r="C53" s="118"/>
      <c r="D53" s="118"/>
      <c r="E53" s="119"/>
      <c r="F53" s="119"/>
      <c r="G53" s="119"/>
      <c r="H53" s="120"/>
      <c r="I53" s="121"/>
      <c r="J53" s="122"/>
      <c r="K53" s="122"/>
      <c r="L53" s="122"/>
      <c r="M53" s="122"/>
      <c r="N53" s="121"/>
      <c r="O53" s="121"/>
      <c r="P53" s="121"/>
      <c r="Q53" s="131"/>
    </row>
    <row r="54" spans="1:17" s="112" customFormat="1" x14ac:dyDescent="0.25">
      <c r="A54" s="75" t="s">
        <v>243</v>
      </c>
      <c r="B54" s="118"/>
      <c r="C54" s="118"/>
      <c r="D54" s="118"/>
      <c r="E54" s="119"/>
      <c r="F54" s="119"/>
      <c r="G54" s="119"/>
      <c r="H54" s="120"/>
      <c r="I54" s="121"/>
      <c r="J54" s="122"/>
      <c r="K54" s="122"/>
      <c r="L54" s="122"/>
      <c r="M54" s="122"/>
      <c r="N54" s="121"/>
      <c r="O54" s="121"/>
      <c r="P54" s="121"/>
      <c r="Q54" s="131"/>
    </row>
    <row r="55" spans="1:17" s="112" customFormat="1" x14ac:dyDescent="0.25">
      <c r="A55" s="75" t="s">
        <v>244</v>
      </c>
      <c r="B55" s="118"/>
      <c r="C55" s="118"/>
      <c r="D55" s="118"/>
      <c r="E55" s="119"/>
      <c r="F55" s="119"/>
      <c r="G55" s="119"/>
      <c r="H55" s="120"/>
      <c r="I55" s="121"/>
      <c r="J55" s="122"/>
      <c r="K55" s="122"/>
      <c r="L55" s="122"/>
      <c r="M55" s="122"/>
      <c r="N55" s="121"/>
      <c r="O55" s="121"/>
      <c r="P55" s="121"/>
      <c r="Q55" s="131"/>
    </row>
    <row r="56" spans="1:17" s="112" customFormat="1" x14ac:dyDescent="0.25">
      <c r="A56" s="75" t="s">
        <v>245</v>
      </c>
      <c r="B56" s="118"/>
      <c r="C56" s="118"/>
      <c r="D56" s="118"/>
      <c r="E56" s="119"/>
      <c r="F56" s="119"/>
      <c r="G56" s="119"/>
      <c r="H56" s="120"/>
      <c r="I56" s="121"/>
      <c r="J56" s="122"/>
      <c r="K56" s="122"/>
      <c r="L56" s="122"/>
      <c r="M56" s="122"/>
      <c r="N56" s="121"/>
      <c r="O56" s="121"/>
      <c r="P56" s="121"/>
      <c r="Q56" s="131"/>
    </row>
  </sheetData>
  <mergeCells count="2">
    <mergeCell ref="A5:Q5"/>
    <mergeCell ref="A4:Q4"/>
  </mergeCells>
  <phoneticPr fontId="3" type="noConversion"/>
  <conditionalFormatting sqref="A9:A51 N9:N51">
    <cfRule type="expression" dxfId="124" priority="69" stopIfTrue="1">
      <formula>#REF!&gt;0</formula>
    </cfRule>
    <cfRule type="expression" dxfId="123" priority="70" stopIfTrue="1">
      <formula>LEFT(#REF!,3)="TIR"</formula>
    </cfRule>
  </conditionalFormatting>
  <conditionalFormatting sqref="B9:F9 H9 P9:Q51">
    <cfRule type="expression" dxfId="122" priority="66" stopIfTrue="1">
      <formula>OR(LEFT(#REF!,3)="TIR",LEFT(#REF!,2)="IR")</formula>
    </cfRule>
  </conditionalFormatting>
  <conditionalFormatting sqref="B10:J51">
    <cfRule type="expression" dxfId="121" priority="73" stopIfTrue="1">
      <formula>LEFT(#REF!,3)="TIR"</formula>
    </cfRule>
  </conditionalFormatting>
  <conditionalFormatting sqref="I1:I3 G9 I9:M9 O9:O51 K10:M51 I52:I55586">
    <cfRule type="expression" dxfId="120" priority="59" stopIfTrue="1">
      <formula>LEFT(#REF!,3)="TIR"</formula>
    </cfRule>
  </conditionalFormatting>
  <conditionalFormatting sqref="I6">
    <cfRule type="expression" dxfId="119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13" t="s">
        <v>11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5"/>
    </row>
    <row r="5" spans="1:20" s="7" customFormat="1" x14ac:dyDescent="0.25">
      <c r="A5" s="216" t="s">
        <v>18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8"/>
    </row>
    <row r="6" spans="1:20" s="7" customFormat="1" x14ac:dyDescent="0.25">
      <c r="A6" s="83" t="s">
        <v>157</v>
      </c>
      <c r="B6" s="197" t="s">
        <v>69</v>
      </c>
      <c r="C6" s="197" t="s">
        <v>76</v>
      </c>
      <c r="D6" s="197" t="s">
        <v>77</v>
      </c>
      <c r="E6" s="197" t="s">
        <v>74</v>
      </c>
      <c r="F6" s="197" t="s">
        <v>19</v>
      </c>
      <c r="G6" s="197" t="s">
        <v>70</v>
      </c>
      <c r="H6" s="197" t="s">
        <v>5</v>
      </c>
      <c r="I6" s="197" t="s">
        <v>13</v>
      </c>
      <c r="J6" s="197" t="s">
        <v>14</v>
      </c>
      <c r="K6" s="197" t="s">
        <v>6</v>
      </c>
      <c r="L6" s="198" t="s">
        <v>66</v>
      </c>
      <c r="M6" s="198" t="s">
        <v>71</v>
      </c>
      <c r="N6" s="198" t="s">
        <v>67</v>
      </c>
      <c r="O6" s="198" t="s">
        <v>68</v>
      </c>
      <c r="P6" s="198" t="s">
        <v>134</v>
      </c>
      <c r="Q6" s="198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2" customFormat="1" ht="12.75" customHeight="1" thickBot="1" x14ac:dyDescent="0.3">
      <c r="A9" s="96" t="s">
        <v>61</v>
      </c>
      <c r="B9" s="64" t="s">
        <v>248</v>
      </c>
      <c r="C9" s="64" t="s">
        <v>248</v>
      </c>
      <c r="D9" s="64" t="s">
        <v>248</v>
      </c>
      <c r="E9" s="64" t="s">
        <v>248</v>
      </c>
      <c r="F9" s="64" t="s">
        <v>248</v>
      </c>
      <c r="G9" s="132"/>
      <c r="H9" s="132" t="s">
        <v>248</v>
      </c>
      <c r="I9" s="132" t="s">
        <v>248</v>
      </c>
      <c r="J9" s="132" t="s">
        <v>248</v>
      </c>
      <c r="K9" s="132" t="s">
        <v>248</v>
      </c>
      <c r="L9" s="133" t="s">
        <v>248</v>
      </c>
      <c r="M9" s="133" t="s">
        <v>248</v>
      </c>
      <c r="N9" s="134" t="s">
        <v>248</v>
      </c>
      <c r="O9" s="132"/>
      <c r="P9" s="132" t="s">
        <v>248</v>
      </c>
      <c r="Q9" s="99">
        <v>4.9999999999999998E-7</v>
      </c>
      <c r="R9" s="64" t="s">
        <v>248</v>
      </c>
      <c r="S9" s="64">
        <v>1</v>
      </c>
      <c r="T9" s="78">
        <v>0</v>
      </c>
    </row>
    <row r="10" spans="1:20" s="112" customFormat="1" x14ac:dyDescent="0.25">
      <c r="A10" s="88" t="s">
        <v>137</v>
      </c>
      <c r="B10" s="124" t="s">
        <v>248</v>
      </c>
      <c r="C10" s="124" t="s">
        <v>248</v>
      </c>
      <c r="D10" s="124" t="s">
        <v>248</v>
      </c>
      <c r="E10" s="124" t="s">
        <v>248</v>
      </c>
      <c r="F10" s="124" t="s">
        <v>248</v>
      </c>
      <c r="G10" s="124" t="s">
        <v>248</v>
      </c>
      <c r="H10" s="124" t="s">
        <v>248</v>
      </c>
      <c r="I10" s="124" t="s">
        <v>248</v>
      </c>
      <c r="J10" s="125" t="s">
        <v>248</v>
      </c>
      <c r="K10" s="124" t="s">
        <v>248</v>
      </c>
      <c r="L10" s="124" t="s">
        <v>248</v>
      </c>
      <c r="M10" s="124" t="s">
        <v>248</v>
      </c>
      <c r="N10" s="135" t="s">
        <v>248</v>
      </c>
      <c r="O10" s="136" t="s">
        <v>248</v>
      </c>
      <c r="P10" s="136" t="s">
        <v>248</v>
      </c>
      <c r="Q10" s="116">
        <v>0</v>
      </c>
      <c r="R10" s="114" t="s">
        <v>248</v>
      </c>
      <c r="S10" s="114">
        <v>0</v>
      </c>
      <c r="T10" s="114">
        <v>0</v>
      </c>
    </row>
    <row r="11" spans="1:20" s="112" customFormat="1" x14ac:dyDescent="0.25">
      <c r="A11" s="89" t="s">
        <v>138</v>
      </c>
      <c r="B11" s="124" t="s">
        <v>248</v>
      </c>
      <c r="C11" s="124" t="s">
        <v>248</v>
      </c>
      <c r="D11" s="124" t="s">
        <v>248</v>
      </c>
      <c r="E11" s="124" t="s">
        <v>248</v>
      </c>
      <c r="F11" s="124" t="s">
        <v>248</v>
      </c>
      <c r="G11" s="124" t="s">
        <v>248</v>
      </c>
      <c r="H11" s="124" t="s">
        <v>248</v>
      </c>
      <c r="I11" s="124" t="s">
        <v>248</v>
      </c>
      <c r="J11" s="125" t="s">
        <v>248</v>
      </c>
      <c r="K11" s="124" t="s">
        <v>248</v>
      </c>
      <c r="L11" s="124" t="s">
        <v>248</v>
      </c>
      <c r="M11" s="124" t="s">
        <v>248</v>
      </c>
      <c r="N11" s="137" t="s">
        <v>248</v>
      </c>
      <c r="O11" s="138" t="s">
        <v>248</v>
      </c>
      <c r="P11" s="138" t="s">
        <v>248</v>
      </c>
      <c r="Q11" s="117">
        <v>0</v>
      </c>
      <c r="R11" s="130"/>
      <c r="S11" s="130">
        <v>0</v>
      </c>
      <c r="T11" s="114">
        <v>0</v>
      </c>
    </row>
    <row r="12" spans="1:20" s="112" customFormat="1" x14ac:dyDescent="0.25">
      <c r="A12" s="89" t="s">
        <v>139</v>
      </c>
      <c r="B12" s="124" t="s">
        <v>248</v>
      </c>
      <c r="C12" s="124" t="s">
        <v>248</v>
      </c>
      <c r="D12" s="124" t="s">
        <v>248</v>
      </c>
      <c r="E12" s="124" t="s">
        <v>248</v>
      </c>
      <c r="F12" s="124" t="s">
        <v>248</v>
      </c>
      <c r="G12" s="124" t="s">
        <v>248</v>
      </c>
      <c r="H12" s="124" t="s">
        <v>248</v>
      </c>
      <c r="I12" s="124" t="s">
        <v>248</v>
      </c>
      <c r="J12" s="125" t="s">
        <v>248</v>
      </c>
      <c r="K12" s="124" t="s">
        <v>248</v>
      </c>
      <c r="L12" s="124" t="s">
        <v>248</v>
      </c>
      <c r="M12" s="124" t="s">
        <v>248</v>
      </c>
      <c r="N12" s="137" t="s">
        <v>248</v>
      </c>
      <c r="O12" s="138" t="s">
        <v>248</v>
      </c>
      <c r="P12" s="138" t="s">
        <v>248</v>
      </c>
      <c r="Q12" s="117">
        <v>0</v>
      </c>
      <c r="R12" s="130"/>
      <c r="S12" s="130">
        <v>0</v>
      </c>
      <c r="T12" s="114">
        <v>0</v>
      </c>
    </row>
    <row r="13" spans="1:20" s="112" customFormat="1" x14ac:dyDescent="0.25">
      <c r="A13" s="89" t="s">
        <v>430</v>
      </c>
      <c r="B13" s="124" t="s">
        <v>248</v>
      </c>
      <c r="C13" s="124" t="s">
        <v>248</v>
      </c>
      <c r="D13" s="124" t="s">
        <v>248</v>
      </c>
      <c r="E13" s="124" t="s">
        <v>248</v>
      </c>
      <c r="F13" s="124" t="s">
        <v>248</v>
      </c>
      <c r="G13" s="124" t="s">
        <v>248</v>
      </c>
      <c r="H13" s="124" t="s">
        <v>248</v>
      </c>
      <c r="I13" s="124" t="s">
        <v>248</v>
      </c>
      <c r="J13" s="125" t="s">
        <v>248</v>
      </c>
      <c r="K13" s="124" t="s">
        <v>248</v>
      </c>
      <c r="L13" s="124" t="s">
        <v>248</v>
      </c>
      <c r="M13" s="124" t="s">
        <v>248</v>
      </c>
      <c r="N13" s="137" t="s">
        <v>248</v>
      </c>
      <c r="O13" s="138" t="s">
        <v>248</v>
      </c>
      <c r="P13" s="138" t="s">
        <v>248</v>
      </c>
      <c r="Q13" s="117">
        <v>0</v>
      </c>
      <c r="R13" s="130"/>
      <c r="S13" s="130">
        <v>0</v>
      </c>
      <c r="T13" s="114">
        <v>0</v>
      </c>
    </row>
    <row r="14" spans="1:20" s="112" customFormat="1" x14ac:dyDescent="0.25">
      <c r="A14" s="89" t="s">
        <v>431</v>
      </c>
      <c r="B14" s="124" t="s">
        <v>248</v>
      </c>
      <c r="C14" s="124" t="s">
        <v>248</v>
      </c>
      <c r="D14" s="124" t="s">
        <v>248</v>
      </c>
      <c r="E14" s="124" t="s">
        <v>248</v>
      </c>
      <c r="F14" s="124" t="s">
        <v>248</v>
      </c>
      <c r="G14" s="124" t="s">
        <v>248</v>
      </c>
      <c r="H14" s="124" t="s">
        <v>248</v>
      </c>
      <c r="I14" s="124" t="s">
        <v>248</v>
      </c>
      <c r="J14" s="125" t="s">
        <v>248</v>
      </c>
      <c r="K14" s="124" t="s">
        <v>248</v>
      </c>
      <c r="L14" s="124" t="s">
        <v>248</v>
      </c>
      <c r="M14" s="124" t="s">
        <v>248</v>
      </c>
      <c r="N14" s="137" t="s">
        <v>248</v>
      </c>
      <c r="O14" s="138" t="s">
        <v>248</v>
      </c>
      <c r="P14" s="138" t="s">
        <v>248</v>
      </c>
      <c r="Q14" s="117">
        <v>0</v>
      </c>
      <c r="R14" s="130"/>
      <c r="S14" s="130">
        <v>0</v>
      </c>
      <c r="T14" s="114">
        <v>0</v>
      </c>
    </row>
    <row r="15" spans="1:20" s="112" customFormat="1" x14ac:dyDescent="0.25">
      <c r="A15" s="89" t="s">
        <v>143</v>
      </c>
      <c r="B15" s="124" t="s">
        <v>248</v>
      </c>
      <c r="C15" s="124" t="s">
        <v>248</v>
      </c>
      <c r="D15" s="124" t="s">
        <v>248</v>
      </c>
      <c r="E15" s="124" t="s">
        <v>248</v>
      </c>
      <c r="F15" s="124" t="s">
        <v>248</v>
      </c>
      <c r="G15" s="124" t="s">
        <v>248</v>
      </c>
      <c r="H15" s="124" t="s">
        <v>248</v>
      </c>
      <c r="I15" s="124" t="s">
        <v>248</v>
      </c>
      <c r="J15" s="125" t="s">
        <v>248</v>
      </c>
      <c r="K15" s="124" t="s">
        <v>248</v>
      </c>
      <c r="L15" s="124" t="s">
        <v>248</v>
      </c>
      <c r="M15" s="124" t="s">
        <v>248</v>
      </c>
      <c r="N15" s="137" t="s">
        <v>248</v>
      </c>
      <c r="O15" s="138" t="s">
        <v>248</v>
      </c>
      <c r="P15" s="138" t="s">
        <v>248</v>
      </c>
      <c r="Q15" s="117">
        <v>0</v>
      </c>
      <c r="R15" s="130"/>
      <c r="S15" s="130">
        <v>0</v>
      </c>
      <c r="T15" s="114">
        <v>0</v>
      </c>
    </row>
    <row r="16" spans="1:20" s="112" customFormat="1" x14ac:dyDescent="0.25">
      <c r="A16" s="89" t="s">
        <v>144</v>
      </c>
      <c r="B16" s="124" t="s">
        <v>248</v>
      </c>
      <c r="C16" s="124" t="s">
        <v>248</v>
      </c>
      <c r="D16" s="124" t="s">
        <v>248</v>
      </c>
      <c r="E16" s="124" t="s">
        <v>248</v>
      </c>
      <c r="F16" s="124" t="s">
        <v>248</v>
      </c>
      <c r="G16" s="124" t="s">
        <v>248</v>
      </c>
      <c r="H16" s="124" t="s">
        <v>248</v>
      </c>
      <c r="I16" s="124" t="s">
        <v>248</v>
      </c>
      <c r="J16" s="125" t="s">
        <v>248</v>
      </c>
      <c r="K16" s="124" t="s">
        <v>248</v>
      </c>
      <c r="L16" s="124" t="s">
        <v>248</v>
      </c>
      <c r="M16" s="124" t="s">
        <v>248</v>
      </c>
      <c r="N16" s="137" t="s">
        <v>248</v>
      </c>
      <c r="O16" s="138" t="s">
        <v>248</v>
      </c>
      <c r="P16" s="138" t="s">
        <v>248</v>
      </c>
      <c r="Q16" s="117">
        <v>0</v>
      </c>
      <c r="R16" s="130"/>
      <c r="S16" s="130">
        <v>0</v>
      </c>
      <c r="T16" s="114">
        <v>0</v>
      </c>
    </row>
    <row r="17" spans="1:17" s="112" customFormat="1" x14ac:dyDescent="0.25">
      <c r="A17" s="75" t="s">
        <v>241</v>
      </c>
      <c r="B17" s="118"/>
      <c r="C17" s="118"/>
      <c r="D17" s="118"/>
      <c r="E17" s="118"/>
      <c r="F17" s="75"/>
      <c r="G17" s="139"/>
      <c r="H17" s="139"/>
      <c r="I17" s="139"/>
      <c r="J17" s="140"/>
      <c r="K17" s="123"/>
      <c r="L17" s="141"/>
      <c r="M17" s="141"/>
      <c r="N17" s="141"/>
      <c r="O17" s="123"/>
      <c r="P17" s="123"/>
      <c r="Q17" s="123"/>
    </row>
    <row r="18" spans="1:17" s="112" customFormat="1" x14ac:dyDescent="0.25">
      <c r="A18" s="75" t="s">
        <v>242</v>
      </c>
      <c r="B18" s="118"/>
      <c r="C18" s="118"/>
      <c r="D18" s="118"/>
      <c r="E18" s="118"/>
      <c r="F18" s="75"/>
      <c r="G18" s="139"/>
      <c r="H18" s="139"/>
      <c r="I18" s="139"/>
      <c r="J18" s="140"/>
      <c r="K18" s="123"/>
      <c r="L18" s="141"/>
      <c r="M18" s="141"/>
      <c r="N18" s="141"/>
      <c r="O18" s="123"/>
      <c r="P18" s="123"/>
      <c r="Q18" s="123"/>
    </row>
    <row r="19" spans="1:17" s="112" customFormat="1" x14ac:dyDescent="0.25">
      <c r="A19" s="75" t="s">
        <v>243</v>
      </c>
      <c r="B19" s="118"/>
      <c r="C19" s="118"/>
      <c r="D19" s="118"/>
      <c r="E19" s="118"/>
      <c r="F19" s="75"/>
      <c r="G19" s="139"/>
      <c r="H19" s="139"/>
      <c r="I19" s="139"/>
      <c r="J19" s="140"/>
      <c r="K19" s="123"/>
      <c r="L19" s="141"/>
      <c r="M19" s="141"/>
      <c r="N19" s="141"/>
      <c r="O19" s="123"/>
      <c r="P19" s="123"/>
      <c r="Q19" s="123"/>
    </row>
    <row r="20" spans="1:17" s="112" customFormat="1" x14ac:dyDescent="0.25">
      <c r="A20" s="75" t="s">
        <v>244</v>
      </c>
      <c r="B20" s="118"/>
      <c r="C20" s="118"/>
      <c r="D20" s="118"/>
      <c r="E20" s="118"/>
      <c r="F20" s="75"/>
      <c r="G20" s="139"/>
      <c r="H20" s="139"/>
      <c r="I20" s="139"/>
      <c r="J20" s="140"/>
      <c r="K20" s="123"/>
      <c r="L20" s="141"/>
      <c r="M20" s="141"/>
      <c r="N20" s="141"/>
      <c r="O20" s="123"/>
      <c r="P20" s="123"/>
      <c r="Q20" s="123"/>
    </row>
    <row r="21" spans="1:17" s="112" customFormat="1" x14ac:dyDescent="0.25">
      <c r="A21" s="75" t="s">
        <v>245</v>
      </c>
      <c r="B21" s="118"/>
      <c r="C21" s="118"/>
      <c r="D21" s="118"/>
      <c r="E21" s="118"/>
      <c r="F21" s="75"/>
      <c r="G21" s="139"/>
      <c r="H21" s="139"/>
      <c r="I21" s="139"/>
      <c r="J21" s="140"/>
      <c r="K21" s="123"/>
      <c r="L21" s="141"/>
      <c r="M21" s="141"/>
      <c r="N21" s="141"/>
      <c r="O21" s="123"/>
      <c r="P21" s="123"/>
      <c r="Q21" s="123"/>
    </row>
  </sheetData>
  <mergeCells count="2">
    <mergeCell ref="A5:T5"/>
    <mergeCell ref="A4:T4"/>
  </mergeCells>
  <phoneticPr fontId="3" type="noConversion"/>
  <conditionalFormatting sqref="A9:A16 Q9:Q16">
    <cfRule type="expression" dxfId="118" priority="99" stopIfTrue="1">
      <formula>#REF!&gt;0</formula>
    </cfRule>
    <cfRule type="expression" dxfId="117" priority="100" stopIfTrue="1">
      <formula>LEFT(#REF!,3)="TIR"</formula>
    </cfRule>
  </conditionalFormatting>
  <conditionalFormatting sqref="B9:I9 K9 B10:M16">
    <cfRule type="expression" dxfId="116" priority="96" stopIfTrue="1">
      <formula>LEFT(#REF!,3)="TIR"</formula>
    </cfRule>
  </conditionalFormatting>
  <conditionalFormatting sqref="K1:K3 J9 L9:P9 R9:R16 N10:P16 K17:K55551">
    <cfRule type="expression" dxfId="115" priority="89" stopIfTrue="1">
      <formula>LEFT(#REF!,3)="TIR"</formula>
    </cfRule>
  </conditionalFormatting>
  <conditionalFormatting sqref="L6">
    <cfRule type="expression" dxfId="114" priority="95" stopIfTrue="1">
      <formula>LEFT(#REF!,3)="TIR"</formula>
    </cfRule>
  </conditionalFormatting>
  <conditionalFormatting sqref="S9:T16">
    <cfRule type="expression" dxfId="113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0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4.88671875" style="8" bestFit="1" customWidth="1"/>
    <col min="7" max="7" width="7.5546875" style="57" customWidth="1"/>
    <col min="8" max="8" width="11.109375" style="57" customWidth="1"/>
    <col min="9" max="9" width="14.109375" style="57" customWidth="1"/>
    <col min="10" max="10" width="7.88671875" style="36" customWidth="1"/>
    <col min="11" max="11" width="11.33203125" style="59" customWidth="1"/>
    <col min="12" max="12" width="12.5546875" style="61" customWidth="1"/>
    <col min="13" max="13" width="14.109375" style="61" customWidth="1"/>
    <col min="14" max="14" width="10.88671875" style="61" bestFit="1" customWidth="1"/>
    <col min="15" max="15" width="11.44140625" style="59" bestFit="1" customWidth="1"/>
    <col min="16" max="16" width="16.5546875" style="59" customWidth="1"/>
    <col min="17" max="17" width="10.44140625" style="59" customWidth="1"/>
    <col min="18" max="18" width="22" style="62" customWidth="1"/>
    <col min="19" max="19" width="25.44140625" style="62" customWidth="1"/>
    <col min="20" max="20" width="20.6640625" style="62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36"/>
      <c r="K1" s="59"/>
      <c r="L1" s="60"/>
      <c r="M1" s="60"/>
      <c r="N1" s="60"/>
      <c r="O1" s="59"/>
      <c r="P1" s="59"/>
      <c r="Q1" s="59"/>
      <c r="R1" s="62"/>
      <c r="S1" s="62"/>
      <c r="T1" s="42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36"/>
      <c r="K2" s="59"/>
      <c r="L2" s="60"/>
      <c r="M2" s="60"/>
      <c r="N2" s="60"/>
      <c r="O2" s="59"/>
      <c r="P2" s="59"/>
      <c r="Q2" s="59"/>
      <c r="R2" s="62"/>
      <c r="S2" s="62"/>
      <c r="T2" s="42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36"/>
      <c r="K3" s="59"/>
      <c r="L3" s="60"/>
      <c r="M3" s="60"/>
      <c r="N3" s="60"/>
      <c r="O3" s="59"/>
      <c r="P3" s="59"/>
      <c r="Q3" s="59"/>
      <c r="R3" s="62"/>
      <c r="S3" s="62"/>
      <c r="T3" s="42"/>
    </row>
    <row r="4" spans="1:20" s="7" customFormat="1" ht="13.8" thickBot="1" x14ac:dyDescent="0.3">
      <c r="A4" s="213" t="s">
        <v>11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5"/>
    </row>
    <row r="5" spans="1:20" s="7" customFormat="1" x14ac:dyDescent="0.25">
      <c r="A5" s="216" t="s">
        <v>88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8"/>
    </row>
    <row r="6" spans="1:20" s="7" customFormat="1" x14ac:dyDescent="0.25">
      <c r="A6" s="83" t="s">
        <v>157</v>
      </c>
      <c r="B6" s="197" t="s">
        <v>69</v>
      </c>
      <c r="C6" s="197" t="s">
        <v>76</v>
      </c>
      <c r="D6" s="197" t="s">
        <v>77</v>
      </c>
      <c r="E6" s="197" t="s">
        <v>74</v>
      </c>
      <c r="F6" s="197" t="s">
        <v>19</v>
      </c>
      <c r="G6" s="197" t="s">
        <v>70</v>
      </c>
      <c r="H6" s="197" t="s">
        <v>5</v>
      </c>
      <c r="I6" s="197" t="s">
        <v>13</v>
      </c>
      <c r="J6" s="197" t="s">
        <v>14</v>
      </c>
      <c r="K6" s="197" t="s">
        <v>6</v>
      </c>
      <c r="L6" s="198" t="s">
        <v>66</v>
      </c>
      <c r="M6" s="198" t="s">
        <v>71</v>
      </c>
      <c r="N6" s="198" t="s">
        <v>67</v>
      </c>
      <c r="O6" s="198" t="s">
        <v>68</v>
      </c>
      <c r="P6" s="198" t="s">
        <v>134</v>
      </c>
      <c r="Q6" s="198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49"/>
      <c r="I7" s="50" t="s">
        <v>40</v>
      </c>
      <c r="J7" s="49" t="s">
        <v>16</v>
      </c>
      <c r="K7" s="29"/>
      <c r="L7" s="47" t="s">
        <v>9</v>
      </c>
      <c r="M7" s="47" t="s">
        <v>9</v>
      </c>
      <c r="N7" s="2" t="s">
        <v>133</v>
      </c>
      <c r="O7" s="47"/>
      <c r="P7" s="2" t="s">
        <v>135</v>
      </c>
      <c r="Q7" s="2" t="s">
        <v>135</v>
      </c>
      <c r="R7" s="51" t="s">
        <v>9</v>
      </c>
      <c r="S7" s="51" t="s">
        <v>9</v>
      </c>
      <c r="T7" s="48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2" customFormat="1" ht="12.75" customHeight="1" thickBot="1" x14ac:dyDescent="0.3">
      <c r="A9" s="96" t="s">
        <v>53</v>
      </c>
      <c r="B9" s="64"/>
      <c r="C9" s="64"/>
      <c r="D9" s="64"/>
      <c r="E9" s="64"/>
      <c r="F9" s="64"/>
      <c r="G9" s="97"/>
      <c r="H9" s="97"/>
      <c r="I9" s="97"/>
      <c r="J9" s="97"/>
      <c r="K9" s="97"/>
      <c r="L9" s="64"/>
      <c r="M9" s="64"/>
      <c r="N9" s="100"/>
      <c r="O9" s="97"/>
      <c r="P9" s="99" t="s">
        <v>248</v>
      </c>
      <c r="Q9" s="101">
        <v>2741.7927205999995</v>
      </c>
      <c r="R9" s="64" t="s">
        <v>248</v>
      </c>
      <c r="S9" s="64">
        <v>1</v>
      </c>
      <c r="T9" s="78">
        <v>2.6439373240113362E-2</v>
      </c>
    </row>
    <row r="10" spans="1:20" s="112" customFormat="1" x14ac:dyDescent="0.25">
      <c r="A10" s="88" t="s">
        <v>137</v>
      </c>
      <c r="B10" s="124" t="s">
        <v>248</v>
      </c>
      <c r="C10" s="124" t="s">
        <v>248</v>
      </c>
      <c r="D10" s="124" t="s">
        <v>248</v>
      </c>
      <c r="E10" s="124" t="s">
        <v>248</v>
      </c>
      <c r="F10" s="124" t="s">
        <v>248</v>
      </c>
      <c r="G10" s="124" t="s">
        <v>248</v>
      </c>
      <c r="H10" s="124" t="s">
        <v>248</v>
      </c>
      <c r="I10" s="124" t="s">
        <v>248</v>
      </c>
      <c r="J10" s="125" t="s">
        <v>248</v>
      </c>
      <c r="K10" s="125" t="s">
        <v>248</v>
      </c>
      <c r="L10" s="124" t="s">
        <v>248</v>
      </c>
      <c r="M10" s="124" t="s">
        <v>248</v>
      </c>
      <c r="N10" s="126" t="s">
        <v>248</v>
      </c>
      <c r="O10" s="115" t="s">
        <v>248</v>
      </c>
      <c r="P10" s="116" t="s">
        <v>248</v>
      </c>
      <c r="Q10" s="127">
        <v>2741.7927203999998</v>
      </c>
      <c r="R10" s="114" t="s">
        <v>248</v>
      </c>
      <c r="S10" s="114">
        <v>0.99999999992705513</v>
      </c>
      <c r="T10" s="114">
        <v>2.6439373238184745E-2</v>
      </c>
    </row>
    <row r="11" spans="1:20" s="112" customFormat="1" x14ac:dyDescent="0.25">
      <c r="A11" s="89" t="s">
        <v>138</v>
      </c>
      <c r="B11" s="124" t="s">
        <v>248</v>
      </c>
      <c r="C11" s="124" t="s">
        <v>248</v>
      </c>
      <c r="D11" s="124" t="s">
        <v>248</v>
      </c>
      <c r="E11" s="124" t="s">
        <v>248</v>
      </c>
      <c r="F11" s="124" t="s">
        <v>248</v>
      </c>
      <c r="G11" s="124" t="s">
        <v>248</v>
      </c>
      <c r="H11" s="124" t="s">
        <v>248</v>
      </c>
      <c r="I11" s="124" t="s">
        <v>248</v>
      </c>
      <c r="J11" s="125" t="s">
        <v>248</v>
      </c>
      <c r="K11" s="125" t="s">
        <v>248</v>
      </c>
      <c r="L11" s="124" t="s">
        <v>248</v>
      </c>
      <c r="M11" s="124" t="s">
        <v>248</v>
      </c>
      <c r="N11" s="128" t="s">
        <v>248</v>
      </c>
      <c r="O11" s="129" t="s">
        <v>248</v>
      </c>
      <c r="P11" s="117" t="s">
        <v>248</v>
      </c>
      <c r="Q11" s="117">
        <v>1267.9518401000003</v>
      </c>
      <c r="R11" s="130"/>
      <c r="S11" s="130">
        <v>0.46245357301208684</v>
      </c>
      <c r="T11" s="130">
        <v>1.2226982623090582E-2</v>
      </c>
    </row>
    <row r="12" spans="1:20" x14ac:dyDescent="0.25">
      <c r="A12" s="16" t="s">
        <v>438</v>
      </c>
      <c r="B12" s="110" t="s">
        <v>439</v>
      </c>
      <c r="C12" s="110" t="s">
        <v>327</v>
      </c>
      <c r="D12" s="110" t="s">
        <v>248</v>
      </c>
      <c r="E12" s="110" t="s">
        <v>440</v>
      </c>
      <c r="F12" s="110" t="s">
        <v>200</v>
      </c>
      <c r="G12" s="110" t="s">
        <v>441</v>
      </c>
      <c r="H12" s="110" t="s">
        <v>436</v>
      </c>
      <c r="I12" s="110" t="s">
        <v>442</v>
      </c>
      <c r="J12" s="111">
        <v>3.91</v>
      </c>
      <c r="K12" s="111" t="s">
        <v>254</v>
      </c>
      <c r="L12" s="110">
        <v>1E-3</v>
      </c>
      <c r="M12" s="110">
        <v>2.4E-2</v>
      </c>
      <c r="N12" s="66">
        <v>274670.09999999998</v>
      </c>
      <c r="O12" s="58">
        <v>98.23</v>
      </c>
      <c r="P12" s="81">
        <v>0</v>
      </c>
      <c r="Q12" s="81">
        <v>269.80842999999999</v>
      </c>
      <c r="R12" s="24">
        <v>2.6419491964925685E-4</v>
      </c>
      <c r="S12" s="24">
        <v>9.8405845187653912E-2</v>
      </c>
      <c r="T12" s="24">
        <v>2.6017888699251951E-3</v>
      </c>
    </row>
    <row r="13" spans="1:20" x14ac:dyDescent="0.25">
      <c r="A13" s="16" t="s">
        <v>443</v>
      </c>
      <c r="B13" s="110" t="s">
        <v>444</v>
      </c>
      <c r="C13" s="110" t="s">
        <v>327</v>
      </c>
      <c r="D13" s="110" t="s">
        <v>248</v>
      </c>
      <c r="E13" s="110" t="s">
        <v>445</v>
      </c>
      <c r="F13" s="110" t="s">
        <v>200</v>
      </c>
      <c r="G13" s="110" t="s">
        <v>441</v>
      </c>
      <c r="H13" s="110" t="s">
        <v>436</v>
      </c>
      <c r="I13" s="110" t="s">
        <v>446</v>
      </c>
      <c r="J13" s="111">
        <v>3.47</v>
      </c>
      <c r="K13" s="111" t="s">
        <v>254</v>
      </c>
      <c r="L13" s="110">
        <v>1.7500000000000002E-2</v>
      </c>
      <c r="M13" s="110">
        <v>2.4300000000000002E-2</v>
      </c>
      <c r="N13" s="66">
        <v>689321.16</v>
      </c>
      <c r="O13" s="58">
        <v>109.67</v>
      </c>
      <c r="P13" s="81">
        <v>0</v>
      </c>
      <c r="Q13" s="81">
        <v>755.97851000000003</v>
      </c>
      <c r="R13" s="24">
        <v>2.0876274559348718E-4</v>
      </c>
      <c r="S13" s="24">
        <v>0.27572416555054741</v>
      </c>
      <c r="T13" s="24">
        <v>7.2899741243097295E-3</v>
      </c>
    </row>
    <row r="14" spans="1:20" x14ac:dyDescent="0.25">
      <c r="A14" s="16" t="s">
        <v>447</v>
      </c>
      <c r="B14" s="110" t="s">
        <v>448</v>
      </c>
      <c r="C14" s="110" t="s">
        <v>327</v>
      </c>
      <c r="D14" s="110" t="s">
        <v>248</v>
      </c>
      <c r="E14" s="110" t="s">
        <v>449</v>
      </c>
      <c r="F14" s="110" t="s">
        <v>200</v>
      </c>
      <c r="G14" s="110" t="s">
        <v>450</v>
      </c>
      <c r="H14" s="110" t="s">
        <v>436</v>
      </c>
      <c r="I14" s="110" t="s">
        <v>451</v>
      </c>
      <c r="J14" s="111">
        <v>5.03</v>
      </c>
      <c r="K14" s="111" t="s">
        <v>254</v>
      </c>
      <c r="L14" s="110">
        <v>2.9900000000000003E-2</v>
      </c>
      <c r="M14" s="110">
        <v>3.4000000000000002E-2</v>
      </c>
      <c r="N14" s="66">
        <v>2</v>
      </c>
      <c r="O14" s="58">
        <v>5169986</v>
      </c>
      <c r="P14" s="81">
        <v>0</v>
      </c>
      <c r="Q14" s="81">
        <v>103.39972</v>
      </c>
      <c r="R14" s="24">
        <v>1.25E-4</v>
      </c>
      <c r="S14" s="24">
        <v>3.7712449676856878E-2</v>
      </c>
      <c r="T14" s="24">
        <v>9.9709353280541166E-4</v>
      </c>
    </row>
    <row r="15" spans="1:20" x14ac:dyDescent="0.25">
      <c r="A15" s="16" t="s">
        <v>432</v>
      </c>
      <c r="B15" s="110" t="s">
        <v>433</v>
      </c>
      <c r="C15" s="110" t="s">
        <v>327</v>
      </c>
      <c r="D15" s="110" t="s">
        <v>248</v>
      </c>
      <c r="E15" s="110" t="s">
        <v>434</v>
      </c>
      <c r="F15" s="110" t="s">
        <v>224</v>
      </c>
      <c r="G15" s="110" t="s">
        <v>435</v>
      </c>
      <c r="H15" s="110" t="s">
        <v>436</v>
      </c>
      <c r="I15" s="110" t="s">
        <v>437</v>
      </c>
      <c r="J15" s="111">
        <v>6.05</v>
      </c>
      <c r="K15" s="111" t="s">
        <v>254</v>
      </c>
      <c r="L15" s="110">
        <v>1.54E-2</v>
      </c>
      <c r="M15" s="110">
        <v>4.5700000000000005E-2</v>
      </c>
      <c r="N15" s="66">
        <v>152000</v>
      </c>
      <c r="O15" s="58">
        <v>90.46</v>
      </c>
      <c r="P15" s="81">
        <v>1.2659800000000001</v>
      </c>
      <c r="Q15" s="81">
        <v>138.76517999999999</v>
      </c>
      <c r="R15" s="24">
        <v>4.3428571428571431E-4</v>
      </c>
      <c r="S15" s="24">
        <v>5.0611112560556122E-2</v>
      </c>
      <c r="T15" s="24">
        <v>1.3381260950859329E-3</v>
      </c>
    </row>
    <row r="16" spans="1:20" s="112" customFormat="1" x14ac:dyDescent="0.25">
      <c r="A16" s="89" t="s">
        <v>139</v>
      </c>
      <c r="B16" s="124" t="s">
        <v>248</v>
      </c>
      <c r="C16" s="124" t="s">
        <v>248</v>
      </c>
      <c r="D16" s="124" t="s">
        <v>248</v>
      </c>
      <c r="E16" s="124" t="s">
        <v>248</v>
      </c>
      <c r="F16" s="124" t="s">
        <v>248</v>
      </c>
      <c r="G16" s="124" t="s">
        <v>248</v>
      </c>
      <c r="H16" s="124" t="s">
        <v>248</v>
      </c>
      <c r="I16" s="124" t="s">
        <v>248</v>
      </c>
      <c r="J16" s="125" t="s">
        <v>248</v>
      </c>
      <c r="K16" s="125" t="s">
        <v>248</v>
      </c>
      <c r="L16" s="124" t="s">
        <v>248</v>
      </c>
      <c r="M16" s="124" t="s">
        <v>248</v>
      </c>
      <c r="N16" s="128" t="s">
        <v>248</v>
      </c>
      <c r="O16" s="129" t="s">
        <v>248</v>
      </c>
      <c r="P16" s="117" t="s">
        <v>248</v>
      </c>
      <c r="Q16" s="117">
        <v>1473.8408801</v>
      </c>
      <c r="R16" s="130"/>
      <c r="S16" s="130">
        <v>0.53754642684202336</v>
      </c>
      <c r="T16" s="130">
        <v>1.421239061316555E-2</v>
      </c>
    </row>
    <row r="17" spans="1:20" x14ac:dyDescent="0.25">
      <c r="A17" s="16" t="s">
        <v>452</v>
      </c>
      <c r="B17" s="110" t="s">
        <v>453</v>
      </c>
      <c r="C17" s="110" t="s">
        <v>327</v>
      </c>
      <c r="D17" s="110" t="s">
        <v>248</v>
      </c>
      <c r="E17" s="110" t="s">
        <v>454</v>
      </c>
      <c r="F17" s="110" t="s">
        <v>201</v>
      </c>
      <c r="G17" s="110" t="s">
        <v>450</v>
      </c>
      <c r="H17" s="110" t="s">
        <v>436</v>
      </c>
      <c r="I17" s="110" t="s">
        <v>455</v>
      </c>
      <c r="J17" s="111">
        <v>2.64</v>
      </c>
      <c r="K17" s="111" t="s">
        <v>254</v>
      </c>
      <c r="L17" s="110">
        <v>2.9100000000000001E-2</v>
      </c>
      <c r="M17" s="110">
        <v>5.28E-2</v>
      </c>
      <c r="N17" s="66">
        <v>2000</v>
      </c>
      <c r="O17" s="58">
        <v>94.88</v>
      </c>
      <c r="P17" s="81">
        <v>0</v>
      </c>
      <c r="Q17" s="81">
        <v>1.8976</v>
      </c>
      <c r="R17" s="24">
        <v>3.3333333333333333E-6</v>
      </c>
      <c r="S17" s="24">
        <v>6.9210191774990893E-4</v>
      </c>
      <c r="T17" s="24">
        <v>1.8298740923588084E-5</v>
      </c>
    </row>
    <row r="18" spans="1:20" x14ac:dyDescent="0.25">
      <c r="A18" s="16" t="s">
        <v>460</v>
      </c>
      <c r="B18" s="110" t="s">
        <v>461</v>
      </c>
      <c r="C18" s="110" t="s">
        <v>327</v>
      </c>
      <c r="D18" s="110" t="s">
        <v>248</v>
      </c>
      <c r="E18" s="110" t="s">
        <v>440</v>
      </c>
      <c r="F18" s="110" t="s">
        <v>200</v>
      </c>
      <c r="G18" s="110" t="s">
        <v>441</v>
      </c>
      <c r="H18" s="110" t="s">
        <v>436</v>
      </c>
      <c r="I18" s="110" t="s">
        <v>442</v>
      </c>
      <c r="J18" s="111">
        <v>3.66</v>
      </c>
      <c r="K18" s="111" t="s">
        <v>254</v>
      </c>
      <c r="L18" s="110">
        <v>2.7400000000000001E-2</v>
      </c>
      <c r="M18" s="110">
        <v>0.05</v>
      </c>
      <c r="N18" s="66">
        <v>444450</v>
      </c>
      <c r="O18" s="58">
        <v>93.39</v>
      </c>
      <c r="P18" s="81">
        <v>0</v>
      </c>
      <c r="Q18" s="81">
        <v>415.07184999999998</v>
      </c>
      <c r="R18" s="24">
        <v>2.5960337803497123E-4</v>
      </c>
      <c r="S18" s="24">
        <v>0.15138702750263625</v>
      </c>
      <c r="T18" s="24">
        <v>4.0025781238535061E-3</v>
      </c>
    </row>
    <row r="19" spans="1:20" x14ac:dyDescent="0.25">
      <c r="A19" s="16" t="s">
        <v>456</v>
      </c>
      <c r="B19" s="110" t="s">
        <v>457</v>
      </c>
      <c r="C19" s="110" t="s">
        <v>327</v>
      </c>
      <c r="D19" s="110" t="s">
        <v>248</v>
      </c>
      <c r="E19" s="110" t="s">
        <v>458</v>
      </c>
      <c r="F19" s="110" t="s">
        <v>201</v>
      </c>
      <c r="G19" s="110" t="s">
        <v>450</v>
      </c>
      <c r="H19" s="110" t="s">
        <v>436</v>
      </c>
      <c r="I19" s="110" t="s">
        <v>459</v>
      </c>
      <c r="J19" s="111">
        <v>6.46</v>
      </c>
      <c r="K19" s="111" t="s">
        <v>254</v>
      </c>
      <c r="L19" s="110">
        <v>2.98E-2</v>
      </c>
      <c r="M19" s="110">
        <v>5.4800000000000001E-2</v>
      </c>
      <c r="N19" s="66">
        <v>92875</v>
      </c>
      <c r="O19" s="58">
        <v>86.29</v>
      </c>
      <c r="P19" s="81">
        <v>0</v>
      </c>
      <c r="Q19" s="81">
        <v>80.141829999999999</v>
      </c>
      <c r="R19" s="24">
        <v>2.3659878256341845E-4</v>
      </c>
      <c r="S19" s="24">
        <v>2.9229718715739452E-2</v>
      </c>
      <c r="T19" s="24">
        <v>7.7281544282896246E-4</v>
      </c>
    </row>
    <row r="20" spans="1:20" x14ac:dyDescent="0.25">
      <c r="A20" s="16" t="s">
        <v>462</v>
      </c>
      <c r="B20" s="110" t="s">
        <v>463</v>
      </c>
      <c r="C20" s="110" t="s">
        <v>327</v>
      </c>
      <c r="D20" s="110" t="s">
        <v>248</v>
      </c>
      <c r="E20" s="110" t="s">
        <v>458</v>
      </c>
      <c r="F20" s="110" t="s">
        <v>201</v>
      </c>
      <c r="G20" s="110" t="s">
        <v>464</v>
      </c>
      <c r="H20" s="110" t="s">
        <v>436</v>
      </c>
      <c r="I20" s="110" t="s">
        <v>465</v>
      </c>
      <c r="J20" s="111">
        <v>7.71</v>
      </c>
      <c r="K20" s="111" t="s">
        <v>254</v>
      </c>
      <c r="L20" s="110">
        <v>5.28E-2</v>
      </c>
      <c r="M20" s="110">
        <v>5.5899999999999998E-2</v>
      </c>
      <c r="N20" s="66">
        <v>991000</v>
      </c>
      <c r="O20" s="58">
        <v>98.56</v>
      </c>
      <c r="P20" s="81">
        <v>0</v>
      </c>
      <c r="Q20" s="81">
        <v>976.7296</v>
      </c>
      <c r="R20" s="24">
        <v>3.3033333333333335E-3</v>
      </c>
      <c r="S20" s="24">
        <v>0.35623757866942529</v>
      </c>
      <c r="T20" s="24">
        <v>9.4186983045951821E-3</v>
      </c>
    </row>
    <row r="21" spans="1:20" s="112" customFormat="1" x14ac:dyDescent="0.25">
      <c r="A21" s="89" t="s">
        <v>430</v>
      </c>
      <c r="B21" s="124" t="s">
        <v>248</v>
      </c>
      <c r="C21" s="124" t="s">
        <v>248</v>
      </c>
      <c r="D21" s="124" t="s">
        <v>248</v>
      </c>
      <c r="E21" s="124" t="s">
        <v>248</v>
      </c>
      <c r="F21" s="124" t="s">
        <v>248</v>
      </c>
      <c r="G21" s="124" t="s">
        <v>248</v>
      </c>
      <c r="H21" s="124" t="s">
        <v>248</v>
      </c>
      <c r="I21" s="124" t="s">
        <v>248</v>
      </c>
      <c r="J21" s="125" t="s">
        <v>248</v>
      </c>
      <c r="K21" s="125" t="s">
        <v>248</v>
      </c>
      <c r="L21" s="124" t="s">
        <v>248</v>
      </c>
      <c r="M21" s="124" t="s">
        <v>248</v>
      </c>
      <c r="N21" s="128" t="s">
        <v>248</v>
      </c>
      <c r="O21" s="129" t="s">
        <v>248</v>
      </c>
      <c r="P21" s="117" t="s">
        <v>248</v>
      </c>
      <c r="Q21" s="117">
        <v>0</v>
      </c>
      <c r="R21" s="130"/>
      <c r="S21" s="130">
        <v>0</v>
      </c>
      <c r="T21" s="130">
        <v>0</v>
      </c>
    </row>
    <row r="22" spans="1:20" s="112" customFormat="1" x14ac:dyDescent="0.25">
      <c r="A22" s="89" t="s">
        <v>466</v>
      </c>
      <c r="B22" s="124" t="s">
        <v>248</v>
      </c>
      <c r="C22" s="124" t="s">
        <v>248</v>
      </c>
      <c r="D22" s="124" t="s">
        <v>248</v>
      </c>
      <c r="E22" s="124" t="s">
        <v>248</v>
      </c>
      <c r="F22" s="124" t="s">
        <v>248</v>
      </c>
      <c r="G22" s="124" t="s">
        <v>248</v>
      </c>
      <c r="H22" s="124" t="s">
        <v>248</v>
      </c>
      <c r="I22" s="124" t="s">
        <v>248</v>
      </c>
      <c r="J22" s="125" t="s">
        <v>248</v>
      </c>
      <c r="K22" s="125" t="s">
        <v>248</v>
      </c>
      <c r="L22" s="124" t="s">
        <v>248</v>
      </c>
      <c r="M22" s="124" t="s">
        <v>248</v>
      </c>
      <c r="N22" s="128" t="s">
        <v>248</v>
      </c>
      <c r="O22" s="129" t="s">
        <v>248</v>
      </c>
      <c r="P22" s="117" t="s">
        <v>248</v>
      </c>
      <c r="Q22" s="117">
        <v>0</v>
      </c>
      <c r="R22" s="130"/>
      <c r="S22" s="130">
        <v>0</v>
      </c>
      <c r="T22" s="130">
        <v>0</v>
      </c>
    </row>
    <row r="23" spans="1:20" s="112" customFormat="1" x14ac:dyDescent="0.25">
      <c r="A23" s="89" t="s">
        <v>415</v>
      </c>
      <c r="B23" s="124" t="s">
        <v>248</v>
      </c>
      <c r="C23" s="124" t="s">
        <v>248</v>
      </c>
      <c r="D23" s="124" t="s">
        <v>248</v>
      </c>
      <c r="E23" s="124" t="s">
        <v>248</v>
      </c>
      <c r="F23" s="124" t="s">
        <v>248</v>
      </c>
      <c r="G23" s="124" t="s">
        <v>248</v>
      </c>
      <c r="H23" s="124" t="s">
        <v>248</v>
      </c>
      <c r="I23" s="124" t="s">
        <v>248</v>
      </c>
      <c r="J23" s="125" t="s">
        <v>248</v>
      </c>
      <c r="K23" s="125" t="s">
        <v>248</v>
      </c>
      <c r="L23" s="124" t="s">
        <v>248</v>
      </c>
      <c r="M23" s="124" t="s">
        <v>248</v>
      </c>
      <c r="N23" s="128" t="s">
        <v>248</v>
      </c>
      <c r="O23" s="129" t="s">
        <v>248</v>
      </c>
      <c r="P23" s="117" t="s">
        <v>248</v>
      </c>
      <c r="Q23" s="117">
        <v>0</v>
      </c>
      <c r="R23" s="130"/>
      <c r="S23" s="130">
        <v>0</v>
      </c>
      <c r="T23" s="130">
        <v>0</v>
      </c>
    </row>
    <row r="24" spans="1:20" s="112" customFormat="1" x14ac:dyDescent="0.25">
      <c r="A24" s="89" t="s">
        <v>143</v>
      </c>
      <c r="B24" s="124" t="s">
        <v>248</v>
      </c>
      <c r="C24" s="124" t="s">
        <v>248</v>
      </c>
      <c r="D24" s="124" t="s">
        <v>248</v>
      </c>
      <c r="E24" s="124" t="s">
        <v>248</v>
      </c>
      <c r="F24" s="124" t="s">
        <v>248</v>
      </c>
      <c r="G24" s="124" t="s">
        <v>248</v>
      </c>
      <c r="H24" s="124" t="s">
        <v>248</v>
      </c>
      <c r="I24" s="124" t="s">
        <v>248</v>
      </c>
      <c r="J24" s="125" t="s">
        <v>248</v>
      </c>
      <c r="K24" s="125" t="s">
        <v>248</v>
      </c>
      <c r="L24" s="124" t="s">
        <v>248</v>
      </c>
      <c r="M24" s="124" t="s">
        <v>248</v>
      </c>
      <c r="N24" s="128" t="s">
        <v>248</v>
      </c>
      <c r="O24" s="129" t="s">
        <v>248</v>
      </c>
      <c r="P24" s="117" t="s">
        <v>248</v>
      </c>
      <c r="Q24" s="117">
        <v>0</v>
      </c>
      <c r="R24" s="130"/>
      <c r="S24" s="130">
        <v>0</v>
      </c>
      <c r="T24" s="130">
        <v>0</v>
      </c>
    </row>
    <row r="25" spans="1:20" s="112" customFormat="1" x14ac:dyDescent="0.25">
      <c r="A25" s="89" t="s">
        <v>144</v>
      </c>
      <c r="B25" s="124" t="s">
        <v>248</v>
      </c>
      <c r="C25" s="124" t="s">
        <v>248</v>
      </c>
      <c r="D25" s="124" t="s">
        <v>248</v>
      </c>
      <c r="E25" s="124" t="s">
        <v>248</v>
      </c>
      <c r="F25" s="124" t="s">
        <v>248</v>
      </c>
      <c r="G25" s="124" t="s">
        <v>248</v>
      </c>
      <c r="H25" s="124" t="s">
        <v>248</v>
      </c>
      <c r="I25" s="124" t="s">
        <v>248</v>
      </c>
      <c r="J25" s="125" t="s">
        <v>248</v>
      </c>
      <c r="K25" s="125" t="s">
        <v>248</v>
      </c>
      <c r="L25" s="124" t="s">
        <v>248</v>
      </c>
      <c r="M25" s="124" t="s">
        <v>248</v>
      </c>
      <c r="N25" s="128" t="s">
        <v>248</v>
      </c>
      <c r="O25" s="129" t="s">
        <v>248</v>
      </c>
      <c r="P25" s="117" t="s">
        <v>248</v>
      </c>
      <c r="Q25" s="117">
        <v>0</v>
      </c>
      <c r="R25" s="130"/>
      <c r="S25" s="130">
        <v>0</v>
      </c>
      <c r="T25" s="130">
        <v>0</v>
      </c>
    </row>
    <row r="26" spans="1:20" s="112" customFormat="1" x14ac:dyDescent="0.25">
      <c r="A26" s="75" t="s">
        <v>241</v>
      </c>
      <c r="B26" s="118"/>
      <c r="C26" s="118"/>
      <c r="D26" s="118"/>
      <c r="E26" s="118"/>
      <c r="F26" s="118"/>
      <c r="G26" s="119"/>
      <c r="H26" s="119"/>
      <c r="I26" s="119"/>
      <c r="J26" s="120"/>
      <c r="K26" s="121"/>
      <c r="L26" s="122"/>
      <c r="M26" s="122"/>
      <c r="N26" s="122"/>
      <c r="O26" s="121"/>
      <c r="P26" s="121"/>
      <c r="Q26" s="121"/>
      <c r="R26" s="131"/>
      <c r="S26" s="131"/>
      <c r="T26" s="131"/>
    </row>
    <row r="27" spans="1:20" s="112" customFormat="1" x14ac:dyDescent="0.25">
      <c r="A27" s="75" t="s">
        <v>242</v>
      </c>
      <c r="B27" s="118"/>
      <c r="C27" s="118"/>
      <c r="D27" s="118"/>
      <c r="E27" s="118"/>
      <c r="F27" s="118"/>
      <c r="G27" s="119"/>
      <c r="H27" s="119"/>
      <c r="I27" s="119"/>
      <c r="J27" s="120"/>
      <c r="K27" s="121"/>
      <c r="L27" s="122"/>
      <c r="M27" s="122"/>
      <c r="N27" s="122"/>
      <c r="O27" s="121"/>
      <c r="P27" s="121"/>
      <c r="Q27" s="121"/>
      <c r="R27" s="131"/>
      <c r="S27" s="131"/>
      <c r="T27" s="131"/>
    </row>
    <row r="28" spans="1:20" s="112" customFormat="1" x14ac:dyDescent="0.25">
      <c r="A28" s="75" t="s">
        <v>243</v>
      </c>
      <c r="B28" s="118"/>
      <c r="C28" s="118"/>
      <c r="D28" s="118"/>
      <c r="E28" s="118"/>
      <c r="F28" s="118"/>
      <c r="G28" s="119"/>
      <c r="H28" s="119"/>
      <c r="I28" s="119"/>
      <c r="J28" s="120"/>
      <c r="K28" s="121"/>
      <c r="L28" s="122"/>
      <c r="M28" s="122"/>
      <c r="N28" s="122"/>
      <c r="O28" s="121"/>
      <c r="P28" s="121"/>
      <c r="Q28" s="121"/>
      <c r="R28" s="131"/>
      <c r="S28" s="131"/>
      <c r="T28" s="131"/>
    </row>
    <row r="29" spans="1:20" s="112" customFormat="1" x14ac:dyDescent="0.25">
      <c r="A29" s="75" t="s">
        <v>244</v>
      </c>
      <c r="B29" s="118"/>
      <c r="C29" s="118"/>
      <c r="D29" s="118"/>
      <c r="E29" s="118"/>
      <c r="F29" s="118"/>
      <c r="G29" s="119"/>
      <c r="H29" s="119"/>
      <c r="I29" s="119"/>
      <c r="J29" s="120"/>
      <c r="K29" s="121"/>
      <c r="L29" s="122"/>
      <c r="M29" s="122"/>
      <c r="N29" s="122"/>
      <c r="O29" s="121"/>
      <c r="P29" s="121"/>
      <c r="Q29" s="121"/>
      <c r="R29" s="131"/>
      <c r="S29" s="131"/>
      <c r="T29" s="131"/>
    </row>
    <row r="30" spans="1:20" s="112" customFormat="1" x14ac:dyDescent="0.25">
      <c r="A30" s="75" t="s">
        <v>245</v>
      </c>
      <c r="B30" s="118"/>
      <c r="C30" s="118"/>
      <c r="D30" s="118"/>
      <c r="E30" s="118"/>
      <c r="F30" s="118"/>
      <c r="G30" s="119"/>
      <c r="H30" s="119"/>
      <c r="I30" s="119"/>
      <c r="J30" s="120"/>
      <c r="K30" s="121"/>
      <c r="L30" s="122"/>
      <c r="M30" s="122"/>
      <c r="N30" s="122"/>
      <c r="O30" s="121"/>
      <c r="P30" s="121"/>
      <c r="Q30" s="121"/>
      <c r="R30" s="131"/>
      <c r="S30" s="131"/>
      <c r="T30" s="131"/>
    </row>
  </sheetData>
  <sortState xmlns:xlrd2="http://schemas.microsoft.com/office/spreadsheetml/2017/richdata2" ref="A12:Z15">
    <sortCondition ref="A12:A15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25 P10:Q25">
    <cfRule type="expression" dxfId="112" priority="109" stopIfTrue="1">
      <formula>#REF!&gt;0</formula>
    </cfRule>
  </conditionalFormatting>
  <conditionalFormatting sqref="B10:M25">
    <cfRule type="expression" dxfId="111" priority="111" stopIfTrue="1">
      <formula>LEFT(#REF!,3)="TIR"</formula>
    </cfRule>
  </conditionalFormatting>
  <conditionalFormatting sqref="S10:T25">
    <cfRule type="expression" dxfId="110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4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11.33203125" style="57" customWidth="1"/>
    <col min="8" max="8" width="10.5546875" style="57" customWidth="1"/>
    <col min="9" max="9" width="8.88671875" style="57" bestFit="1" customWidth="1"/>
    <col min="10" max="10" width="16.5546875" style="57" customWidth="1"/>
    <col min="11" max="11" width="10.44140625" style="36" customWidth="1"/>
    <col min="12" max="12" width="22" style="59" customWidth="1"/>
    <col min="13" max="13" width="25.44140625" style="59" customWidth="1"/>
    <col min="14" max="14" width="20.6640625" style="61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59"/>
      <c r="M1" s="59"/>
      <c r="N1" s="60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59"/>
      <c r="M2" s="59"/>
      <c r="N2" s="60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59"/>
      <c r="M3" s="59"/>
      <c r="N3" s="60"/>
      <c r="O3" s="13"/>
      <c r="P3" s="13"/>
      <c r="Q3" s="12"/>
      <c r="R3" s="12"/>
      <c r="S3" s="14"/>
    </row>
    <row r="4" spans="1:19" s="7" customFormat="1" ht="13.8" thickBot="1" x14ac:dyDescent="0.3">
      <c r="A4" s="219" t="s">
        <v>11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1"/>
      <c r="N4" s="222"/>
      <c r="O4" s="13"/>
      <c r="P4" s="13"/>
      <c r="Q4" s="12"/>
      <c r="R4" s="12"/>
      <c r="S4" s="14"/>
    </row>
    <row r="5" spans="1:19" s="7" customFormat="1" x14ac:dyDescent="0.25">
      <c r="A5" s="216" t="s">
        <v>21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8"/>
    </row>
    <row r="6" spans="1:19" s="7" customFormat="1" x14ac:dyDescent="0.25">
      <c r="A6" s="83" t="s">
        <v>157</v>
      </c>
      <c r="B6" s="197" t="s">
        <v>69</v>
      </c>
      <c r="C6" s="197" t="s">
        <v>76</v>
      </c>
      <c r="D6" s="197" t="s">
        <v>77</v>
      </c>
      <c r="E6" s="197" t="s">
        <v>74</v>
      </c>
      <c r="F6" s="197" t="s">
        <v>19</v>
      </c>
      <c r="G6" s="197" t="s">
        <v>6</v>
      </c>
      <c r="H6" s="198" t="s">
        <v>67</v>
      </c>
      <c r="I6" s="198" t="s">
        <v>68</v>
      </c>
      <c r="J6" s="198" t="s">
        <v>134</v>
      </c>
      <c r="K6" s="198" t="s">
        <v>7</v>
      </c>
      <c r="L6" s="198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7"/>
      <c r="J7" s="2" t="s">
        <v>135</v>
      </c>
      <c r="K7" s="2" t="s">
        <v>135</v>
      </c>
      <c r="L7" s="47" t="s">
        <v>9</v>
      </c>
      <c r="M7" s="51" t="s">
        <v>9</v>
      </c>
      <c r="N7" s="48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5">
        <v>12</v>
      </c>
      <c r="N8" s="43">
        <v>13</v>
      </c>
    </row>
    <row r="9" spans="1:19" s="112" customFormat="1" ht="12.75" customHeight="1" thickBot="1" x14ac:dyDescent="0.3">
      <c r="A9" s="142" t="s">
        <v>59</v>
      </c>
      <c r="B9" s="67" t="s">
        <v>248</v>
      </c>
      <c r="C9" s="67" t="s">
        <v>248</v>
      </c>
      <c r="D9" s="67" t="s">
        <v>248</v>
      </c>
      <c r="E9" s="67" t="s">
        <v>248</v>
      </c>
      <c r="F9" s="67" t="s">
        <v>248</v>
      </c>
      <c r="G9" s="143" t="s">
        <v>248</v>
      </c>
      <c r="H9" s="144" t="s">
        <v>248</v>
      </c>
      <c r="I9" s="143" t="s">
        <v>248</v>
      </c>
      <c r="J9" s="143" t="s">
        <v>248</v>
      </c>
      <c r="K9" s="103">
        <v>6.9999999999999997E-7</v>
      </c>
      <c r="L9" s="67" t="s">
        <v>248</v>
      </c>
      <c r="M9" s="67">
        <v>1</v>
      </c>
      <c r="N9" s="79">
        <v>0</v>
      </c>
    </row>
    <row r="10" spans="1:19" s="112" customFormat="1" x14ac:dyDescent="0.25">
      <c r="A10" s="88" t="s">
        <v>137</v>
      </c>
      <c r="B10" s="124" t="s">
        <v>248</v>
      </c>
      <c r="C10" s="124" t="s">
        <v>248</v>
      </c>
      <c r="D10" s="124" t="s">
        <v>248</v>
      </c>
      <c r="E10" s="124" t="s">
        <v>248</v>
      </c>
      <c r="F10" s="124" t="s">
        <v>248</v>
      </c>
      <c r="G10" s="125" t="s">
        <v>248</v>
      </c>
      <c r="H10" s="126" t="s">
        <v>248</v>
      </c>
      <c r="I10" s="115" t="s">
        <v>248</v>
      </c>
      <c r="J10" s="115" t="s">
        <v>248</v>
      </c>
      <c r="K10" s="127">
        <v>0</v>
      </c>
      <c r="L10" s="114" t="s">
        <v>248</v>
      </c>
      <c r="M10" s="114">
        <v>0</v>
      </c>
      <c r="N10" s="114">
        <v>0</v>
      </c>
    </row>
    <row r="11" spans="1:19" s="112" customFormat="1" x14ac:dyDescent="0.25">
      <c r="A11" s="89" t="s">
        <v>467</v>
      </c>
      <c r="B11" s="124" t="s">
        <v>248</v>
      </c>
      <c r="C11" s="124" t="s">
        <v>248</v>
      </c>
      <c r="D11" s="124" t="s">
        <v>248</v>
      </c>
      <c r="E11" s="124" t="s">
        <v>248</v>
      </c>
      <c r="F11" s="124" t="s">
        <v>248</v>
      </c>
      <c r="G11" s="125" t="s">
        <v>248</v>
      </c>
      <c r="H11" s="128" t="s">
        <v>248</v>
      </c>
      <c r="I11" s="115" t="s">
        <v>248</v>
      </c>
      <c r="J11" s="115" t="s">
        <v>248</v>
      </c>
      <c r="K11" s="145">
        <v>0</v>
      </c>
      <c r="L11" s="130"/>
      <c r="M11" s="114">
        <v>0</v>
      </c>
      <c r="N11" s="114">
        <v>0</v>
      </c>
    </row>
    <row r="12" spans="1:19" s="112" customFormat="1" x14ac:dyDescent="0.25">
      <c r="A12" s="89" t="s">
        <v>468</v>
      </c>
      <c r="B12" s="124" t="s">
        <v>248</v>
      </c>
      <c r="C12" s="124" t="s">
        <v>248</v>
      </c>
      <c r="D12" s="124" t="s">
        <v>248</v>
      </c>
      <c r="E12" s="124" t="s">
        <v>248</v>
      </c>
      <c r="F12" s="124" t="s">
        <v>248</v>
      </c>
      <c r="G12" s="125" t="s">
        <v>248</v>
      </c>
      <c r="H12" s="128" t="s">
        <v>248</v>
      </c>
      <c r="I12" s="115" t="s">
        <v>248</v>
      </c>
      <c r="J12" s="128" t="s">
        <v>248</v>
      </c>
      <c r="K12" s="145">
        <v>0</v>
      </c>
      <c r="L12" s="130"/>
      <c r="M12" s="114">
        <v>0</v>
      </c>
      <c r="N12" s="114">
        <v>0</v>
      </c>
    </row>
    <row r="13" spans="1:19" s="112" customFormat="1" x14ac:dyDescent="0.25">
      <c r="A13" s="89" t="s">
        <v>469</v>
      </c>
      <c r="B13" s="124" t="s">
        <v>248</v>
      </c>
      <c r="C13" s="124" t="s">
        <v>248</v>
      </c>
      <c r="D13" s="124" t="s">
        <v>248</v>
      </c>
      <c r="E13" s="124" t="s">
        <v>248</v>
      </c>
      <c r="F13" s="124" t="s">
        <v>248</v>
      </c>
      <c r="G13" s="125" t="s">
        <v>248</v>
      </c>
      <c r="H13" s="128" t="s">
        <v>248</v>
      </c>
      <c r="I13" s="115" t="s">
        <v>248</v>
      </c>
      <c r="J13" s="115" t="s">
        <v>248</v>
      </c>
      <c r="K13" s="145">
        <v>0</v>
      </c>
      <c r="L13" s="130"/>
      <c r="M13" s="114">
        <v>0</v>
      </c>
      <c r="N13" s="114">
        <v>0</v>
      </c>
    </row>
    <row r="14" spans="1:19" s="112" customFormat="1" x14ac:dyDescent="0.25">
      <c r="A14" s="89" t="s">
        <v>470</v>
      </c>
      <c r="B14" s="124" t="s">
        <v>248</v>
      </c>
      <c r="C14" s="124" t="s">
        <v>248</v>
      </c>
      <c r="D14" s="124" t="s">
        <v>248</v>
      </c>
      <c r="E14" s="124" t="s">
        <v>248</v>
      </c>
      <c r="F14" s="124" t="s">
        <v>248</v>
      </c>
      <c r="G14" s="125" t="s">
        <v>248</v>
      </c>
      <c r="H14" s="128" t="s">
        <v>248</v>
      </c>
      <c r="I14" s="115" t="s">
        <v>248</v>
      </c>
      <c r="J14" s="115" t="s">
        <v>248</v>
      </c>
      <c r="K14" s="145">
        <v>0</v>
      </c>
      <c r="L14" s="130"/>
      <c r="M14" s="114">
        <v>0</v>
      </c>
      <c r="N14" s="114">
        <v>0</v>
      </c>
    </row>
    <row r="15" spans="1:19" s="112" customFormat="1" x14ac:dyDescent="0.25">
      <c r="A15" s="89" t="s">
        <v>471</v>
      </c>
      <c r="B15" s="124" t="s">
        <v>248</v>
      </c>
      <c r="C15" s="124" t="s">
        <v>248</v>
      </c>
      <c r="D15" s="124" t="s">
        <v>248</v>
      </c>
      <c r="E15" s="124" t="s">
        <v>248</v>
      </c>
      <c r="F15" s="124" t="s">
        <v>248</v>
      </c>
      <c r="G15" s="125" t="s">
        <v>248</v>
      </c>
      <c r="H15" s="128" t="s">
        <v>248</v>
      </c>
      <c r="I15" s="115" t="s">
        <v>248</v>
      </c>
      <c r="J15" s="115" t="s">
        <v>248</v>
      </c>
      <c r="K15" s="145">
        <v>0</v>
      </c>
      <c r="L15" s="130"/>
      <c r="M15" s="114">
        <v>0</v>
      </c>
      <c r="N15" s="114">
        <v>0</v>
      </c>
    </row>
    <row r="16" spans="1:19" s="112" customFormat="1" x14ac:dyDescent="0.25">
      <c r="A16" s="89" t="s">
        <v>472</v>
      </c>
      <c r="B16" s="124" t="s">
        <v>248</v>
      </c>
      <c r="C16" s="124" t="s">
        <v>248</v>
      </c>
      <c r="D16" s="124" t="s">
        <v>248</v>
      </c>
      <c r="E16" s="124" t="s">
        <v>248</v>
      </c>
      <c r="F16" s="124" t="s">
        <v>248</v>
      </c>
      <c r="G16" s="125" t="s">
        <v>248</v>
      </c>
      <c r="H16" s="128" t="s">
        <v>248</v>
      </c>
      <c r="I16" s="115" t="s">
        <v>248</v>
      </c>
      <c r="J16" s="115" t="s">
        <v>248</v>
      </c>
      <c r="K16" s="145">
        <v>0</v>
      </c>
      <c r="L16" s="130"/>
      <c r="M16" s="114">
        <v>0</v>
      </c>
      <c r="N16" s="114">
        <v>0</v>
      </c>
    </row>
    <row r="17" spans="1:18" s="112" customFormat="1" x14ac:dyDescent="0.25">
      <c r="A17" s="89" t="s">
        <v>415</v>
      </c>
      <c r="B17" s="124" t="s">
        <v>248</v>
      </c>
      <c r="C17" s="124" t="s">
        <v>248</v>
      </c>
      <c r="D17" s="124" t="s">
        <v>248</v>
      </c>
      <c r="E17" s="124" t="s">
        <v>248</v>
      </c>
      <c r="F17" s="124" t="s">
        <v>248</v>
      </c>
      <c r="G17" s="125" t="s">
        <v>248</v>
      </c>
      <c r="H17" s="128" t="s">
        <v>248</v>
      </c>
      <c r="I17" s="115" t="s">
        <v>248</v>
      </c>
      <c r="J17" s="115" t="s">
        <v>248</v>
      </c>
      <c r="K17" s="145">
        <v>0</v>
      </c>
      <c r="L17" s="130"/>
      <c r="M17" s="114">
        <v>0</v>
      </c>
      <c r="N17" s="114">
        <v>0</v>
      </c>
    </row>
    <row r="18" spans="1:18" s="112" customFormat="1" x14ac:dyDescent="0.25">
      <c r="A18" s="89" t="s">
        <v>143</v>
      </c>
      <c r="B18" s="124" t="s">
        <v>248</v>
      </c>
      <c r="C18" s="124" t="s">
        <v>248</v>
      </c>
      <c r="D18" s="124" t="s">
        <v>248</v>
      </c>
      <c r="E18" s="124" t="s">
        <v>248</v>
      </c>
      <c r="F18" s="124" t="s">
        <v>248</v>
      </c>
      <c r="G18" s="125" t="s">
        <v>248</v>
      </c>
      <c r="H18" s="128" t="s">
        <v>248</v>
      </c>
      <c r="I18" s="115" t="s">
        <v>248</v>
      </c>
      <c r="J18" s="115" t="s">
        <v>248</v>
      </c>
      <c r="K18" s="145">
        <v>0</v>
      </c>
      <c r="L18" s="130"/>
      <c r="M18" s="114">
        <v>0</v>
      </c>
      <c r="N18" s="114">
        <v>0</v>
      </c>
    </row>
    <row r="19" spans="1:18" s="112" customFormat="1" x14ac:dyDescent="0.25">
      <c r="A19" s="89" t="s">
        <v>144</v>
      </c>
      <c r="B19" s="124" t="s">
        <v>248</v>
      </c>
      <c r="C19" s="124" t="s">
        <v>248</v>
      </c>
      <c r="D19" s="124" t="s">
        <v>248</v>
      </c>
      <c r="E19" s="124" t="s">
        <v>248</v>
      </c>
      <c r="F19" s="124" t="s">
        <v>248</v>
      </c>
      <c r="G19" s="125" t="s">
        <v>248</v>
      </c>
      <c r="H19" s="128" t="s">
        <v>248</v>
      </c>
      <c r="I19" s="115" t="s">
        <v>248</v>
      </c>
      <c r="J19" s="115" t="s">
        <v>248</v>
      </c>
      <c r="K19" s="145">
        <v>0</v>
      </c>
      <c r="L19" s="130"/>
      <c r="M19" s="114">
        <v>0</v>
      </c>
      <c r="N19" s="114">
        <v>0</v>
      </c>
    </row>
    <row r="20" spans="1:18" s="112" customFormat="1" x14ac:dyDescent="0.25">
      <c r="A20" s="75" t="s">
        <v>241</v>
      </c>
      <c r="B20" s="118"/>
      <c r="C20" s="118"/>
      <c r="D20" s="118"/>
      <c r="E20" s="118"/>
      <c r="F20" s="118"/>
      <c r="G20" s="119"/>
      <c r="H20" s="119"/>
      <c r="I20" s="119"/>
      <c r="J20" s="119"/>
      <c r="K20" s="120"/>
      <c r="L20" s="121"/>
      <c r="M20" s="121"/>
      <c r="N20" s="122"/>
      <c r="O20" s="141"/>
      <c r="P20" s="141"/>
      <c r="Q20" s="123"/>
      <c r="R20" s="123"/>
    </row>
    <row r="21" spans="1:18" s="112" customFormat="1" x14ac:dyDescent="0.25">
      <c r="A21" s="75" t="s">
        <v>242</v>
      </c>
      <c r="B21" s="118"/>
      <c r="C21" s="118"/>
      <c r="D21" s="118"/>
      <c r="E21" s="118"/>
      <c r="F21" s="118"/>
      <c r="G21" s="119"/>
      <c r="H21" s="119"/>
      <c r="I21" s="119"/>
      <c r="J21" s="119"/>
      <c r="K21" s="120"/>
      <c r="L21" s="121"/>
      <c r="M21" s="121"/>
      <c r="N21" s="122"/>
      <c r="O21" s="141"/>
      <c r="P21" s="141"/>
      <c r="Q21" s="123"/>
      <c r="R21" s="123"/>
    </row>
    <row r="22" spans="1:18" s="112" customFormat="1" x14ac:dyDescent="0.25">
      <c r="A22" s="75" t="s">
        <v>243</v>
      </c>
      <c r="B22" s="118"/>
      <c r="C22" s="118"/>
      <c r="D22" s="118"/>
      <c r="E22" s="118"/>
      <c r="F22" s="118"/>
      <c r="G22" s="119"/>
      <c r="H22" s="119"/>
      <c r="I22" s="119"/>
      <c r="J22" s="119"/>
      <c r="K22" s="120"/>
      <c r="L22" s="121"/>
      <c r="M22" s="121"/>
      <c r="N22" s="122"/>
      <c r="O22" s="141"/>
      <c r="P22" s="141"/>
      <c r="Q22" s="123"/>
      <c r="R22" s="123"/>
    </row>
    <row r="23" spans="1:18" s="112" customFormat="1" x14ac:dyDescent="0.25">
      <c r="A23" s="75" t="s">
        <v>244</v>
      </c>
      <c r="B23" s="118"/>
      <c r="C23" s="118"/>
      <c r="D23" s="118"/>
      <c r="E23" s="118"/>
      <c r="F23" s="118"/>
      <c r="G23" s="119"/>
      <c r="H23" s="119"/>
      <c r="I23" s="119"/>
      <c r="J23" s="119"/>
      <c r="K23" s="120"/>
      <c r="L23" s="121"/>
      <c r="M23" s="121"/>
      <c r="N23" s="122"/>
      <c r="O23" s="141"/>
      <c r="P23" s="141"/>
      <c r="Q23" s="123"/>
      <c r="R23" s="123"/>
    </row>
    <row r="24" spans="1:18" s="112" customFormat="1" x14ac:dyDescent="0.25">
      <c r="A24" s="75" t="s">
        <v>245</v>
      </c>
      <c r="B24" s="118"/>
      <c r="C24" s="118"/>
      <c r="D24" s="118"/>
      <c r="E24" s="118"/>
      <c r="F24" s="118"/>
      <c r="G24" s="119"/>
      <c r="H24" s="119"/>
      <c r="I24" s="119"/>
      <c r="J24" s="119"/>
      <c r="K24" s="120"/>
      <c r="L24" s="121"/>
      <c r="M24" s="121"/>
      <c r="N24" s="122"/>
      <c r="O24" s="141"/>
      <c r="P24" s="141"/>
      <c r="Q24" s="123"/>
      <c r="R24" s="123"/>
    </row>
  </sheetData>
  <mergeCells count="2">
    <mergeCell ref="A5:N5"/>
    <mergeCell ref="A4:N4"/>
  </mergeCells>
  <phoneticPr fontId="3" type="noConversion"/>
  <conditionalFormatting sqref="A9:A19 K9:K19">
    <cfRule type="expression" dxfId="109" priority="124" stopIfTrue="1">
      <formula>#REF!&gt;0</formula>
    </cfRule>
    <cfRule type="expression" dxfId="108" priority="125" stopIfTrue="1">
      <formula>LEFT(#REF!,3)="TIR"</formula>
    </cfRule>
  </conditionalFormatting>
  <conditionalFormatting sqref="B9:G19 M9:N19">
    <cfRule type="expression" dxfId="107" priority="119" stopIfTrue="1">
      <formula>LEFT(#REF!,3)="TIR"</formula>
    </cfRule>
  </conditionalFormatting>
  <conditionalFormatting sqref="L9:M55554 L1:M3 H9:J19">
    <cfRule type="expression" dxfId="106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87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6640625" style="8" bestFit="1" customWidth="1"/>
    <col min="7" max="7" width="12.44140625" style="57" bestFit="1" customWidth="1"/>
    <col min="8" max="8" width="10.33203125" style="57" bestFit="1" customWidth="1"/>
    <col min="9" max="9" width="16.5546875" style="57" customWidth="1"/>
    <col min="10" max="10" width="11.33203125" style="57" bestFit="1" customWidth="1"/>
    <col min="11" max="11" width="22" style="36" customWidth="1"/>
    <col min="12" max="12" width="25.44140625" style="36" customWidth="1"/>
    <col min="13" max="13" width="20.6640625" style="59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36"/>
      <c r="M1" s="59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36"/>
      <c r="M2" s="59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36"/>
      <c r="M3" s="59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13" t="s">
        <v>11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5"/>
      <c r="N4" s="13"/>
      <c r="O4" s="13"/>
      <c r="P4" s="13"/>
      <c r="Q4" s="12"/>
      <c r="R4" s="12"/>
      <c r="S4" s="14"/>
    </row>
    <row r="5" spans="1:19" s="7" customFormat="1" x14ac:dyDescent="0.25">
      <c r="A5" s="216" t="s">
        <v>158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8"/>
      <c r="N5" s="13"/>
    </row>
    <row r="6" spans="1:19" s="7" customFormat="1" x14ac:dyDescent="0.25">
      <c r="A6" s="83" t="s">
        <v>157</v>
      </c>
      <c r="B6" s="197" t="s">
        <v>69</v>
      </c>
      <c r="C6" s="197" t="s">
        <v>76</v>
      </c>
      <c r="D6" s="197" t="s">
        <v>74</v>
      </c>
      <c r="E6" s="197" t="s">
        <v>19</v>
      </c>
      <c r="F6" s="197" t="s">
        <v>6</v>
      </c>
      <c r="G6" s="198" t="s">
        <v>67</v>
      </c>
      <c r="H6" s="198" t="s">
        <v>68</v>
      </c>
      <c r="I6" s="198" t="s">
        <v>134</v>
      </c>
      <c r="J6" s="198" t="s">
        <v>7</v>
      </c>
      <c r="K6" s="198" t="s">
        <v>17</v>
      </c>
      <c r="L6" s="86" t="s">
        <v>75</v>
      </c>
      <c r="M6" s="87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6"/>
      <c r="I7" s="2" t="s">
        <v>135</v>
      </c>
      <c r="J7" s="2" t="s">
        <v>135</v>
      </c>
      <c r="K7" s="46" t="s">
        <v>9</v>
      </c>
      <c r="L7" s="46" t="s">
        <v>9</v>
      </c>
      <c r="M7" s="52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5">
        <v>11</v>
      </c>
      <c r="M8" s="43">
        <v>12</v>
      </c>
    </row>
    <row r="9" spans="1:19" s="112" customFormat="1" ht="12.75" customHeight="1" thickBot="1" x14ac:dyDescent="0.3">
      <c r="A9" s="142" t="s">
        <v>159</v>
      </c>
      <c r="B9" s="67"/>
      <c r="C9" s="67"/>
      <c r="D9" s="67"/>
      <c r="E9" s="67"/>
      <c r="F9" s="143"/>
      <c r="G9" s="144"/>
      <c r="H9" s="143"/>
      <c r="I9" s="146" t="s">
        <v>248</v>
      </c>
      <c r="J9" s="103">
        <v>71026.968261000002</v>
      </c>
      <c r="K9" s="67" t="s">
        <v>248</v>
      </c>
      <c r="L9" s="67">
        <v>1</v>
      </c>
      <c r="M9" s="79">
        <v>0.68491994666734435</v>
      </c>
    </row>
    <row r="10" spans="1:19" s="112" customFormat="1" x14ac:dyDescent="0.25">
      <c r="A10" s="88" t="s">
        <v>137</v>
      </c>
      <c r="B10" s="124" t="s">
        <v>248</v>
      </c>
      <c r="C10" s="124" t="s">
        <v>248</v>
      </c>
      <c r="D10" s="124" t="s">
        <v>248</v>
      </c>
      <c r="E10" s="124" t="s">
        <v>248</v>
      </c>
      <c r="F10" s="124" t="s">
        <v>248</v>
      </c>
      <c r="G10" s="126" t="s">
        <v>248</v>
      </c>
      <c r="H10" s="115" t="s">
        <v>248</v>
      </c>
      <c r="I10" s="116" t="s">
        <v>248</v>
      </c>
      <c r="J10" s="147">
        <v>42674.841920599996</v>
      </c>
      <c r="K10" s="114" t="s">
        <v>248</v>
      </c>
      <c r="L10" s="114">
        <v>0.60082589705623413</v>
      </c>
      <c r="M10" s="114">
        <v>0.41151764136811519</v>
      </c>
    </row>
    <row r="11" spans="1:19" s="112" customFormat="1" x14ac:dyDescent="0.25">
      <c r="A11" s="89" t="s">
        <v>473</v>
      </c>
      <c r="B11" s="124" t="s">
        <v>248</v>
      </c>
      <c r="C11" s="124" t="s">
        <v>248</v>
      </c>
      <c r="D11" s="124" t="s">
        <v>248</v>
      </c>
      <c r="E11" s="124" t="s">
        <v>248</v>
      </c>
      <c r="F11" s="124" t="s">
        <v>248</v>
      </c>
      <c r="G11" s="128" t="s">
        <v>248</v>
      </c>
      <c r="H11" s="115" t="s">
        <v>248</v>
      </c>
      <c r="I11" s="117" t="s">
        <v>248</v>
      </c>
      <c r="J11" s="117">
        <v>16853.734700100002</v>
      </c>
      <c r="K11" s="130"/>
      <c r="L11" s="114">
        <v>0.23728641546642179</v>
      </c>
      <c r="M11" s="114">
        <v>0.16252219902614692</v>
      </c>
    </row>
    <row r="12" spans="1:19" x14ac:dyDescent="0.25">
      <c r="A12" s="16" t="s">
        <v>478</v>
      </c>
      <c r="B12" s="110" t="s">
        <v>479</v>
      </c>
      <c r="C12" s="110" t="s">
        <v>327</v>
      </c>
      <c r="D12" s="110" t="s">
        <v>480</v>
      </c>
      <c r="E12" s="110" t="s">
        <v>477</v>
      </c>
      <c r="F12" s="110" t="s">
        <v>254</v>
      </c>
      <c r="G12" s="66">
        <v>203026</v>
      </c>
      <c r="H12" s="63">
        <v>1850</v>
      </c>
      <c r="I12" s="81">
        <v>0</v>
      </c>
      <c r="J12" s="81">
        <v>3755.9810000000002</v>
      </c>
      <c r="K12" s="24">
        <v>1.4780062254676927E-2</v>
      </c>
      <c r="L12" s="32">
        <v>5.2881054787500492E-2</v>
      </c>
      <c r="M12" s="32">
        <v>3.6219289224767755E-2</v>
      </c>
      <c r="N12" s="14"/>
      <c r="O12" s="14"/>
      <c r="P12" s="14"/>
      <c r="Q12" s="14"/>
      <c r="R12" s="14"/>
    </row>
    <row r="13" spans="1:19" x14ac:dyDescent="0.25">
      <c r="A13" s="16" t="s">
        <v>487</v>
      </c>
      <c r="B13" s="110" t="s">
        <v>488</v>
      </c>
      <c r="C13" s="110" t="s">
        <v>327</v>
      </c>
      <c r="D13" s="110" t="s">
        <v>489</v>
      </c>
      <c r="E13" s="110" t="s">
        <v>477</v>
      </c>
      <c r="F13" s="110" t="s">
        <v>254</v>
      </c>
      <c r="G13" s="66">
        <v>6384</v>
      </c>
      <c r="H13" s="63">
        <v>2900</v>
      </c>
      <c r="I13" s="81">
        <v>0</v>
      </c>
      <c r="J13" s="81">
        <v>185.136</v>
      </c>
      <c r="K13" s="24">
        <v>1.1797656878898826E-3</v>
      </c>
      <c r="L13" s="32">
        <v>2.6065592342290047E-3</v>
      </c>
      <c r="M13" s="32">
        <v>1.7852844116934038E-3</v>
      </c>
      <c r="N13" s="14"/>
      <c r="O13" s="14"/>
      <c r="P13" s="14"/>
      <c r="Q13" s="14"/>
      <c r="R13" s="14"/>
    </row>
    <row r="14" spans="1:19" x14ac:dyDescent="0.25">
      <c r="A14" s="16" t="s">
        <v>484</v>
      </c>
      <c r="B14" s="110" t="s">
        <v>485</v>
      </c>
      <c r="C14" s="110" t="s">
        <v>327</v>
      </c>
      <c r="D14" s="110" t="s">
        <v>486</v>
      </c>
      <c r="E14" s="110" t="s">
        <v>477</v>
      </c>
      <c r="F14" s="110" t="s">
        <v>254</v>
      </c>
      <c r="G14" s="66">
        <v>253795</v>
      </c>
      <c r="H14" s="63">
        <v>1852</v>
      </c>
      <c r="I14" s="81">
        <v>0</v>
      </c>
      <c r="J14" s="81">
        <v>4700.2834000000003</v>
      </c>
      <c r="K14" s="24">
        <v>1.5005629586954517E-2</v>
      </c>
      <c r="L14" s="32">
        <v>6.6176038694599121E-2</v>
      </c>
      <c r="M14" s="32">
        <v>4.5325288893360953E-2</v>
      </c>
      <c r="N14" s="14"/>
      <c r="O14" s="14"/>
      <c r="P14" s="14"/>
      <c r="Q14" s="14"/>
      <c r="R14" s="14"/>
    </row>
    <row r="15" spans="1:19" x14ac:dyDescent="0.25">
      <c r="A15" s="16" t="s">
        <v>474</v>
      </c>
      <c r="B15" s="110" t="s">
        <v>475</v>
      </c>
      <c r="C15" s="110" t="s">
        <v>327</v>
      </c>
      <c r="D15" s="110" t="s">
        <v>476</v>
      </c>
      <c r="E15" s="110" t="s">
        <v>477</v>
      </c>
      <c r="F15" s="110" t="s">
        <v>254</v>
      </c>
      <c r="G15" s="66">
        <v>230376</v>
      </c>
      <c r="H15" s="63">
        <v>1845</v>
      </c>
      <c r="I15" s="81">
        <v>0</v>
      </c>
      <c r="J15" s="81">
        <v>4250.4372000000003</v>
      </c>
      <c r="K15" s="24">
        <v>1.7994697572446747E-2</v>
      </c>
      <c r="L15" s="32">
        <v>5.9842582389003085E-2</v>
      </c>
      <c r="M15" s="32">
        <v>4.0987378338312161E-2</v>
      </c>
      <c r="N15" s="14"/>
      <c r="O15" s="14"/>
      <c r="P15" s="14"/>
      <c r="Q15" s="14"/>
      <c r="R15" s="14"/>
    </row>
    <row r="16" spans="1:19" x14ac:dyDescent="0.25">
      <c r="A16" s="16" t="s">
        <v>481</v>
      </c>
      <c r="B16" s="110" t="s">
        <v>482</v>
      </c>
      <c r="C16" s="110" t="s">
        <v>327</v>
      </c>
      <c r="D16" s="110" t="s">
        <v>483</v>
      </c>
      <c r="E16" s="110" t="s">
        <v>477</v>
      </c>
      <c r="F16" s="110" t="s">
        <v>254</v>
      </c>
      <c r="G16" s="66">
        <v>21497</v>
      </c>
      <c r="H16" s="63">
        <v>18430</v>
      </c>
      <c r="I16" s="81">
        <v>0</v>
      </c>
      <c r="J16" s="81">
        <v>3961.8971000000001</v>
      </c>
      <c r="K16" s="24">
        <v>1.2412293465256895E-2</v>
      </c>
      <c r="L16" s="32">
        <v>5.5780180359682151E-2</v>
      </c>
      <c r="M16" s="32">
        <v>3.8204958157048351E-2</v>
      </c>
      <c r="N16" s="14"/>
      <c r="O16" s="14"/>
      <c r="P16" s="14"/>
      <c r="Q16" s="14"/>
      <c r="R16" s="14"/>
    </row>
    <row r="17" spans="1:18" s="112" customFormat="1" x14ac:dyDescent="0.25">
      <c r="A17" s="89" t="s">
        <v>490</v>
      </c>
      <c r="B17" s="124" t="s">
        <v>248</v>
      </c>
      <c r="C17" s="124" t="s">
        <v>248</v>
      </c>
      <c r="D17" s="124" t="s">
        <v>248</v>
      </c>
      <c r="E17" s="124" t="s">
        <v>248</v>
      </c>
      <c r="F17" s="124" t="s">
        <v>248</v>
      </c>
      <c r="G17" s="128" t="s">
        <v>248</v>
      </c>
      <c r="H17" s="115" t="s">
        <v>248</v>
      </c>
      <c r="I17" s="117" t="s">
        <v>248</v>
      </c>
      <c r="J17" s="117">
        <v>0</v>
      </c>
      <c r="K17" s="130"/>
      <c r="L17" s="114">
        <v>0</v>
      </c>
      <c r="M17" s="114">
        <v>0</v>
      </c>
    </row>
    <row r="18" spans="1:18" s="112" customFormat="1" x14ac:dyDescent="0.25">
      <c r="A18" s="89" t="s">
        <v>491</v>
      </c>
      <c r="B18" s="124" t="s">
        <v>248</v>
      </c>
      <c r="C18" s="124" t="s">
        <v>248</v>
      </c>
      <c r="D18" s="124" t="s">
        <v>248</v>
      </c>
      <c r="E18" s="124" t="s">
        <v>248</v>
      </c>
      <c r="F18" s="124" t="s">
        <v>248</v>
      </c>
      <c r="G18" s="128" t="s">
        <v>248</v>
      </c>
      <c r="H18" s="115" t="s">
        <v>248</v>
      </c>
      <c r="I18" s="117" t="s">
        <v>248</v>
      </c>
      <c r="J18" s="117">
        <v>25821.107220099999</v>
      </c>
      <c r="K18" s="130"/>
      <c r="L18" s="114">
        <v>0.3635394815841807</v>
      </c>
      <c r="M18" s="114">
        <v>0.24899544233811108</v>
      </c>
    </row>
    <row r="19" spans="1:18" x14ac:dyDescent="0.25">
      <c r="A19" s="16" t="s">
        <v>501</v>
      </c>
      <c r="B19" s="110" t="s">
        <v>502</v>
      </c>
      <c r="C19" s="110" t="s">
        <v>327</v>
      </c>
      <c r="D19" s="110" t="s">
        <v>480</v>
      </c>
      <c r="E19" s="110" t="s">
        <v>494</v>
      </c>
      <c r="F19" s="110" t="s">
        <v>254</v>
      </c>
      <c r="G19" s="66">
        <v>1957374</v>
      </c>
      <c r="H19" s="63">
        <v>354.64</v>
      </c>
      <c r="I19" s="81">
        <v>0</v>
      </c>
      <c r="J19" s="81">
        <v>6941.6311500000002</v>
      </c>
      <c r="K19" s="24">
        <v>1.6314605108672976E-2</v>
      </c>
      <c r="L19" s="32">
        <v>9.7732330690110003E-2</v>
      </c>
      <c r="M19" s="32">
        <v>6.6938822723945413E-2</v>
      </c>
      <c r="N19" s="14"/>
      <c r="O19" s="14"/>
      <c r="P19" s="14"/>
      <c r="Q19" s="14"/>
      <c r="R19" s="14"/>
    </row>
    <row r="20" spans="1:18" x14ac:dyDescent="0.25">
      <c r="A20" s="16" t="s">
        <v>507</v>
      </c>
      <c r="B20" s="110" t="s">
        <v>508</v>
      </c>
      <c r="C20" s="110" t="s">
        <v>327</v>
      </c>
      <c r="D20" s="110" t="s">
        <v>480</v>
      </c>
      <c r="E20" s="110" t="s">
        <v>494</v>
      </c>
      <c r="F20" s="110" t="s">
        <v>254</v>
      </c>
      <c r="G20" s="66">
        <v>229145</v>
      </c>
      <c r="H20" s="63">
        <v>369.63</v>
      </c>
      <c r="I20" s="81">
        <v>0</v>
      </c>
      <c r="J20" s="81">
        <v>846.98865999999998</v>
      </c>
      <c r="K20" s="24">
        <v>7.5461812328321866E-3</v>
      </c>
      <c r="L20" s="32">
        <v>1.1924888260577365E-2</v>
      </c>
      <c r="M20" s="32">
        <v>8.1675938314486884E-3</v>
      </c>
      <c r="N20" s="14"/>
      <c r="O20" s="14"/>
      <c r="P20" s="14"/>
      <c r="Q20" s="14"/>
      <c r="R20" s="14"/>
    </row>
    <row r="21" spans="1:18" x14ac:dyDescent="0.25">
      <c r="A21" s="16" t="s">
        <v>495</v>
      </c>
      <c r="B21" s="110" t="s">
        <v>496</v>
      </c>
      <c r="C21" s="110" t="s">
        <v>327</v>
      </c>
      <c r="D21" s="110" t="s">
        <v>486</v>
      </c>
      <c r="E21" s="110" t="s">
        <v>494</v>
      </c>
      <c r="F21" s="110" t="s">
        <v>254</v>
      </c>
      <c r="G21" s="66">
        <v>46857</v>
      </c>
      <c r="H21" s="63">
        <v>3711.9999999999995</v>
      </c>
      <c r="I21" s="81">
        <v>0</v>
      </c>
      <c r="J21" s="81">
        <v>1739.3318400000001</v>
      </c>
      <c r="K21" s="24">
        <v>1.5128039644071195E-2</v>
      </c>
      <c r="L21" s="32">
        <v>2.4488330032735536E-2</v>
      </c>
      <c r="M21" s="32">
        <v>1.6772545699993549E-2</v>
      </c>
      <c r="N21" s="14"/>
      <c r="O21" s="14"/>
      <c r="P21" s="14"/>
      <c r="Q21" s="14"/>
      <c r="R21" s="14"/>
    </row>
    <row r="22" spans="1:18" x14ac:dyDescent="0.25">
      <c r="A22" s="16" t="s">
        <v>497</v>
      </c>
      <c r="B22" s="110" t="s">
        <v>498</v>
      </c>
      <c r="C22" s="110" t="s">
        <v>327</v>
      </c>
      <c r="D22" s="110" t="s">
        <v>486</v>
      </c>
      <c r="E22" s="110" t="s">
        <v>494</v>
      </c>
      <c r="F22" s="110" t="s">
        <v>254</v>
      </c>
      <c r="G22" s="66">
        <v>21488</v>
      </c>
      <c r="H22" s="63">
        <v>3642.15</v>
      </c>
      <c r="I22" s="81">
        <v>0</v>
      </c>
      <c r="J22" s="81">
        <v>782.62518999999998</v>
      </c>
      <c r="K22" s="24">
        <v>2.6711351329849389E-2</v>
      </c>
      <c r="L22" s="32">
        <v>1.101870471401958E-2</v>
      </c>
      <c r="M22" s="32">
        <v>7.5469306450695077E-3</v>
      </c>
      <c r="N22" s="14"/>
      <c r="O22" s="14"/>
      <c r="P22" s="14"/>
      <c r="Q22" s="14"/>
      <c r="R22" s="14"/>
    </row>
    <row r="23" spans="1:18" x14ac:dyDescent="0.25">
      <c r="A23" s="16" t="s">
        <v>505</v>
      </c>
      <c r="B23" s="110" t="s">
        <v>506</v>
      </c>
      <c r="C23" s="110" t="s">
        <v>327</v>
      </c>
      <c r="D23" s="110" t="s">
        <v>486</v>
      </c>
      <c r="E23" s="110" t="s">
        <v>494</v>
      </c>
      <c r="F23" s="110" t="s">
        <v>254</v>
      </c>
      <c r="G23" s="66">
        <v>638183</v>
      </c>
      <c r="H23" s="63">
        <v>369.21</v>
      </c>
      <c r="I23" s="81">
        <v>0</v>
      </c>
      <c r="J23" s="81">
        <v>2356.2354500000001</v>
      </c>
      <c r="K23" s="24">
        <v>1.6917822074857286E-2</v>
      </c>
      <c r="L23" s="32">
        <v>3.3173814224220222E-2</v>
      </c>
      <c r="M23" s="32">
        <v>2.2721407069205304E-2</v>
      </c>
      <c r="N23" s="14"/>
      <c r="O23" s="14"/>
      <c r="P23" s="14"/>
      <c r="Q23" s="14"/>
      <c r="R23" s="14"/>
    </row>
    <row r="24" spans="1:18" x14ac:dyDescent="0.25">
      <c r="A24" s="16" t="s">
        <v>492</v>
      </c>
      <c r="B24" s="110" t="s">
        <v>493</v>
      </c>
      <c r="C24" s="110" t="s">
        <v>327</v>
      </c>
      <c r="D24" s="110" t="s">
        <v>476</v>
      </c>
      <c r="E24" s="110" t="s">
        <v>494</v>
      </c>
      <c r="F24" s="110" t="s">
        <v>254</v>
      </c>
      <c r="G24" s="66">
        <v>1648466</v>
      </c>
      <c r="H24" s="63">
        <v>345.08</v>
      </c>
      <c r="I24" s="81">
        <v>0</v>
      </c>
      <c r="J24" s="81">
        <v>5688.5264699999998</v>
      </c>
      <c r="K24" s="24">
        <v>1.4829237382305399E-2</v>
      </c>
      <c r="L24" s="32">
        <v>8.0089670293917031E-2</v>
      </c>
      <c r="M24" s="32">
        <v>5.4855012706314848E-2</v>
      </c>
      <c r="N24" s="14"/>
      <c r="O24" s="14"/>
      <c r="P24" s="14"/>
      <c r="Q24" s="14"/>
      <c r="R24" s="14"/>
    </row>
    <row r="25" spans="1:18" x14ac:dyDescent="0.25">
      <c r="A25" s="16" t="s">
        <v>499</v>
      </c>
      <c r="B25" s="110" t="s">
        <v>500</v>
      </c>
      <c r="C25" s="110" t="s">
        <v>327</v>
      </c>
      <c r="D25" s="110" t="s">
        <v>483</v>
      </c>
      <c r="E25" s="110" t="s">
        <v>494</v>
      </c>
      <c r="F25" s="110" t="s">
        <v>254</v>
      </c>
      <c r="G25" s="66">
        <v>3964307</v>
      </c>
      <c r="H25" s="63">
        <v>105.25</v>
      </c>
      <c r="I25" s="81">
        <v>0</v>
      </c>
      <c r="J25" s="81">
        <v>4172.4331099999999</v>
      </c>
      <c r="K25" s="24">
        <v>1.6147839702251029E-2</v>
      </c>
      <c r="L25" s="32">
        <v>5.8744350380657159E-2</v>
      </c>
      <c r="M25" s="32">
        <v>4.0235177329727499E-2</v>
      </c>
      <c r="N25" s="14"/>
      <c r="O25" s="14"/>
      <c r="P25" s="14"/>
      <c r="Q25" s="14"/>
      <c r="R25" s="14"/>
    </row>
    <row r="26" spans="1:18" x14ac:dyDescent="0.25">
      <c r="A26" s="16" t="s">
        <v>503</v>
      </c>
      <c r="B26" s="110" t="s">
        <v>504</v>
      </c>
      <c r="C26" s="110" t="s">
        <v>327</v>
      </c>
      <c r="D26" s="110" t="s">
        <v>483</v>
      </c>
      <c r="E26" s="110" t="s">
        <v>494</v>
      </c>
      <c r="F26" s="110" t="s">
        <v>254</v>
      </c>
      <c r="G26" s="66">
        <v>89778</v>
      </c>
      <c r="H26" s="63">
        <v>3668.3100000000004</v>
      </c>
      <c r="I26" s="81">
        <v>0</v>
      </c>
      <c r="J26" s="81">
        <v>3293.3353500000003</v>
      </c>
      <c r="K26" s="24">
        <v>2.344336921465575E-2</v>
      </c>
      <c r="L26" s="32">
        <v>4.6367392986535902E-2</v>
      </c>
      <c r="M26" s="32">
        <v>3.175795233144197E-2</v>
      </c>
      <c r="N26" s="14"/>
      <c r="O26" s="14"/>
      <c r="P26" s="14"/>
      <c r="Q26" s="14"/>
      <c r="R26" s="14"/>
    </row>
    <row r="27" spans="1:18" s="112" customFormat="1" x14ac:dyDescent="0.25">
      <c r="A27" s="89" t="s">
        <v>509</v>
      </c>
      <c r="B27" s="124" t="s">
        <v>248</v>
      </c>
      <c r="C27" s="124" t="s">
        <v>248</v>
      </c>
      <c r="D27" s="124" t="s">
        <v>248</v>
      </c>
      <c r="E27" s="124" t="s">
        <v>248</v>
      </c>
      <c r="F27" s="124" t="s">
        <v>248</v>
      </c>
      <c r="G27" s="128" t="s">
        <v>248</v>
      </c>
      <c r="H27" s="115" t="s">
        <v>248</v>
      </c>
      <c r="I27" s="117" t="s">
        <v>248</v>
      </c>
      <c r="J27" s="117">
        <v>0</v>
      </c>
      <c r="K27" s="130"/>
      <c r="L27" s="114">
        <v>0</v>
      </c>
      <c r="M27" s="114">
        <v>0</v>
      </c>
    </row>
    <row r="28" spans="1:18" s="112" customFormat="1" x14ac:dyDescent="0.25">
      <c r="A28" s="89" t="s">
        <v>510</v>
      </c>
      <c r="B28" s="124" t="s">
        <v>248</v>
      </c>
      <c r="C28" s="124" t="s">
        <v>248</v>
      </c>
      <c r="D28" s="124" t="s">
        <v>248</v>
      </c>
      <c r="E28" s="124" t="s">
        <v>248</v>
      </c>
      <c r="F28" s="124" t="s">
        <v>248</v>
      </c>
      <c r="G28" s="128" t="s">
        <v>248</v>
      </c>
      <c r="H28" s="115" t="s">
        <v>248</v>
      </c>
      <c r="I28" s="117" t="s">
        <v>248</v>
      </c>
      <c r="J28" s="117">
        <v>0</v>
      </c>
      <c r="K28" s="130"/>
      <c r="L28" s="114">
        <v>0</v>
      </c>
      <c r="M28" s="114">
        <v>0</v>
      </c>
    </row>
    <row r="29" spans="1:18" s="112" customFormat="1" x14ac:dyDescent="0.25">
      <c r="A29" s="89" t="s">
        <v>141</v>
      </c>
      <c r="B29" s="124" t="s">
        <v>248</v>
      </c>
      <c r="C29" s="124" t="s">
        <v>248</v>
      </c>
      <c r="D29" s="124" t="s">
        <v>248</v>
      </c>
      <c r="E29" s="124" t="s">
        <v>248</v>
      </c>
      <c r="F29" s="124" t="s">
        <v>248</v>
      </c>
      <c r="G29" s="128" t="s">
        <v>248</v>
      </c>
      <c r="H29" s="115" t="s">
        <v>248</v>
      </c>
      <c r="I29" s="117" t="s">
        <v>248</v>
      </c>
      <c r="J29" s="117">
        <v>0</v>
      </c>
      <c r="K29" s="130"/>
      <c r="L29" s="114">
        <v>0</v>
      </c>
      <c r="M29" s="114">
        <v>0</v>
      </c>
    </row>
    <row r="30" spans="1:18" s="112" customFormat="1" x14ac:dyDescent="0.25">
      <c r="A30" s="89" t="s">
        <v>415</v>
      </c>
      <c r="B30" s="124" t="s">
        <v>248</v>
      </c>
      <c r="C30" s="124" t="s">
        <v>248</v>
      </c>
      <c r="D30" s="124" t="s">
        <v>248</v>
      </c>
      <c r="E30" s="124" t="s">
        <v>248</v>
      </c>
      <c r="F30" s="124" t="s">
        <v>248</v>
      </c>
      <c r="G30" s="128" t="s">
        <v>248</v>
      </c>
      <c r="H30" s="115" t="s">
        <v>248</v>
      </c>
      <c r="I30" s="117" t="s">
        <v>248</v>
      </c>
      <c r="J30" s="117">
        <v>28352.126340399995</v>
      </c>
      <c r="K30" s="130"/>
      <c r="L30" s="114">
        <v>0.39917410294376571</v>
      </c>
      <c r="M30" s="114">
        <v>0.27340230529922904</v>
      </c>
    </row>
    <row r="31" spans="1:18" s="112" customFormat="1" x14ac:dyDescent="0.25">
      <c r="A31" s="89" t="s">
        <v>511</v>
      </c>
      <c r="B31" s="124" t="s">
        <v>248</v>
      </c>
      <c r="C31" s="124" t="s">
        <v>248</v>
      </c>
      <c r="D31" s="124" t="s">
        <v>248</v>
      </c>
      <c r="E31" s="124" t="s">
        <v>248</v>
      </c>
      <c r="F31" s="124" t="s">
        <v>248</v>
      </c>
      <c r="G31" s="128" t="s">
        <v>248</v>
      </c>
      <c r="H31" s="115" t="s">
        <v>248</v>
      </c>
      <c r="I31" s="117" t="s">
        <v>248</v>
      </c>
      <c r="J31" s="117">
        <v>17897.8505301</v>
      </c>
      <c r="K31" s="130"/>
      <c r="L31" s="114">
        <v>0.25198668855372613</v>
      </c>
      <c r="M31" s="114">
        <v>0.17259070928509884</v>
      </c>
    </row>
    <row r="32" spans="1:18" x14ac:dyDescent="0.25">
      <c r="A32" s="16" t="s">
        <v>544</v>
      </c>
      <c r="B32" s="110" t="s">
        <v>545</v>
      </c>
      <c r="C32" s="110" t="s">
        <v>546</v>
      </c>
      <c r="D32" s="167" t="s">
        <v>868</v>
      </c>
      <c r="E32" s="110" t="s">
        <v>515</v>
      </c>
      <c r="F32" s="110" t="s">
        <v>125</v>
      </c>
      <c r="G32" s="66">
        <v>138</v>
      </c>
      <c r="H32" s="63">
        <v>3348.25</v>
      </c>
      <c r="I32" s="81">
        <v>0</v>
      </c>
      <c r="J32" s="81">
        <v>17.66911</v>
      </c>
      <c r="K32" s="24">
        <v>2.8786105572624997E-6</v>
      </c>
      <c r="L32" s="32">
        <v>2.487662141944735E-4</v>
      </c>
      <c r="M32" s="32">
        <v>1.7038494215871597E-4</v>
      </c>
      <c r="N32" s="14"/>
      <c r="O32" s="14"/>
      <c r="P32" s="14"/>
      <c r="Q32" s="14"/>
      <c r="R32" s="14"/>
    </row>
    <row r="33" spans="1:18" x14ac:dyDescent="0.25">
      <c r="A33" s="16" t="s">
        <v>552</v>
      </c>
      <c r="B33" s="110" t="s">
        <v>553</v>
      </c>
      <c r="C33" s="110" t="s">
        <v>520</v>
      </c>
      <c r="D33" s="167" t="s">
        <v>869</v>
      </c>
      <c r="E33" s="110" t="s">
        <v>515</v>
      </c>
      <c r="F33" s="110" t="s">
        <v>125</v>
      </c>
      <c r="G33" s="66">
        <v>849</v>
      </c>
      <c r="H33" s="63">
        <v>6110.75</v>
      </c>
      <c r="I33" s="81">
        <v>0</v>
      </c>
      <c r="J33" s="81">
        <v>198.39014</v>
      </c>
      <c r="K33" s="24">
        <v>1.0896990733758689E-5</v>
      </c>
      <c r="L33" s="32">
        <v>2.7931663825349205E-3</v>
      </c>
      <c r="M33" s="32">
        <v>1.9130953697588369E-3</v>
      </c>
      <c r="N33" s="14"/>
      <c r="O33" s="14"/>
      <c r="P33" s="14"/>
      <c r="Q33" s="14"/>
      <c r="R33" s="14"/>
    </row>
    <row r="34" spans="1:18" x14ac:dyDescent="0.25">
      <c r="A34" s="16" t="s">
        <v>557</v>
      </c>
      <c r="B34" s="110" t="s">
        <v>558</v>
      </c>
      <c r="C34" s="110" t="s">
        <v>520</v>
      </c>
      <c r="D34" s="167" t="s">
        <v>870</v>
      </c>
      <c r="E34" s="110" t="s">
        <v>515</v>
      </c>
      <c r="F34" s="110" t="s">
        <v>125</v>
      </c>
      <c r="G34" s="66">
        <v>7172</v>
      </c>
      <c r="H34" s="63">
        <v>4497.5</v>
      </c>
      <c r="I34" s="81">
        <v>0</v>
      </c>
      <c r="J34" s="81">
        <v>1233.4721100000002</v>
      </c>
      <c r="K34" s="24">
        <v>1.382133089241281E-4</v>
      </c>
      <c r="L34" s="32">
        <v>1.7366250315899851E-2</v>
      </c>
      <c r="M34" s="32">
        <v>1.1894491240177879E-2</v>
      </c>
      <c r="N34" s="14"/>
      <c r="O34" s="14"/>
      <c r="P34" s="14"/>
      <c r="Q34" s="14"/>
      <c r="R34" s="14"/>
    </row>
    <row r="35" spans="1:18" x14ac:dyDescent="0.25">
      <c r="A35" s="16" t="s">
        <v>542</v>
      </c>
      <c r="B35" s="110" t="s">
        <v>543</v>
      </c>
      <c r="C35" s="110" t="s">
        <v>514</v>
      </c>
      <c r="D35" s="167" t="s">
        <v>871</v>
      </c>
      <c r="E35" s="110" t="s">
        <v>515</v>
      </c>
      <c r="F35" s="110" t="s">
        <v>125</v>
      </c>
      <c r="G35" s="66">
        <v>1038</v>
      </c>
      <c r="H35" s="63">
        <v>1839</v>
      </c>
      <c r="I35" s="81">
        <v>0</v>
      </c>
      <c r="J35" s="81">
        <v>72.995639999999995</v>
      </c>
      <c r="K35" s="24">
        <v>1.5234056305248221E-4</v>
      </c>
      <c r="L35" s="32">
        <v>1.0277172430022043E-3</v>
      </c>
      <c r="M35" s="32">
        <v>7.0390403926617992E-4</v>
      </c>
      <c r="N35" s="14"/>
      <c r="O35" s="14"/>
      <c r="P35" s="14"/>
      <c r="Q35" s="14"/>
      <c r="R35" s="14"/>
    </row>
    <row r="36" spans="1:18" x14ac:dyDescent="0.25">
      <c r="A36" s="16" t="s">
        <v>518</v>
      </c>
      <c r="B36" s="110" t="s">
        <v>519</v>
      </c>
      <c r="C36" s="110" t="s">
        <v>520</v>
      </c>
      <c r="D36" s="167" t="s">
        <v>872</v>
      </c>
      <c r="E36" s="110" t="s">
        <v>515</v>
      </c>
      <c r="F36" s="110" t="s">
        <v>125</v>
      </c>
      <c r="G36" s="66">
        <v>858</v>
      </c>
      <c r="H36" s="63">
        <v>83576</v>
      </c>
      <c r="I36" s="81">
        <v>0</v>
      </c>
      <c r="J36" s="81">
        <v>2742.1218699999999</v>
      </c>
      <c r="K36" s="24">
        <v>3.9072810406155033E-5</v>
      </c>
      <c r="L36" s="32">
        <v>3.8606770599072068E-2</v>
      </c>
      <c r="M36" s="32">
        <v>2.644254725971484E-2</v>
      </c>
      <c r="N36" s="14"/>
      <c r="O36" s="14"/>
      <c r="P36" s="14"/>
      <c r="Q36" s="14"/>
      <c r="R36" s="14"/>
    </row>
    <row r="37" spans="1:18" x14ac:dyDescent="0.25">
      <c r="A37" s="16" t="s">
        <v>538</v>
      </c>
      <c r="B37" s="110" t="s">
        <v>539</v>
      </c>
      <c r="C37" s="110" t="s">
        <v>520</v>
      </c>
      <c r="D37" s="167" t="s">
        <v>873</v>
      </c>
      <c r="E37" s="110" t="s">
        <v>515</v>
      </c>
      <c r="F37" s="110" t="s">
        <v>125</v>
      </c>
      <c r="G37" s="66">
        <v>180</v>
      </c>
      <c r="H37" s="63">
        <v>4475</v>
      </c>
      <c r="I37" s="81">
        <v>0</v>
      </c>
      <c r="J37" s="81">
        <v>30.802319999999998</v>
      </c>
      <c r="K37" s="24">
        <v>2.1192282524208062E-5</v>
      </c>
      <c r="L37" s="32">
        <v>4.3367076976750472E-4</v>
      </c>
      <c r="M37" s="32">
        <v>2.9702976050034551E-4</v>
      </c>
      <c r="N37" s="14"/>
      <c r="O37" s="14"/>
      <c r="P37" s="14"/>
      <c r="Q37" s="14"/>
      <c r="R37" s="14"/>
    </row>
    <row r="38" spans="1:18" x14ac:dyDescent="0.25">
      <c r="A38" s="16" t="s">
        <v>554</v>
      </c>
      <c r="B38" s="110" t="s">
        <v>555</v>
      </c>
      <c r="C38" s="110" t="s">
        <v>556</v>
      </c>
      <c r="D38" s="167" t="s">
        <v>874</v>
      </c>
      <c r="E38" s="110" t="s">
        <v>515</v>
      </c>
      <c r="F38" s="110" t="s">
        <v>125</v>
      </c>
      <c r="G38" s="66">
        <v>1865</v>
      </c>
      <c r="H38" s="63">
        <v>3647.5</v>
      </c>
      <c r="I38" s="81">
        <v>0</v>
      </c>
      <c r="J38" s="81">
        <v>260.13094000000001</v>
      </c>
      <c r="K38" s="24">
        <v>2.8295423029470329E-5</v>
      </c>
      <c r="L38" s="32">
        <v>3.6624249403987941E-3</v>
      </c>
      <c r="M38" s="32">
        <v>2.5084678948510942E-3</v>
      </c>
      <c r="N38" s="14"/>
      <c r="O38" s="14"/>
      <c r="P38" s="14"/>
      <c r="Q38" s="14"/>
      <c r="R38" s="14"/>
    </row>
    <row r="39" spans="1:18" x14ac:dyDescent="0.25">
      <c r="A39" s="16" t="s">
        <v>523</v>
      </c>
      <c r="B39" s="110" t="s">
        <v>524</v>
      </c>
      <c r="C39" s="110" t="s">
        <v>218</v>
      </c>
      <c r="D39" s="167" t="s">
        <v>875</v>
      </c>
      <c r="E39" s="110" t="s">
        <v>515</v>
      </c>
      <c r="F39" s="110" t="s">
        <v>125</v>
      </c>
      <c r="G39" s="66">
        <v>11451</v>
      </c>
      <c r="H39" s="63">
        <v>697.87</v>
      </c>
      <c r="I39" s="81">
        <v>0</v>
      </c>
      <c r="J39" s="81">
        <v>305.58767</v>
      </c>
      <c r="K39" s="24">
        <v>3.030421493918245E-5</v>
      </c>
      <c r="L39" s="32">
        <v>4.3024174828505844E-3</v>
      </c>
      <c r="M39" s="32">
        <v>2.9468115528946725E-3</v>
      </c>
      <c r="N39" s="14"/>
      <c r="O39" s="14"/>
      <c r="P39" s="14"/>
      <c r="Q39" s="14"/>
      <c r="R39" s="14"/>
    </row>
    <row r="40" spans="1:18" x14ac:dyDescent="0.25">
      <c r="A40" s="16" t="s">
        <v>527</v>
      </c>
      <c r="B40" s="110" t="s">
        <v>528</v>
      </c>
      <c r="C40" s="110" t="s">
        <v>218</v>
      </c>
      <c r="D40" s="167" t="s">
        <v>876</v>
      </c>
      <c r="E40" s="110" t="s">
        <v>515</v>
      </c>
      <c r="F40" s="110" t="s">
        <v>126</v>
      </c>
      <c r="G40" s="66">
        <v>7031</v>
      </c>
      <c r="H40" s="63">
        <v>3863.0000000000005</v>
      </c>
      <c r="I40" s="81">
        <v>0</v>
      </c>
      <c r="J40" s="81">
        <v>1100.85247</v>
      </c>
      <c r="K40" s="24">
        <v>2.5377572145611461E-4</v>
      </c>
      <c r="L40" s="32">
        <v>1.5499077279417878E-2</v>
      </c>
      <c r="M40" s="32">
        <v>1.0615627183611942E-2</v>
      </c>
      <c r="N40" s="14"/>
      <c r="O40" s="14"/>
      <c r="P40" s="14"/>
      <c r="Q40" s="14"/>
      <c r="R40" s="14"/>
    </row>
    <row r="41" spans="1:18" x14ac:dyDescent="0.25">
      <c r="A41" s="16" t="s">
        <v>536</v>
      </c>
      <c r="B41" s="110" t="s">
        <v>537</v>
      </c>
      <c r="C41" s="110" t="s">
        <v>520</v>
      </c>
      <c r="D41" s="167" t="s">
        <v>877</v>
      </c>
      <c r="E41" s="110" t="s">
        <v>515</v>
      </c>
      <c r="F41" s="110" t="s">
        <v>2</v>
      </c>
      <c r="G41" s="66">
        <v>1600</v>
      </c>
      <c r="H41" s="63">
        <v>14218</v>
      </c>
      <c r="I41" s="81">
        <v>0</v>
      </c>
      <c r="J41" s="81">
        <v>1064.1661100000001</v>
      </c>
      <c r="K41" s="24">
        <v>1.1874965813086702E-4</v>
      </c>
      <c r="L41" s="32">
        <v>1.4982564173224328E-2</v>
      </c>
      <c r="M41" s="32">
        <v>1.0261857054464871E-2</v>
      </c>
      <c r="N41" s="14"/>
      <c r="O41" s="14"/>
      <c r="P41" s="14"/>
      <c r="Q41" s="14"/>
      <c r="R41" s="14"/>
    </row>
    <row r="42" spans="1:18" x14ac:dyDescent="0.25">
      <c r="A42" s="16" t="s">
        <v>547</v>
      </c>
      <c r="B42" s="110" t="s">
        <v>548</v>
      </c>
      <c r="C42" s="110" t="s">
        <v>549</v>
      </c>
      <c r="D42" s="167" t="s">
        <v>878</v>
      </c>
      <c r="E42" s="110" t="s">
        <v>515</v>
      </c>
      <c r="F42" s="110" t="s">
        <v>125</v>
      </c>
      <c r="G42" s="66">
        <v>2134</v>
      </c>
      <c r="H42" s="63">
        <v>4983</v>
      </c>
      <c r="I42" s="81">
        <v>0</v>
      </c>
      <c r="J42" s="81">
        <v>406.63352000000003</v>
      </c>
      <c r="K42" s="24">
        <v>2.0045868780344152E-5</v>
      </c>
      <c r="L42" s="32">
        <v>5.7250581005479466E-3</v>
      </c>
      <c r="M42" s="32">
        <v>3.9212064888947476E-3</v>
      </c>
      <c r="N42" s="14"/>
      <c r="O42" s="14"/>
      <c r="P42" s="14"/>
      <c r="Q42" s="14"/>
      <c r="R42" s="14"/>
    </row>
    <row r="43" spans="1:18" x14ac:dyDescent="0.25">
      <c r="A43" s="16" t="s">
        <v>521</v>
      </c>
      <c r="B43" s="110" t="s">
        <v>522</v>
      </c>
      <c r="C43" s="110" t="s">
        <v>520</v>
      </c>
      <c r="D43" s="167" t="s">
        <v>879</v>
      </c>
      <c r="E43" s="110" t="s">
        <v>515</v>
      </c>
      <c r="F43" s="110" t="s">
        <v>125</v>
      </c>
      <c r="G43" s="66">
        <v>834</v>
      </c>
      <c r="H43" s="63">
        <v>4440.5</v>
      </c>
      <c r="I43" s="81">
        <v>0</v>
      </c>
      <c r="J43" s="81">
        <v>141.61713</v>
      </c>
      <c r="K43" s="24">
        <v>4.4667327386059004E-6</v>
      </c>
      <c r="L43" s="32">
        <v>1.9938501313980501E-3</v>
      </c>
      <c r="M43" s="32">
        <v>1.3656277256598301E-3</v>
      </c>
      <c r="N43" s="14"/>
      <c r="O43" s="14"/>
      <c r="P43" s="14"/>
      <c r="Q43" s="14"/>
      <c r="R43" s="14"/>
    </row>
    <row r="44" spans="1:18" x14ac:dyDescent="0.25">
      <c r="A44" s="16" t="s">
        <v>531</v>
      </c>
      <c r="B44" s="110" t="s">
        <v>532</v>
      </c>
      <c r="C44" s="110" t="s">
        <v>533</v>
      </c>
      <c r="D44" s="167" t="s">
        <v>880</v>
      </c>
      <c r="E44" s="110" t="s">
        <v>515</v>
      </c>
      <c r="F44" s="110" t="s">
        <v>859</v>
      </c>
      <c r="G44" s="66">
        <v>16883</v>
      </c>
      <c r="H44" s="63">
        <v>242750</v>
      </c>
      <c r="I44" s="81">
        <v>0</v>
      </c>
      <c r="J44" s="81">
        <v>1051.63616</v>
      </c>
      <c r="K44" s="24">
        <v>2.096260324512171E-6</v>
      </c>
      <c r="L44" s="32">
        <v>1.4806153011284304E-2</v>
      </c>
      <c r="M44" s="32">
        <v>1.0141029530837387E-2</v>
      </c>
      <c r="N44" s="14"/>
      <c r="O44" s="14"/>
      <c r="P44" s="14"/>
      <c r="Q44" s="14"/>
      <c r="R44" s="14"/>
    </row>
    <row r="45" spans="1:18" x14ac:dyDescent="0.25">
      <c r="A45" s="16" t="s">
        <v>512</v>
      </c>
      <c r="B45" s="110" t="s">
        <v>513</v>
      </c>
      <c r="C45" s="110" t="s">
        <v>514</v>
      </c>
      <c r="D45" s="167" t="s">
        <v>881</v>
      </c>
      <c r="E45" s="110" t="s">
        <v>515</v>
      </c>
      <c r="F45" s="110" t="s">
        <v>125</v>
      </c>
      <c r="G45" s="66">
        <v>2703</v>
      </c>
      <c r="H45" s="63">
        <v>42748</v>
      </c>
      <c r="I45" s="81">
        <v>12.27305</v>
      </c>
      <c r="J45" s="81">
        <v>4430.8225999999995</v>
      </c>
      <c r="K45" s="24">
        <v>2.8740845228703629E-6</v>
      </c>
      <c r="L45" s="32">
        <v>6.2382257169111173E-2</v>
      </c>
      <c r="M45" s="32">
        <v>4.272685225325619E-2</v>
      </c>
      <c r="N45" s="14"/>
      <c r="O45" s="14"/>
      <c r="P45" s="14"/>
      <c r="Q45" s="14"/>
      <c r="R45" s="14"/>
    </row>
    <row r="46" spans="1:18" x14ac:dyDescent="0.25">
      <c r="A46" s="16" t="s">
        <v>516</v>
      </c>
      <c r="B46" s="110" t="s">
        <v>517</v>
      </c>
      <c r="C46" s="110" t="s">
        <v>514</v>
      </c>
      <c r="D46" s="167" t="s">
        <v>882</v>
      </c>
      <c r="E46" s="110" t="s">
        <v>515</v>
      </c>
      <c r="F46" s="110" t="s">
        <v>125</v>
      </c>
      <c r="G46" s="66">
        <v>2204</v>
      </c>
      <c r="H46" s="63">
        <v>39270</v>
      </c>
      <c r="I46" s="81">
        <v>12.57893</v>
      </c>
      <c r="J46" s="81">
        <v>3322.2922200000003</v>
      </c>
      <c r="K46" s="24">
        <v>2.6719130787202948E-6</v>
      </c>
      <c r="L46" s="32">
        <v>4.6775081371792523E-2</v>
      </c>
      <c r="M46" s="32">
        <v>3.2037186238528831E-2</v>
      </c>
      <c r="N46" s="14"/>
      <c r="O46" s="14"/>
      <c r="P46" s="14"/>
      <c r="Q46" s="14"/>
      <c r="R46" s="14"/>
    </row>
    <row r="47" spans="1:18" x14ac:dyDescent="0.25">
      <c r="A47" s="16" t="s">
        <v>529</v>
      </c>
      <c r="B47" s="110" t="s">
        <v>530</v>
      </c>
      <c r="C47" s="110" t="s">
        <v>218</v>
      </c>
      <c r="D47" s="167" t="s">
        <v>883</v>
      </c>
      <c r="E47" s="110" t="s">
        <v>515</v>
      </c>
      <c r="F47" s="110" t="s">
        <v>126</v>
      </c>
      <c r="G47" s="66">
        <v>5517</v>
      </c>
      <c r="H47" s="63">
        <v>3483</v>
      </c>
      <c r="I47" s="81">
        <v>0</v>
      </c>
      <c r="J47" s="81">
        <v>778.83197999999993</v>
      </c>
      <c r="K47" s="24">
        <v>8.5025571321135251E-5</v>
      </c>
      <c r="L47" s="32">
        <v>1.096529950621089E-2</v>
      </c>
      <c r="M47" s="32">
        <v>7.5103523529854209E-3</v>
      </c>
      <c r="N47" s="14"/>
      <c r="O47" s="14"/>
      <c r="P47" s="14"/>
      <c r="Q47" s="14"/>
      <c r="R47" s="14"/>
    </row>
    <row r="48" spans="1:18" x14ac:dyDescent="0.25">
      <c r="A48" s="16" t="s">
        <v>534</v>
      </c>
      <c r="B48" s="110" t="s">
        <v>535</v>
      </c>
      <c r="C48" s="110" t="s">
        <v>520</v>
      </c>
      <c r="D48" s="167" t="s">
        <v>884</v>
      </c>
      <c r="E48" s="110" t="s">
        <v>515</v>
      </c>
      <c r="F48" s="110" t="s">
        <v>125</v>
      </c>
      <c r="G48" s="66">
        <v>1549</v>
      </c>
      <c r="H48" s="63">
        <v>2456.75</v>
      </c>
      <c r="I48" s="81">
        <v>0</v>
      </c>
      <c r="J48" s="81">
        <v>145.52252999999999</v>
      </c>
      <c r="K48" s="24">
        <v>1.2402607702315636E-4</v>
      </c>
      <c r="L48" s="32">
        <v>2.048834880087435E-3</v>
      </c>
      <c r="M48" s="32">
        <v>1.4032878767996808E-3</v>
      </c>
      <c r="N48" s="14"/>
      <c r="O48" s="14"/>
      <c r="P48" s="14"/>
      <c r="Q48" s="14"/>
      <c r="R48" s="14"/>
    </row>
    <row r="49" spans="1:18" x14ac:dyDescent="0.25">
      <c r="A49" s="16" t="s">
        <v>540</v>
      </c>
      <c r="B49" s="110" t="s">
        <v>541</v>
      </c>
      <c r="C49" s="110" t="s">
        <v>514</v>
      </c>
      <c r="D49" s="167" t="s">
        <v>885</v>
      </c>
      <c r="E49" s="110" t="s">
        <v>515</v>
      </c>
      <c r="F49" s="110" t="s">
        <v>125</v>
      </c>
      <c r="G49" s="66">
        <v>1689</v>
      </c>
      <c r="H49" s="63">
        <v>2667</v>
      </c>
      <c r="I49" s="81">
        <v>0</v>
      </c>
      <c r="J49" s="81">
        <v>172.25448</v>
      </c>
      <c r="K49" s="24">
        <v>2.2416303971133851E-5</v>
      </c>
      <c r="L49" s="32">
        <v>2.4251982622575589E-3</v>
      </c>
      <c r="M49" s="32">
        <v>1.6610666644431835E-3</v>
      </c>
      <c r="N49" s="14"/>
      <c r="O49" s="14"/>
      <c r="P49" s="14"/>
      <c r="Q49" s="14"/>
      <c r="R49" s="14"/>
    </row>
    <row r="50" spans="1:18" x14ac:dyDescent="0.25">
      <c r="A50" s="16" t="s">
        <v>525</v>
      </c>
      <c r="B50" s="110" t="s">
        <v>526</v>
      </c>
      <c r="C50" s="110" t="s">
        <v>520</v>
      </c>
      <c r="D50" s="167" t="s">
        <v>886</v>
      </c>
      <c r="E50" s="110" t="s">
        <v>515</v>
      </c>
      <c r="F50" s="110" t="s">
        <v>125</v>
      </c>
      <c r="G50" s="66">
        <v>5896</v>
      </c>
      <c r="H50" s="63">
        <v>943.75</v>
      </c>
      <c r="I50" s="81">
        <v>0</v>
      </c>
      <c r="J50" s="81">
        <v>212.78073999999998</v>
      </c>
      <c r="K50" s="24">
        <v>7.852792824324626E-6</v>
      </c>
      <c r="L50" s="32">
        <v>2.9957739322070314E-3</v>
      </c>
      <c r="M50" s="32">
        <v>2.0518653218746601E-3</v>
      </c>
      <c r="N50" s="14"/>
      <c r="O50" s="14"/>
      <c r="P50" s="14"/>
      <c r="Q50" s="14"/>
      <c r="R50" s="14"/>
    </row>
    <row r="51" spans="1:18" x14ac:dyDescent="0.25">
      <c r="A51" s="16" t="s">
        <v>550</v>
      </c>
      <c r="B51" s="110" t="s">
        <v>551</v>
      </c>
      <c r="C51" s="110" t="s">
        <v>520</v>
      </c>
      <c r="D51" s="167" t="s">
        <v>887</v>
      </c>
      <c r="E51" s="110" t="s">
        <v>515</v>
      </c>
      <c r="F51" s="110" t="s">
        <v>125</v>
      </c>
      <c r="G51" s="66">
        <v>1125</v>
      </c>
      <c r="H51" s="63">
        <v>4864.5</v>
      </c>
      <c r="I51" s="81">
        <v>0</v>
      </c>
      <c r="J51" s="81">
        <v>209.27079000000001</v>
      </c>
      <c r="K51" s="24">
        <v>1.1591347208708285E-5</v>
      </c>
      <c r="L51" s="32">
        <v>2.9463567870586967E-3</v>
      </c>
      <c r="M51" s="32">
        <v>2.0180185334552109E-3</v>
      </c>
      <c r="N51" s="14"/>
      <c r="O51" s="14"/>
      <c r="P51" s="14"/>
      <c r="Q51" s="14"/>
      <c r="R51" s="14"/>
    </row>
    <row r="52" spans="1:18" s="112" customFormat="1" x14ac:dyDescent="0.25">
      <c r="A52" s="89" t="s">
        <v>559</v>
      </c>
      <c r="B52" s="124" t="s">
        <v>248</v>
      </c>
      <c r="C52" s="124" t="s">
        <v>248</v>
      </c>
      <c r="D52" s="124" t="s">
        <v>248</v>
      </c>
      <c r="E52" s="124" t="s">
        <v>248</v>
      </c>
      <c r="F52" s="124" t="s">
        <v>248</v>
      </c>
      <c r="G52" s="128" t="s">
        <v>248</v>
      </c>
      <c r="H52" s="115" t="s">
        <v>248</v>
      </c>
      <c r="I52" s="117" t="s">
        <v>248</v>
      </c>
      <c r="J52" s="117">
        <v>4943.9507900999997</v>
      </c>
      <c r="K52" s="130"/>
      <c r="L52" s="114">
        <v>6.960667069348446E-2</v>
      </c>
      <c r="M52" s="114">
        <v>4.7674997179072774E-2</v>
      </c>
    </row>
    <row r="53" spans="1:18" x14ac:dyDescent="0.25">
      <c r="A53" s="16" t="s">
        <v>571</v>
      </c>
      <c r="B53" s="110" t="s">
        <v>572</v>
      </c>
      <c r="C53" s="110" t="s">
        <v>218</v>
      </c>
      <c r="D53" s="167" t="s">
        <v>888</v>
      </c>
      <c r="E53" s="110" t="s">
        <v>562</v>
      </c>
      <c r="F53" s="110" t="s">
        <v>126</v>
      </c>
      <c r="G53" s="66">
        <v>3309</v>
      </c>
      <c r="H53" s="63">
        <v>3674.4999999999995</v>
      </c>
      <c r="I53" s="81">
        <v>0</v>
      </c>
      <c r="J53" s="81">
        <v>492.81319999999999</v>
      </c>
      <c r="K53" s="24">
        <v>1.0702887644908658E-3</v>
      </c>
      <c r="L53" s="32">
        <v>6.9383955427898703E-3</v>
      </c>
      <c r="M53" s="32">
        <v>4.752245505124578E-3</v>
      </c>
      <c r="N53" s="14"/>
      <c r="O53" s="14"/>
      <c r="P53" s="14"/>
      <c r="Q53" s="14"/>
      <c r="R53" s="14"/>
    </row>
    <row r="54" spans="1:18" x14ac:dyDescent="0.25">
      <c r="A54" s="16" t="s">
        <v>563</v>
      </c>
      <c r="B54" s="110" t="s">
        <v>564</v>
      </c>
      <c r="C54" s="110" t="s">
        <v>520</v>
      </c>
      <c r="D54" s="167" t="s">
        <v>889</v>
      </c>
      <c r="E54" s="110" t="s">
        <v>562</v>
      </c>
      <c r="F54" s="110" t="s">
        <v>125</v>
      </c>
      <c r="G54" s="66">
        <v>5084</v>
      </c>
      <c r="H54" s="63">
        <v>9013</v>
      </c>
      <c r="I54" s="81">
        <v>0</v>
      </c>
      <c r="J54" s="81">
        <v>1752.2367899999999</v>
      </c>
      <c r="K54" s="24">
        <v>8.670603286557725E-5</v>
      </c>
      <c r="L54" s="32">
        <v>2.4670020879409133E-2</v>
      </c>
      <c r="M54" s="32">
        <v>1.6896989385007177E-2</v>
      </c>
      <c r="N54" s="14"/>
      <c r="O54" s="14"/>
      <c r="P54" s="14"/>
      <c r="Q54" s="14"/>
      <c r="R54" s="14"/>
    </row>
    <row r="55" spans="1:18" x14ac:dyDescent="0.25">
      <c r="A55" s="16" t="s">
        <v>565</v>
      </c>
      <c r="B55" s="110" t="s">
        <v>566</v>
      </c>
      <c r="C55" s="110" t="s">
        <v>520</v>
      </c>
      <c r="D55" s="167" t="s">
        <v>890</v>
      </c>
      <c r="E55" s="110" t="s">
        <v>562</v>
      </c>
      <c r="F55" s="110" t="s">
        <v>126</v>
      </c>
      <c r="G55" s="66">
        <v>540</v>
      </c>
      <c r="H55" s="63">
        <v>8913</v>
      </c>
      <c r="I55" s="81">
        <v>6.0260600000000002</v>
      </c>
      <c r="J55" s="81">
        <v>201.10257000000001</v>
      </c>
      <c r="K55" s="24">
        <v>9.860854576718435E-6</v>
      </c>
      <c r="L55" s="32">
        <v>2.831355116566658E-3</v>
      </c>
      <c r="M55" s="32">
        <v>1.9392515954351484E-3</v>
      </c>
      <c r="N55" s="14"/>
      <c r="O55" s="14"/>
      <c r="P55" s="14"/>
      <c r="Q55" s="14"/>
      <c r="R55" s="14"/>
    </row>
    <row r="56" spans="1:18" x14ac:dyDescent="0.25">
      <c r="A56" s="16" t="s">
        <v>567</v>
      </c>
      <c r="B56" s="110" t="s">
        <v>568</v>
      </c>
      <c r="C56" s="110" t="s">
        <v>520</v>
      </c>
      <c r="D56" s="167" t="s">
        <v>891</v>
      </c>
      <c r="E56" s="110" t="s">
        <v>562</v>
      </c>
      <c r="F56" s="110" t="s">
        <v>125</v>
      </c>
      <c r="G56" s="66">
        <v>1876</v>
      </c>
      <c r="H56" s="63">
        <v>4269</v>
      </c>
      <c r="I56" s="81">
        <v>0</v>
      </c>
      <c r="J56" s="81">
        <v>306.25054</v>
      </c>
      <c r="K56" s="24">
        <v>1.6398903574202223E-5</v>
      </c>
      <c r="L56" s="32">
        <v>4.3117501351688445E-3</v>
      </c>
      <c r="M56" s="32">
        <v>2.9532036726227597E-3</v>
      </c>
      <c r="N56" s="14"/>
      <c r="O56" s="14"/>
      <c r="P56" s="14"/>
      <c r="Q56" s="14"/>
      <c r="R56" s="14"/>
    </row>
    <row r="57" spans="1:18" x14ac:dyDescent="0.25">
      <c r="A57" s="16" t="s">
        <v>569</v>
      </c>
      <c r="B57" s="110" t="s">
        <v>570</v>
      </c>
      <c r="C57" s="110" t="s">
        <v>520</v>
      </c>
      <c r="D57" s="167" t="s">
        <v>892</v>
      </c>
      <c r="E57" s="110" t="s">
        <v>562</v>
      </c>
      <c r="F57" s="110" t="s">
        <v>125</v>
      </c>
      <c r="G57" s="66">
        <v>1205</v>
      </c>
      <c r="H57" s="63">
        <v>7522</v>
      </c>
      <c r="I57" s="81">
        <v>0</v>
      </c>
      <c r="J57" s="81">
        <v>346.60773999999998</v>
      </c>
      <c r="K57" s="24">
        <v>3.7771180620531911E-4</v>
      </c>
      <c r="L57" s="32">
        <v>4.8799455824488263E-3</v>
      </c>
      <c r="M57" s="32">
        <v>3.3423720680703928E-3</v>
      </c>
      <c r="N57" s="14"/>
      <c r="O57" s="14"/>
      <c r="P57" s="14"/>
      <c r="Q57" s="14"/>
      <c r="R57" s="14"/>
    </row>
    <row r="58" spans="1:18" x14ac:dyDescent="0.25">
      <c r="A58" s="16" t="s">
        <v>560</v>
      </c>
      <c r="B58" s="110" t="s">
        <v>561</v>
      </c>
      <c r="C58" s="110" t="s">
        <v>520</v>
      </c>
      <c r="D58" s="167" t="s">
        <v>893</v>
      </c>
      <c r="E58" s="110" t="s">
        <v>562</v>
      </c>
      <c r="F58" s="110" t="s">
        <v>125</v>
      </c>
      <c r="G58" s="66">
        <v>39799</v>
      </c>
      <c r="H58" s="63">
        <v>1212.25</v>
      </c>
      <c r="I58" s="81">
        <v>0</v>
      </c>
      <c r="J58" s="81">
        <v>1844.93995</v>
      </c>
      <c r="K58" s="24">
        <v>6.0603782023793554E-4</v>
      </c>
      <c r="L58" s="32">
        <v>2.5975203435693209E-2</v>
      </c>
      <c r="M58" s="32">
        <v>1.7790934951848414E-2</v>
      </c>
      <c r="N58" s="14"/>
      <c r="O58" s="14"/>
      <c r="P58" s="14"/>
      <c r="Q58" s="14"/>
      <c r="R58" s="14"/>
    </row>
    <row r="59" spans="1:18" s="112" customFormat="1" x14ac:dyDescent="0.25">
      <c r="A59" s="89" t="s">
        <v>141</v>
      </c>
      <c r="B59" s="124" t="s">
        <v>248</v>
      </c>
      <c r="C59" s="124" t="s">
        <v>248</v>
      </c>
      <c r="D59" s="124" t="s">
        <v>248</v>
      </c>
      <c r="E59" s="124" t="s">
        <v>248</v>
      </c>
      <c r="F59" s="124" t="s">
        <v>248</v>
      </c>
      <c r="G59" s="128" t="s">
        <v>248</v>
      </c>
      <c r="H59" s="115" t="s">
        <v>248</v>
      </c>
      <c r="I59" s="117" t="s">
        <v>248</v>
      </c>
      <c r="J59" s="117">
        <v>5510.3250200999992</v>
      </c>
      <c r="K59" s="130"/>
      <c r="L59" s="114">
        <v>7.7580743695147239E-2</v>
      </c>
      <c r="M59" s="114">
        <v>5.3136598834093163E-2</v>
      </c>
    </row>
    <row r="60" spans="1:18" x14ac:dyDescent="0.25">
      <c r="A60" s="16" t="s">
        <v>599</v>
      </c>
      <c r="B60" s="110" t="s">
        <v>600</v>
      </c>
      <c r="C60" s="110" t="s">
        <v>549</v>
      </c>
      <c r="D60" s="167" t="s">
        <v>894</v>
      </c>
      <c r="E60" s="110" t="s">
        <v>515</v>
      </c>
      <c r="F60" s="110" t="s">
        <v>125</v>
      </c>
      <c r="G60" s="66">
        <v>1668</v>
      </c>
      <c r="H60" s="63">
        <v>1462</v>
      </c>
      <c r="I60" s="81">
        <v>0</v>
      </c>
      <c r="J60" s="81">
        <v>93.252669999999995</v>
      </c>
      <c r="K60" s="24">
        <v>7.767438314630175E-6</v>
      </c>
      <c r="L60" s="32">
        <v>1.3129191951052744E-3</v>
      </c>
      <c r="M60" s="32">
        <v>8.9924454509003723E-4</v>
      </c>
      <c r="N60" s="14"/>
      <c r="O60" s="14"/>
      <c r="P60" s="14"/>
      <c r="Q60" s="14"/>
      <c r="R60" s="14"/>
    </row>
    <row r="61" spans="1:18" x14ac:dyDescent="0.25">
      <c r="A61" s="16" t="s">
        <v>603</v>
      </c>
      <c r="B61" s="110" t="s">
        <v>604</v>
      </c>
      <c r="C61" s="110" t="s">
        <v>520</v>
      </c>
      <c r="D61" s="167" t="s">
        <v>895</v>
      </c>
      <c r="E61" s="110" t="s">
        <v>515</v>
      </c>
      <c r="F61" s="110" t="s">
        <v>125</v>
      </c>
      <c r="G61" s="66">
        <v>8878</v>
      </c>
      <c r="H61" s="63">
        <v>891.625</v>
      </c>
      <c r="I61" s="81">
        <v>0</v>
      </c>
      <c r="J61" s="81">
        <v>302.70196999999996</v>
      </c>
      <c r="K61" s="24">
        <v>7.5020842831706076E-5</v>
      </c>
      <c r="L61" s="32">
        <v>4.2617892528887475E-3</v>
      </c>
      <c r="M61" s="32">
        <v>2.9189844677960219E-3</v>
      </c>
      <c r="N61" s="14"/>
      <c r="O61" s="14"/>
      <c r="P61" s="14"/>
      <c r="Q61" s="14"/>
      <c r="R61" s="14"/>
    </row>
    <row r="62" spans="1:18" x14ac:dyDescent="0.25">
      <c r="A62" s="16" t="s">
        <v>589</v>
      </c>
      <c r="B62" s="110" t="s">
        <v>590</v>
      </c>
      <c r="C62" s="110" t="s">
        <v>514</v>
      </c>
      <c r="D62" s="167" t="s">
        <v>896</v>
      </c>
      <c r="E62" s="110" t="s">
        <v>515</v>
      </c>
      <c r="F62" s="110" t="s">
        <v>125</v>
      </c>
      <c r="G62" s="66">
        <v>1747</v>
      </c>
      <c r="H62" s="63">
        <v>3125.5299999999997</v>
      </c>
      <c r="I62" s="81">
        <v>0</v>
      </c>
      <c r="J62" s="81">
        <v>208.80189999999999</v>
      </c>
      <c r="K62" s="24">
        <v>9.7357216892095711E-5</v>
      </c>
      <c r="L62" s="32">
        <v>2.9397552100594222E-3</v>
      </c>
      <c r="M62" s="32">
        <v>2.0134969816889472E-3</v>
      </c>
      <c r="N62" s="14"/>
      <c r="O62" s="14"/>
      <c r="P62" s="14"/>
      <c r="Q62" s="14"/>
      <c r="R62" s="14"/>
    </row>
    <row r="63" spans="1:18" x14ac:dyDescent="0.25">
      <c r="A63" s="16" t="s">
        <v>597</v>
      </c>
      <c r="B63" s="110" t="s">
        <v>598</v>
      </c>
      <c r="C63" s="110" t="s">
        <v>514</v>
      </c>
      <c r="D63" s="167" t="s">
        <v>897</v>
      </c>
      <c r="E63" s="110" t="s">
        <v>515</v>
      </c>
      <c r="F63" s="110" t="s">
        <v>125</v>
      </c>
      <c r="G63" s="66">
        <v>468</v>
      </c>
      <c r="H63" s="63">
        <v>6058</v>
      </c>
      <c r="I63" s="81">
        <v>0</v>
      </c>
      <c r="J63" s="81">
        <v>108.41589999999999</v>
      </c>
      <c r="K63" s="24">
        <v>9.6033752662935927E-6</v>
      </c>
      <c r="L63" s="32">
        <v>1.5264047256192655E-3</v>
      </c>
      <c r="M63" s="32">
        <v>1.0454650432639297E-3</v>
      </c>
      <c r="N63" s="14"/>
      <c r="O63" s="14"/>
      <c r="P63" s="14"/>
      <c r="Q63" s="14"/>
      <c r="R63" s="14"/>
    </row>
    <row r="64" spans="1:18" x14ac:dyDescent="0.25">
      <c r="A64" s="16" t="s">
        <v>593</v>
      </c>
      <c r="B64" s="110" t="s">
        <v>594</v>
      </c>
      <c r="C64" s="110" t="s">
        <v>514</v>
      </c>
      <c r="D64" s="167" t="s">
        <v>898</v>
      </c>
      <c r="E64" s="110" t="s">
        <v>515</v>
      </c>
      <c r="F64" s="110" t="s">
        <v>125</v>
      </c>
      <c r="G64" s="66">
        <v>391</v>
      </c>
      <c r="H64" s="63">
        <v>3640.9999999999995</v>
      </c>
      <c r="I64" s="81">
        <v>0</v>
      </c>
      <c r="J64" s="81">
        <v>54.439639999999997</v>
      </c>
      <c r="K64" s="24">
        <v>9.4026948893082778E-6</v>
      </c>
      <c r="L64" s="32">
        <v>7.6646436322542718E-4</v>
      </c>
      <c r="M64" s="32">
        <v>5.2496673078277964E-4</v>
      </c>
      <c r="N64" s="14"/>
      <c r="O64" s="14"/>
      <c r="P64" s="14"/>
      <c r="Q64" s="14"/>
      <c r="R64" s="14"/>
    </row>
    <row r="65" spans="1:18" x14ac:dyDescent="0.25">
      <c r="A65" s="16" t="s">
        <v>595</v>
      </c>
      <c r="B65" s="110" t="s">
        <v>596</v>
      </c>
      <c r="C65" s="110" t="s">
        <v>514</v>
      </c>
      <c r="D65" s="167" t="s">
        <v>899</v>
      </c>
      <c r="E65" s="110" t="s">
        <v>515</v>
      </c>
      <c r="F65" s="110" t="s">
        <v>125</v>
      </c>
      <c r="G65" s="66">
        <v>995</v>
      </c>
      <c r="H65" s="63">
        <v>5179</v>
      </c>
      <c r="I65" s="81">
        <v>0</v>
      </c>
      <c r="J65" s="81">
        <v>197.05473000000001</v>
      </c>
      <c r="K65" s="24">
        <v>3.5167240729164288E-5</v>
      </c>
      <c r="L65" s="32">
        <v>2.7743649324280706E-3</v>
      </c>
      <c r="M65" s="32">
        <v>1.9002178815543847E-3</v>
      </c>
      <c r="N65" s="14"/>
      <c r="O65" s="14"/>
      <c r="P65" s="14"/>
      <c r="Q65" s="14"/>
      <c r="R65" s="14"/>
    </row>
    <row r="66" spans="1:18" x14ac:dyDescent="0.25">
      <c r="A66" s="16" t="s">
        <v>605</v>
      </c>
      <c r="B66" s="110" t="s">
        <v>606</v>
      </c>
      <c r="C66" s="110" t="s">
        <v>549</v>
      </c>
      <c r="D66" s="167" t="s">
        <v>900</v>
      </c>
      <c r="E66" s="110" t="s">
        <v>515</v>
      </c>
      <c r="F66" s="110" t="s">
        <v>125</v>
      </c>
      <c r="G66" s="66">
        <v>1834</v>
      </c>
      <c r="H66" s="63">
        <v>14741</v>
      </c>
      <c r="I66" s="81">
        <v>0</v>
      </c>
      <c r="J66" s="81">
        <v>1033.81817</v>
      </c>
      <c r="K66" s="24">
        <v>1.9115526864986473E-5</v>
      </c>
      <c r="L66" s="32">
        <v>1.4555290691854805E-2</v>
      </c>
      <c r="M66" s="32">
        <v>9.9692089243928871E-3</v>
      </c>
      <c r="N66" s="14"/>
      <c r="O66" s="14"/>
      <c r="P66" s="14"/>
      <c r="Q66" s="14"/>
      <c r="R66" s="14"/>
    </row>
    <row r="67" spans="1:18" x14ac:dyDescent="0.25">
      <c r="A67" s="16" t="s">
        <v>591</v>
      </c>
      <c r="B67" s="110" t="s">
        <v>592</v>
      </c>
      <c r="C67" s="110" t="s">
        <v>514</v>
      </c>
      <c r="D67" s="167" t="s">
        <v>901</v>
      </c>
      <c r="E67" s="110" t="s">
        <v>515</v>
      </c>
      <c r="F67" s="110" t="s">
        <v>125</v>
      </c>
      <c r="G67" s="66">
        <v>118</v>
      </c>
      <c r="H67" s="63">
        <v>24610</v>
      </c>
      <c r="I67" s="81">
        <v>0.43119000000000002</v>
      </c>
      <c r="J67" s="81">
        <v>111.47938000000001</v>
      </c>
      <c r="K67" s="24">
        <v>3.2841389725153746E-5</v>
      </c>
      <c r="L67" s="32">
        <v>1.5695359485195977E-3</v>
      </c>
      <c r="M67" s="32">
        <v>1.0750064781525227E-3</v>
      </c>
      <c r="N67" s="14"/>
      <c r="O67" s="14"/>
      <c r="P67" s="14"/>
      <c r="Q67" s="14"/>
      <c r="R67" s="14"/>
    </row>
    <row r="68" spans="1:18" x14ac:dyDescent="0.25">
      <c r="A68" s="16" t="s">
        <v>615</v>
      </c>
      <c r="B68" s="110" t="s">
        <v>616</v>
      </c>
      <c r="C68" s="110" t="s">
        <v>514</v>
      </c>
      <c r="D68" s="167" t="s">
        <v>902</v>
      </c>
      <c r="E68" s="110" t="s">
        <v>515</v>
      </c>
      <c r="F68" s="110" t="s">
        <v>125</v>
      </c>
      <c r="G68" s="66">
        <v>1271</v>
      </c>
      <c r="H68" s="63">
        <v>2737</v>
      </c>
      <c r="I68" s="81">
        <v>0</v>
      </c>
      <c r="J68" s="81">
        <v>133.02651999999998</v>
      </c>
      <c r="K68" s="24">
        <v>6.1979762851578192E-6</v>
      </c>
      <c r="L68" s="32">
        <v>1.872901564813701E-3</v>
      </c>
      <c r="M68" s="32">
        <v>1.2827876398853859E-3</v>
      </c>
      <c r="N68" s="14"/>
      <c r="O68" s="14"/>
      <c r="P68" s="14"/>
      <c r="Q68" s="14"/>
      <c r="R68" s="14"/>
    </row>
    <row r="69" spans="1:18" x14ac:dyDescent="0.25">
      <c r="A69" s="16" t="s">
        <v>609</v>
      </c>
      <c r="B69" s="110" t="s">
        <v>610</v>
      </c>
      <c r="C69" s="110" t="s">
        <v>546</v>
      </c>
      <c r="D69" s="167" t="s">
        <v>903</v>
      </c>
      <c r="E69" s="110" t="s">
        <v>515</v>
      </c>
      <c r="F69" s="110" t="s">
        <v>126</v>
      </c>
      <c r="G69" s="66">
        <v>400</v>
      </c>
      <c r="H69" s="63">
        <v>13634.800000000001</v>
      </c>
      <c r="I69" s="81">
        <v>0</v>
      </c>
      <c r="J69" s="81">
        <v>221.05283</v>
      </c>
      <c r="K69" s="24">
        <v>7.0465819585305124E-5</v>
      </c>
      <c r="L69" s="32">
        <v>3.1122380049744746E-3</v>
      </c>
      <c r="M69" s="32">
        <v>2.1316338883831994E-3</v>
      </c>
      <c r="N69" s="14"/>
      <c r="O69" s="14"/>
      <c r="P69" s="14"/>
      <c r="Q69" s="14"/>
      <c r="R69" s="14"/>
    </row>
    <row r="70" spans="1:18" x14ac:dyDescent="0.25">
      <c r="A70" s="16" t="s">
        <v>613</v>
      </c>
      <c r="B70" s="110" t="s">
        <v>614</v>
      </c>
      <c r="C70" s="110" t="s">
        <v>533</v>
      </c>
      <c r="D70" s="167" t="s">
        <v>904</v>
      </c>
      <c r="E70" s="110" t="s">
        <v>515</v>
      </c>
      <c r="F70" s="110" t="s">
        <v>859</v>
      </c>
      <c r="G70" s="66">
        <v>28815</v>
      </c>
      <c r="H70" s="63">
        <v>27360.000000000004</v>
      </c>
      <c r="I70" s="81">
        <v>0</v>
      </c>
      <c r="J70" s="81">
        <v>202.29789000000002</v>
      </c>
      <c r="K70" s="24">
        <v>5.0592534088100317E-5</v>
      </c>
      <c r="L70" s="32">
        <v>2.8481842172486359E-3</v>
      </c>
      <c r="M70" s="32">
        <v>1.9507781821767078E-3</v>
      </c>
      <c r="N70" s="14"/>
      <c r="O70" s="14"/>
      <c r="P70" s="14"/>
      <c r="Q70" s="14"/>
      <c r="R70" s="14"/>
    </row>
    <row r="71" spans="1:18" x14ac:dyDescent="0.25">
      <c r="A71" s="16" t="s">
        <v>577</v>
      </c>
      <c r="B71" s="110" t="s">
        <v>578</v>
      </c>
      <c r="C71" s="110" t="s">
        <v>549</v>
      </c>
      <c r="D71" s="167" t="s">
        <v>905</v>
      </c>
      <c r="E71" s="110" t="s">
        <v>515</v>
      </c>
      <c r="F71" s="110" t="s">
        <v>125</v>
      </c>
      <c r="G71" s="66">
        <v>384</v>
      </c>
      <c r="H71" s="63">
        <v>35827</v>
      </c>
      <c r="I71" s="81">
        <v>0.58980999999999995</v>
      </c>
      <c r="J71" s="81">
        <v>526.67921000000001</v>
      </c>
      <c r="K71" s="24">
        <v>6.9795462887408599E-7</v>
      </c>
      <c r="L71" s="32">
        <v>7.4152004920811565E-3</v>
      </c>
      <c r="M71" s="32">
        <v>5.0788187255638925E-3</v>
      </c>
      <c r="N71" s="14"/>
      <c r="O71" s="14"/>
      <c r="P71" s="14"/>
      <c r="Q71" s="14"/>
      <c r="R71" s="14"/>
    </row>
    <row r="72" spans="1:18" x14ac:dyDescent="0.25">
      <c r="A72" s="16" t="s">
        <v>579</v>
      </c>
      <c r="B72" s="110" t="s">
        <v>580</v>
      </c>
      <c r="C72" s="110" t="s">
        <v>514</v>
      </c>
      <c r="D72" s="167" t="s">
        <v>906</v>
      </c>
      <c r="E72" s="110" t="s">
        <v>515</v>
      </c>
      <c r="F72" s="110" t="s">
        <v>125</v>
      </c>
      <c r="G72" s="66">
        <v>810</v>
      </c>
      <c r="H72" s="63">
        <v>5893</v>
      </c>
      <c r="I72" s="81">
        <v>0</v>
      </c>
      <c r="J72" s="81">
        <v>182.53213</v>
      </c>
      <c r="K72" s="24">
        <v>3.6329163860612514E-6</v>
      </c>
      <c r="L72" s="32">
        <v>2.5698989337297399E-3</v>
      </c>
      <c r="M72" s="32">
        <v>1.7601750406306387E-3</v>
      </c>
      <c r="N72" s="14"/>
      <c r="O72" s="14"/>
      <c r="P72" s="14"/>
      <c r="Q72" s="14"/>
      <c r="R72" s="14"/>
    </row>
    <row r="73" spans="1:18" x14ac:dyDescent="0.25">
      <c r="A73" s="16" t="s">
        <v>583</v>
      </c>
      <c r="B73" s="110" t="s">
        <v>584</v>
      </c>
      <c r="C73" s="110" t="s">
        <v>514</v>
      </c>
      <c r="D73" s="167" t="s">
        <v>907</v>
      </c>
      <c r="E73" s="110" t="s">
        <v>515</v>
      </c>
      <c r="F73" s="110" t="s">
        <v>125</v>
      </c>
      <c r="G73" s="66">
        <v>1379</v>
      </c>
      <c r="H73" s="63">
        <v>16097.999999999998</v>
      </c>
      <c r="I73" s="81">
        <v>0</v>
      </c>
      <c r="J73" s="81">
        <v>848.89518999999996</v>
      </c>
      <c r="K73" s="24">
        <v>1.2725378072920421E-5</v>
      </c>
      <c r="L73" s="32">
        <v>1.1951730600137657E-2</v>
      </c>
      <c r="M73" s="32">
        <v>8.1859786852287522E-3</v>
      </c>
      <c r="N73" s="14"/>
      <c r="O73" s="14"/>
      <c r="P73" s="14"/>
      <c r="Q73" s="14"/>
      <c r="R73" s="14"/>
    </row>
    <row r="74" spans="1:18" x14ac:dyDescent="0.25">
      <c r="A74" s="16" t="s">
        <v>601</v>
      </c>
      <c r="B74" s="110" t="s">
        <v>602</v>
      </c>
      <c r="C74" s="110" t="s">
        <v>514</v>
      </c>
      <c r="D74" s="167" t="s">
        <v>908</v>
      </c>
      <c r="E74" s="110" t="s">
        <v>515</v>
      </c>
      <c r="F74" s="110" t="s">
        <v>125</v>
      </c>
      <c r="G74" s="66">
        <v>1125</v>
      </c>
      <c r="H74" s="63">
        <v>3407</v>
      </c>
      <c r="I74" s="81">
        <v>0</v>
      </c>
      <c r="J74" s="81">
        <v>146.56914</v>
      </c>
      <c r="K74" s="24">
        <v>9.40444351011182E-6</v>
      </c>
      <c r="L74" s="32">
        <v>2.0635702689914648E-3</v>
      </c>
      <c r="M74" s="32">
        <v>1.4133804385819515E-3</v>
      </c>
      <c r="N74" s="14"/>
      <c r="O74" s="14"/>
      <c r="P74" s="14"/>
      <c r="Q74" s="14"/>
      <c r="R74" s="14"/>
    </row>
    <row r="75" spans="1:18" x14ac:dyDescent="0.25">
      <c r="A75" s="16" t="s">
        <v>611</v>
      </c>
      <c r="B75" s="110" t="s">
        <v>612</v>
      </c>
      <c r="C75" s="110" t="s">
        <v>546</v>
      </c>
      <c r="D75" s="167" t="s">
        <v>909</v>
      </c>
      <c r="E75" s="110" t="s">
        <v>515</v>
      </c>
      <c r="F75" s="110" t="s">
        <v>126</v>
      </c>
      <c r="G75" s="66">
        <v>25</v>
      </c>
      <c r="H75" s="63">
        <v>20350</v>
      </c>
      <c r="I75" s="81">
        <v>0</v>
      </c>
      <c r="J75" s="81">
        <v>20.620139999999999</v>
      </c>
      <c r="K75" s="24">
        <v>4.4843467598262801E-6</v>
      </c>
      <c r="L75" s="32">
        <v>2.9031423563269631E-4</v>
      </c>
      <c r="M75" s="32">
        <v>1.9884201078631722E-4</v>
      </c>
      <c r="N75" s="14"/>
      <c r="O75" s="14"/>
      <c r="P75" s="14"/>
      <c r="Q75" s="14"/>
      <c r="R75" s="14"/>
    </row>
    <row r="76" spans="1:18" x14ac:dyDescent="0.25">
      <c r="A76" s="16" t="s">
        <v>573</v>
      </c>
      <c r="B76" s="110" t="s">
        <v>574</v>
      </c>
      <c r="C76" s="110" t="s">
        <v>514</v>
      </c>
      <c r="D76" s="167" t="s">
        <v>910</v>
      </c>
      <c r="E76" s="110" t="s">
        <v>515</v>
      </c>
      <c r="F76" s="110" t="s">
        <v>125</v>
      </c>
      <c r="G76" s="66">
        <v>98</v>
      </c>
      <c r="H76" s="63">
        <v>9039</v>
      </c>
      <c r="I76" s="81">
        <v>0</v>
      </c>
      <c r="J76" s="81">
        <v>33.873830000000005</v>
      </c>
      <c r="K76" s="24">
        <v>2.2147801541080642E-7</v>
      </c>
      <c r="L76" s="32">
        <v>4.7691504831693185E-4</v>
      </c>
      <c r="M76" s="32">
        <v>3.2664862945808697E-4</v>
      </c>
      <c r="N76" s="14"/>
      <c r="O76" s="14"/>
      <c r="P76" s="14"/>
      <c r="Q76" s="14"/>
      <c r="R76" s="14"/>
    </row>
    <row r="77" spans="1:18" x14ac:dyDescent="0.25">
      <c r="A77" s="16" t="s">
        <v>575</v>
      </c>
      <c r="B77" s="110" t="s">
        <v>576</v>
      </c>
      <c r="C77" s="110" t="s">
        <v>514</v>
      </c>
      <c r="D77" s="167" t="s">
        <v>911</v>
      </c>
      <c r="E77" s="110" t="s">
        <v>515</v>
      </c>
      <c r="F77" s="110" t="s">
        <v>125</v>
      </c>
      <c r="G77" s="66">
        <v>642</v>
      </c>
      <c r="H77" s="63">
        <v>12874</v>
      </c>
      <c r="I77" s="81">
        <v>0</v>
      </c>
      <c r="J77" s="81">
        <v>316.05771999999996</v>
      </c>
      <c r="K77" s="24">
        <v>2.1630706117521169E-6</v>
      </c>
      <c r="L77" s="32">
        <v>4.4498269845700735E-3</v>
      </c>
      <c r="M77" s="32">
        <v>3.0477752609506443E-3</v>
      </c>
      <c r="N77" s="14"/>
      <c r="O77" s="14"/>
      <c r="P77" s="14"/>
      <c r="Q77" s="14"/>
      <c r="R77" s="14"/>
    </row>
    <row r="78" spans="1:18" x14ac:dyDescent="0.25">
      <c r="A78" s="16" t="s">
        <v>581</v>
      </c>
      <c r="B78" s="110" t="s">
        <v>582</v>
      </c>
      <c r="C78" s="110" t="s">
        <v>514</v>
      </c>
      <c r="D78" s="167" t="s">
        <v>912</v>
      </c>
      <c r="E78" s="110" t="s">
        <v>515</v>
      </c>
      <c r="F78" s="110" t="s">
        <v>125</v>
      </c>
      <c r="G78" s="66">
        <v>1479</v>
      </c>
      <c r="H78" s="63">
        <v>3317</v>
      </c>
      <c r="I78" s="81">
        <v>0</v>
      </c>
      <c r="J78" s="81">
        <v>187.59942999999998</v>
      </c>
      <c r="K78" s="24">
        <v>1.6058943859398093E-6</v>
      </c>
      <c r="L78" s="32">
        <v>2.6412422575976457E-3</v>
      </c>
      <c r="M78" s="32">
        <v>1.8090395062093157E-3</v>
      </c>
      <c r="N78" s="14"/>
      <c r="O78" s="14"/>
      <c r="P78" s="14"/>
      <c r="Q78" s="14"/>
      <c r="R78" s="14"/>
    </row>
    <row r="79" spans="1:18" x14ac:dyDescent="0.25">
      <c r="A79" s="16" t="s">
        <v>587</v>
      </c>
      <c r="B79" s="110" t="s">
        <v>588</v>
      </c>
      <c r="C79" s="110" t="s">
        <v>514</v>
      </c>
      <c r="D79" s="167" t="s">
        <v>913</v>
      </c>
      <c r="E79" s="110" t="s">
        <v>515</v>
      </c>
      <c r="F79" s="110" t="s">
        <v>125</v>
      </c>
      <c r="G79" s="66">
        <v>1602</v>
      </c>
      <c r="H79" s="63">
        <v>7302</v>
      </c>
      <c r="I79" s="81">
        <v>0</v>
      </c>
      <c r="J79" s="81">
        <v>447.32402000000002</v>
      </c>
      <c r="K79" s="24">
        <v>2.1078009119673001E-5</v>
      </c>
      <c r="L79" s="32">
        <v>6.2979461316191344E-3</v>
      </c>
      <c r="M79" s="32">
        <v>4.3135889285823856E-3</v>
      </c>
      <c r="N79" s="14"/>
      <c r="O79" s="14"/>
      <c r="P79" s="14"/>
      <c r="Q79" s="14"/>
      <c r="R79" s="14"/>
    </row>
    <row r="80" spans="1:18" x14ac:dyDescent="0.25">
      <c r="A80" s="16" t="s">
        <v>607</v>
      </c>
      <c r="B80" s="110" t="s">
        <v>608</v>
      </c>
      <c r="C80" s="110" t="s">
        <v>514</v>
      </c>
      <c r="D80" s="167" t="s">
        <v>914</v>
      </c>
      <c r="E80" s="110" t="s">
        <v>515</v>
      </c>
      <c r="F80" s="110" t="s">
        <v>125</v>
      </c>
      <c r="G80" s="66">
        <v>377</v>
      </c>
      <c r="H80" s="63">
        <v>3975</v>
      </c>
      <c r="I80" s="81">
        <v>0</v>
      </c>
      <c r="J80" s="81">
        <v>57.305500000000002</v>
      </c>
      <c r="K80" s="24">
        <v>7.542519201413272E-5</v>
      </c>
      <c r="L80" s="32">
        <v>8.0681326266695956E-4</v>
      </c>
      <c r="M80" s="32">
        <v>5.5260249683636005E-4</v>
      </c>
      <c r="N80" s="14"/>
      <c r="O80" s="14"/>
      <c r="P80" s="14"/>
      <c r="Q80" s="14"/>
      <c r="R80" s="14"/>
    </row>
    <row r="81" spans="1:18" x14ac:dyDescent="0.25">
      <c r="A81" s="16" t="s">
        <v>585</v>
      </c>
      <c r="B81" s="110" t="s">
        <v>586</v>
      </c>
      <c r="C81" s="110" t="s">
        <v>514</v>
      </c>
      <c r="D81" s="167" t="s">
        <v>915</v>
      </c>
      <c r="E81" s="110" t="s">
        <v>515</v>
      </c>
      <c r="F81" s="110" t="s">
        <v>125</v>
      </c>
      <c r="G81" s="66">
        <v>58</v>
      </c>
      <c r="H81" s="63">
        <v>34504</v>
      </c>
      <c r="I81" s="81">
        <v>0</v>
      </c>
      <c r="J81" s="81">
        <v>76.527110000000008</v>
      </c>
      <c r="K81" s="24">
        <v>7.6099736314413674E-6</v>
      </c>
      <c r="L81" s="32">
        <v>1.07743737165845E-3</v>
      </c>
      <c r="M81" s="32">
        <v>7.379583471337094E-4</v>
      </c>
      <c r="N81" s="14"/>
      <c r="O81" s="14"/>
      <c r="P81" s="14"/>
      <c r="Q81" s="14"/>
      <c r="R81" s="14"/>
    </row>
    <row r="82" spans="1:18" s="112" customFormat="1" x14ac:dyDescent="0.25">
      <c r="A82" s="89" t="s">
        <v>510</v>
      </c>
      <c r="B82" s="124" t="s">
        <v>248</v>
      </c>
      <c r="C82" s="124" t="s">
        <v>248</v>
      </c>
      <c r="D82" s="124" t="s">
        <v>248</v>
      </c>
      <c r="E82" s="124" t="s">
        <v>248</v>
      </c>
      <c r="F82" s="124" t="s">
        <v>248</v>
      </c>
      <c r="G82" s="128" t="s">
        <v>248</v>
      </c>
      <c r="H82" s="115" t="s">
        <v>248</v>
      </c>
      <c r="I82" s="117" t="s">
        <v>248</v>
      </c>
      <c r="J82" s="117">
        <v>0</v>
      </c>
      <c r="K82" s="130"/>
      <c r="L82" s="114">
        <v>0</v>
      </c>
      <c r="M82" s="114">
        <v>0</v>
      </c>
    </row>
    <row r="83" spans="1:18" s="112" customFormat="1" x14ac:dyDescent="0.25">
      <c r="A83" s="75" t="s">
        <v>241</v>
      </c>
      <c r="B83" s="118"/>
      <c r="C83" s="118"/>
      <c r="D83" s="118"/>
      <c r="E83" s="118"/>
      <c r="F83" s="118"/>
      <c r="G83" s="119"/>
      <c r="H83" s="119"/>
      <c r="I83" s="119"/>
      <c r="J83" s="119"/>
      <c r="K83" s="120"/>
      <c r="L83" s="120"/>
      <c r="M83" s="121"/>
      <c r="N83" s="141"/>
      <c r="O83" s="141"/>
      <c r="P83" s="141"/>
      <c r="Q83" s="123"/>
      <c r="R83" s="123"/>
    </row>
    <row r="84" spans="1:18" s="112" customFormat="1" x14ac:dyDescent="0.25">
      <c r="A84" s="75" t="s">
        <v>242</v>
      </c>
      <c r="B84" s="118"/>
      <c r="C84" s="118"/>
      <c r="D84" s="118"/>
      <c r="E84" s="118"/>
      <c r="F84" s="118"/>
      <c r="G84" s="119"/>
      <c r="H84" s="119"/>
      <c r="I84" s="119"/>
      <c r="J84" s="119"/>
      <c r="K84" s="120"/>
      <c r="L84" s="120"/>
      <c r="M84" s="121"/>
      <c r="N84" s="141"/>
      <c r="O84" s="141"/>
      <c r="P84" s="141"/>
      <c r="Q84" s="123"/>
      <c r="R84" s="123"/>
    </row>
    <row r="85" spans="1:18" s="112" customFormat="1" x14ac:dyDescent="0.25">
      <c r="A85" s="75" t="s">
        <v>243</v>
      </c>
      <c r="B85" s="118"/>
      <c r="C85" s="118"/>
      <c r="D85" s="118"/>
      <c r="E85" s="118"/>
      <c r="F85" s="118"/>
      <c r="G85" s="119"/>
      <c r="H85" s="119"/>
      <c r="I85" s="119"/>
      <c r="J85" s="119"/>
      <c r="K85" s="120"/>
      <c r="L85" s="120"/>
      <c r="M85" s="121"/>
      <c r="N85" s="141"/>
      <c r="O85" s="141"/>
      <c r="P85" s="141"/>
      <c r="Q85" s="123"/>
      <c r="R85" s="123"/>
    </row>
    <row r="86" spans="1:18" s="112" customFormat="1" x14ac:dyDescent="0.25">
      <c r="A86" s="75" t="s">
        <v>244</v>
      </c>
      <c r="B86" s="118"/>
      <c r="C86" s="118"/>
      <c r="D86" s="118"/>
      <c r="E86" s="118"/>
      <c r="F86" s="118"/>
      <c r="G86" s="119"/>
      <c r="H86" s="119"/>
      <c r="I86" s="119"/>
      <c r="J86" s="119"/>
      <c r="K86" s="120"/>
      <c r="L86" s="120"/>
      <c r="M86" s="121"/>
      <c r="N86" s="141"/>
      <c r="O86" s="141"/>
      <c r="P86" s="141"/>
      <c r="Q86" s="123"/>
      <c r="R86" s="123"/>
    </row>
    <row r="87" spans="1:18" s="112" customFormat="1" x14ac:dyDescent="0.25">
      <c r="A87" s="75" t="s">
        <v>245</v>
      </c>
      <c r="B87" s="118"/>
      <c r="C87" s="118"/>
      <c r="D87" s="118"/>
      <c r="E87" s="118"/>
      <c r="F87" s="118"/>
      <c r="G87" s="119"/>
      <c r="H87" s="119"/>
      <c r="I87" s="119"/>
      <c r="J87" s="119"/>
      <c r="K87" s="120"/>
      <c r="L87" s="120"/>
      <c r="M87" s="121"/>
      <c r="N87" s="141"/>
      <c r="O87" s="141"/>
      <c r="P87" s="141"/>
      <c r="Q87" s="123"/>
      <c r="R87" s="123"/>
    </row>
  </sheetData>
  <mergeCells count="2">
    <mergeCell ref="A5:M5"/>
    <mergeCell ref="A4:M4"/>
  </mergeCells>
  <phoneticPr fontId="3" type="noConversion"/>
  <conditionalFormatting sqref="A9:A82 I9:J82">
    <cfRule type="expression" dxfId="105" priority="143" stopIfTrue="1">
      <formula>#REF!&gt;0</formula>
    </cfRule>
    <cfRule type="expression" dxfId="104" priority="144" stopIfTrue="1">
      <formula>LEFT(#REF!,3)="TIR"</formula>
    </cfRule>
  </conditionalFormatting>
  <conditionalFormatting sqref="B9:F9 L9:M82">
    <cfRule type="expression" dxfId="103" priority="141" stopIfTrue="1">
      <formula>OR(LEFT(#REF!,3)="TIR",LEFT(#REF!,2)="IR")</formula>
    </cfRule>
  </conditionalFormatting>
  <conditionalFormatting sqref="C9:D9 B10:F82">
    <cfRule type="expression" dxfId="102" priority="147" stopIfTrue="1">
      <formula>LEFT(#REF!,3)="TIR"</formula>
    </cfRule>
  </conditionalFormatting>
  <conditionalFormatting sqref="C9:E9">
    <cfRule type="expression" dxfId="101" priority="16" stopIfTrue="1">
      <formula>LEFT($IC9,3)="TIR"</formula>
    </cfRule>
  </conditionalFormatting>
  <conditionalFormatting sqref="M1:M3 G9:H82 K9:K82 M83:M55617">
    <cfRule type="expression" dxfId="100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29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7" customWidth="1"/>
    <col min="7" max="7" width="11.109375" style="57" customWidth="1"/>
    <col min="8" max="8" width="12" style="57" bestFit="1" customWidth="1"/>
    <col min="9" max="9" width="10.88671875" style="36" bestFit="1" customWidth="1"/>
    <col min="10" max="10" width="10.33203125" style="59" bestFit="1" customWidth="1"/>
    <col min="11" max="11" width="10.44140625" style="61" customWidth="1"/>
    <col min="12" max="12" width="22" style="61" customWidth="1"/>
    <col min="13" max="13" width="25.44140625" style="61" customWidth="1"/>
    <col min="14" max="14" width="20.6640625" style="61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60"/>
      <c r="M1" s="60"/>
      <c r="N1" s="60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60"/>
      <c r="M2" s="60"/>
      <c r="N2" s="60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60"/>
      <c r="M3" s="60"/>
      <c r="N3" s="60"/>
      <c r="O3" s="12"/>
      <c r="P3" s="12"/>
      <c r="Q3" s="14"/>
    </row>
    <row r="4" spans="1:19" s="7" customFormat="1" ht="15.75" customHeight="1" thickBot="1" x14ac:dyDescent="0.3">
      <c r="A4" s="213" t="s">
        <v>11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5"/>
      <c r="O4" s="12"/>
      <c r="P4" s="12"/>
      <c r="Q4" s="12"/>
      <c r="R4" s="12"/>
      <c r="S4" s="12"/>
    </row>
    <row r="5" spans="1:19" s="7" customFormat="1" x14ac:dyDescent="0.25">
      <c r="A5" s="216" t="s">
        <v>22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8"/>
      <c r="O5" s="12"/>
      <c r="P5" s="12"/>
      <c r="Q5" s="12"/>
      <c r="R5" s="12"/>
      <c r="S5" s="12"/>
    </row>
    <row r="6" spans="1:19" s="7" customFormat="1" ht="30.75" customHeight="1" x14ac:dyDescent="0.25">
      <c r="A6" s="83" t="s">
        <v>157</v>
      </c>
      <c r="B6" s="197" t="s">
        <v>69</v>
      </c>
      <c r="C6" s="197" t="s">
        <v>76</v>
      </c>
      <c r="D6" s="197" t="s">
        <v>74</v>
      </c>
      <c r="E6" s="197" t="s">
        <v>19</v>
      </c>
      <c r="F6" s="197" t="s">
        <v>70</v>
      </c>
      <c r="G6" s="197" t="s">
        <v>5</v>
      </c>
      <c r="H6" s="197" t="s">
        <v>6</v>
      </c>
      <c r="I6" s="198" t="s">
        <v>67</v>
      </c>
      <c r="J6" s="198" t="s">
        <v>68</v>
      </c>
      <c r="K6" s="198" t="s">
        <v>7</v>
      </c>
      <c r="L6" s="86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0"/>
      <c r="H7" s="29"/>
      <c r="I7" s="2" t="s">
        <v>133</v>
      </c>
      <c r="J7" s="46"/>
      <c r="K7" s="2" t="s">
        <v>135</v>
      </c>
      <c r="L7" s="53" t="s">
        <v>9</v>
      </c>
      <c r="M7" s="53" t="s">
        <v>9</v>
      </c>
      <c r="N7" s="52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2" customFormat="1" ht="12.75" customHeight="1" thickBot="1" x14ac:dyDescent="0.3">
      <c r="A9" s="96" t="s">
        <v>54</v>
      </c>
      <c r="B9" s="64"/>
      <c r="C9" s="64"/>
      <c r="D9" s="64"/>
      <c r="E9" s="64"/>
      <c r="F9" s="97"/>
      <c r="G9" s="97"/>
      <c r="H9" s="97"/>
      <c r="I9" s="100"/>
      <c r="J9" s="97"/>
      <c r="K9" s="99">
        <v>1338.9702107999999</v>
      </c>
      <c r="L9" s="64"/>
      <c r="M9" s="64">
        <v>1</v>
      </c>
      <c r="N9" s="78">
        <v>1.291181966264298E-2</v>
      </c>
    </row>
    <row r="10" spans="1:19" s="112" customFormat="1" x14ac:dyDescent="0.25">
      <c r="A10" s="88" t="s">
        <v>137</v>
      </c>
      <c r="B10" s="114" t="s">
        <v>248</v>
      </c>
      <c r="C10" s="114" t="s">
        <v>248</v>
      </c>
      <c r="D10" s="114" t="s">
        <v>248</v>
      </c>
      <c r="E10" s="130" t="s">
        <v>248</v>
      </c>
      <c r="F10" s="115" t="s">
        <v>248</v>
      </c>
      <c r="G10" s="115" t="s">
        <v>248</v>
      </c>
      <c r="H10" s="115" t="s">
        <v>248</v>
      </c>
      <c r="I10" s="126" t="s">
        <v>248</v>
      </c>
      <c r="J10" s="115" t="s">
        <v>248</v>
      </c>
      <c r="K10" s="116">
        <v>0</v>
      </c>
      <c r="L10" s="114" t="s">
        <v>248</v>
      </c>
      <c r="M10" s="114">
        <v>0</v>
      </c>
      <c r="N10" s="114">
        <v>0</v>
      </c>
    </row>
    <row r="11" spans="1:19" s="112" customFormat="1" x14ac:dyDescent="0.25">
      <c r="A11" s="89" t="s">
        <v>58</v>
      </c>
      <c r="B11" s="114" t="s">
        <v>248</v>
      </c>
      <c r="C11" s="114" t="s">
        <v>248</v>
      </c>
      <c r="D11" s="114" t="s">
        <v>248</v>
      </c>
      <c r="E11" s="130" t="s">
        <v>248</v>
      </c>
      <c r="F11" s="115" t="s">
        <v>248</v>
      </c>
      <c r="G11" s="115" t="s">
        <v>248</v>
      </c>
      <c r="H11" s="115" t="s">
        <v>248</v>
      </c>
      <c r="I11" s="128" t="s">
        <v>248</v>
      </c>
      <c r="J11" s="129" t="s">
        <v>248</v>
      </c>
      <c r="K11" s="117">
        <v>0</v>
      </c>
      <c r="L11" s="130"/>
      <c r="M11" s="130">
        <v>0</v>
      </c>
      <c r="N11" s="114">
        <v>0</v>
      </c>
    </row>
    <row r="12" spans="1:19" s="112" customFormat="1" x14ac:dyDescent="0.25">
      <c r="A12" s="89" t="s">
        <v>617</v>
      </c>
      <c r="B12" s="114" t="s">
        <v>248</v>
      </c>
      <c r="C12" s="114" t="s">
        <v>248</v>
      </c>
      <c r="D12" s="114" t="s">
        <v>248</v>
      </c>
      <c r="E12" s="130" t="s">
        <v>248</v>
      </c>
      <c r="F12" s="115" t="s">
        <v>248</v>
      </c>
      <c r="G12" s="115" t="s">
        <v>248</v>
      </c>
      <c r="H12" s="115" t="s">
        <v>248</v>
      </c>
      <c r="I12" s="128" t="s">
        <v>248</v>
      </c>
      <c r="J12" s="129" t="s">
        <v>248</v>
      </c>
      <c r="K12" s="117">
        <v>0</v>
      </c>
      <c r="L12" s="130"/>
      <c r="M12" s="130">
        <v>0</v>
      </c>
      <c r="N12" s="114">
        <v>0</v>
      </c>
    </row>
    <row r="13" spans="1:19" s="112" customFormat="1" x14ac:dyDescent="0.25">
      <c r="A13" s="89" t="s">
        <v>59</v>
      </c>
      <c r="B13" s="114" t="s">
        <v>248</v>
      </c>
      <c r="C13" s="114" t="s">
        <v>248</v>
      </c>
      <c r="D13" s="114" t="s">
        <v>248</v>
      </c>
      <c r="E13" s="130" t="s">
        <v>248</v>
      </c>
      <c r="F13" s="115" t="s">
        <v>248</v>
      </c>
      <c r="G13" s="115" t="s">
        <v>248</v>
      </c>
      <c r="H13" s="115" t="s">
        <v>248</v>
      </c>
      <c r="I13" s="128" t="s">
        <v>248</v>
      </c>
      <c r="J13" s="129" t="s">
        <v>248</v>
      </c>
      <c r="K13" s="117">
        <v>0</v>
      </c>
      <c r="L13" s="130"/>
      <c r="M13" s="130">
        <v>0</v>
      </c>
      <c r="N13" s="114">
        <v>0</v>
      </c>
    </row>
    <row r="14" spans="1:19" s="112" customFormat="1" x14ac:dyDescent="0.25">
      <c r="A14" s="89" t="s">
        <v>141</v>
      </c>
      <c r="B14" s="114" t="s">
        <v>248</v>
      </c>
      <c r="C14" s="114" t="s">
        <v>248</v>
      </c>
      <c r="D14" s="114" t="s">
        <v>248</v>
      </c>
      <c r="E14" s="130" t="s">
        <v>248</v>
      </c>
      <c r="F14" s="115" t="s">
        <v>248</v>
      </c>
      <c r="G14" s="115" t="s">
        <v>248</v>
      </c>
      <c r="H14" s="115" t="s">
        <v>248</v>
      </c>
      <c r="I14" s="128" t="s">
        <v>248</v>
      </c>
      <c r="J14" s="129" t="s">
        <v>248</v>
      </c>
      <c r="K14" s="117">
        <v>0</v>
      </c>
      <c r="L14" s="130"/>
      <c r="M14" s="130">
        <v>0</v>
      </c>
      <c r="N14" s="114">
        <v>0</v>
      </c>
    </row>
    <row r="15" spans="1:19" s="112" customFormat="1" x14ac:dyDescent="0.25">
      <c r="A15" s="89" t="s">
        <v>415</v>
      </c>
      <c r="B15" s="114" t="s">
        <v>248</v>
      </c>
      <c r="C15" s="114" t="s">
        <v>248</v>
      </c>
      <c r="D15" s="114" t="s">
        <v>248</v>
      </c>
      <c r="E15" s="130" t="s">
        <v>248</v>
      </c>
      <c r="F15" s="115" t="s">
        <v>248</v>
      </c>
      <c r="G15" s="115" t="s">
        <v>248</v>
      </c>
      <c r="H15" s="115" t="s">
        <v>248</v>
      </c>
      <c r="I15" s="128" t="s">
        <v>248</v>
      </c>
      <c r="J15" s="129" t="s">
        <v>248</v>
      </c>
      <c r="K15" s="117">
        <v>1338.9702104000003</v>
      </c>
      <c r="L15" s="130"/>
      <c r="M15" s="130">
        <v>0.99999999970126308</v>
      </c>
      <c r="N15" s="114">
        <v>0</v>
      </c>
    </row>
    <row r="16" spans="1:19" s="112" customFormat="1" x14ac:dyDescent="0.25">
      <c r="A16" s="89" t="s">
        <v>58</v>
      </c>
      <c r="B16" s="114" t="s">
        <v>248</v>
      </c>
      <c r="C16" s="114" t="s">
        <v>248</v>
      </c>
      <c r="D16" s="114" t="s">
        <v>248</v>
      </c>
      <c r="E16" s="130" t="s">
        <v>248</v>
      </c>
      <c r="F16" s="115" t="s">
        <v>248</v>
      </c>
      <c r="G16" s="115" t="s">
        <v>248</v>
      </c>
      <c r="H16" s="115" t="s">
        <v>248</v>
      </c>
      <c r="I16" s="128" t="s">
        <v>248</v>
      </c>
      <c r="J16" s="129" t="s">
        <v>248</v>
      </c>
      <c r="K16" s="117">
        <v>34.989600099999997</v>
      </c>
      <c r="L16" s="130"/>
      <c r="M16" s="130">
        <v>2.6131724080026109E-2</v>
      </c>
      <c r="N16" s="114">
        <v>3.3740810879524222E-4</v>
      </c>
    </row>
    <row r="17" spans="1:16" x14ac:dyDescent="0.25">
      <c r="A17" s="16" t="s">
        <v>618</v>
      </c>
      <c r="B17" s="32" t="s">
        <v>619</v>
      </c>
      <c r="C17" s="32" t="s">
        <v>218</v>
      </c>
      <c r="D17" s="209" t="s">
        <v>916</v>
      </c>
      <c r="E17" s="24" t="s">
        <v>562</v>
      </c>
      <c r="F17" s="63" t="s">
        <v>620</v>
      </c>
      <c r="G17" s="63" t="s">
        <v>620</v>
      </c>
      <c r="H17" s="63" t="s">
        <v>125</v>
      </c>
      <c r="I17" s="66">
        <v>200</v>
      </c>
      <c r="J17" s="58">
        <v>4575</v>
      </c>
      <c r="K17" s="81">
        <v>34.989599999999996</v>
      </c>
      <c r="L17" s="24">
        <v>2.5638137406238607E-6</v>
      </c>
      <c r="M17" s="24">
        <v>2.613172400534185E-2</v>
      </c>
      <c r="N17" s="32">
        <v>3.3740810783093248E-4</v>
      </c>
      <c r="O17" s="14"/>
      <c r="P17" s="14"/>
    </row>
    <row r="18" spans="1:16" s="112" customFormat="1" x14ac:dyDescent="0.25">
      <c r="A18" s="89" t="s">
        <v>617</v>
      </c>
      <c r="B18" s="114" t="s">
        <v>248</v>
      </c>
      <c r="C18" s="114" t="s">
        <v>248</v>
      </c>
      <c r="D18" s="114" t="s">
        <v>248</v>
      </c>
      <c r="E18" s="130" t="s">
        <v>248</v>
      </c>
      <c r="F18" s="115" t="s">
        <v>248</v>
      </c>
      <c r="G18" s="115" t="s">
        <v>248</v>
      </c>
      <c r="H18" s="115" t="s">
        <v>248</v>
      </c>
      <c r="I18" s="128" t="s">
        <v>248</v>
      </c>
      <c r="J18" s="129" t="s">
        <v>248</v>
      </c>
      <c r="K18" s="117">
        <v>0</v>
      </c>
      <c r="L18" s="130"/>
      <c r="M18" s="130">
        <v>0</v>
      </c>
      <c r="N18" s="114">
        <v>0</v>
      </c>
    </row>
    <row r="19" spans="1:16" s="112" customFormat="1" x14ac:dyDescent="0.25">
      <c r="A19" s="89" t="s">
        <v>59</v>
      </c>
      <c r="B19" s="114" t="s">
        <v>248</v>
      </c>
      <c r="C19" s="114" t="s">
        <v>248</v>
      </c>
      <c r="D19" s="114" t="s">
        <v>248</v>
      </c>
      <c r="E19" s="130" t="s">
        <v>248</v>
      </c>
      <c r="F19" s="115" t="s">
        <v>248</v>
      </c>
      <c r="G19" s="115" t="s">
        <v>248</v>
      </c>
      <c r="H19" s="115" t="s">
        <v>248</v>
      </c>
      <c r="I19" s="128" t="s">
        <v>248</v>
      </c>
      <c r="J19" s="129" t="s">
        <v>248</v>
      </c>
      <c r="K19" s="117">
        <v>0</v>
      </c>
      <c r="L19" s="130"/>
      <c r="M19" s="130">
        <v>0</v>
      </c>
      <c r="N19" s="114">
        <v>0</v>
      </c>
    </row>
    <row r="20" spans="1:16" s="112" customFormat="1" x14ac:dyDescent="0.25">
      <c r="A20" s="89" t="s">
        <v>141</v>
      </c>
      <c r="B20" s="114" t="s">
        <v>248</v>
      </c>
      <c r="C20" s="114" t="s">
        <v>248</v>
      </c>
      <c r="D20" s="114" t="s">
        <v>248</v>
      </c>
      <c r="E20" s="130" t="s">
        <v>248</v>
      </c>
      <c r="F20" s="115" t="s">
        <v>248</v>
      </c>
      <c r="G20" s="115" t="s">
        <v>248</v>
      </c>
      <c r="H20" s="115" t="s">
        <v>248</v>
      </c>
      <c r="I20" s="128" t="s">
        <v>248</v>
      </c>
      <c r="J20" s="129" t="s">
        <v>248</v>
      </c>
      <c r="K20" s="117">
        <v>1303.9806101000001</v>
      </c>
      <c r="L20" s="130"/>
      <c r="M20" s="130">
        <v>0.97386827547186849</v>
      </c>
      <c r="N20" s="114">
        <v>0</v>
      </c>
    </row>
    <row r="21" spans="1:16" x14ac:dyDescent="0.25">
      <c r="A21" s="16" t="s">
        <v>621</v>
      </c>
      <c r="B21" s="32" t="s">
        <v>622</v>
      </c>
      <c r="C21" s="32" t="s">
        <v>218</v>
      </c>
      <c r="D21" s="32" t="s">
        <v>623</v>
      </c>
      <c r="E21" s="24" t="s">
        <v>188</v>
      </c>
      <c r="F21" s="63" t="s">
        <v>423</v>
      </c>
      <c r="G21" s="63" t="s">
        <v>262</v>
      </c>
      <c r="H21" s="63" t="s">
        <v>125</v>
      </c>
      <c r="I21" s="66">
        <v>136232.01</v>
      </c>
      <c r="J21" s="58">
        <v>100</v>
      </c>
      <c r="K21" s="81">
        <v>520.95119999999997</v>
      </c>
      <c r="L21" s="24">
        <v>0</v>
      </c>
      <c r="M21" s="24">
        <v>0.38906855118811429</v>
      </c>
      <c r="N21" s="32">
        <v>5.0235829693467118E-3</v>
      </c>
      <c r="O21" s="14"/>
      <c r="P21" s="14"/>
    </row>
    <row r="22" spans="1:16" x14ac:dyDescent="0.25">
      <c r="A22" s="16" t="s">
        <v>624</v>
      </c>
      <c r="B22" s="32" t="s">
        <v>625</v>
      </c>
      <c r="C22" s="32" t="s">
        <v>218</v>
      </c>
      <c r="D22" s="32" t="s">
        <v>623</v>
      </c>
      <c r="E22" s="24" t="s">
        <v>188</v>
      </c>
      <c r="F22" s="63" t="s">
        <v>423</v>
      </c>
      <c r="G22" s="63" t="s">
        <v>262</v>
      </c>
      <c r="H22" s="63" t="s">
        <v>125</v>
      </c>
      <c r="I22" s="66">
        <v>102173.99</v>
      </c>
      <c r="J22" s="58">
        <v>100</v>
      </c>
      <c r="K22" s="81">
        <v>390.71333000000004</v>
      </c>
      <c r="L22" s="24">
        <v>0</v>
      </c>
      <c r="M22" s="24">
        <v>0.29180136111210342</v>
      </c>
      <c r="N22" s="32">
        <v>3.767686551993242E-3</v>
      </c>
      <c r="O22" s="14"/>
      <c r="P22" s="14"/>
    </row>
    <row r="23" spans="1:16" x14ac:dyDescent="0.25">
      <c r="A23" s="16" t="s">
        <v>626</v>
      </c>
      <c r="B23" s="32" t="s">
        <v>627</v>
      </c>
      <c r="C23" s="32" t="s">
        <v>218</v>
      </c>
      <c r="D23" s="209" t="s">
        <v>917</v>
      </c>
      <c r="E23" s="24" t="s">
        <v>188</v>
      </c>
      <c r="F23" s="63" t="s">
        <v>423</v>
      </c>
      <c r="G23" s="63" t="s">
        <v>262</v>
      </c>
      <c r="H23" s="63" t="s">
        <v>125</v>
      </c>
      <c r="I23" s="66">
        <v>102174.07</v>
      </c>
      <c r="J23" s="58">
        <v>100</v>
      </c>
      <c r="K23" s="81">
        <v>390.71364</v>
      </c>
      <c r="L23" s="24">
        <v>0</v>
      </c>
      <c r="M23" s="24">
        <v>0.2918015926333109</v>
      </c>
      <c r="N23" s="32">
        <v>3.767689541353321E-3</v>
      </c>
      <c r="O23" s="14"/>
      <c r="P23" s="14"/>
    </row>
    <row r="24" spans="1:16" x14ac:dyDescent="0.25">
      <c r="A24" s="16" t="s">
        <v>628</v>
      </c>
      <c r="B24" s="32" t="s">
        <v>629</v>
      </c>
      <c r="C24" s="32" t="s">
        <v>218</v>
      </c>
      <c r="D24" s="209" t="s">
        <v>917</v>
      </c>
      <c r="E24" s="24" t="s">
        <v>188</v>
      </c>
      <c r="F24" s="63" t="s">
        <v>630</v>
      </c>
      <c r="G24" s="63" t="s">
        <v>262</v>
      </c>
      <c r="H24" s="63" t="s">
        <v>126</v>
      </c>
      <c r="I24" s="66">
        <v>0.04</v>
      </c>
      <c r="J24" s="58">
        <v>988410</v>
      </c>
      <c r="K24" s="81">
        <v>1.6024400000000001</v>
      </c>
      <c r="L24" s="24">
        <v>2.2080819110065707E-8</v>
      </c>
      <c r="M24" s="24">
        <v>1.1967704636554862E-3</v>
      </c>
      <c r="N24" s="32">
        <v>1.5452484404297263E-5</v>
      </c>
      <c r="O24" s="14"/>
      <c r="P24" s="14"/>
    </row>
    <row r="25" spans="1:16" s="112" customFormat="1" x14ac:dyDescent="0.25">
      <c r="A25" s="75" t="s">
        <v>241</v>
      </c>
      <c r="B25" s="118"/>
      <c r="C25" s="118"/>
      <c r="D25" s="118"/>
      <c r="E25" s="118"/>
      <c r="F25" s="119"/>
      <c r="G25" s="119"/>
      <c r="H25" s="119"/>
      <c r="I25" s="120"/>
      <c r="J25" s="121"/>
      <c r="K25" s="122"/>
      <c r="L25" s="122"/>
      <c r="M25" s="122"/>
      <c r="N25" s="122"/>
      <c r="O25" s="123"/>
      <c r="P25" s="123"/>
    </row>
    <row r="26" spans="1:16" s="112" customFormat="1" x14ac:dyDescent="0.25">
      <c r="A26" s="75" t="s">
        <v>242</v>
      </c>
      <c r="B26" s="118"/>
      <c r="C26" s="118"/>
      <c r="D26" s="118"/>
      <c r="E26" s="118"/>
      <c r="F26" s="119"/>
      <c r="G26" s="119"/>
      <c r="H26" s="119"/>
      <c r="I26" s="120"/>
      <c r="J26" s="121"/>
      <c r="K26" s="122"/>
      <c r="L26" s="122"/>
      <c r="M26" s="122"/>
      <c r="N26" s="122"/>
      <c r="O26" s="123"/>
      <c r="P26" s="123"/>
    </row>
    <row r="27" spans="1:16" s="112" customFormat="1" x14ac:dyDescent="0.25">
      <c r="A27" s="75" t="s">
        <v>243</v>
      </c>
      <c r="B27" s="118"/>
      <c r="C27" s="118"/>
      <c r="D27" s="118"/>
      <c r="E27" s="118"/>
      <c r="F27" s="119"/>
      <c r="G27" s="119"/>
      <c r="H27" s="119"/>
      <c r="I27" s="120"/>
      <c r="J27" s="121"/>
      <c r="K27" s="122"/>
      <c r="L27" s="122"/>
      <c r="M27" s="122"/>
      <c r="N27" s="122"/>
      <c r="O27" s="123"/>
      <c r="P27" s="123"/>
    </row>
    <row r="28" spans="1:16" s="112" customFormat="1" x14ac:dyDescent="0.25">
      <c r="A28" s="75" t="s">
        <v>244</v>
      </c>
      <c r="B28" s="118"/>
      <c r="C28" s="118"/>
      <c r="D28" s="118"/>
      <c r="E28" s="118"/>
      <c r="F28" s="119"/>
      <c r="G28" s="119"/>
      <c r="H28" s="119"/>
      <c r="I28" s="120"/>
      <c r="J28" s="121"/>
      <c r="K28" s="122"/>
      <c r="L28" s="122"/>
      <c r="M28" s="122"/>
      <c r="N28" s="122"/>
      <c r="O28" s="123"/>
      <c r="P28" s="123"/>
    </row>
    <row r="29" spans="1:16" s="112" customFormat="1" x14ac:dyDescent="0.25">
      <c r="A29" s="75" t="s">
        <v>245</v>
      </c>
      <c r="B29" s="118"/>
      <c r="C29" s="118"/>
      <c r="D29" s="118"/>
      <c r="E29" s="118"/>
      <c r="F29" s="119"/>
      <c r="G29" s="119"/>
      <c r="H29" s="119"/>
      <c r="I29" s="120"/>
      <c r="J29" s="121"/>
      <c r="K29" s="122"/>
      <c r="L29" s="122"/>
      <c r="M29" s="122"/>
      <c r="N29" s="122"/>
      <c r="O29" s="123"/>
      <c r="P29" s="123"/>
    </row>
  </sheetData>
  <mergeCells count="2">
    <mergeCell ref="A5:N5"/>
    <mergeCell ref="A4:N4"/>
  </mergeCells>
  <phoneticPr fontId="3" type="noConversion"/>
  <conditionalFormatting sqref="A9:A24 K9:K24">
    <cfRule type="expression" dxfId="99" priority="165" stopIfTrue="1">
      <formula>#REF!&gt;0</formula>
    </cfRule>
    <cfRule type="expression" dxfId="98" priority="166" stopIfTrue="1">
      <formula>LEFT(#REF!,3)="TIR"</formula>
    </cfRule>
  </conditionalFormatting>
  <conditionalFormatting sqref="B9:H24 M9:N24">
    <cfRule type="expression" dxfId="97" priority="163" stopIfTrue="1">
      <formula>OR(LEFT(#REF!,3)="TIR",LEFT(#REF!,2)="IR")</formula>
    </cfRule>
  </conditionalFormatting>
  <conditionalFormatting sqref="C9:D24">
    <cfRule type="expression" dxfId="96" priority="9" stopIfTrue="1">
      <formula>LEFT($IB9,3)="TIR"</formula>
    </cfRule>
    <cfRule type="expression" dxfId="95" priority="169" stopIfTrue="1">
      <formula>LEFT(#REF!,3)="TIR"</formula>
    </cfRule>
  </conditionalFormatting>
  <conditionalFormatting sqref="J1:J3 I9:J24 L9:L24 J25:J55559">
    <cfRule type="expression" dxfId="94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8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8" bestFit="1" customWidth="1"/>
    <col min="3" max="3" width="11.6640625" style="8" customWidth="1"/>
    <col min="4" max="4" width="11.109375" style="8" customWidth="1"/>
    <col min="5" max="5" width="10.6640625" style="57" customWidth="1"/>
    <col min="6" max="6" width="10.109375" style="57" customWidth="1"/>
    <col min="7" max="7" width="8.5546875" style="57" bestFit="1" customWidth="1"/>
    <col min="8" max="8" width="9.88671875" style="36" customWidth="1"/>
    <col min="9" max="9" width="20.88671875" style="59" customWidth="1"/>
    <col min="10" max="10" width="24" style="59" customWidth="1"/>
    <col min="11" max="11" width="19.664062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19" t="s">
        <v>11</v>
      </c>
      <c r="B4" s="220"/>
      <c r="C4" s="220"/>
      <c r="D4" s="220"/>
      <c r="E4" s="220"/>
      <c r="F4" s="220"/>
      <c r="G4" s="220"/>
      <c r="H4" s="220"/>
      <c r="I4" s="220"/>
      <c r="J4" s="221"/>
      <c r="K4" s="222"/>
      <c r="L4" s="13"/>
      <c r="M4" s="13"/>
      <c r="N4" s="12"/>
      <c r="O4" s="12"/>
      <c r="P4" s="14"/>
    </row>
    <row r="5" spans="1:16" s="7" customFormat="1" x14ac:dyDescent="0.25">
      <c r="A5" s="216" t="s">
        <v>23</v>
      </c>
      <c r="B5" s="217"/>
      <c r="C5" s="217"/>
      <c r="D5" s="217"/>
      <c r="E5" s="217"/>
      <c r="F5" s="217"/>
      <c r="G5" s="217"/>
      <c r="H5" s="217"/>
      <c r="I5" s="217"/>
      <c r="J5" s="217"/>
      <c r="K5" s="218"/>
    </row>
    <row r="6" spans="1:16" s="7" customFormat="1" x14ac:dyDescent="0.25">
      <c r="A6" s="83" t="s">
        <v>157</v>
      </c>
      <c r="B6" s="197" t="s">
        <v>69</v>
      </c>
      <c r="C6" s="197" t="s">
        <v>76</v>
      </c>
      <c r="D6" s="197" t="s">
        <v>19</v>
      </c>
      <c r="E6" s="197" t="s">
        <v>6</v>
      </c>
      <c r="F6" s="198" t="s">
        <v>67</v>
      </c>
      <c r="G6" s="198" t="s">
        <v>68</v>
      </c>
      <c r="H6" s="198" t="s">
        <v>7</v>
      </c>
      <c r="I6" s="198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46" t="s">
        <v>9</v>
      </c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2" customFormat="1" ht="12.75" customHeight="1" thickBot="1" x14ac:dyDescent="0.3">
      <c r="A9" s="142" t="s">
        <v>55</v>
      </c>
      <c r="B9" s="67"/>
      <c r="C9" s="67"/>
      <c r="D9" s="67"/>
      <c r="E9" s="143"/>
      <c r="F9" s="148"/>
      <c r="G9" s="143"/>
      <c r="H9" s="146">
        <v>2.0000000000000002E-7</v>
      </c>
      <c r="I9" s="67"/>
      <c r="J9" s="80">
        <v>1</v>
      </c>
      <c r="K9" s="79">
        <v>0</v>
      </c>
    </row>
    <row r="10" spans="1:16" s="112" customFormat="1" x14ac:dyDescent="0.25">
      <c r="A10" s="88" t="s">
        <v>137</v>
      </c>
      <c r="B10" s="124" t="s">
        <v>248</v>
      </c>
      <c r="C10" s="124" t="s">
        <v>248</v>
      </c>
      <c r="D10" s="124" t="s">
        <v>248</v>
      </c>
      <c r="E10" s="124" t="s">
        <v>248</v>
      </c>
      <c r="F10" s="126" t="s">
        <v>248</v>
      </c>
      <c r="G10" s="115" t="s">
        <v>248</v>
      </c>
      <c r="H10" s="116">
        <v>0</v>
      </c>
      <c r="I10" s="114" t="s">
        <v>248</v>
      </c>
      <c r="J10" s="114">
        <v>0</v>
      </c>
      <c r="K10" s="114">
        <v>0</v>
      </c>
    </row>
    <row r="11" spans="1:16" s="112" customFormat="1" x14ac:dyDescent="0.25">
      <c r="A11" s="89" t="s">
        <v>631</v>
      </c>
      <c r="B11" s="124" t="s">
        <v>248</v>
      </c>
      <c r="C11" s="124" t="s">
        <v>248</v>
      </c>
      <c r="D11" s="124" t="s">
        <v>248</v>
      </c>
      <c r="E11" s="124" t="s">
        <v>248</v>
      </c>
      <c r="F11" s="128" t="s">
        <v>248</v>
      </c>
      <c r="G11" s="115" t="s">
        <v>248</v>
      </c>
      <c r="H11" s="117">
        <v>0</v>
      </c>
      <c r="I11" s="130"/>
      <c r="J11" s="114">
        <v>0</v>
      </c>
      <c r="K11" s="114">
        <v>0</v>
      </c>
    </row>
    <row r="12" spans="1:16" s="112" customFormat="1" x14ac:dyDescent="0.25">
      <c r="A12" s="89" t="s">
        <v>415</v>
      </c>
      <c r="B12" s="124" t="s">
        <v>248</v>
      </c>
      <c r="C12" s="124" t="s">
        <v>248</v>
      </c>
      <c r="D12" s="124" t="s">
        <v>248</v>
      </c>
      <c r="E12" s="124" t="s">
        <v>248</v>
      </c>
      <c r="F12" s="128" t="s">
        <v>248</v>
      </c>
      <c r="G12" s="115" t="s">
        <v>248</v>
      </c>
      <c r="H12" s="117">
        <v>0</v>
      </c>
      <c r="I12" s="130"/>
      <c r="J12" s="114">
        <v>0</v>
      </c>
      <c r="K12" s="114">
        <v>0</v>
      </c>
    </row>
    <row r="13" spans="1:16" s="112" customFormat="1" x14ac:dyDescent="0.25">
      <c r="A13" s="89" t="s">
        <v>632</v>
      </c>
      <c r="B13" s="124" t="s">
        <v>248</v>
      </c>
      <c r="C13" s="124" t="s">
        <v>248</v>
      </c>
      <c r="D13" s="124" t="s">
        <v>248</v>
      </c>
      <c r="E13" s="124" t="s">
        <v>248</v>
      </c>
      <c r="F13" s="128" t="s">
        <v>248</v>
      </c>
      <c r="G13" s="115" t="s">
        <v>248</v>
      </c>
      <c r="H13" s="117">
        <v>0</v>
      </c>
      <c r="I13" s="130"/>
      <c r="J13" s="114">
        <v>0</v>
      </c>
      <c r="K13" s="114">
        <v>0</v>
      </c>
    </row>
    <row r="14" spans="1:16" s="112" customFormat="1" x14ac:dyDescent="0.25">
      <c r="A14" s="75" t="s">
        <v>241</v>
      </c>
      <c r="B14" s="118"/>
      <c r="C14" s="118"/>
      <c r="D14" s="118"/>
      <c r="E14" s="119"/>
      <c r="F14" s="119"/>
      <c r="G14" s="119"/>
      <c r="H14" s="120"/>
      <c r="I14" s="121"/>
      <c r="J14" s="121"/>
      <c r="K14" s="122"/>
      <c r="L14" s="141"/>
      <c r="M14" s="141"/>
      <c r="N14" s="123"/>
      <c r="O14" s="123"/>
    </row>
    <row r="15" spans="1:16" s="112" customFormat="1" x14ac:dyDescent="0.25">
      <c r="A15" s="75" t="s">
        <v>242</v>
      </c>
      <c r="B15" s="118"/>
      <c r="C15" s="118"/>
      <c r="D15" s="118"/>
      <c r="E15" s="119"/>
      <c r="F15" s="119"/>
      <c r="G15" s="119"/>
      <c r="H15" s="120"/>
      <c r="I15" s="121"/>
      <c r="J15" s="121"/>
      <c r="K15" s="122"/>
      <c r="L15" s="141"/>
      <c r="M15" s="141"/>
      <c r="N15" s="123"/>
      <c r="O15" s="123"/>
    </row>
    <row r="16" spans="1:16" s="112" customFormat="1" x14ac:dyDescent="0.25">
      <c r="A16" s="75" t="s">
        <v>243</v>
      </c>
      <c r="B16" s="118"/>
      <c r="C16" s="118"/>
      <c r="D16" s="118"/>
      <c r="E16" s="119"/>
      <c r="F16" s="119"/>
      <c r="G16" s="119"/>
      <c r="H16" s="120"/>
      <c r="I16" s="121"/>
      <c r="J16" s="121"/>
      <c r="K16" s="122"/>
      <c r="L16" s="141"/>
      <c r="M16" s="141"/>
      <c r="N16" s="123"/>
      <c r="O16" s="123"/>
    </row>
    <row r="17" spans="1:15" s="112" customFormat="1" x14ac:dyDescent="0.25">
      <c r="A17" s="75" t="s">
        <v>244</v>
      </c>
      <c r="B17" s="118"/>
      <c r="C17" s="118"/>
      <c r="D17" s="118"/>
      <c r="E17" s="119"/>
      <c r="F17" s="119"/>
      <c r="G17" s="119"/>
      <c r="H17" s="120"/>
      <c r="I17" s="121"/>
      <c r="J17" s="121"/>
      <c r="K17" s="122"/>
      <c r="L17" s="141"/>
      <c r="M17" s="141"/>
      <c r="N17" s="123"/>
      <c r="O17" s="123"/>
    </row>
    <row r="18" spans="1:15" s="112" customFormat="1" x14ac:dyDescent="0.25">
      <c r="A18" s="75" t="s">
        <v>245</v>
      </c>
      <c r="B18" s="118"/>
      <c r="C18" s="118"/>
      <c r="D18" s="118"/>
      <c r="E18" s="119"/>
      <c r="F18" s="119"/>
      <c r="G18" s="119"/>
      <c r="H18" s="120"/>
      <c r="I18" s="121"/>
      <c r="J18" s="121"/>
      <c r="K18" s="122"/>
      <c r="L18" s="141"/>
      <c r="M18" s="141"/>
      <c r="N18" s="123"/>
      <c r="O18" s="123"/>
    </row>
  </sheetData>
  <mergeCells count="2">
    <mergeCell ref="A5:K5"/>
    <mergeCell ref="A4:K4"/>
  </mergeCells>
  <phoneticPr fontId="3" type="noConversion"/>
  <conditionalFormatting sqref="A9:A13 H9:H13">
    <cfRule type="expression" dxfId="93" priority="176" stopIfTrue="1">
      <formula>#REF!&gt;0</formula>
    </cfRule>
  </conditionalFormatting>
  <conditionalFormatting sqref="B10:E13">
    <cfRule type="expression" dxfId="92" priority="179" stopIfTrue="1">
      <formula>LEFT(#REF!,3)="TIR"</formula>
    </cfRule>
  </conditionalFormatting>
  <conditionalFormatting sqref="G10:G13">
    <cfRule type="expression" dxfId="91" priority="178" stopIfTrue="1">
      <formula>LEFT(#REF!,3)="TIR"</formula>
    </cfRule>
  </conditionalFormatting>
  <conditionalFormatting sqref="J10:K13">
    <cfRule type="expression" dxfId="90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7"/>
  <sheetViews>
    <sheetView rightToLeft="1" zoomScale="90" workbookViewId="0"/>
  </sheetViews>
  <sheetFormatPr defaultColWidth="9.109375" defaultRowHeight="13.2" x14ac:dyDescent="0.25"/>
  <cols>
    <col min="1" max="1" width="29.6640625" style="9" bestFit="1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.33203125" style="8" bestFit="1" customWidth="1"/>
    <col min="6" max="6" width="10.109375" style="57" customWidth="1"/>
    <col min="7" max="7" width="9.33203125" style="57" bestFit="1" customWidth="1"/>
    <col min="8" max="8" width="9.5546875" style="57" customWidth="1"/>
    <col min="9" max="9" width="21.109375" style="36" customWidth="1"/>
    <col min="10" max="10" width="24" style="59" customWidth="1"/>
    <col min="11" max="11" width="19.554687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19" t="s">
        <v>11</v>
      </c>
      <c r="B4" s="220"/>
      <c r="C4" s="220"/>
      <c r="D4" s="220"/>
      <c r="E4" s="220"/>
      <c r="F4" s="220"/>
      <c r="G4" s="220"/>
      <c r="H4" s="220"/>
      <c r="I4" s="220"/>
      <c r="J4" s="220"/>
      <c r="K4" s="222"/>
      <c r="L4" s="13"/>
      <c r="M4" s="13"/>
      <c r="N4" s="12"/>
      <c r="O4" s="12"/>
      <c r="P4" s="14"/>
    </row>
    <row r="5" spans="1:16" s="7" customFormat="1" x14ac:dyDescent="0.25">
      <c r="A5" s="216" t="s">
        <v>24</v>
      </c>
      <c r="B5" s="217"/>
      <c r="C5" s="217"/>
      <c r="D5" s="217"/>
      <c r="E5" s="217"/>
      <c r="F5" s="217"/>
      <c r="G5" s="217"/>
      <c r="H5" s="217"/>
      <c r="I5" s="217"/>
      <c r="J5" s="217"/>
      <c r="K5" s="218"/>
    </row>
    <row r="6" spans="1:16" s="7" customFormat="1" x14ac:dyDescent="0.25">
      <c r="A6" s="83" t="s">
        <v>157</v>
      </c>
      <c r="B6" s="197" t="s">
        <v>69</v>
      </c>
      <c r="C6" s="197" t="s">
        <v>76</v>
      </c>
      <c r="D6" s="197" t="s">
        <v>19</v>
      </c>
      <c r="E6" s="197" t="s">
        <v>6</v>
      </c>
      <c r="F6" s="198" t="s">
        <v>67</v>
      </c>
      <c r="G6" s="198" t="s">
        <v>68</v>
      </c>
      <c r="H6" s="198" t="s">
        <v>7</v>
      </c>
      <c r="I6" s="198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53"/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2" customFormat="1" ht="12.75" customHeight="1" thickBot="1" x14ac:dyDescent="0.3">
      <c r="A9" s="142" t="s">
        <v>56</v>
      </c>
      <c r="B9" s="67"/>
      <c r="C9" s="67"/>
      <c r="D9" s="67"/>
      <c r="E9" s="143"/>
      <c r="F9" s="144"/>
      <c r="G9" s="148"/>
      <c r="H9" s="103">
        <v>57.207040900000003</v>
      </c>
      <c r="I9" s="67"/>
      <c r="J9" s="67">
        <v>1</v>
      </c>
      <c r="K9" s="79">
        <v>5.5165304618160166E-4</v>
      </c>
    </row>
    <row r="10" spans="1:16" s="112" customFormat="1" x14ac:dyDescent="0.25">
      <c r="A10" s="88" t="s">
        <v>137</v>
      </c>
      <c r="B10" s="124" t="s">
        <v>248</v>
      </c>
      <c r="C10" s="124" t="s">
        <v>248</v>
      </c>
      <c r="D10" s="124" t="s">
        <v>248</v>
      </c>
      <c r="E10" s="124" t="s">
        <v>248</v>
      </c>
      <c r="F10" s="126" t="s">
        <v>248</v>
      </c>
      <c r="G10" s="115" t="s">
        <v>248</v>
      </c>
      <c r="H10" s="116">
        <v>0</v>
      </c>
      <c r="I10" s="114" t="s">
        <v>248</v>
      </c>
      <c r="J10" s="114">
        <v>0</v>
      </c>
      <c r="K10" s="114">
        <v>0</v>
      </c>
    </row>
    <row r="11" spans="1:16" s="112" customFormat="1" x14ac:dyDescent="0.25">
      <c r="A11" s="89" t="s">
        <v>633</v>
      </c>
      <c r="B11" s="124" t="s">
        <v>248</v>
      </c>
      <c r="C11" s="124" t="s">
        <v>248</v>
      </c>
      <c r="D11" s="124" t="s">
        <v>248</v>
      </c>
      <c r="E11" s="124" t="s">
        <v>248</v>
      </c>
      <c r="F11" s="128" t="s">
        <v>248</v>
      </c>
      <c r="G11" s="115" t="s">
        <v>248</v>
      </c>
      <c r="H11" s="117">
        <v>0</v>
      </c>
      <c r="I11" s="130"/>
      <c r="J11" s="114">
        <v>0</v>
      </c>
      <c r="K11" s="130">
        <v>0</v>
      </c>
    </row>
    <row r="12" spans="1:16" s="112" customFormat="1" x14ac:dyDescent="0.25">
      <c r="A12" s="89" t="s">
        <v>634</v>
      </c>
      <c r="B12" s="124" t="s">
        <v>248</v>
      </c>
      <c r="C12" s="124" t="s">
        <v>248</v>
      </c>
      <c r="D12" s="124" t="s">
        <v>248</v>
      </c>
      <c r="E12" s="124" t="s">
        <v>248</v>
      </c>
      <c r="F12" s="128" t="s">
        <v>248</v>
      </c>
      <c r="G12" s="115" t="s">
        <v>248</v>
      </c>
      <c r="H12" s="117">
        <v>0</v>
      </c>
      <c r="I12" s="130"/>
      <c r="J12" s="114">
        <v>0</v>
      </c>
      <c r="K12" s="130">
        <v>0</v>
      </c>
    </row>
    <row r="13" spans="1:16" s="112" customFormat="1" x14ac:dyDescent="0.25">
      <c r="A13" s="89" t="s">
        <v>635</v>
      </c>
      <c r="B13" s="124" t="s">
        <v>248</v>
      </c>
      <c r="C13" s="124" t="s">
        <v>248</v>
      </c>
      <c r="D13" s="124" t="s">
        <v>248</v>
      </c>
      <c r="E13" s="124" t="s">
        <v>248</v>
      </c>
      <c r="F13" s="128" t="s">
        <v>248</v>
      </c>
      <c r="G13" s="115" t="s">
        <v>248</v>
      </c>
      <c r="H13" s="117">
        <v>0</v>
      </c>
      <c r="I13" s="130"/>
      <c r="J13" s="114">
        <v>0</v>
      </c>
      <c r="K13" s="130">
        <v>0</v>
      </c>
    </row>
    <row r="14" spans="1:16" s="112" customFormat="1" x14ac:dyDescent="0.25">
      <c r="A14" s="89" t="s">
        <v>141</v>
      </c>
      <c r="B14" s="124" t="s">
        <v>248</v>
      </c>
      <c r="C14" s="124" t="s">
        <v>248</v>
      </c>
      <c r="D14" s="124" t="s">
        <v>248</v>
      </c>
      <c r="E14" s="124" t="s">
        <v>248</v>
      </c>
      <c r="F14" s="128" t="s">
        <v>248</v>
      </c>
      <c r="G14" s="115" t="s">
        <v>248</v>
      </c>
      <c r="H14" s="117">
        <v>0</v>
      </c>
      <c r="I14" s="130"/>
      <c r="J14" s="114">
        <v>0</v>
      </c>
      <c r="K14" s="130">
        <v>0</v>
      </c>
    </row>
    <row r="15" spans="1:16" s="112" customFormat="1" x14ac:dyDescent="0.25">
      <c r="A15" s="89" t="s">
        <v>415</v>
      </c>
      <c r="B15" s="124" t="s">
        <v>248</v>
      </c>
      <c r="C15" s="124" t="s">
        <v>248</v>
      </c>
      <c r="D15" s="124" t="s">
        <v>248</v>
      </c>
      <c r="E15" s="124" t="s">
        <v>248</v>
      </c>
      <c r="F15" s="128" t="s">
        <v>248</v>
      </c>
      <c r="G15" s="115" t="s">
        <v>248</v>
      </c>
      <c r="H15" s="117">
        <v>57.207040500000005</v>
      </c>
      <c r="I15" s="130"/>
      <c r="J15" s="114">
        <v>0.99999999300785369</v>
      </c>
      <c r="K15" s="130">
        <v>5.516530423243628E-4</v>
      </c>
    </row>
    <row r="16" spans="1:16" s="112" customFormat="1" x14ac:dyDescent="0.25">
      <c r="A16" s="89" t="s">
        <v>633</v>
      </c>
      <c r="B16" s="124" t="s">
        <v>248</v>
      </c>
      <c r="C16" s="124" t="s">
        <v>248</v>
      </c>
      <c r="D16" s="124" t="s">
        <v>248</v>
      </c>
      <c r="E16" s="124" t="s">
        <v>248</v>
      </c>
      <c r="F16" s="128" t="s">
        <v>248</v>
      </c>
      <c r="G16" s="115" t="s">
        <v>248</v>
      </c>
      <c r="H16" s="117">
        <v>57.2070401</v>
      </c>
      <c r="I16" s="130"/>
      <c r="J16" s="114">
        <v>0.99999998601570739</v>
      </c>
      <c r="K16" s="130">
        <v>5.5165303846712395E-4</v>
      </c>
    </row>
    <row r="17" spans="1:15" x14ac:dyDescent="0.25">
      <c r="A17" s="16" t="s">
        <v>636</v>
      </c>
      <c r="B17" s="110" t="s">
        <v>637</v>
      </c>
      <c r="C17" s="110" t="s">
        <v>218</v>
      </c>
      <c r="D17" s="110" t="s">
        <v>188</v>
      </c>
      <c r="E17" s="110" t="s">
        <v>125</v>
      </c>
      <c r="F17" s="66">
        <v>-1</v>
      </c>
      <c r="G17" s="63">
        <v>4682</v>
      </c>
      <c r="H17" s="90">
        <v>-17.903959999999998</v>
      </c>
      <c r="I17" s="24">
        <v>0</v>
      </c>
      <c r="J17" s="32">
        <v>-0.31296776967186218</v>
      </c>
      <c r="K17" s="24">
        <v>-1.7264962349614464E-4</v>
      </c>
      <c r="L17" s="14"/>
      <c r="M17" s="14"/>
      <c r="N17" s="14"/>
      <c r="O17" s="14"/>
    </row>
    <row r="18" spans="1:15" x14ac:dyDescent="0.25">
      <c r="A18" s="16" t="s">
        <v>638</v>
      </c>
      <c r="B18" s="110" t="s">
        <v>639</v>
      </c>
      <c r="C18" s="110" t="s">
        <v>218</v>
      </c>
      <c r="D18" s="110" t="s">
        <v>188</v>
      </c>
      <c r="E18" s="110" t="s">
        <v>125</v>
      </c>
      <c r="F18" s="66">
        <v>1</v>
      </c>
      <c r="G18" s="63">
        <v>19642</v>
      </c>
      <c r="H18" s="90">
        <v>75.111000000000004</v>
      </c>
      <c r="I18" s="24">
        <v>0</v>
      </c>
      <c r="J18" s="32">
        <v>1.312967753939533</v>
      </c>
      <c r="K18" s="24">
        <v>7.2430266099895904E-4</v>
      </c>
      <c r="L18" s="14"/>
      <c r="M18" s="14"/>
      <c r="N18" s="14"/>
      <c r="O18" s="14"/>
    </row>
    <row r="19" spans="1:15" s="112" customFormat="1" x14ac:dyDescent="0.25">
      <c r="A19" s="89" t="s">
        <v>640</v>
      </c>
      <c r="B19" s="124" t="s">
        <v>248</v>
      </c>
      <c r="C19" s="124" t="s">
        <v>248</v>
      </c>
      <c r="D19" s="124" t="s">
        <v>248</v>
      </c>
      <c r="E19" s="124" t="s">
        <v>248</v>
      </c>
      <c r="F19" s="128" t="s">
        <v>248</v>
      </c>
      <c r="G19" s="115" t="s">
        <v>248</v>
      </c>
      <c r="H19" s="117">
        <v>0</v>
      </c>
      <c r="I19" s="130"/>
      <c r="J19" s="114">
        <v>0</v>
      </c>
      <c r="K19" s="130">
        <v>0</v>
      </c>
    </row>
    <row r="20" spans="1:15" s="112" customFormat="1" x14ac:dyDescent="0.25">
      <c r="A20" s="89" t="s">
        <v>635</v>
      </c>
      <c r="B20" s="124" t="s">
        <v>248</v>
      </c>
      <c r="C20" s="124" t="s">
        <v>248</v>
      </c>
      <c r="D20" s="124" t="s">
        <v>248</v>
      </c>
      <c r="E20" s="124" t="s">
        <v>248</v>
      </c>
      <c r="F20" s="128" t="s">
        <v>248</v>
      </c>
      <c r="G20" s="115" t="s">
        <v>248</v>
      </c>
      <c r="H20" s="117">
        <v>0</v>
      </c>
      <c r="I20" s="130"/>
      <c r="J20" s="114">
        <v>0</v>
      </c>
      <c r="K20" s="130">
        <v>0</v>
      </c>
    </row>
    <row r="21" spans="1:15" s="112" customFormat="1" x14ac:dyDescent="0.25">
      <c r="A21" s="89" t="s">
        <v>641</v>
      </c>
      <c r="B21" s="124" t="s">
        <v>248</v>
      </c>
      <c r="C21" s="124" t="s">
        <v>248</v>
      </c>
      <c r="D21" s="124" t="s">
        <v>248</v>
      </c>
      <c r="E21" s="124" t="s">
        <v>248</v>
      </c>
      <c r="F21" s="128" t="s">
        <v>248</v>
      </c>
      <c r="G21" s="115" t="s">
        <v>248</v>
      </c>
      <c r="H21" s="117">
        <v>0</v>
      </c>
      <c r="I21" s="130"/>
      <c r="J21" s="114">
        <v>0</v>
      </c>
      <c r="K21" s="130">
        <v>0</v>
      </c>
    </row>
    <row r="22" spans="1:15" s="112" customFormat="1" x14ac:dyDescent="0.25">
      <c r="A22" s="89" t="s">
        <v>141</v>
      </c>
      <c r="B22" s="124" t="s">
        <v>248</v>
      </c>
      <c r="C22" s="124" t="s">
        <v>248</v>
      </c>
      <c r="D22" s="124" t="s">
        <v>248</v>
      </c>
      <c r="E22" s="124" t="s">
        <v>248</v>
      </c>
      <c r="F22" s="128" t="s">
        <v>248</v>
      </c>
      <c r="G22" s="115" t="s">
        <v>248</v>
      </c>
      <c r="H22" s="117">
        <v>0</v>
      </c>
      <c r="I22" s="130"/>
      <c r="J22" s="114">
        <v>0</v>
      </c>
      <c r="K22" s="130">
        <v>0</v>
      </c>
    </row>
    <row r="23" spans="1:15" s="112" customFormat="1" x14ac:dyDescent="0.25">
      <c r="A23" s="75" t="s">
        <v>241</v>
      </c>
      <c r="B23" s="118"/>
      <c r="C23" s="118"/>
      <c r="D23" s="118"/>
      <c r="E23" s="118"/>
      <c r="F23" s="119"/>
      <c r="G23" s="119"/>
      <c r="H23" s="119"/>
      <c r="I23" s="120"/>
      <c r="J23" s="121"/>
      <c r="K23" s="122"/>
      <c r="L23" s="141"/>
      <c r="M23" s="141"/>
      <c r="N23" s="123"/>
      <c r="O23" s="123"/>
    </row>
    <row r="24" spans="1:15" s="112" customFormat="1" x14ac:dyDescent="0.25">
      <c r="A24" s="75" t="s">
        <v>242</v>
      </c>
      <c r="B24" s="118"/>
      <c r="C24" s="118"/>
      <c r="D24" s="118"/>
      <c r="E24" s="118"/>
      <c r="F24" s="119"/>
      <c r="G24" s="119"/>
      <c r="H24" s="119"/>
      <c r="I24" s="120"/>
      <c r="J24" s="121"/>
      <c r="K24" s="122"/>
      <c r="L24" s="141"/>
      <c r="M24" s="141"/>
      <c r="N24" s="123"/>
      <c r="O24" s="123"/>
    </row>
    <row r="25" spans="1:15" s="112" customFormat="1" x14ac:dyDescent="0.25">
      <c r="A25" s="75" t="s">
        <v>243</v>
      </c>
      <c r="B25" s="118"/>
      <c r="C25" s="118"/>
      <c r="D25" s="118"/>
      <c r="E25" s="118"/>
      <c r="F25" s="119"/>
      <c r="G25" s="119"/>
      <c r="H25" s="119"/>
      <c r="I25" s="120"/>
      <c r="J25" s="121"/>
      <c r="K25" s="122"/>
      <c r="L25" s="141"/>
      <c r="M25" s="141"/>
      <c r="N25" s="123"/>
      <c r="O25" s="123"/>
    </row>
    <row r="26" spans="1:15" s="112" customFormat="1" x14ac:dyDescent="0.25">
      <c r="A26" s="75" t="s">
        <v>244</v>
      </c>
      <c r="B26" s="118"/>
      <c r="C26" s="118"/>
      <c r="D26" s="118"/>
      <c r="E26" s="118"/>
      <c r="F26" s="119"/>
      <c r="G26" s="119"/>
      <c r="H26" s="119"/>
      <c r="I26" s="120"/>
      <c r="J26" s="121"/>
      <c r="K26" s="122"/>
      <c r="L26" s="141"/>
      <c r="M26" s="141"/>
      <c r="N26" s="123"/>
      <c r="O26" s="123"/>
    </row>
    <row r="27" spans="1:15" s="112" customFormat="1" x14ac:dyDescent="0.25">
      <c r="A27" s="75" t="s">
        <v>245</v>
      </c>
      <c r="B27" s="118"/>
      <c r="C27" s="118"/>
      <c r="D27" s="118"/>
      <c r="E27" s="118"/>
      <c r="F27" s="119"/>
      <c r="G27" s="119"/>
      <c r="H27" s="119"/>
      <c r="I27" s="120"/>
      <c r="J27" s="121"/>
      <c r="K27" s="122"/>
      <c r="L27" s="141"/>
      <c r="M27" s="141"/>
      <c r="N27" s="123"/>
      <c r="O27" s="123"/>
    </row>
  </sheetData>
  <mergeCells count="2">
    <mergeCell ref="A5:K5"/>
    <mergeCell ref="A4:K4"/>
  </mergeCells>
  <phoneticPr fontId="3" type="noConversion"/>
  <conditionalFormatting sqref="A9:A22 I9:I22">
    <cfRule type="expression" dxfId="89" priority="196" stopIfTrue="1">
      <formula>LEFT(#REF!,3)="TIR"</formula>
    </cfRule>
  </conditionalFormatting>
  <conditionalFormatting sqref="B9:F22 J9:K22">
    <cfRule type="expression" dxfId="88" priority="193" stopIfTrue="1">
      <formula>LEFT(#REF!,3)="TIR"</formula>
    </cfRule>
  </conditionalFormatting>
  <conditionalFormatting sqref="I9:I22 A9:A22">
    <cfRule type="expression" dxfId="87" priority="195" stopIfTrue="1">
      <formula>#REF!&gt;0</formula>
    </cfRule>
  </conditionalFormatting>
  <conditionalFormatting sqref="J1:J3 F9:I22 I23:I55557">
    <cfRule type="expression" dxfId="86" priority="190" stopIfTrue="1">
      <formula>LEFT(#REF!,3)="TIR"</formula>
    </cfRule>
  </conditionalFormatting>
  <conditionalFormatting sqref="J10:K22 H10:H22">
    <cfRule type="expression" dxfId="85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21"/>
  <sheetViews>
    <sheetView rightToLeft="1" workbookViewId="0"/>
  </sheetViews>
  <sheetFormatPr defaultColWidth="9.109375" defaultRowHeight="13.2" x14ac:dyDescent="0.25"/>
  <cols>
    <col min="1" max="1" width="30.33203125" style="9" bestFit="1" customWidth="1"/>
    <col min="2" max="2" width="14.88671875" style="8" bestFit="1" customWidth="1"/>
    <col min="3" max="3" width="11.6640625" style="9" customWidth="1"/>
    <col min="4" max="4" width="11" style="9" customWidth="1"/>
    <col min="5" max="5" width="10.88671875" style="57" bestFit="1" customWidth="1"/>
    <col min="6" max="6" width="12.33203125" style="10" bestFit="1" customWidth="1"/>
    <col min="7" max="7" width="7.5546875" style="10" bestFit="1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7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7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9"/>
      <c r="D3" s="9"/>
      <c r="E3" s="57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13" t="s">
        <v>11</v>
      </c>
      <c r="B4" s="214"/>
      <c r="C4" s="214"/>
      <c r="D4" s="214"/>
      <c r="E4" s="214"/>
      <c r="F4" s="214"/>
      <c r="G4" s="214"/>
      <c r="H4" s="214"/>
      <c r="I4" s="214"/>
      <c r="J4" s="215"/>
      <c r="K4" s="11"/>
      <c r="L4" s="11"/>
      <c r="M4" s="13"/>
      <c r="N4" s="12"/>
      <c r="O4" s="12"/>
      <c r="P4" s="14"/>
    </row>
    <row r="5" spans="1:16" s="7" customFormat="1" x14ac:dyDescent="0.25">
      <c r="A5" s="216" t="s">
        <v>25</v>
      </c>
      <c r="B5" s="217"/>
      <c r="C5" s="217"/>
      <c r="D5" s="217"/>
      <c r="E5" s="217"/>
      <c r="F5" s="217"/>
      <c r="G5" s="217"/>
      <c r="H5" s="217"/>
      <c r="I5" s="217"/>
      <c r="J5" s="218"/>
      <c r="K5" s="11"/>
      <c r="L5" s="11"/>
    </row>
    <row r="6" spans="1:16" s="7" customFormat="1" x14ac:dyDescent="0.25">
      <c r="A6" s="83" t="s">
        <v>157</v>
      </c>
      <c r="B6" s="197" t="s">
        <v>69</v>
      </c>
      <c r="C6" s="197" t="s">
        <v>76</v>
      </c>
      <c r="D6" s="197" t="s">
        <v>19</v>
      </c>
      <c r="E6" s="197" t="s">
        <v>6</v>
      </c>
      <c r="F6" s="198" t="s">
        <v>67</v>
      </c>
      <c r="G6" s="198" t="s">
        <v>68</v>
      </c>
      <c r="H6" s="198" t="s">
        <v>7</v>
      </c>
      <c r="I6" s="86" t="s">
        <v>75</v>
      </c>
      <c r="J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5">
        <v>8</v>
      </c>
      <c r="J8" s="43">
        <v>9</v>
      </c>
    </row>
    <row r="9" spans="1:16" s="112" customFormat="1" ht="12.75" customHeight="1" thickBot="1" x14ac:dyDescent="0.3">
      <c r="A9" s="142" t="s">
        <v>62</v>
      </c>
      <c r="B9" s="67"/>
      <c r="C9" s="67"/>
      <c r="D9" s="67"/>
      <c r="E9" s="143"/>
      <c r="F9" s="144"/>
      <c r="G9" s="143"/>
      <c r="H9" s="146">
        <v>-230.90039979999978</v>
      </c>
      <c r="I9" s="67">
        <v>1</v>
      </c>
      <c r="J9" s="79">
        <v>-2.2265949594714933E-3</v>
      </c>
    </row>
    <row r="10" spans="1:16" s="112" customFormat="1" x14ac:dyDescent="0.25">
      <c r="A10" s="88" t="s">
        <v>137</v>
      </c>
      <c r="B10" s="124" t="s">
        <v>248</v>
      </c>
      <c r="C10" s="124" t="s">
        <v>248</v>
      </c>
      <c r="D10" s="124" t="s">
        <v>248</v>
      </c>
      <c r="E10" s="124" t="s">
        <v>248</v>
      </c>
      <c r="F10" s="126" t="s">
        <v>248</v>
      </c>
      <c r="G10" s="115" t="s">
        <v>248</v>
      </c>
      <c r="H10" s="116">
        <v>0</v>
      </c>
      <c r="I10" s="114">
        <v>0</v>
      </c>
      <c r="J10" s="114">
        <v>0</v>
      </c>
    </row>
    <row r="11" spans="1:16" s="112" customFormat="1" x14ac:dyDescent="0.25">
      <c r="A11" s="89" t="s">
        <v>415</v>
      </c>
      <c r="B11" s="124" t="s">
        <v>248</v>
      </c>
      <c r="C11" s="124" t="s">
        <v>248</v>
      </c>
      <c r="D11" s="124" t="s">
        <v>248</v>
      </c>
      <c r="E11" s="124" t="s">
        <v>248</v>
      </c>
      <c r="F11" s="128" t="s">
        <v>248</v>
      </c>
      <c r="G11" s="129" t="s">
        <v>248</v>
      </c>
      <c r="H11" s="117">
        <v>-230.90039990000008</v>
      </c>
      <c r="I11" s="114">
        <v>1.0000000004330885</v>
      </c>
      <c r="J11" s="114">
        <v>-2.2265949604358057E-3</v>
      </c>
    </row>
    <row r="12" spans="1:16" x14ac:dyDescent="0.25">
      <c r="A12" s="16" t="s">
        <v>642</v>
      </c>
      <c r="B12" s="110" t="s">
        <v>643</v>
      </c>
      <c r="C12" s="110" t="s">
        <v>644</v>
      </c>
      <c r="D12" s="110" t="s">
        <v>188</v>
      </c>
      <c r="E12" s="110" t="s">
        <v>126</v>
      </c>
      <c r="F12" s="66">
        <v>9</v>
      </c>
      <c r="G12" s="58">
        <v>4204</v>
      </c>
      <c r="H12" s="81">
        <v>1533.5309099999999</v>
      </c>
      <c r="I12" s="32">
        <v>-6.6415255726205169</v>
      </c>
      <c r="J12" s="32">
        <v>1.4787987363197867E-2</v>
      </c>
      <c r="K12" s="14"/>
      <c r="L12" s="14"/>
      <c r="M12" s="14"/>
      <c r="N12" s="14"/>
      <c r="O12" s="14"/>
    </row>
    <row r="13" spans="1:16" x14ac:dyDescent="0.25">
      <c r="A13" s="16" t="s">
        <v>645</v>
      </c>
      <c r="B13" s="110" t="s">
        <v>646</v>
      </c>
      <c r="C13" s="110" t="s">
        <v>644</v>
      </c>
      <c r="D13" s="110" t="s">
        <v>188</v>
      </c>
      <c r="E13" s="110" t="s">
        <v>126</v>
      </c>
      <c r="F13" s="66">
        <v>-385191</v>
      </c>
      <c r="G13" s="58">
        <v>1</v>
      </c>
      <c r="H13" s="81">
        <v>-1561.2176399999998</v>
      </c>
      <c r="I13" s="32">
        <v>6.7614332472022047</v>
      </c>
      <c r="J13" s="32">
        <v>-1.50549731870234E-2</v>
      </c>
      <c r="K13" s="14"/>
      <c r="L13" s="14"/>
      <c r="M13" s="14"/>
      <c r="N13" s="14"/>
      <c r="O13" s="14"/>
    </row>
    <row r="14" spans="1:16" x14ac:dyDescent="0.25">
      <c r="A14" s="16" t="s">
        <v>647</v>
      </c>
      <c r="B14" s="110" t="s">
        <v>648</v>
      </c>
      <c r="C14" s="110" t="s">
        <v>649</v>
      </c>
      <c r="D14" s="110" t="s">
        <v>188</v>
      </c>
      <c r="E14" s="110" t="s">
        <v>125</v>
      </c>
      <c r="F14" s="66">
        <v>5</v>
      </c>
      <c r="G14" s="58">
        <v>4325.5</v>
      </c>
      <c r="H14" s="81">
        <v>4135.1779999999999</v>
      </c>
      <c r="I14" s="32">
        <v>-17.908925249076177</v>
      </c>
      <c r="J14" s="32">
        <v>3.987592268914477E-2</v>
      </c>
      <c r="K14" s="14"/>
      <c r="L14" s="14"/>
      <c r="M14" s="14"/>
      <c r="N14" s="14"/>
      <c r="O14" s="14"/>
    </row>
    <row r="15" spans="1:16" x14ac:dyDescent="0.25">
      <c r="A15" s="16" t="s">
        <v>650</v>
      </c>
      <c r="B15" s="110" t="s">
        <v>651</v>
      </c>
      <c r="C15" s="110" t="s">
        <v>649</v>
      </c>
      <c r="D15" s="110" t="s">
        <v>188</v>
      </c>
      <c r="E15" s="110" t="s">
        <v>125</v>
      </c>
      <c r="F15" s="66">
        <v>-1128419.76</v>
      </c>
      <c r="G15" s="58">
        <v>1</v>
      </c>
      <c r="H15" s="81">
        <v>-4315.0771599999998</v>
      </c>
      <c r="I15" s="32">
        <v>18.688045424510367</v>
      </c>
      <c r="J15" s="32">
        <v>-4.1610707744589082E-2</v>
      </c>
      <c r="K15" s="14"/>
      <c r="L15" s="14"/>
      <c r="M15" s="14"/>
      <c r="N15" s="14"/>
      <c r="O15" s="14"/>
    </row>
    <row r="16" spans="1:16" x14ac:dyDescent="0.25">
      <c r="A16" s="16" t="s">
        <v>652</v>
      </c>
      <c r="B16" s="110" t="s">
        <v>653</v>
      </c>
      <c r="C16" s="110" t="s">
        <v>654</v>
      </c>
      <c r="D16" s="110" t="s">
        <v>188</v>
      </c>
      <c r="E16" s="110" t="s">
        <v>125</v>
      </c>
      <c r="F16" s="66">
        <v>3.1918137603834258</v>
      </c>
      <c r="G16" s="58">
        <v>111.5625</v>
      </c>
      <c r="H16" s="81">
        <v>-23.314509999999999</v>
      </c>
      <c r="I16" s="32">
        <v>0.10097215085029931</v>
      </c>
      <c r="J16" s="32">
        <v>-2.248240821302717E-4</v>
      </c>
      <c r="K16" s="14"/>
      <c r="L16" s="14"/>
      <c r="M16" s="14"/>
      <c r="N16" s="14"/>
      <c r="O16" s="14"/>
    </row>
    <row r="17" spans="1:15" s="112" customFormat="1" x14ac:dyDescent="0.25">
      <c r="A17" s="75" t="s">
        <v>241</v>
      </c>
      <c r="B17" s="118"/>
      <c r="C17" s="75"/>
      <c r="D17" s="75"/>
      <c r="E17" s="119"/>
      <c r="F17" s="139"/>
      <c r="G17" s="139"/>
      <c r="H17" s="140"/>
      <c r="I17" s="140"/>
      <c r="J17" s="123"/>
      <c r="K17" s="141"/>
      <c r="L17" s="141"/>
      <c r="M17" s="141"/>
      <c r="N17" s="123"/>
      <c r="O17" s="123"/>
    </row>
    <row r="18" spans="1:15" s="112" customFormat="1" x14ac:dyDescent="0.25">
      <c r="A18" s="75" t="s">
        <v>242</v>
      </c>
      <c r="B18" s="118"/>
      <c r="C18" s="75"/>
      <c r="D18" s="75"/>
      <c r="E18" s="119"/>
      <c r="F18" s="139"/>
      <c r="G18" s="139"/>
      <c r="H18" s="140"/>
      <c r="I18" s="140"/>
      <c r="J18" s="123"/>
      <c r="K18" s="141"/>
      <c r="L18" s="141"/>
      <c r="M18" s="141"/>
      <c r="N18" s="123"/>
      <c r="O18" s="123"/>
    </row>
    <row r="19" spans="1:15" s="112" customFormat="1" x14ac:dyDescent="0.25">
      <c r="A19" s="75" t="s">
        <v>243</v>
      </c>
      <c r="B19" s="118"/>
      <c r="C19" s="75"/>
      <c r="D19" s="75"/>
      <c r="E19" s="119"/>
      <c r="F19" s="139"/>
      <c r="G19" s="139"/>
      <c r="H19" s="140"/>
      <c r="I19" s="140"/>
      <c r="J19" s="123"/>
      <c r="K19" s="141"/>
      <c r="L19" s="141"/>
      <c r="M19" s="141"/>
      <c r="N19" s="123"/>
      <c r="O19" s="123"/>
    </row>
    <row r="20" spans="1:15" s="112" customFormat="1" x14ac:dyDescent="0.25">
      <c r="A20" s="75" t="s">
        <v>244</v>
      </c>
      <c r="B20" s="118"/>
      <c r="C20" s="75"/>
      <c r="D20" s="75"/>
      <c r="E20" s="119"/>
      <c r="F20" s="139"/>
      <c r="G20" s="139"/>
      <c r="H20" s="140"/>
      <c r="I20" s="140"/>
      <c r="J20" s="123"/>
      <c r="K20" s="141"/>
      <c r="L20" s="141"/>
      <c r="M20" s="141"/>
      <c r="N20" s="123"/>
      <c r="O20" s="123"/>
    </row>
    <row r="21" spans="1:15" s="112" customFormat="1" x14ac:dyDescent="0.25">
      <c r="A21" s="75" t="s">
        <v>245</v>
      </c>
      <c r="B21" s="118"/>
      <c r="C21" s="75"/>
      <c r="D21" s="75"/>
      <c r="E21" s="119"/>
      <c r="F21" s="139"/>
      <c r="G21" s="139"/>
      <c r="H21" s="140"/>
      <c r="I21" s="140"/>
      <c r="J21" s="123"/>
      <c r="K21" s="141"/>
      <c r="L21" s="141"/>
      <c r="M21" s="141"/>
      <c r="N21" s="123"/>
      <c r="O21" s="123"/>
    </row>
  </sheetData>
  <mergeCells count="2">
    <mergeCell ref="A5:J5"/>
    <mergeCell ref="A4:J4"/>
  </mergeCells>
  <phoneticPr fontId="3" type="noConversion"/>
  <conditionalFormatting sqref="B9:E16 I9:J16">
    <cfRule type="expression" dxfId="84" priority="219" stopIfTrue="1">
      <formula>LEFT(#REF!,3)="TIR"</formula>
    </cfRule>
  </conditionalFormatting>
  <conditionalFormatting sqref="H9:I9 A9:A16 I10:I16">
    <cfRule type="expression" dxfId="83" priority="222" stopIfTrue="1">
      <formula>LEFT(#REF!,3)="TIR"</formula>
    </cfRule>
  </conditionalFormatting>
  <conditionalFormatting sqref="H9:I9 I10:I16 A9:A16">
    <cfRule type="expression" dxfId="82" priority="221" stopIfTrue="1">
      <formula>#REF!&gt;0</formula>
    </cfRule>
  </conditionalFormatting>
  <conditionalFormatting sqref="H10:I16">
    <cfRule type="expression" dxfId="81" priority="228" stopIfTrue="1">
      <formula>#REF!&gt;0</formula>
    </cfRule>
    <cfRule type="expression" dxfId="80" priority="229" stopIfTrue="1">
      <formula>OR(LEFT(#REF!,3)="TIR",LEFT(#REF!,2)="IR")</formula>
    </cfRule>
  </conditionalFormatting>
  <conditionalFormatting sqref="J1:J3 F9:G16 J17:J55551">
    <cfRule type="expression" dxfId="79" priority="216" stopIfTrue="1">
      <formula>LEFT(#REF!,3)="TIR"</formula>
    </cfRule>
  </conditionalFormatting>
  <conditionalFormatting sqref="J10:J16">
    <cfRule type="expression" dxfId="78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13" t="s">
        <v>11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5"/>
    </row>
    <row r="5" spans="1:16" s="7" customFormat="1" x14ac:dyDescent="0.25">
      <c r="A5" s="216" t="s">
        <v>26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8"/>
    </row>
    <row r="6" spans="1:16" s="7" customFormat="1" ht="31.5" customHeight="1" x14ac:dyDescent="0.25">
      <c r="A6" s="83" t="s">
        <v>157</v>
      </c>
      <c r="B6" s="197" t="s">
        <v>69</v>
      </c>
      <c r="C6" s="197" t="s">
        <v>27</v>
      </c>
      <c r="D6" s="197" t="s">
        <v>70</v>
      </c>
      <c r="E6" s="197" t="s">
        <v>5</v>
      </c>
      <c r="F6" s="197" t="s">
        <v>13</v>
      </c>
      <c r="G6" s="197" t="s">
        <v>14</v>
      </c>
      <c r="H6" s="197" t="s">
        <v>6</v>
      </c>
      <c r="I6" s="198" t="s">
        <v>66</v>
      </c>
      <c r="J6" s="198" t="s">
        <v>71</v>
      </c>
      <c r="K6" s="198" t="s">
        <v>67</v>
      </c>
      <c r="L6" s="198" t="s">
        <v>68</v>
      </c>
      <c r="M6" s="198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50"/>
      <c r="F7" s="50" t="s">
        <v>40</v>
      </c>
      <c r="G7" s="50" t="s">
        <v>16</v>
      </c>
      <c r="H7" s="29"/>
      <c r="I7" s="46" t="s">
        <v>9</v>
      </c>
      <c r="J7" s="46" t="s">
        <v>9</v>
      </c>
      <c r="K7" s="2" t="s">
        <v>133</v>
      </c>
      <c r="L7" s="46"/>
      <c r="M7" s="2" t="s">
        <v>135</v>
      </c>
      <c r="N7" s="53" t="s">
        <v>9</v>
      </c>
      <c r="O7" s="53" t="s">
        <v>9</v>
      </c>
      <c r="P7" s="52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2" customFormat="1" ht="12.75" customHeight="1" thickBot="1" x14ac:dyDescent="0.3">
      <c r="A9" s="96" t="s">
        <v>57</v>
      </c>
      <c r="B9" s="64"/>
      <c r="C9" s="64"/>
      <c r="D9" s="97"/>
      <c r="E9" s="97"/>
      <c r="F9" s="97"/>
      <c r="G9" s="97"/>
      <c r="H9" s="97"/>
      <c r="I9" s="64"/>
      <c r="J9" s="64"/>
      <c r="K9" s="98"/>
      <c r="L9" s="97"/>
      <c r="M9" s="101">
        <v>1.2000000000000002E-6</v>
      </c>
      <c r="N9" s="64"/>
      <c r="O9" s="64">
        <v>1</v>
      </c>
      <c r="P9" s="78">
        <v>0</v>
      </c>
    </row>
    <row r="10" spans="1:16" s="112" customFormat="1" x14ac:dyDescent="0.25">
      <c r="A10" s="88" t="s">
        <v>137</v>
      </c>
      <c r="B10" s="124" t="s">
        <v>248</v>
      </c>
      <c r="C10" s="124" t="s">
        <v>248</v>
      </c>
      <c r="D10" s="124" t="s">
        <v>248</v>
      </c>
      <c r="E10" s="124" t="s">
        <v>248</v>
      </c>
      <c r="F10" s="124" t="s">
        <v>248</v>
      </c>
      <c r="G10" s="125" t="s">
        <v>248</v>
      </c>
      <c r="H10" s="125" t="s">
        <v>248</v>
      </c>
      <c r="I10" s="124" t="s">
        <v>248</v>
      </c>
      <c r="J10" s="124" t="s">
        <v>248</v>
      </c>
      <c r="K10" s="126" t="s">
        <v>248</v>
      </c>
      <c r="L10" s="115" t="s">
        <v>248</v>
      </c>
      <c r="M10" s="116">
        <v>0</v>
      </c>
      <c r="N10" s="114" t="s">
        <v>248</v>
      </c>
      <c r="O10" s="114">
        <v>0</v>
      </c>
      <c r="P10" s="114">
        <v>0</v>
      </c>
    </row>
    <row r="11" spans="1:16" s="112" customFormat="1" x14ac:dyDescent="0.25">
      <c r="A11" s="89" t="s">
        <v>655</v>
      </c>
      <c r="B11" s="124" t="s">
        <v>248</v>
      </c>
      <c r="C11" s="124" t="s">
        <v>248</v>
      </c>
      <c r="D11" s="124" t="s">
        <v>248</v>
      </c>
      <c r="E11" s="124" t="s">
        <v>248</v>
      </c>
      <c r="F11" s="124" t="s">
        <v>248</v>
      </c>
      <c r="G11" s="125" t="s">
        <v>248</v>
      </c>
      <c r="H11" s="125" t="s">
        <v>248</v>
      </c>
      <c r="I11" s="124" t="s">
        <v>248</v>
      </c>
      <c r="J11" s="124" t="s">
        <v>248</v>
      </c>
      <c r="K11" s="128" t="s">
        <v>248</v>
      </c>
      <c r="L11" s="129" t="s">
        <v>248</v>
      </c>
      <c r="M11" s="117">
        <v>0</v>
      </c>
      <c r="N11" s="130"/>
      <c r="O11" s="130">
        <v>0</v>
      </c>
      <c r="P11" s="130">
        <v>0</v>
      </c>
    </row>
    <row r="12" spans="1:16" s="112" customFormat="1" x14ac:dyDescent="0.25">
      <c r="A12" s="89" t="s">
        <v>656</v>
      </c>
      <c r="B12" s="124" t="s">
        <v>248</v>
      </c>
      <c r="C12" s="124" t="s">
        <v>248</v>
      </c>
      <c r="D12" s="124" t="s">
        <v>248</v>
      </c>
      <c r="E12" s="124" t="s">
        <v>248</v>
      </c>
      <c r="F12" s="124" t="s">
        <v>248</v>
      </c>
      <c r="G12" s="125" t="s">
        <v>248</v>
      </c>
      <c r="H12" s="125" t="s">
        <v>248</v>
      </c>
      <c r="I12" s="124" t="s">
        <v>248</v>
      </c>
      <c r="J12" s="124" t="s">
        <v>248</v>
      </c>
      <c r="K12" s="128" t="s">
        <v>248</v>
      </c>
      <c r="L12" s="129" t="s">
        <v>248</v>
      </c>
      <c r="M12" s="117">
        <v>0</v>
      </c>
      <c r="N12" s="130"/>
      <c r="O12" s="130">
        <v>0</v>
      </c>
      <c r="P12" s="130">
        <v>0</v>
      </c>
    </row>
    <row r="13" spans="1:16" s="112" customFormat="1" x14ac:dyDescent="0.25">
      <c r="A13" s="89" t="s">
        <v>657</v>
      </c>
      <c r="B13" s="124" t="s">
        <v>248</v>
      </c>
      <c r="C13" s="124" t="s">
        <v>248</v>
      </c>
      <c r="D13" s="124" t="s">
        <v>248</v>
      </c>
      <c r="E13" s="124" t="s">
        <v>248</v>
      </c>
      <c r="F13" s="124" t="s">
        <v>248</v>
      </c>
      <c r="G13" s="125" t="s">
        <v>248</v>
      </c>
      <c r="H13" s="125" t="s">
        <v>248</v>
      </c>
      <c r="I13" s="124" t="s">
        <v>248</v>
      </c>
      <c r="J13" s="124" t="s">
        <v>248</v>
      </c>
      <c r="K13" s="128" t="s">
        <v>248</v>
      </c>
      <c r="L13" s="129" t="s">
        <v>248</v>
      </c>
      <c r="M13" s="117">
        <v>0</v>
      </c>
      <c r="N13" s="130"/>
      <c r="O13" s="130">
        <v>0</v>
      </c>
      <c r="P13" s="130">
        <v>0</v>
      </c>
    </row>
    <row r="14" spans="1:16" s="112" customFormat="1" x14ac:dyDescent="0.25">
      <c r="A14" s="89" t="s">
        <v>658</v>
      </c>
      <c r="B14" s="124" t="s">
        <v>248</v>
      </c>
      <c r="C14" s="124" t="s">
        <v>248</v>
      </c>
      <c r="D14" s="124" t="s">
        <v>248</v>
      </c>
      <c r="E14" s="124" t="s">
        <v>248</v>
      </c>
      <c r="F14" s="124" t="s">
        <v>248</v>
      </c>
      <c r="G14" s="125" t="s">
        <v>248</v>
      </c>
      <c r="H14" s="125" t="s">
        <v>248</v>
      </c>
      <c r="I14" s="124" t="s">
        <v>248</v>
      </c>
      <c r="J14" s="124" t="s">
        <v>248</v>
      </c>
      <c r="K14" s="128" t="s">
        <v>248</v>
      </c>
      <c r="L14" s="129" t="s">
        <v>248</v>
      </c>
      <c r="M14" s="117">
        <v>0</v>
      </c>
      <c r="N14" s="130"/>
      <c r="O14" s="130">
        <v>0</v>
      </c>
      <c r="P14" s="130">
        <v>0</v>
      </c>
    </row>
    <row r="15" spans="1:16" s="112" customFormat="1" x14ac:dyDescent="0.25">
      <c r="A15" s="89" t="s">
        <v>659</v>
      </c>
      <c r="B15" s="124" t="s">
        <v>248</v>
      </c>
      <c r="C15" s="124" t="s">
        <v>248</v>
      </c>
      <c r="D15" s="124" t="s">
        <v>248</v>
      </c>
      <c r="E15" s="124" t="s">
        <v>248</v>
      </c>
      <c r="F15" s="124" t="s">
        <v>248</v>
      </c>
      <c r="G15" s="125" t="s">
        <v>248</v>
      </c>
      <c r="H15" s="125" t="s">
        <v>248</v>
      </c>
      <c r="I15" s="124" t="s">
        <v>248</v>
      </c>
      <c r="J15" s="124" t="s">
        <v>248</v>
      </c>
      <c r="K15" s="128" t="s">
        <v>248</v>
      </c>
      <c r="L15" s="129" t="s">
        <v>248</v>
      </c>
      <c r="M15" s="117">
        <v>0</v>
      </c>
      <c r="N15" s="130"/>
      <c r="O15" s="130">
        <v>0</v>
      </c>
      <c r="P15" s="130">
        <v>0</v>
      </c>
    </row>
    <row r="16" spans="1:16" s="112" customFormat="1" x14ac:dyDescent="0.25">
      <c r="A16" s="89" t="s">
        <v>660</v>
      </c>
      <c r="B16" s="124" t="s">
        <v>248</v>
      </c>
      <c r="C16" s="124" t="s">
        <v>248</v>
      </c>
      <c r="D16" s="124" t="s">
        <v>248</v>
      </c>
      <c r="E16" s="124" t="s">
        <v>248</v>
      </c>
      <c r="F16" s="124" t="s">
        <v>248</v>
      </c>
      <c r="G16" s="125" t="s">
        <v>248</v>
      </c>
      <c r="H16" s="125" t="s">
        <v>248</v>
      </c>
      <c r="I16" s="124" t="s">
        <v>248</v>
      </c>
      <c r="J16" s="124" t="s">
        <v>248</v>
      </c>
      <c r="K16" s="128" t="s">
        <v>248</v>
      </c>
      <c r="L16" s="129" t="s">
        <v>248</v>
      </c>
      <c r="M16" s="117">
        <v>0</v>
      </c>
      <c r="N16" s="130"/>
      <c r="O16" s="130">
        <v>0</v>
      </c>
      <c r="P16" s="130">
        <v>0</v>
      </c>
    </row>
    <row r="17" spans="1:16" s="112" customFormat="1" x14ac:dyDescent="0.25">
      <c r="A17" s="89" t="s">
        <v>661</v>
      </c>
      <c r="B17" s="124" t="s">
        <v>248</v>
      </c>
      <c r="C17" s="124" t="s">
        <v>248</v>
      </c>
      <c r="D17" s="124" t="s">
        <v>248</v>
      </c>
      <c r="E17" s="124" t="s">
        <v>248</v>
      </c>
      <c r="F17" s="124" t="s">
        <v>248</v>
      </c>
      <c r="G17" s="125" t="s">
        <v>248</v>
      </c>
      <c r="H17" s="125" t="s">
        <v>248</v>
      </c>
      <c r="I17" s="124" t="s">
        <v>248</v>
      </c>
      <c r="J17" s="124" t="s">
        <v>248</v>
      </c>
      <c r="K17" s="128" t="s">
        <v>248</v>
      </c>
      <c r="L17" s="129" t="s">
        <v>248</v>
      </c>
      <c r="M17" s="117">
        <v>0</v>
      </c>
      <c r="N17" s="130"/>
      <c r="O17" s="130">
        <v>0</v>
      </c>
      <c r="P17" s="130">
        <v>0</v>
      </c>
    </row>
    <row r="18" spans="1:16" s="112" customFormat="1" x14ac:dyDescent="0.25">
      <c r="A18" s="89" t="s">
        <v>415</v>
      </c>
      <c r="B18" s="124" t="s">
        <v>248</v>
      </c>
      <c r="C18" s="124" t="s">
        <v>248</v>
      </c>
      <c r="D18" s="124" t="s">
        <v>248</v>
      </c>
      <c r="E18" s="124" t="s">
        <v>248</v>
      </c>
      <c r="F18" s="124" t="s">
        <v>248</v>
      </c>
      <c r="G18" s="125" t="s">
        <v>248</v>
      </c>
      <c r="H18" s="125" t="s">
        <v>248</v>
      </c>
      <c r="I18" s="124" t="s">
        <v>248</v>
      </c>
      <c r="J18" s="124" t="s">
        <v>248</v>
      </c>
      <c r="K18" s="128" t="s">
        <v>248</v>
      </c>
      <c r="L18" s="129" t="s">
        <v>248</v>
      </c>
      <c r="M18" s="117">
        <v>0</v>
      </c>
      <c r="N18" s="130"/>
      <c r="O18" s="130">
        <v>0</v>
      </c>
      <c r="P18" s="130">
        <v>0</v>
      </c>
    </row>
    <row r="19" spans="1:16" s="112" customFormat="1" x14ac:dyDescent="0.25">
      <c r="A19" s="89" t="s">
        <v>662</v>
      </c>
      <c r="B19" s="124" t="s">
        <v>248</v>
      </c>
      <c r="C19" s="124" t="s">
        <v>248</v>
      </c>
      <c r="D19" s="124" t="s">
        <v>248</v>
      </c>
      <c r="E19" s="124" t="s">
        <v>248</v>
      </c>
      <c r="F19" s="124" t="s">
        <v>248</v>
      </c>
      <c r="G19" s="125" t="s">
        <v>248</v>
      </c>
      <c r="H19" s="125" t="s">
        <v>248</v>
      </c>
      <c r="I19" s="124" t="s">
        <v>248</v>
      </c>
      <c r="J19" s="124" t="s">
        <v>248</v>
      </c>
      <c r="K19" s="128" t="s">
        <v>248</v>
      </c>
      <c r="L19" s="129" t="s">
        <v>248</v>
      </c>
      <c r="M19" s="117">
        <v>0</v>
      </c>
      <c r="N19" s="130"/>
      <c r="O19" s="130">
        <v>0</v>
      </c>
      <c r="P19" s="130">
        <v>0</v>
      </c>
    </row>
    <row r="20" spans="1:16" s="112" customFormat="1" x14ac:dyDescent="0.25">
      <c r="A20" s="89" t="s">
        <v>663</v>
      </c>
      <c r="B20" s="124" t="s">
        <v>248</v>
      </c>
      <c r="C20" s="124" t="s">
        <v>248</v>
      </c>
      <c r="D20" s="124" t="s">
        <v>248</v>
      </c>
      <c r="E20" s="124" t="s">
        <v>248</v>
      </c>
      <c r="F20" s="124" t="s">
        <v>248</v>
      </c>
      <c r="G20" s="125" t="s">
        <v>248</v>
      </c>
      <c r="H20" s="125" t="s">
        <v>248</v>
      </c>
      <c r="I20" s="124" t="s">
        <v>248</v>
      </c>
      <c r="J20" s="124" t="s">
        <v>248</v>
      </c>
      <c r="K20" s="128" t="s">
        <v>248</v>
      </c>
      <c r="L20" s="129" t="s">
        <v>248</v>
      </c>
      <c r="M20" s="117">
        <v>0</v>
      </c>
      <c r="N20" s="130"/>
      <c r="O20" s="130">
        <v>0</v>
      </c>
      <c r="P20" s="130">
        <v>0</v>
      </c>
    </row>
    <row r="21" spans="1:16" s="112" customFormat="1" x14ac:dyDescent="0.25">
      <c r="A21" s="89" t="s">
        <v>664</v>
      </c>
      <c r="B21" s="124" t="s">
        <v>248</v>
      </c>
      <c r="C21" s="124" t="s">
        <v>248</v>
      </c>
      <c r="D21" s="124" t="s">
        <v>248</v>
      </c>
      <c r="E21" s="124" t="s">
        <v>248</v>
      </c>
      <c r="F21" s="124" t="s">
        <v>248</v>
      </c>
      <c r="G21" s="125" t="s">
        <v>248</v>
      </c>
      <c r="H21" s="125" t="s">
        <v>248</v>
      </c>
      <c r="I21" s="124" t="s">
        <v>248</v>
      </c>
      <c r="J21" s="124" t="s">
        <v>248</v>
      </c>
      <c r="K21" s="128" t="s">
        <v>248</v>
      </c>
      <c r="L21" s="129" t="s">
        <v>248</v>
      </c>
      <c r="M21" s="117">
        <v>0</v>
      </c>
      <c r="N21" s="130"/>
      <c r="O21" s="130">
        <v>0</v>
      </c>
      <c r="P21" s="130">
        <v>0</v>
      </c>
    </row>
    <row r="22" spans="1:16" s="112" customFormat="1" x14ac:dyDescent="0.25">
      <c r="A22" s="89" t="s">
        <v>658</v>
      </c>
      <c r="B22" s="124" t="s">
        <v>248</v>
      </c>
      <c r="C22" s="124" t="s">
        <v>248</v>
      </c>
      <c r="D22" s="124" t="s">
        <v>248</v>
      </c>
      <c r="E22" s="124" t="s">
        <v>248</v>
      </c>
      <c r="F22" s="124" t="s">
        <v>248</v>
      </c>
      <c r="G22" s="125" t="s">
        <v>248</v>
      </c>
      <c r="H22" s="125" t="s">
        <v>248</v>
      </c>
      <c r="I22" s="124" t="s">
        <v>248</v>
      </c>
      <c r="J22" s="124" t="s">
        <v>248</v>
      </c>
      <c r="K22" s="128" t="s">
        <v>248</v>
      </c>
      <c r="L22" s="129" t="s">
        <v>248</v>
      </c>
      <c r="M22" s="117">
        <v>0</v>
      </c>
      <c r="N22" s="130"/>
      <c r="O22" s="130">
        <v>0</v>
      </c>
      <c r="P22" s="130">
        <v>0</v>
      </c>
    </row>
    <row r="23" spans="1:16" s="112" customFormat="1" x14ac:dyDescent="0.25">
      <c r="A23" s="89" t="s">
        <v>659</v>
      </c>
      <c r="B23" s="124" t="s">
        <v>248</v>
      </c>
      <c r="C23" s="124" t="s">
        <v>248</v>
      </c>
      <c r="D23" s="124" t="s">
        <v>248</v>
      </c>
      <c r="E23" s="124" t="s">
        <v>248</v>
      </c>
      <c r="F23" s="124" t="s">
        <v>248</v>
      </c>
      <c r="G23" s="125" t="s">
        <v>248</v>
      </c>
      <c r="H23" s="125" t="s">
        <v>248</v>
      </c>
      <c r="I23" s="124" t="s">
        <v>248</v>
      </c>
      <c r="J23" s="124" t="s">
        <v>248</v>
      </c>
      <c r="K23" s="128" t="s">
        <v>248</v>
      </c>
      <c r="L23" s="129" t="s">
        <v>248</v>
      </c>
      <c r="M23" s="117">
        <v>0</v>
      </c>
      <c r="N23" s="130"/>
      <c r="O23" s="130">
        <v>0</v>
      </c>
      <c r="P23" s="130">
        <v>0</v>
      </c>
    </row>
    <row r="24" spans="1:16" s="112" customFormat="1" x14ac:dyDescent="0.25">
      <c r="A24" s="89" t="s">
        <v>660</v>
      </c>
      <c r="B24" s="124" t="s">
        <v>248</v>
      </c>
      <c r="C24" s="124" t="s">
        <v>248</v>
      </c>
      <c r="D24" s="124" t="s">
        <v>248</v>
      </c>
      <c r="E24" s="124" t="s">
        <v>248</v>
      </c>
      <c r="F24" s="124" t="s">
        <v>248</v>
      </c>
      <c r="G24" s="125" t="s">
        <v>248</v>
      </c>
      <c r="H24" s="125" t="s">
        <v>248</v>
      </c>
      <c r="I24" s="124" t="s">
        <v>248</v>
      </c>
      <c r="J24" s="124" t="s">
        <v>248</v>
      </c>
      <c r="K24" s="128" t="s">
        <v>248</v>
      </c>
      <c r="L24" s="129" t="s">
        <v>248</v>
      </c>
      <c r="M24" s="117">
        <v>0</v>
      </c>
      <c r="N24" s="130"/>
      <c r="O24" s="130">
        <v>0</v>
      </c>
      <c r="P24" s="130">
        <v>0</v>
      </c>
    </row>
    <row r="25" spans="1:16" s="112" customFormat="1" x14ac:dyDescent="0.25">
      <c r="A25" s="89" t="s">
        <v>661</v>
      </c>
      <c r="B25" s="124" t="s">
        <v>248</v>
      </c>
      <c r="C25" s="124" t="s">
        <v>248</v>
      </c>
      <c r="D25" s="124" t="s">
        <v>248</v>
      </c>
      <c r="E25" s="124" t="s">
        <v>248</v>
      </c>
      <c r="F25" s="124" t="s">
        <v>248</v>
      </c>
      <c r="G25" s="125" t="s">
        <v>248</v>
      </c>
      <c r="H25" s="125" t="s">
        <v>248</v>
      </c>
      <c r="I25" s="124" t="s">
        <v>248</v>
      </c>
      <c r="J25" s="124" t="s">
        <v>248</v>
      </c>
      <c r="K25" s="128" t="s">
        <v>248</v>
      </c>
      <c r="L25" s="129" t="s">
        <v>248</v>
      </c>
      <c r="M25" s="117">
        <v>0</v>
      </c>
      <c r="N25" s="130"/>
      <c r="O25" s="130">
        <v>0</v>
      </c>
      <c r="P25" s="130">
        <v>0</v>
      </c>
    </row>
    <row r="26" spans="1:16" s="112" customFormat="1" x14ac:dyDescent="0.25">
      <c r="A26" s="75" t="s">
        <v>241</v>
      </c>
      <c r="B26" s="118"/>
      <c r="C26" s="75"/>
      <c r="D26" s="119"/>
      <c r="E26" s="119"/>
      <c r="F26" s="119"/>
      <c r="G26" s="120"/>
      <c r="H26" s="121"/>
      <c r="I26" s="122"/>
      <c r="J26" s="122"/>
      <c r="K26" s="122"/>
      <c r="L26" s="121"/>
      <c r="M26" s="121"/>
      <c r="N26" s="131"/>
      <c r="O26" s="131"/>
      <c r="P26" s="131"/>
    </row>
    <row r="27" spans="1:16" s="112" customFormat="1" x14ac:dyDescent="0.25">
      <c r="A27" s="75" t="s">
        <v>242</v>
      </c>
      <c r="B27" s="118"/>
      <c r="C27" s="75"/>
      <c r="D27" s="119"/>
      <c r="E27" s="119"/>
      <c r="F27" s="119"/>
      <c r="G27" s="120"/>
      <c r="H27" s="121"/>
      <c r="I27" s="122"/>
      <c r="J27" s="122"/>
      <c r="K27" s="122"/>
      <c r="L27" s="121"/>
      <c r="M27" s="121"/>
      <c r="N27" s="131"/>
      <c r="O27" s="131"/>
      <c r="P27" s="131"/>
    </row>
    <row r="28" spans="1:16" s="112" customFormat="1" x14ac:dyDescent="0.25">
      <c r="A28" s="75" t="s">
        <v>243</v>
      </c>
      <c r="B28" s="118"/>
      <c r="C28" s="75"/>
      <c r="D28" s="119"/>
      <c r="E28" s="119"/>
      <c r="F28" s="119"/>
      <c r="G28" s="120"/>
      <c r="H28" s="121"/>
      <c r="I28" s="122"/>
      <c r="J28" s="122"/>
      <c r="K28" s="122"/>
      <c r="L28" s="121"/>
      <c r="M28" s="121"/>
      <c r="N28" s="131"/>
      <c r="O28" s="131"/>
      <c r="P28" s="131"/>
    </row>
    <row r="29" spans="1:16" s="112" customFormat="1" x14ac:dyDescent="0.25">
      <c r="A29" s="75" t="s">
        <v>244</v>
      </c>
      <c r="B29" s="118"/>
      <c r="C29" s="75"/>
      <c r="D29" s="119"/>
      <c r="E29" s="119"/>
      <c r="F29" s="119"/>
      <c r="G29" s="120"/>
      <c r="H29" s="121"/>
      <c r="I29" s="122"/>
      <c r="J29" s="122"/>
      <c r="K29" s="122"/>
      <c r="L29" s="121"/>
      <c r="M29" s="121"/>
      <c r="N29" s="131"/>
      <c r="O29" s="131"/>
      <c r="P29" s="131"/>
    </row>
    <row r="30" spans="1:16" s="112" customFormat="1" x14ac:dyDescent="0.25">
      <c r="A30" s="75" t="s">
        <v>245</v>
      </c>
      <c r="B30" s="118"/>
      <c r="C30" s="75"/>
      <c r="D30" s="119"/>
      <c r="E30" s="119"/>
      <c r="F30" s="119"/>
      <c r="G30" s="120"/>
      <c r="H30" s="121"/>
      <c r="I30" s="122"/>
      <c r="J30" s="122"/>
      <c r="K30" s="122"/>
      <c r="L30" s="121"/>
      <c r="M30" s="121"/>
      <c r="N30" s="131"/>
      <c r="O30" s="131"/>
      <c r="P30" s="131"/>
    </row>
  </sheetData>
  <mergeCells count="2">
    <mergeCell ref="A5:P5"/>
    <mergeCell ref="A4:P4"/>
  </mergeCells>
  <phoneticPr fontId="3" type="noConversion"/>
  <conditionalFormatting sqref="A10:A25 M10:M25">
    <cfRule type="expression" dxfId="77" priority="235" stopIfTrue="1">
      <formula>#REF!&gt;0</formula>
    </cfRule>
  </conditionalFormatting>
  <conditionalFormatting sqref="B10:J25">
    <cfRule type="expression" dxfId="76" priority="237" stopIfTrue="1">
      <formula>LEFT(#REF!,3)="TIR"</formula>
    </cfRule>
  </conditionalFormatting>
  <conditionalFormatting sqref="O10:P25">
    <cfRule type="expression" dxfId="75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13" t="s">
        <v>28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5"/>
    </row>
    <row r="5" spans="1:15" s="7" customFormat="1" x14ac:dyDescent="0.25">
      <c r="A5" s="216" t="s">
        <v>12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8"/>
    </row>
    <row r="6" spans="1:15" s="7" customFormat="1" ht="31.5" customHeight="1" x14ac:dyDescent="0.25">
      <c r="A6" s="83" t="s">
        <v>157</v>
      </c>
      <c r="B6" s="197" t="s">
        <v>69</v>
      </c>
      <c r="C6" s="197" t="s">
        <v>70</v>
      </c>
      <c r="D6" s="197" t="s">
        <v>5</v>
      </c>
      <c r="E6" s="197" t="s">
        <v>13</v>
      </c>
      <c r="F6" s="197" t="s">
        <v>14</v>
      </c>
      <c r="G6" s="197" t="s">
        <v>6</v>
      </c>
      <c r="H6" s="198" t="s">
        <v>66</v>
      </c>
      <c r="I6" s="198" t="s">
        <v>71</v>
      </c>
      <c r="J6" s="198" t="s">
        <v>67</v>
      </c>
      <c r="K6" s="198" t="s">
        <v>68</v>
      </c>
      <c r="L6" s="198" t="s">
        <v>29</v>
      </c>
      <c r="M6" s="86" t="s">
        <v>17</v>
      </c>
      <c r="N6" s="86" t="s">
        <v>75</v>
      </c>
      <c r="O6" s="87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2" customFormat="1" ht="12.75" customHeight="1" thickBot="1" x14ac:dyDescent="0.3">
      <c r="A9" s="69" t="s">
        <v>52</v>
      </c>
      <c r="B9" s="113" t="s">
        <v>248</v>
      </c>
      <c r="C9" s="113"/>
      <c r="D9" s="113"/>
      <c r="E9" s="113" t="s">
        <v>248</v>
      </c>
      <c r="F9" s="113" t="s">
        <v>248</v>
      </c>
      <c r="G9" s="113" t="s">
        <v>248</v>
      </c>
      <c r="H9" s="113" t="s">
        <v>248</v>
      </c>
      <c r="I9" s="113" t="s">
        <v>248</v>
      </c>
      <c r="J9" s="149" t="s">
        <v>248</v>
      </c>
      <c r="K9" s="113" t="s">
        <v>248</v>
      </c>
      <c r="L9" s="77">
        <v>6.9999999999999997E-7</v>
      </c>
      <c r="M9" s="113" t="s">
        <v>248</v>
      </c>
      <c r="N9" s="102">
        <v>1</v>
      </c>
      <c r="O9" s="56">
        <v>0</v>
      </c>
    </row>
    <row r="10" spans="1:15" s="112" customFormat="1" x14ac:dyDescent="0.25">
      <c r="A10" s="88" t="s">
        <v>137</v>
      </c>
      <c r="B10" s="114" t="s">
        <v>248</v>
      </c>
      <c r="C10" s="136" t="s">
        <v>248</v>
      </c>
      <c r="D10" s="136" t="s">
        <v>248</v>
      </c>
      <c r="E10" s="136" t="s">
        <v>248</v>
      </c>
      <c r="F10" s="136" t="s">
        <v>248</v>
      </c>
      <c r="G10" s="136" t="s">
        <v>248</v>
      </c>
      <c r="H10" s="150" t="s">
        <v>248</v>
      </c>
      <c r="I10" s="150" t="s">
        <v>248</v>
      </c>
      <c r="J10" s="135" t="s">
        <v>248</v>
      </c>
      <c r="K10" s="136" t="s">
        <v>248</v>
      </c>
      <c r="L10" s="116">
        <v>0</v>
      </c>
      <c r="M10" s="150" t="s">
        <v>248</v>
      </c>
      <c r="N10" s="114">
        <v>0</v>
      </c>
      <c r="O10" s="114">
        <v>0</v>
      </c>
    </row>
    <row r="11" spans="1:15" s="112" customFormat="1" x14ac:dyDescent="0.25">
      <c r="A11" s="89" t="s">
        <v>665</v>
      </c>
      <c r="B11" s="114" t="s">
        <v>248</v>
      </c>
      <c r="C11" s="138" t="s">
        <v>248</v>
      </c>
      <c r="D11" s="138" t="s">
        <v>248</v>
      </c>
      <c r="E11" s="138" t="s">
        <v>248</v>
      </c>
      <c r="F11" s="138" t="s">
        <v>248</v>
      </c>
      <c r="G11" s="138" t="s">
        <v>248</v>
      </c>
      <c r="H11" s="151" t="s">
        <v>248</v>
      </c>
      <c r="I11" s="151" t="s">
        <v>248</v>
      </c>
      <c r="J11" s="137" t="s">
        <v>248</v>
      </c>
      <c r="K11" s="138" t="s">
        <v>248</v>
      </c>
      <c r="L11" s="117">
        <v>0</v>
      </c>
      <c r="M11" s="151"/>
      <c r="N11" s="130">
        <v>0</v>
      </c>
      <c r="O11" s="130">
        <v>0</v>
      </c>
    </row>
    <row r="12" spans="1:15" s="112" customFormat="1" x14ac:dyDescent="0.25">
      <c r="A12" s="89" t="s">
        <v>666</v>
      </c>
      <c r="B12" s="114" t="s">
        <v>248</v>
      </c>
      <c r="C12" s="138" t="s">
        <v>248</v>
      </c>
      <c r="D12" s="138" t="s">
        <v>248</v>
      </c>
      <c r="E12" s="138" t="s">
        <v>248</v>
      </c>
      <c r="F12" s="138" t="s">
        <v>248</v>
      </c>
      <c r="G12" s="138" t="s">
        <v>248</v>
      </c>
      <c r="H12" s="151" t="s">
        <v>248</v>
      </c>
      <c r="I12" s="151" t="s">
        <v>248</v>
      </c>
      <c r="J12" s="137" t="s">
        <v>248</v>
      </c>
      <c r="K12" s="138" t="s">
        <v>248</v>
      </c>
      <c r="L12" s="117">
        <v>0</v>
      </c>
      <c r="M12" s="151"/>
      <c r="N12" s="130">
        <v>0</v>
      </c>
      <c r="O12" s="130">
        <v>0</v>
      </c>
    </row>
    <row r="13" spans="1:15" s="112" customFormat="1" x14ac:dyDescent="0.25">
      <c r="A13" s="89" t="s">
        <v>667</v>
      </c>
      <c r="B13" s="114" t="s">
        <v>248</v>
      </c>
      <c r="C13" s="138" t="s">
        <v>248</v>
      </c>
      <c r="D13" s="138" t="s">
        <v>248</v>
      </c>
      <c r="E13" s="138" t="s">
        <v>248</v>
      </c>
      <c r="F13" s="138" t="s">
        <v>248</v>
      </c>
      <c r="G13" s="138" t="s">
        <v>248</v>
      </c>
      <c r="H13" s="151" t="s">
        <v>248</v>
      </c>
      <c r="I13" s="151" t="s">
        <v>248</v>
      </c>
      <c r="J13" s="137" t="s">
        <v>248</v>
      </c>
      <c r="K13" s="138" t="s">
        <v>248</v>
      </c>
      <c r="L13" s="117">
        <v>0</v>
      </c>
      <c r="M13" s="151"/>
      <c r="N13" s="130">
        <v>0</v>
      </c>
      <c r="O13" s="130">
        <v>0</v>
      </c>
    </row>
    <row r="14" spans="1:15" s="112" customFormat="1" x14ac:dyDescent="0.25">
      <c r="A14" s="89" t="s">
        <v>668</v>
      </c>
      <c r="B14" s="114" t="s">
        <v>248</v>
      </c>
      <c r="C14" s="138" t="s">
        <v>248</v>
      </c>
      <c r="D14" s="138" t="s">
        <v>248</v>
      </c>
      <c r="E14" s="138" t="s">
        <v>248</v>
      </c>
      <c r="F14" s="138" t="s">
        <v>248</v>
      </c>
      <c r="G14" s="138" t="s">
        <v>248</v>
      </c>
      <c r="H14" s="151" t="s">
        <v>248</v>
      </c>
      <c r="I14" s="151" t="s">
        <v>248</v>
      </c>
      <c r="J14" s="137" t="s">
        <v>248</v>
      </c>
      <c r="K14" s="138" t="s">
        <v>248</v>
      </c>
      <c r="L14" s="117">
        <v>0</v>
      </c>
      <c r="M14" s="151"/>
      <c r="N14" s="130">
        <v>0</v>
      </c>
      <c r="O14" s="130">
        <v>0</v>
      </c>
    </row>
    <row r="15" spans="1:15" s="112" customFormat="1" x14ac:dyDescent="0.25">
      <c r="A15" s="89" t="s">
        <v>218</v>
      </c>
      <c r="B15" s="114" t="s">
        <v>248</v>
      </c>
      <c r="C15" s="138" t="s">
        <v>248</v>
      </c>
      <c r="D15" s="138" t="s">
        <v>248</v>
      </c>
      <c r="E15" s="138" t="s">
        <v>248</v>
      </c>
      <c r="F15" s="138" t="s">
        <v>248</v>
      </c>
      <c r="G15" s="138" t="s">
        <v>248</v>
      </c>
      <c r="H15" s="151" t="s">
        <v>248</v>
      </c>
      <c r="I15" s="151" t="s">
        <v>248</v>
      </c>
      <c r="J15" s="137" t="s">
        <v>248</v>
      </c>
      <c r="K15" s="138" t="s">
        <v>248</v>
      </c>
      <c r="L15" s="117">
        <v>0</v>
      </c>
      <c r="M15" s="151"/>
      <c r="N15" s="130">
        <v>0</v>
      </c>
      <c r="O15" s="130">
        <v>0</v>
      </c>
    </row>
    <row r="16" spans="1:15" s="112" customFormat="1" x14ac:dyDescent="0.25">
      <c r="A16" s="89" t="s">
        <v>415</v>
      </c>
      <c r="B16" s="114" t="s">
        <v>248</v>
      </c>
      <c r="C16" s="138" t="s">
        <v>248</v>
      </c>
      <c r="D16" s="138" t="s">
        <v>248</v>
      </c>
      <c r="E16" s="138" t="s">
        <v>248</v>
      </c>
      <c r="F16" s="138" t="s">
        <v>248</v>
      </c>
      <c r="G16" s="138" t="s">
        <v>248</v>
      </c>
      <c r="H16" s="151" t="s">
        <v>248</v>
      </c>
      <c r="I16" s="151" t="s">
        <v>248</v>
      </c>
      <c r="J16" s="137" t="s">
        <v>248</v>
      </c>
      <c r="K16" s="138" t="s">
        <v>248</v>
      </c>
      <c r="L16" s="117">
        <v>0</v>
      </c>
      <c r="M16" s="151"/>
      <c r="N16" s="130">
        <v>0</v>
      </c>
      <c r="O16" s="130">
        <v>0</v>
      </c>
    </row>
    <row r="17" spans="1:15" s="112" customFormat="1" x14ac:dyDescent="0.25">
      <c r="A17" s="89" t="s">
        <v>669</v>
      </c>
      <c r="B17" s="114" t="s">
        <v>248</v>
      </c>
      <c r="C17" s="138" t="s">
        <v>248</v>
      </c>
      <c r="D17" s="138" t="s">
        <v>248</v>
      </c>
      <c r="E17" s="138" t="s">
        <v>248</v>
      </c>
      <c r="F17" s="138" t="s">
        <v>248</v>
      </c>
      <c r="G17" s="138" t="s">
        <v>248</v>
      </c>
      <c r="H17" s="151" t="s">
        <v>248</v>
      </c>
      <c r="I17" s="151" t="s">
        <v>248</v>
      </c>
      <c r="J17" s="137" t="s">
        <v>248</v>
      </c>
      <c r="K17" s="138" t="s">
        <v>248</v>
      </c>
      <c r="L17" s="117">
        <v>0</v>
      </c>
      <c r="M17" s="151"/>
      <c r="N17" s="130">
        <v>0</v>
      </c>
      <c r="O17" s="130">
        <v>0</v>
      </c>
    </row>
    <row r="18" spans="1:15" s="112" customFormat="1" x14ac:dyDescent="0.25">
      <c r="A18" s="89" t="s">
        <v>670</v>
      </c>
      <c r="B18" s="114" t="s">
        <v>248</v>
      </c>
      <c r="C18" s="138" t="s">
        <v>248</v>
      </c>
      <c r="D18" s="138" t="s">
        <v>248</v>
      </c>
      <c r="E18" s="138" t="s">
        <v>248</v>
      </c>
      <c r="F18" s="138" t="s">
        <v>248</v>
      </c>
      <c r="G18" s="138" t="s">
        <v>248</v>
      </c>
      <c r="H18" s="151" t="s">
        <v>248</v>
      </c>
      <c r="I18" s="151" t="s">
        <v>248</v>
      </c>
      <c r="J18" s="137" t="s">
        <v>248</v>
      </c>
      <c r="K18" s="138" t="s">
        <v>248</v>
      </c>
      <c r="L18" s="117">
        <v>0</v>
      </c>
      <c r="M18" s="151"/>
      <c r="N18" s="130">
        <v>0</v>
      </c>
      <c r="O18" s="130">
        <v>0</v>
      </c>
    </row>
    <row r="19" spans="1:15" s="112" customFormat="1" x14ac:dyDescent="0.25">
      <c r="A19" s="75" t="s">
        <v>241</v>
      </c>
      <c r="B19" s="118"/>
      <c r="C19" s="75"/>
      <c r="D19" s="139"/>
      <c r="E19" s="139"/>
      <c r="F19" s="139"/>
      <c r="G19" s="140"/>
      <c r="H19" s="123"/>
      <c r="I19" s="141"/>
      <c r="J19" s="141"/>
      <c r="K19" s="141"/>
      <c r="L19" s="123"/>
      <c r="M19" s="123"/>
      <c r="N19" s="123"/>
    </row>
    <row r="20" spans="1:15" s="112" customFormat="1" x14ac:dyDescent="0.25">
      <c r="A20" s="75" t="s">
        <v>242</v>
      </c>
      <c r="B20" s="118"/>
      <c r="C20" s="75"/>
      <c r="D20" s="139"/>
      <c r="E20" s="139"/>
      <c r="F20" s="139"/>
      <c r="G20" s="140"/>
      <c r="H20" s="123"/>
      <c r="I20" s="141"/>
      <c r="J20" s="141"/>
      <c r="K20" s="141"/>
      <c r="L20" s="123"/>
      <c r="M20" s="123"/>
      <c r="N20" s="123"/>
    </row>
    <row r="21" spans="1:15" s="112" customFormat="1" x14ac:dyDescent="0.25">
      <c r="A21" s="75" t="s">
        <v>243</v>
      </c>
      <c r="B21" s="118"/>
      <c r="C21" s="75"/>
      <c r="D21" s="139"/>
      <c r="E21" s="139"/>
      <c r="F21" s="139"/>
      <c r="G21" s="140"/>
      <c r="H21" s="123"/>
      <c r="I21" s="141"/>
      <c r="J21" s="141"/>
      <c r="K21" s="141"/>
      <c r="L21" s="123"/>
      <c r="M21" s="123"/>
      <c r="N21" s="123"/>
    </row>
    <row r="22" spans="1:15" s="112" customFormat="1" x14ac:dyDescent="0.25">
      <c r="A22" s="75" t="s">
        <v>244</v>
      </c>
      <c r="B22" s="118"/>
      <c r="C22" s="75"/>
      <c r="D22" s="139"/>
      <c r="E22" s="139"/>
      <c r="F22" s="139"/>
      <c r="G22" s="140"/>
      <c r="H22" s="123"/>
      <c r="I22" s="141"/>
      <c r="J22" s="141"/>
      <c r="K22" s="141"/>
      <c r="L22" s="123"/>
      <c r="M22" s="123"/>
      <c r="N22" s="123"/>
    </row>
    <row r="23" spans="1:15" s="112" customFormat="1" x14ac:dyDescent="0.25">
      <c r="A23" s="75" t="s">
        <v>245</v>
      </c>
      <c r="B23" s="118"/>
      <c r="C23" s="75"/>
      <c r="D23" s="139"/>
      <c r="E23" s="139"/>
      <c r="F23" s="139"/>
      <c r="G23" s="140"/>
      <c r="H23" s="123"/>
      <c r="I23" s="141"/>
      <c r="J23" s="141"/>
      <c r="K23" s="141"/>
      <c r="L23" s="123"/>
      <c r="M23" s="123"/>
      <c r="N23" s="123"/>
    </row>
  </sheetData>
  <mergeCells count="2">
    <mergeCell ref="A5:O5"/>
    <mergeCell ref="A4:O4"/>
  </mergeCells>
  <phoneticPr fontId="3" type="noConversion"/>
  <conditionalFormatting sqref="A10:A18 L10:L18">
    <cfRule type="expression" dxfId="74" priority="258" stopIfTrue="1">
      <formula>#REF!&gt;0</formula>
    </cfRule>
    <cfRule type="expression" dxfId="73" priority="259" stopIfTrue="1">
      <formula>LEFT(#REF!,3)="TIR"</formula>
    </cfRule>
  </conditionalFormatting>
  <conditionalFormatting sqref="H1:H3 F10:F18 H10:K18 M10:N18 H19:H55553">
    <cfRule type="expression" dxfId="72" priority="249" stopIfTrue="1">
      <formula>LEFT(#REF!,3)="TIR"</formula>
    </cfRule>
  </conditionalFormatting>
  <conditionalFormatting sqref="H6">
    <cfRule type="expression" dxfId="71" priority="254" stopIfTrue="1">
      <formula>LEFT(#REF!,3)="TIR"</formula>
    </cfRule>
  </conditionalFormatting>
  <conditionalFormatting sqref="N10:O18 B10:E18 G10:G18">
    <cfRule type="expression" dxfId="70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23" t="s">
        <v>28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5"/>
    </row>
    <row r="5" spans="1:18" s="7" customFormat="1" x14ac:dyDescent="0.25">
      <c r="A5" s="216" t="s">
        <v>18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8"/>
    </row>
    <row r="6" spans="1:18" s="7" customFormat="1" ht="30" customHeight="1" x14ac:dyDescent="0.25">
      <c r="A6" s="83" t="s">
        <v>157</v>
      </c>
      <c r="B6" s="197" t="s">
        <v>69</v>
      </c>
      <c r="C6" s="197" t="s">
        <v>79</v>
      </c>
      <c r="D6" s="197" t="s">
        <v>74</v>
      </c>
      <c r="E6" s="197" t="s">
        <v>19</v>
      </c>
      <c r="F6" s="197" t="s">
        <v>70</v>
      </c>
      <c r="G6" s="197" t="s">
        <v>5</v>
      </c>
      <c r="H6" s="197" t="s">
        <v>13</v>
      </c>
      <c r="I6" s="197" t="s">
        <v>14</v>
      </c>
      <c r="J6" s="197" t="s">
        <v>6</v>
      </c>
      <c r="K6" s="198" t="s">
        <v>66</v>
      </c>
      <c r="L6" s="198" t="s">
        <v>71</v>
      </c>
      <c r="M6" s="198" t="s">
        <v>67</v>
      </c>
      <c r="N6" s="198" t="s">
        <v>68</v>
      </c>
      <c r="O6" s="198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2" customFormat="1" ht="12.75" customHeight="1" thickBot="1" x14ac:dyDescent="0.3">
      <c r="A9" s="96" t="s">
        <v>61</v>
      </c>
      <c r="B9" s="64" t="s">
        <v>248</v>
      </c>
      <c r="C9" s="64" t="s">
        <v>248</v>
      </c>
      <c r="D9" s="64" t="s">
        <v>248</v>
      </c>
      <c r="E9" s="64" t="s">
        <v>248</v>
      </c>
      <c r="F9" s="97"/>
      <c r="G9" s="132" t="s">
        <v>248</v>
      </c>
      <c r="H9" s="132" t="s">
        <v>248</v>
      </c>
      <c r="I9" s="132" t="s">
        <v>248</v>
      </c>
      <c r="J9" s="132" t="s">
        <v>248</v>
      </c>
      <c r="K9" s="133" t="s">
        <v>248</v>
      </c>
      <c r="L9" s="133" t="s">
        <v>248</v>
      </c>
      <c r="M9" s="98" t="s">
        <v>248</v>
      </c>
      <c r="N9" s="132" t="s">
        <v>248</v>
      </c>
      <c r="O9" s="99">
        <v>6.0000000000000008E-7</v>
      </c>
      <c r="P9" s="113" t="s">
        <v>248</v>
      </c>
      <c r="Q9" s="102">
        <v>1</v>
      </c>
      <c r="R9" s="56">
        <v>0</v>
      </c>
    </row>
    <row r="10" spans="1:18" s="112" customFormat="1" x14ac:dyDescent="0.25">
      <c r="A10" s="88" t="s">
        <v>137</v>
      </c>
      <c r="B10" s="114" t="s">
        <v>248</v>
      </c>
      <c r="C10" s="114" t="s">
        <v>248</v>
      </c>
      <c r="D10" s="114" t="s">
        <v>248</v>
      </c>
      <c r="E10" s="114" t="s">
        <v>248</v>
      </c>
      <c r="F10" s="115" t="s">
        <v>248</v>
      </c>
      <c r="G10" s="136" t="s">
        <v>248</v>
      </c>
      <c r="H10" s="136" t="s">
        <v>248</v>
      </c>
      <c r="I10" s="136" t="s">
        <v>248</v>
      </c>
      <c r="J10" s="136" t="s">
        <v>248</v>
      </c>
      <c r="K10" s="150" t="s">
        <v>248</v>
      </c>
      <c r="L10" s="150" t="s">
        <v>248</v>
      </c>
      <c r="M10" s="126" t="s">
        <v>248</v>
      </c>
      <c r="N10" s="136" t="s">
        <v>248</v>
      </c>
      <c r="O10" s="116">
        <v>0</v>
      </c>
      <c r="P10" s="150" t="s">
        <v>248</v>
      </c>
      <c r="Q10" s="114">
        <v>0</v>
      </c>
      <c r="R10" s="114">
        <v>0</v>
      </c>
    </row>
    <row r="11" spans="1:18" s="112" customFormat="1" x14ac:dyDescent="0.25">
      <c r="A11" s="89" t="s">
        <v>671</v>
      </c>
      <c r="B11" s="114" t="s">
        <v>248</v>
      </c>
      <c r="C11" s="130" t="s">
        <v>248</v>
      </c>
      <c r="D11" s="130" t="s">
        <v>248</v>
      </c>
      <c r="E11" s="130" t="s">
        <v>248</v>
      </c>
      <c r="F11" s="129" t="s">
        <v>248</v>
      </c>
      <c r="G11" s="138" t="s">
        <v>248</v>
      </c>
      <c r="H11" s="138" t="s">
        <v>248</v>
      </c>
      <c r="I11" s="138" t="s">
        <v>248</v>
      </c>
      <c r="J11" s="138" t="s">
        <v>248</v>
      </c>
      <c r="K11" s="151" t="s">
        <v>248</v>
      </c>
      <c r="L11" s="151" t="s">
        <v>248</v>
      </c>
      <c r="M11" s="128" t="s">
        <v>248</v>
      </c>
      <c r="N11" s="138" t="s">
        <v>248</v>
      </c>
      <c r="O11" s="117">
        <v>0</v>
      </c>
      <c r="P11" s="151"/>
      <c r="Q11" s="130">
        <v>0</v>
      </c>
      <c r="R11" s="130">
        <v>0</v>
      </c>
    </row>
    <row r="12" spans="1:18" s="112" customFormat="1" x14ac:dyDescent="0.25">
      <c r="A12" s="89" t="s">
        <v>672</v>
      </c>
      <c r="B12" s="114" t="s">
        <v>248</v>
      </c>
      <c r="C12" s="130" t="s">
        <v>248</v>
      </c>
      <c r="D12" s="130" t="s">
        <v>248</v>
      </c>
      <c r="E12" s="130" t="s">
        <v>248</v>
      </c>
      <c r="F12" s="129" t="s">
        <v>248</v>
      </c>
      <c r="G12" s="138" t="s">
        <v>248</v>
      </c>
      <c r="H12" s="138" t="s">
        <v>248</v>
      </c>
      <c r="I12" s="138" t="s">
        <v>248</v>
      </c>
      <c r="J12" s="138" t="s">
        <v>248</v>
      </c>
      <c r="K12" s="151" t="s">
        <v>248</v>
      </c>
      <c r="L12" s="151" t="s">
        <v>248</v>
      </c>
      <c r="M12" s="128" t="s">
        <v>248</v>
      </c>
      <c r="N12" s="138" t="s">
        <v>248</v>
      </c>
      <c r="O12" s="117">
        <v>0</v>
      </c>
      <c r="P12" s="151"/>
      <c r="Q12" s="130">
        <v>0</v>
      </c>
      <c r="R12" s="130">
        <v>0</v>
      </c>
    </row>
    <row r="13" spans="1:18" s="112" customFormat="1" x14ac:dyDescent="0.25">
      <c r="A13" s="89" t="s">
        <v>430</v>
      </c>
      <c r="B13" s="114" t="s">
        <v>248</v>
      </c>
      <c r="C13" s="130" t="s">
        <v>248</v>
      </c>
      <c r="D13" s="130" t="s">
        <v>248</v>
      </c>
      <c r="E13" s="130" t="s">
        <v>248</v>
      </c>
      <c r="F13" s="129" t="s">
        <v>248</v>
      </c>
      <c r="G13" s="138" t="s">
        <v>248</v>
      </c>
      <c r="H13" s="138" t="s">
        <v>248</v>
      </c>
      <c r="I13" s="138" t="s">
        <v>248</v>
      </c>
      <c r="J13" s="138" t="s">
        <v>248</v>
      </c>
      <c r="K13" s="151" t="s">
        <v>248</v>
      </c>
      <c r="L13" s="151" t="s">
        <v>248</v>
      </c>
      <c r="M13" s="128" t="s">
        <v>248</v>
      </c>
      <c r="N13" s="129" t="s">
        <v>248</v>
      </c>
      <c r="O13" s="117">
        <v>0</v>
      </c>
      <c r="P13" s="151"/>
      <c r="Q13" s="130">
        <v>0</v>
      </c>
      <c r="R13" s="130">
        <v>0</v>
      </c>
    </row>
    <row r="14" spans="1:18" s="112" customFormat="1" x14ac:dyDescent="0.25">
      <c r="A14" s="89" t="s">
        <v>141</v>
      </c>
      <c r="B14" s="114" t="s">
        <v>248</v>
      </c>
      <c r="C14" s="130" t="s">
        <v>248</v>
      </c>
      <c r="D14" s="130" t="s">
        <v>248</v>
      </c>
      <c r="E14" s="130" t="s">
        <v>248</v>
      </c>
      <c r="F14" s="129" t="s">
        <v>248</v>
      </c>
      <c r="G14" s="138" t="s">
        <v>248</v>
      </c>
      <c r="H14" s="138" t="s">
        <v>248</v>
      </c>
      <c r="I14" s="138" t="s">
        <v>248</v>
      </c>
      <c r="J14" s="138" t="s">
        <v>248</v>
      </c>
      <c r="K14" s="151" t="s">
        <v>248</v>
      </c>
      <c r="L14" s="151" t="s">
        <v>248</v>
      </c>
      <c r="M14" s="128" t="s">
        <v>248</v>
      </c>
      <c r="N14" s="138" t="s">
        <v>248</v>
      </c>
      <c r="O14" s="117">
        <v>0</v>
      </c>
      <c r="P14" s="151"/>
      <c r="Q14" s="130">
        <v>0</v>
      </c>
      <c r="R14" s="130">
        <v>0</v>
      </c>
    </row>
    <row r="15" spans="1:18" s="112" customFormat="1" x14ac:dyDescent="0.25">
      <c r="A15" s="89" t="s">
        <v>415</v>
      </c>
      <c r="B15" s="114" t="s">
        <v>248</v>
      </c>
      <c r="C15" s="130" t="s">
        <v>248</v>
      </c>
      <c r="D15" s="130" t="s">
        <v>248</v>
      </c>
      <c r="E15" s="130" t="s">
        <v>248</v>
      </c>
      <c r="F15" s="129" t="s">
        <v>248</v>
      </c>
      <c r="G15" s="138" t="s">
        <v>248</v>
      </c>
      <c r="H15" s="138" t="s">
        <v>248</v>
      </c>
      <c r="I15" s="138" t="s">
        <v>248</v>
      </c>
      <c r="J15" s="138" t="s">
        <v>248</v>
      </c>
      <c r="K15" s="151" t="s">
        <v>248</v>
      </c>
      <c r="L15" s="151" t="s">
        <v>248</v>
      </c>
      <c r="M15" s="128" t="s">
        <v>248</v>
      </c>
      <c r="N15" s="138" t="s">
        <v>248</v>
      </c>
      <c r="O15" s="117">
        <v>0</v>
      </c>
      <c r="P15" s="151"/>
      <c r="Q15" s="130">
        <v>0</v>
      </c>
      <c r="R15" s="130">
        <v>0</v>
      </c>
    </row>
    <row r="16" spans="1:18" s="112" customFormat="1" x14ac:dyDescent="0.25">
      <c r="A16" s="89" t="s">
        <v>673</v>
      </c>
      <c r="B16" s="114" t="s">
        <v>248</v>
      </c>
      <c r="C16" s="130" t="s">
        <v>248</v>
      </c>
      <c r="D16" s="130" t="s">
        <v>248</v>
      </c>
      <c r="E16" s="130" t="s">
        <v>248</v>
      </c>
      <c r="F16" s="129" t="s">
        <v>248</v>
      </c>
      <c r="G16" s="138" t="s">
        <v>248</v>
      </c>
      <c r="H16" s="138" t="s">
        <v>248</v>
      </c>
      <c r="I16" s="138" t="s">
        <v>248</v>
      </c>
      <c r="J16" s="138" t="s">
        <v>248</v>
      </c>
      <c r="K16" s="151" t="s">
        <v>248</v>
      </c>
      <c r="L16" s="151" t="s">
        <v>248</v>
      </c>
      <c r="M16" s="128" t="s">
        <v>248</v>
      </c>
      <c r="N16" s="138" t="s">
        <v>248</v>
      </c>
      <c r="O16" s="117">
        <v>0</v>
      </c>
      <c r="P16" s="151"/>
      <c r="Q16" s="130">
        <v>0</v>
      </c>
      <c r="R16" s="130">
        <v>0</v>
      </c>
    </row>
    <row r="17" spans="1:18" s="112" customFormat="1" x14ac:dyDescent="0.25">
      <c r="A17" s="89" t="s">
        <v>674</v>
      </c>
      <c r="B17" s="114" t="s">
        <v>248</v>
      </c>
      <c r="C17" s="130" t="s">
        <v>248</v>
      </c>
      <c r="D17" s="130" t="s">
        <v>248</v>
      </c>
      <c r="E17" s="130" t="s">
        <v>248</v>
      </c>
      <c r="F17" s="129" t="s">
        <v>248</v>
      </c>
      <c r="G17" s="138" t="s">
        <v>248</v>
      </c>
      <c r="H17" s="138" t="s">
        <v>248</v>
      </c>
      <c r="I17" s="138" t="s">
        <v>248</v>
      </c>
      <c r="J17" s="138" t="s">
        <v>248</v>
      </c>
      <c r="K17" s="151" t="s">
        <v>248</v>
      </c>
      <c r="L17" s="151" t="s">
        <v>248</v>
      </c>
      <c r="M17" s="128" t="s">
        <v>248</v>
      </c>
      <c r="N17" s="138" t="s">
        <v>248</v>
      </c>
      <c r="O17" s="117">
        <v>0</v>
      </c>
      <c r="P17" s="151"/>
      <c r="Q17" s="130">
        <v>0</v>
      </c>
      <c r="R17" s="130">
        <v>0</v>
      </c>
    </row>
    <row r="18" spans="1:18" s="112" customFormat="1" x14ac:dyDescent="0.25">
      <c r="A18" s="75" t="s">
        <v>241</v>
      </c>
      <c r="B18" s="118"/>
      <c r="C18" s="118"/>
      <c r="D18" s="118"/>
      <c r="E18" s="75"/>
      <c r="F18" s="139"/>
      <c r="G18" s="139"/>
      <c r="H18" s="139"/>
      <c r="I18" s="140"/>
      <c r="J18" s="123"/>
      <c r="K18" s="141"/>
      <c r="L18" s="141"/>
      <c r="M18" s="141"/>
      <c r="N18" s="123"/>
      <c r="O18" s="123"/>
    </row>
    <row r="19" spans="1:18" s="112" customFormat="1" x14ac:dyDescent="0.25">
      <c r="A19" s="75" t="s">
        <v>242</v>
      </c>
      <c r="B19" s="118"/>
      <c r="C19" s="118"/>
      <c r="D19" s="118"/>
      <c r="E19" s="75"/>
      <c r="F19" s="139"/>
      <c r="G19" s="139"/>
      <c r="H19" s="139"/>
      <c r="I19" s="140"/>
      <c r="J19" s="123"/>
      <c r="K19" s="141"/>
      <c r="L19" s="141"/>
      <c r="M19" s="141"/>
      <c r="N19" s="123"/>
      <c r="O19" s="123"/>
    </row>
    <row r="20" spans="1:18" s="112" customFormat="1" x14ac:dyDescent="0.25">
      <c r="A20" s="75" t="s">
        <v>243</v>
      </c>
      <c r="B20" s="118"/>
      <c r="C20" s="118"/>
      <c r="D20" s="118"/>
      <c r="E20" s="75"/>
      <c r="F20" s="139"/>
      <c r="G20" s="139"/>
      <c r="H20" s="139"/>
      <c r="I20" s="140"/>
      <c r="J20" s="123"/>
      <c r="K20" s="141"/>
      <c r="L20" s="141"/>
      <c r="M20" s="141"/>
      <c r="N20" s="123"/>
      <c r="O20" s="123"/>
    </row>
    <row r="21" spans="1:18" s="112" customFormat="1" x14ac:dyDescent="0.25">
      <c r="A21" s="75" t="s">
        <v>244</v>
      </c>
      <c r="B21" s="118"/>
      <c r="C21" s="118"/>
      <c r="D21" s="118"/>
      <c r="E21" s="75"/>
      <c r="F21" s="139"/>
      <c r="G21" s="139"/>
      <c r="H21" s="139"/>
      <c r="I21" s="140"/>
      <c r="J21" s="123"/>
      <c r="K21" s="141"/>
      <c r="L21" s="141"/>
      <c r="M21" s="141"/>
      <c r="N21" s="123"/>
      <c r="O21" s="123"/>
    </row>
    <row r="22" spans="1:18" s="112" customFormat="1" x14ac:dyDescent="0.25">
      <c r="A22" s="75" t="s">
        <v>245</v>
      </c>
      <c r="B22" s="118"/>
      <c r="C22" s="118"/>
      <c r="D22" s="118"/>
      <c r="E22" s="75"/>
      <c r="F22" s="139"/>
      <c r="G22" s="139"/>
      <c r="H22" s="139"/>
      <c r="I22" s="140"/>
      <c r="J22" s="123"/>
      <c r="K22" s="141"/>
      <c r="L22" s="141"/>
      <c r="M22" s="141"/>
      <c r="N22" s="123"/>
      <c r="O22" s="123"/>
    </row>
  </sheetData>
  <mergeCells count="2">
    <mergeCell ref="A5:R5"/>
    <mergeCell ref="A4:R4"/>
  </mergeCells>
  <phoneticPr fontId="3" type="noConversion"/>
  <conditionalFormatting sqref="A9:A17 O10:O17">
    <cfRule type="expression" dxfId="69" priority="281" stopIfTrue="1">
      <formula>#REF!&gt;0</formula>
    </cfRule>
    <cfRule type="expression" dxfId="68" priority="282" stopIfTrue="1">
      <formula>LEFT(#REF!,3)="TIR"</formula>
    </cfRule>
  </conditionalFormatting>
  <conditionalFormatting sqref="B9:H17 J9:J17">
    <cfRule type="expression" dxfId="67" priority="279" stopIfTrue="1">
      <formula>LEFT(#REF!,3)="TIR"</formula>
    </cfRule>
  </conditionalFormatting>
  <conditionalFormatting sqref="J1:J3 I9:I17 K9:N17 P10:Q17 J18:J55552">
    <cfRule type="expression" dxfId="66" priority="273" stopIfTrue="1">
      <formula>LEFT(#REF!,3)="TIR"</formula>
    </cfRule>
  </conditionalFormatting>
  <conditionalFormatting sqref="K6">
    <cfRule type="expression" dxfId="65" priority="278" stopIfTrue="1">
      <formula>LEFT(#REF!,3)="TIR"</formula>
    </cfRule>
  </conditionalFormatting>
  <conditionalFormatting sqref="Q10:R17">
    <cfRule type="expression" dxfId="64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34.441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57" customWidth="1"/>
    <col min="7" max="7" width="11.109375" style="57" customWidth="1"/>
    <col min="8" max="8" width="14.109375" style="57" customWidth="1"/>
    <col min="9" max="9" width="7.88671875" style="36" customWidth="1"/>
    <col min="10" max="10" width="11.33203125" style="59" customWidth="1"/>
    <col min="11" max="11" width="12.5546875" style="61" customWidth="1"/>
    <col min="12" max="12" width="14.109375" style="61" customWidth="1"/>
    <col min="13" max="13" width="10.5546875" style="61" customWidth="1"/>
    <col min="14" max="14" width="8.88671875" style="59" bestFit="1" customWidth="1"/>
    <col min="15" max="15" width="10.44140625" style="59" customWidth="1"/>
    <col min="16" max="16" width="22" style="62" customWidth="1"/>
    <col min="17" max="17" width="25.44140625" style="62" customWidth="1"/>
    <col min="18" max="18" width="20.6640625" style="62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60"/>
      <c r="L1" s="60"/>
      <c r="M1" s="60"/>
      <c r="N1" s="59"/>
      <c r="O1" s="59"/>
      <c r="P1" s="62"/>
      <c r="Q1" s="62"/>
      <c r="R1" s="42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60"/>
      <c r="L2" s="60"/>
      <c r="M2" s="60"/>
      <c r="N2" s="59"/>
      <c r="O2" s="59"/>
      <c r="P2" s="62"/>
      <c r="Q2" s="62"/>
      <c r="R2" s="42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60"/>
      <c r="L3" s="60"/>
      <c r="M3" s="60"/>
      <c r="N3" s="59"/>
      <c r="O3" s="59"/>
      <c r="P3" s="62"/>
      <c r="Q3" s="62"/>
      <c r="R3" s="42"/>
    </row>
    <row r="4" spans="1:18" s="7" customFormat="1" ht="13.8" thickBot="1" x14ac:dyDescent="0.3">
      <c r="A4" s="223" t="s">
        <v>28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5"/>
    </row>
    <row r="5" spans="1:18" s="7" customFormat="1" x14ac:dyDescent="0.25">
      <c r="A5" s="216" t="s">
        <v>20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8"/>
    </row>
    <row r="6" spans="1:18" s="7" customFormat="1" ht="30" customHeight="1" x14ac:dyDescent="0.25">
      <c r="A6" s="83" t="s">
        <v>157</v>
      </c>
      <c r="B6" s="197" t="s">
        <v>69</v>
      </c>
      <c r="C6" s="197" t="s">
        <v>79</v>
      </c>
      <c r="D6" s="197" t="s">
        <v>74</v>
      </c>
      <c r="E6" s="197" t="s">
        <v>19</v>
      </c>
      <c r="F6" s="197" t="s">
        <v>70</v>
      </c>
      <c r="G6" s="197" t="s">
        <v>5</v>
      </c>
      <c r="H6" s="197" t="s">
        <v>13</v>
      </c>
      <c r="I6" s="197" t="s">
        <v>14</v>
      </c>
      <c r="J6" s="197" t="s">
        <v>6</v>
      </c>
      <c r="K6" s="198" t="s">
        <v>66</v>
      </c>
      <c r="L6" s="198" t="s">
        <v>71</v>
      </c>
      <c r="M6" s="198" t="s">
        <v>67</v>
      </c>
      <c r="N6" s="198" t="s">
        <v>68</v>
      </c>
      <c r="O6" s="198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2" customFormat="1" ht="12.75" customHeight="1" thickBot="1" x14ac:dyDescent="0.3">
      <c r="A9" s="96" t="s">
        <v>58</v>
      </c>
      <c r="B9" s="64"/>
      <c r="C9" s="64"/>
      <c r="D9" s="64"/>
      <c r="E9" s="64"/>
      <c r="F9" s="97"/>
      <c r="G9" s="97"/>
      <c r="H9" s="97"/>
      <c r="I9" s="97"/>
      <c r="J9" s="97"/>
      <c r="K9" s="64"/>
      <c r="L9" s="64"/>
      <c r="M9" s="98"/>
      <c r="N9" s="97"/>
      <c r="O9" s="101">
        <v>6.0000000000000008E-7</v>
      </c>
      <c r="P9" s="64"/>
      <c r="Q9" s="64">
        <v>1</v>
      </c>
      <c r="R9" s="78">
        <v>0</v>
      </c>
    </row>
    <row r="10" spans="1:18" s="112" customFormat="1" x14ac:dyDescent="0.25">
      <c r="A10" s="88" t="s">
        <v>137</v>
      </c>
      <c r="B10" s="114" t="s">
        <v>248</v>
      </c>
      <c r="C10" s="114" t="s">
        <v>248</v>
      </c>
      <c r="D10" s="114" t="s">
        <v>248</v>
      </c>
      <c r="E10" s="114" t="s">
        <v>248</v>
      </c>
      <c r="F10" s="115" t="s">
        <v>248</v>
      </c>
      <c r="G10" s="115" t="s">
        <v>248</v>
      </c>
      <c r="H10" s="115" t="s">
        <v>248</v>
      </c>
      <c r="I10" s="126" t="s">
        <v>248</v>
      </c>
      <c r="J10" s="115" t="s">
        <v>248</v>
      </c>
      <c r="K10" s="114" t="s">
        <v>248</v>
      </c>
      <c r="L10" s="114" t="s">
        <v>248</v>
      </c>
      <c r="M10" s="126" t="s">
        <v>248</v>
      </c>
      <c r="N10" s="115" t="s">
        <v>248</v>
      </c>
      <c r="O10" s="127">
        <v>0</v>
      </c>
      <c r="P10" s="114" t="s">
        <v>248</v>
      </c>
      <c r="Q10" s="114">
        <v>0</v>
      </c>
      <c r="R10" s="114">
        <v>0</v>
      </c>
    </row>
    <row r="11" spans="1:18" s="112" customFormat="1" x14ac:dyDescent="0.25">
      <c r="A11" s="89" t="s">
        <v>671</v>
      </c>
      <c r="B11" s="130" t="s">
        <v>248</v>
      </c>
      <c r="C11" s="130" t="s">
        <v>248</v>
      </c>
      <c r="D11" s="130" t="s">
        <v>248</v>
      </c>
      <c r="E11" s="130" t="s">
        <v>248</v>
      </c>
      <c r="F11" s="115" t="s">
        <v>248</v>
      </c>
      <c r="G11" s="129" t="s">
        <v>248</v>
      </c>
      <c r="H11" s="129" t="s">
        <v>248</v>
      </c>
      <c r="I11" s="126" t="s">
        <v>248</v>
      </c>
      <c r="J11" s="129" t="s">
        <v>248</v>
      </c>
      <c r="K11" s="130" t="s">
        <v>248</v>
      </c>
      <c r="L11" s="130" t="s">
        <v>248</v>
      </c>
      <c r="M11" s="128" t="s">
        <v>248</v>
      </c>
      <c r="N11" s="115" t="s">
        <v>248</v>
      </c>
      <c r="O11" s="117">
        <v>0</v>
      </c>
      <c r="P11" s="130"/>
      <c r="Q11" s="114">
        <v>0</v>
      </c>
      <c r="R11" s="114">
        <v>0</v>
      </c>
    </row>
    <row r="12" spans="1:18" s="112" customFormat="1" x14ac:dyDescent="0.25">
      <c r="A12" s="89" t="s">
        <v>672</v>
      </c>
      <c r="B12" s="130" t="s">
        <v>248</v>
      </c>
      <c r="C12" s="130" t="s">
        <v>248</v>
      </c>
      <c r="D12" s="130" t="s">
        <v>248</v>
      </c>
      <c r="E12" s="130" t="s">
        <v>248</v>
      </c>
      <c r="F12" s="115" t="s">
        <v>248</v>
      </c>
      <c r="G12" s="129" t="s">
        <v>248</v>
      </c>
      <c r="H12" s="129" t="s">
        <v>248</v>
      </c>
      <c r="I12" s="126" t="s">
        <v>248</v>
      </c>
      <c r="J12" s="129" t="s">
        <v>248</v>
      </c>
      <c r="K12" s="130" t="s">
        <v>248</v>
      </c>
      <c r="L12" s="130" t="s">
        <v>248</v>
      </c>
      <c r="M12" s="128" t="s">
        <v>248</v>
      </c>
      <c r="N12" s="115" t="s">
        <v>248</v>
      </c>
      <c r="O12" s="117">
        <v>0</v>
      </c>
      <c r="P12" s="130"/>
      <c r="Q12" s="114">
        <v>0</v>
      </c>
      <c r="R12" s="114">
        <v>0</v>
      </c>
    </row>
    <row r="13" spans="1:18" s="112" customFormat="1" x14ac:dyDescent="0.25">
      <c r="A13" s="89" t="s">
        <v>430</v>
      </c>
      <c r="B13" s="130" t="s">
        <v>248</v>
      </c>
      <c r="C13" s="130" t="s">
        <v>248</v>
      </c>
      <c r="D13" s="130" t="s">
        <v>248</v>
      </c>
      <c r="E13" s="130" t="s">
        <v>248</v>
      </c>
      <c r="F13" s="115" t="s">
        <v>248</v>
      </c>
      <c r="G13" s="129" t="s">
        <v>248</v>
      </c>
      <c r="H13" s="129" t="s">
        <v>248</v>
      </c>
      <c r="I13" s="126" t="s">
        <v>248</v>
      </c>
      <c r="J13" s="129" t="s">
        <v>248</v>
      </c>
      <c r="K13" s="130" t="s">
        <v>248</v>
      </c>
      <c r="L13" s="130" t="s">
        <v>248</v>
      </c>
      <c r="M13" s="128" t="s">
        <v>248</v>
      </c>
      <c r="N13" s="115" t="s">
        <v>248</v>
      </c>
      <c r="O13" s="117">
        <v>0</v>
      </c>
      <c r="P13" s="130"/>
      <c r="Q13" s="114">
        <v>0</v>
      </c>
      <c r="R13" s="114">
        <v>0</v>
      </c>
    </row>
    <row r="14" spans="1:18" s="112" customFormat="1" x14ac:dyDescent="0.25">
      <c r="A14" s="89" t="s">
        <v>141</v>
      </c>
      <c r="B14" s="130" t="s">
        <v>248</v>
      </c>
      <c r="C14" s="130" t="s">
        <v>248</v>
      </c>
      <c r="D14" s="130" t="s">
        <v>248</v>
      </c>
      <c r="E14" s="130" t="s">
        <v>248</v>
      </c>
      <c r="F14" s="115" t="s">
        <v>248</v>
      </c>
      <c r="G14" s="129" t="s">
        <v>248</v>
      </c>
      <c r="H14" s="129" t="s">
        <v>248</v>
      </c>
      <c r="I14" s="126" t="s">
        <v>248</v>
      </c>
      <c r="J14" s="129" t="s">
        <v>248</v>
      </c>
      <c r="K14" s="130" t="s">
        <v>248</v>
      </c>
      <c r="L14" s="130" t="s">
        <v>248</v>
      </c>
      <c r="M14" s="128" t="s">
        <v>248</v>
      </c>
      <c r="N14" s="115" t="s">
        <v>248</v>
      </c>
      <c r="O14" s="117">
        <v>0</v>
      </c>
      <c r="P14" s="130"/>
      <c r="Q14" s="114">
        <v>0</v>
      </c>
      <c r="R14" s="114">
        <v>0</v>
      </c>
    </row>
    <row r="15" spans="1:18" s="112" customFormat="1" x14ac:dyDescent="0.25">
      <c r="A15" s="89" t="s">
        <v>415</v>
      </c>
      <c r="B15" s="130" t="s">
        <v>248</v>
      </c>
      <c r="C15" s="130" t="s">
        <v>248</v>
      </c>
      <c r="D15" s="130" t="s">
        <v>248</v>
      </c>
      <c r="E15" s="130" t="s">
        <v>248</v>
      </c>
      <c r="F15" s="115" t="s">
        <v>248</v>
      </c>
      <c r="G15" s="129" t="s">
        <v>248</v>
      </c>
      <c r="H15" s="129" t="s">
        <v>248</v>
      </c>
      <c r="I15" s="126" t="s">
        <v>248</v>
      </c>
      <c r="J15" s="129" t="s">
        <v>248</v>
      </c>
      <c r="K15" s="130" t="s">
        <v>248</v>
      </c>
      <c r="L15" s="130" t="s">
        <v>248</v>
      </c>
      <c r="M15" s="128" t="s">
        <v>248</v>
      </c>
      <c r="N15" s="115" t="s">
        <v>248</v>
      </c>
      <c r="O15" s="117">
        <v>0</v>
      </c>
      <c r="P15" s="130"/>
      <c r="Q15" s="114">
        <v>0</v>
      </c>
      <c r="R15" s="114">
        <v>0</v>
      </c>
    </row>
    <row r="16" spans="1:18" s="112" customFormat="1" x14ac:dyDescent="0.25">
      <c r="A16" s="89" t="s">
        <v>675</v>
      </c>
      <c r="B16" s="130" t="s">
        <v>248</v>
      </c>
      <c r="C16" s="130" t="s">
        <v>248</v>
      </c>
      <c r="D16" s="130" t="s">
        <v>248</v>
      </c>
      <c r="E16" s="130" t="s">
        <v>248</v>
      </c>
      <c r="F16" s="115" t="s">
        <v>248</v>
      </c>
      <c r="G16" s="129" t="s">
        <v>248</v>
      </c>
      <c r="H16" s="129" t="s">
        <v>248</v>
      </c>
      <c r="I16" s="126" t="s">
        <v>248</v>
      </c>
      <c r="J16" s="129" t="s">
        <v>248</v>
      </c>
      <c r="K16" s="130" t="s">
        <v>248</v>
      </c>
      <c r="L16" s="130" t="s">
        <v>248</v>
      </c>
      <c r="M16" s="128" t="s">
        <v>248</v>
      </c>
      <c r="N16" s="115" t="s">
        <v>248</v>
      </c>
      <c r="O16" s="117">
        <v>0</v>
      </c>
      <c r="P16" s="130"/>
      <c r="Q16" s="114">
        <v>0</v>
      </c>
      <c r="R16" s="114">
        <v>0</v>
      </c>
    </row>
    <row r="17" spans="1:18" s="112" customFormat="1" x14ac:dyDescent="0.25">
      <c r="A17" s="89" t="s">
        <v>676</v>
      </c>
      <c r="B17" s="130" t="s">
        <v>248</v>
      </c>
      <c r="C17" s="130" t="s">
        <v>248</v>
      </c>
      <c r="D17" s="130" t="s">
        <v>248</v>
      </c>
      <c r="E17" s="130" t="s">
        <v>248</v>
      </c>
      <c r="F17" s="115" t="s">
        <v>248</v>
      </c>
      <c r="G17" s="129" t="s">
        <v>248</v>
      </c>
      <c r="H17" s="129" t="s">
        <v>248</v>
      </c>
      <c r="I17" s="126" t="s">
        <v>248</v>
      </c>
      <c r="J17" s="129" t="s">
        <v>248</v>
      </c>
      <c r="K17" s="130" t="s">
        <v>248</v>
      </c>
      <c r="L17" s="130" t="s">
        <v>248</v>
      </c>
      <c r="M17" s="128" t="s">
        <v>248</v>
      </c>
      <c r="N17" s="115" t="s">
        <v>248</v>
      </c>
      <c r="O17" s="117">
        <v>0</v>
      </c>
      <c r="P17" s="130"/>
      <c r="Q17" s="114">
        <v>0</v>
      </c>
      <c r="R17" s="114">
        <v>0</v>
      </c>
    </row>
    <row r="18" spans="1:18" s="112" customFormat="1" x14ac:dyDescent="0.25">
      <c r="A18" s="75" t="s">
        <v>241</v>
      </c>
      <c r="B18" s="118"/>
      <c r="C18" s="118"/>
      <c r="D18" s="118"/>
      <c r="E18" s="75"/>
      <c r="F18" s="119"/>
      <c r="G18" s="119"/>
      <c r="H18" s="119"/>
      <c r="I18" s="120"/>
      <c r="J18" s="121"/>
      <c r="K18" s="122"/>
      <c r="L18" s="122"/>
      <c r="M18" s="122"/>
      <c r="N18" s="121"/>
      <c r="O18" s="121"/>
      <c r="P18" s="131"/>
      <c r="Q18" s="131"/>
      <c r="R18" s="131"/>
    </row>
    <row r="19" spans="1:18" s="112" customFormat="1" x14ac:dyDescent="0.25">
      <c r="A19" s="75" t="s">
        <v>242</v>
      </c>
      <c r="B19" s="118"/>
      <c r="C19" s="118"/>
      <c r="D19" s="118"/>
      <c r="E19" s="75"/>
      <c r="F19" s="119"/>
      <c r="G19" s="119"/>
      <c r="H19" s="119"/>
      <c r="I19" s="120"/>
      <c r="J19" s="121"/>
      <c r="K19" s="122"/>
      <c r="L19" s="122"/>
      <c r="M19" s="122"/>
      <c r="N19" s="121"/>
      <c r="O19" s="121"/>
      <c r="P19" s="131"/>
      <c r="Q19" s="131"/>
      <c r="R19" s="131"/>
    </row>
    <row r="20" spans="1:18" s="112" customFormat="1" x14ac:dyDescent="0.25">
      <c r="A20" s="75" t="s">
        <v>243</v>
      </c>
      <c r="B20" s="118"/>
      <c r="C20" s="118"/>
      <c r="D20" s="118"/>
      <c r="E20" s="75"/>
      <c r="F20" s="119"/>
      <c r="G20" s="119"/>
      <c r="H20" s="119"/>
      <c r="I20" s="120"/>
      <c r="J20" s="121"/>
      <c r="K20" s="122"/>
      <c r="L20" s="122"/>
      <c r="M20" s="122"/>
      <c r="N20" s="121"/>
      <c r="O20" s="121"/>
      <c r="P20" s="131"/>
      <c r="Q20" s="131"/>
      <c r="R20" s="131"/>
    </row>
    <row r="21" spans="1:18" s="112" customFormat="1" x14ac:dyDescent="0.25">
      <c r="A21" s="75" t="s">
        <v>244</v>
      </c>
      <c r="B21" s="118"/>
      <c r="C21" s="118"/>
      <c r="D21" s="118"/>
      <c r="E21" s="75"/>
      <c r="F21" s="119"/>
      <c r="G21" s="119"/>
      <c r="H21" s="119"/>
      <c r="I21" s="120"/>
      <c r="J21" s="121"/>
      <c r="K21" s="122"/>
      <c r="L21" s="122"/>
      <c r="M21" s="122"/>
      <c r="N21" s="121"/>
      <c r="O21" s="121"/>
      <c r="P21" s="131"/>
      <c r="Q21" s="131"/>
      <c r="R21" s="131"/>
    </row>
    <row r="22" spans="1:18" s="112" customFormat="1" x14ac:dyDescent="0.25">
      <c r="A22" s="75" t="s">
        <v>245</v>
      </c>
      <c r="B22" s="118"/>
      <c r="C22" s="118"/>
      <c r="D22" s="118"/>
      <c r="E22" s="75"/>
      <c r="F22" s="119"/>
      <c r="G22" s="119"/>
      <c r="H22" s="119"/>
      <c r="I22" s="120"/>
      <c r="J22" s="121"/>
      <c r="K22" s="122"/>
      <c r="L22" s="122"/>
      <c r="M22" s="122"/>
      <c r="N22" s="121"/>
      <c r="O22" s="121"/>
      <c r="P22" s="131"/>
      <c r="Q22" s="131"/>
      <c r="R22" s="131"/>
    </row>
  </sheetData>
  <mergeCells count="2">
    <mergeCell ref="A5:R5"/>
    <mergeCell ref="A4:R4"/>
  </mergeCells>
  <phoneticPr fontId="3" type="noConversion"/>
  <conditionalFormatting sqref="A9:A17 O9:O17">
    <cfRule type="expression" dxfId="63" priority="306" stopIfTrue="1">
      <formula>#REF!&gt;0</formula>
    </cfRule>
    <cfRule type="expression" dxfId="62" priority="307" stopIfTrue="1">
      <formula>LEFT(#REF!,3)="TIR"</formula>
    </cfRule>
  </conditionalFormatting>
  <conditionalFormatting sqref="B9:H17 J9:J17 Q9:R17">
    <cfRule type="expression" dxfId="61" priority="297" stopIfTrue="1">
      <formula>OR(LEFT(#REF!,3)="TIR",LEFT(#REF!,2)="IR")</formula>
    </cfRule>
  </conditionalFormatting>
  <conditionalFormatting sqref="J1:J3 K6">
    <cfRule type="expression" dxfId="60" priority="305" stopIfTrue="1">
      <formula>LEFT(#REF!,3)="TIR"</formula>
    </cfRule>
  </conditionalFormatting>
  <conditionalFormatting sqref="P9:Q17 I9:I17 K9:N17 J18:J55552">
    <cfRule type="expression" dxfId="59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7" customWidth="1"/>
    <col min="7" max="7" width="10.5546875" style="57" customWidth="1"/>
    <col min="8" max="8" width="8.88671875" style="57" bestFit="1" customWidth="1"/>
    <col min="9" max="9" width="10.44140625" style="36" customWidth="1"/>
    <col min="10" max="10" width="22" style="59" customWidth="1"/>
    <col min="11" max="11" width="25.44140625" style="59" customWidth="1"/>
    <col min="12" max="12" width="20.6640625" style="61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59"/>
      <c r="L1" s="60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59"/>
      <c r="L2" s="60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59"/>
      <c r="L3" s="60"/>
      <c r="M3" s="13"/>
      <c r="N3" s="13"/>
      <c r="O3" s="12"/>
      <c r="P3" s="12"/>
      <c r="Q3" s="14"/>
    </row>
    <row r="4" spans="1:17" s="7" customFormat="1" ht="13.8" thickBot="1" x14ac:dyDescent="0.3">
      <c r="A4" s="219" t="s">
        <v>28</v>
      </c>
      <c r="B4" s="220"/>
      <c r="C4" s="220"/>
      <c r="D4" s="220"/>
      <c r="E4" s="220"/>
      <c r="F4" s="220"/>
      <c r="G4" s="220"/>
      <c r="H4" s="220"/>
      <c r="I4" s="220"/>
      <c r="J4" s="220"/>
      <c r="K4" s="221"/>
      <c r="L4" s="222"/>
      <c r="M4" s="13"/>
      <c r="N4" s="13"/>
      <c r="O4" s="12"/>
      <c r="P4" s="12"/>
      <c r="Q4" s="14"/>
    </row>
    <row r="5" spans="1:17" s="7" customFormat="1" x14ac:dyDescent="0.25">
      <c r="A5" s="216" t="s">
        <v>21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8"/>
    </row>
    <row r="6" spans="1:17" s="7" customFormat="1" ht="33.75" customHeight="1" x14ac:dyDescent="0.25">
      <c r="A6" s="83" t="s">
        <v>157</v>
      </c>
      <c r="B6" s="197" t="s">
        <v>69</v>
      </c>
      <c r="C6" s="197" t="s">
        <v>79</v>
      </c>
      <c r="D6" s="197" t="s">
        <v>74</v>
      </c>
      <c r="E6" s="197" t="s">
        <v>19</v>
      </c>
      <c r="F6" s="197" t="s">
        <v>6</v>
      </c>
      <c r="G6" s="198" t="s">
        <v>67</v>
      </c>
      <c r="H6" s="198" t="s">
        <v>68</v>
      </c>
      <c r="I6" s="198" t="s">
        <v>7</v>
      </c>
      <c r="J6" s="198" t="s">
        <v>17</v>
      </c>
      <c r="K6" s="86" t="s">
        <v>75</v>
      </c>
      <c r="L6" s="87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5">
        <v>10</v>
      </c>
      <c r="L8" s="43">
        <v>11</v>
      </c>
    </row>
    <row r="9" spans="1:17" s="112" customFormat="1" ht="12.75" customHeight="1" thickBot="1" x14ac:dyDescent="0.3">
      <c r="A9" s="96" t="s">
        <v>59</v>
      </c>
      <c r="B9" s="64"/>
      <c r="C9" s="64"/>
      <c r="D9" s="64"/>
      <c r="E9" s="64"/>
      <c r="F9" s="97"/>
      <c r="G9" s="98"/>
      <c r="H9" s="97"/>
      <c r="I9" s="101">
        <v>3.0000000000000004E-7</v>
      </c>
      <c r="J9" s="64"/>
      <c r="K9" s="64">
        <v>1</v>
      </c>
      <c r="L9" s="56">
        <v>0</v>
      </c>
    </row>
    <row r="10" spans="1:17" s="112" customFormat="1" x14ac:dyDescent="0.25">
      <c r="A10" s="88" t="s">
        <v>137</v>
      </c>
      <c r="B10" s="114" t="s">
        <v>248</v>
      </c>
      <c r="C10" s="114" t="s">
        <v>248</v>
      </c>
      <c r="D10" s="114" t="s">
        <v>248</v>
      </c>
      <c r="E10" s="114" t="s">
        <v>248</v>
      </c>
      <c r="F10" s="115" t="s">
        <v>248</v>
      </c>
      <c r="G10" s="126" t="s">
        <v>248</v>
      </c>
      <c r="H10" s="115" t="s">
        <v>248</v>
      </c>
      <c r="I10" s="127">
        <v>0</v>
      </c>
      <c r="J10" s="114" t="s">
        <v>248</v>
      </c>
      <c r="K10" s="114">
        <v>0</v>
      </c>
      <c r="L10" s="114">
        <v>0</v>
      </c>
    </row>
    <row r="11" spans="1:17" s="112" customFormat="1" x14ac:dyDescent="0.25">
      <c r="A11" s="89" t="s">
        <v>415</v>
      </c>
      <c r="B11" s="130" t="s">
        <v>248</v>
      </c>
      <c r="C11" s="130" t="s">
        <v>248</v>
      </c>
      <c r="D11" s="130" t="s">
        <v>248</v>
      </c>
      <c r="E11" s="130" t="s">
        <v>248</v>
      </c>
      <c r="F11" s="129" t="s">
        <v>248</v>
      </c>
      <c r="G11" s="128" t="s">
        <v>248</v>
      </c>
      <c r="H11" s="115" t="s">
        <v>248</v>
      </c>
      <c r="I11" s="116">
        <v>0</v>
      </c>
      <c r="J11" s="114"/>
      <c r="K11" s="114">
        <v>0</v>
      </c>
      <c r="L11" s="114">
        <v>0</v>
      </c>
    </row>
    <row r="12" spans="1:17" s="112" customFormat="1" x14ac:dyDescent="0.25">
      <c r="A12" s="89" t="s">
        <v>143</v>
      </c>
      <c r="B12" s="130" t="s">
        <v>248</v>
      </c>
      <c r="C12" s="130" t="s">
        <v>248</v>
      </c>
      <c r="D12" s="130" t="s">
        <v>248</v>
      </c>
      <c r="E12" s="130" t="s">
        <v>248</v>
      </c>
      <c r="F12" s="129" t="s">
        <v>248</v>
      </c>
      <c r="G12" s="128" t="s">
        <v>248</v>
      </c>
      <c r="H12" s="115" t="s">
        <v>248</v>
      </c>
      <c r="I12" s="116">
        <v>0</v>
      </c>
      <c r="J12" s="114"/>
      <c r="K12" s="114">
        <v>0</v>
      </c>
      <c r="L12" s="114">
        <v>0</v>
      </c>
    </row>
    <row r="13" spans="1:17" s="112" customFormat="1" x14ac:dyDescent="0.25">
      <c r="A13" s="89" t="s">
        <v>144</v>
      </c>
      <c r="B13" s="130" t="s">
        <v>248</v>
      </c>
      <c r="C13" s="130" t="s">
        <v>248</v>
      </c>
      <c r="D13" s="130" t="s">
        <v>248</v>
      </c>
      <c r="E13" s="130" t="s">
        <v>248</v>
      </c>
      <c r="F13" s="129" t="s">
        <v>248</v>
      </c>
      <c r="G13" s="128" t="s">
        <v>248</v>
      </c>
      <c r="H13" s="115" t="s">
        <v>248</v>
      </c>
      <c r="I13" s="116">
        <v>0</v>
      </c>
      <c r="J13" s="114"/>
      <c r="K13" s="114">
        <v>0</v>
      </c>
      <c r="L13" s="114">
        <v>0</v>
      </c>
    </row>
    <row r="14" spans="1:17" s="112" customFormat="1" x14ac:dyDescent="0.25">
      <c r="A14" s="75" t="s">
        <v>241</v>
      </c>
      <c r="B14" s="118"/>
      <c r="C14" s="118"/>
      <c r="D14" s="118"/>
      <c r="E14" s="75"/>
      <c r="F14" s="119"/>
      <c r="G14" s="119"/>
      <c r="H14" s="119"/>
      <c r="I14" s="120"/>
      <c r="J14" s="121"/>
      <c r="K14" s="121"/>
      <c r="L14" s="122"/>
      <c r="M14" s="141"/>
      <c r="N14" s="141"/>
      <c r="O14" s="123"/>
      <c r="P14" s="123"/>
    </row>
    <row r="15" spans="1:17" s="112" customFormat="1" x14ac:dyDescent="0.25">
      <c r="A15" s="75" t="s">
        <v>242</v>
      </c>
      <c r="B15" s="118"/>
      <c r="C15" s="118"/>
      <c r="D15" s="118"/>
      <c r="E15" s="75"/>
      <c r="F15" s="119"/>
      <c r="G15" s="119"/>
      <c r="H15" s="119"/>
      <c r="I15" s="120"/>
      <c r="J15" s="121"/>
      <c r="K15" s="121"/>
      <c r="L15" s="122"/>
      <c r="M15" s="141"/>
      <c r="N15" s="141"/>
      <c r="O15" s="123"/>
      <c r="P15" s="123"/>
    </row>
    <row r="16" spans="1:17" s="112" customFormat="1" x14ac:dyDescent="0.25">
      <c r="A16" s="75" t="s">
        <v>243</v>
      </c>
      <c r="B16" s="118"/>
      <c r="C16" s="118"/>
      <c r="D16" s="118"/>
      <c r="E16" s="75"/>
      <c r="F16" s="119"/>
      <c r="G16" s="119"/>
      <c r="H16" s="119"/>
      <c r="I16" s="120"/>
      <c r="J16" s="121"/>
      <c r="K16" s="121"/>
      <c r="L16" s="122"/>
      <c r="M16" s="141"/>
      <c r="N16" s="141"/>
      <c r="O16" s="123"/>
      <c r="P16" s="123"/>
    </row>
    <row r="17" spans="1:16" s="112" customFormat="1" x14ac:dyDescent="0.25">
      <c r="A17" s="75" t="s">
        <v>244</v>
      </c>
      <c r="B17" s="118"/>
      <c r="C17" s="118"/>
      <c r="D17" s="118"/>
      <c r="E17" s="75"/>
      <c r="F17" s="119"/>
      <c r="G17" s="119"/>
      <c r="H17" s="119"/>
      <c r="I17" s="120"/>
      <c r="J17" s="121"/>
      <c r="K17" s="121"/>
      <c r="L17" s="122"/>
      <c r="M17" s="141"/>
      <c r="N17" s="141"/>
      <c r="O17" s="123"/>
      <c r="P17" s="123"/>
    </row>
    <row r="18" spans="1:16" s="112" customFormat="1" x14ac:dyDescent="0.25">
      <c r="A18" s="75" t="s">
        <v>245</v>
      </c>
      <c r="B18" s="118"/>
      <c r="C18" s="118"/>
      <c r="D18" s="118"/>
      <c r="E18" s="75"/>
      <c r="F18" s="119"/>
      <c r="G18" s="119"/>
      <c r="H18" s="119"/>
      <c r="I18" s="120"/>
      <c r="J18" s="121"/>
      <c r="K18" s="121"/>
      <c r="L18" s="122"/>
      <c r="M18" s="141"/>
      <c r="N18" s="141"/>
      <c r="O18" s="123"/>
      <c r="P18" s="123"/>
    </row>
  </sheetData>
  <mergeCells count="2">
    <mergeCell ref="A5:L5"/>
    <mergeCell ref="A4:L4"/>
  </mergeCells>
  <phoneticPr fontId="3" type="noConversion"/>
  <conditionalFormatting sqref="A9:A13 I9:I13">
    <cfRule type="expression" dxfId="58" priority="325" stopIfTrue="1">
      <formula>#REF!&gt;0</formula>
    </cfRule>
    <cfRule type="expression" dxfId="57" priority="326" stopIfTrue="1">
      <formula>LEFT(#REF!,3)="TIR"</formula>
    </cfRule>
  </conditionalFormatting>
  <conditionalFormatting sqref="B9:F13 K9:K13 L10:L13">
    <cfRule type="expression" dxfId="56" priority="322" stopIfTrue="1">
      <formula>OR(LEFT(#REF!,3)="TIR",LEFT(#REF!,2)="IR")</formula>
    </cfRule>
  </conditionalFormatting>
  <conditionalFormatting sqref="C9:D13">
    <cfRule type="expression" dxfId="55" priority="329" stopIfTrue="1">
      <formula>LEFT(#REF!,3)="TIR"</formula>
    </cfRule>
  </conditionalFormatting>
  <conditionalFormatting sqref="J1:K3 G9:H13 J9:J55548">
    <cfRule type="expression" dxfId="54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25.109375" style="9" bestFit="1" customWidth="1"/>
    <col min="2" max="2" width="13.5546875" style="8" bestFit="1" customWidth="1"/>
    <col min="3" max="3" width="11.33203125" style="57" customWidth="1"/>
    <col min="4" max="4" width="14.109375" style="57" customWidth="1"/>
    <col min="5" max="5" width="10.5546875" style="57" customWidth="1"/>
    <col min="6" max="6" width="8.88671875" style="36" bestFit="1" customWidth="1"/>
    <col min="7" max="7" width="10.44140625" style="59" customWidth="1"/>
    <col min="8" max="8" width="22" style="61" customWidth="1"/>
    <col min="9" max="9" width="25.44140625" style="61" customWidth="1"/>
    <col min="10" max="10" width="20.6640625" style="61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7"/>
      <c r="D1" s="57"/>
      <c r="E1" s="57"/>
      <c r="F1" s="36"/>
      <c r="G1" s="59"/>
      <c r="H1" s="60"/>
      <c r="I1" s="60"/>
      <c r="J1" s="60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7"/>
      <c r="D2" s="57"/>
      <c r="E2" s="57"/>
      <c r="F2" s="36"/>
      <c r="G2" s="59"/>
      <c r="H2" s="60"/>
      <c r="I2" s="60"/>
      <c r="J2" s="60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246</v>
      </c>
      <c r="C3" s="57"/>
      <c r="D3" s="57"/>
      <c r="E3" s="57"/>
      <c r="F3" s="36"/>
      <c r="G3" s="59"/>
      <c r="H3" s="60"/>
      <c r="I3" s="60"/>
      <c r="J3" s="60"/>
      <c r="K3" s="13"/>
      <c r="L3" s="12"/>
      <c r="M3" s="12"/>
      <c r="N3" s="14"/>
    </row>
    <row r="4" spans="1:17" s="7" customFormat="1" ht="13.8" thickBot="1" x14ac:dyDescent="0.3">
      <c r="A4" s="213" t="s">
        <v>28</v>
      </c>
      <c r="B4" s="214"/>
      <c r="C4" s="214"/>
      <c r="D4" s="214"/>
      <c r="E4" s="214"/>
      <c r="F4" s="214"/>
      <c r="G4" s="214"/>
      <c r="H4" s="214"/>
      <c r="I4" s="214"/>
      <c r="J4" s="215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16" t="s">
        <v>30</v>
      </c>
      <c r="B5" s="217"/>
      <c r="C5" s="217"/>
      <c r="D5" s="217"/>
      <c r="E5" s="217"/>
      <c r="F5" s="217"/>
      <c r="G5" s="217"/>
      <c r="H5" s="217"/>
      <c r="I5" s="217"/>
      <c r="J5" s="218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3" t="s">
        <v>157</v>
      </c>
      <c r="B6" s="197" t="s">
        <v>69</v>
      </c>
      <c r="C6" s="197" t="s">
        <v>6</v>
      </c>
      <c r="D6" s="197" t="s">
        <v>13</v>
      </c>
      <c r="E6" s="198" t="s">
        <v>67</v>
      </c>
      <c r="F6" s="198" t="s">
        <v>68</v>
      </c>
      <c r="G6" s="198" t="s">
        <v>29</v>
      </c>
      <c r="H6" s="86" t="s">
        <v>17</v>
      </c>
      <c r="I6" s="86" t="s">
        <v>75</v>
      </c>
      <c r="J6" s="87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2" customFormat="1" ht="12.75" customHeight="1" thickBot="1" x14ac:dyDescent="0.3">
      <c r="A9" s="96" t="s">
        <v>60</v>
      </c>
      <c r="B9" s="64" t="s">
        <v>248</v>
      </c>
      <c r="C9" s="97" t="s">
        <v>248</v>
      </c>
      <c r="D9" s="97" t="s">
        <v>248</v>
      </c>
      <c r="E9" s="98" t="s">
        <v>248</v>
      </c>
      <c r="F9" s="97" t="s">
        <v>248</v>
      </c>
      <c r="G9" s="101">
        <v>8.0000000000000007E-7</v>
      </c>
      <c r="H9" s="64" t="s">
        <v>248</v>
      </c>
      <c r="I9" s="64">
        <v>1</v>
      </c>
      <c r="J9" s="78">
        <v>0</v>
      </c>
    </row>
    <row r="10" spans="1:17" s="112" customFormat="1" x14ac:dyDescent="0.25">
      <c r="A10" s="88" t="s">
        <v>677</v>
      </c>
      <c r="B10" s="114" t="s">
        <v>248</v>
      </c>
      <c r="C10" s="115" t="s">
        <v>248</v>
      </c>
      <c r="D10" s="115" t="s">
        <v>248</v>
      </c>
      <c r="E10" s="126" t="s">
        <v>248</v>
      </c>
      <c r="F10" s="115" t="s">
        <v>248</v>
      </c>
      <c r="G10" s="127">
        <v>0</v>
      </c>
      <c r="H10" s="114" t="s">
        <v>248</v>
      </c>
      <c r="I10" s="114">
        <v>0</v>
      </c>
      <c r="J10" s="114">
        <v>0</v>
      </c>
    </row>
    <row r="11" spans="1:17" s="112" customFormat="1" x14ac:dyDescent="0.25">
      <c r="A11" s="89" t="s">
        <v>678</v>
      </c>
      <c r="B11" s="130" t="s">
        <v>248</v>
      </c>
      <c r="C11" s="129" t="s">
        <v>248</v>
      </c>
      <c r="D11" s="129" t="s">
        <v>248</v>
      </c>
      <c r="E11" s="128" t="s">
        <v>248</v>
      </c>
      <c r="F11" s="115" t="s">
        <v>248</v>
      </c>
      <c r="G11" s="117">
        <v>0</v>
      </c>
      <c r="H11" s="114"/>
      <c r="I11" s="130">
        <v>0</v>
      </c>
      <c r="J11" s="130">
        <v>0</v>
      </c>
    </row>
    <row r="12" spans="1:17" s="112" customFormat="1" x14ac:dyDescent="0.25">
      <c r="A12" s="89" t="s">
        <v>679</v>
      </c>
      <c r="B12" s="130" t="s">
        <v>248</v>
      </c>
      <c r="C12" s="129" t="s">
        <v>248</v>
      </c>
      <c r="D12" s="129" t="s">
        <v>248</v>
      </c>
      <c r="E12" s="128" t="s">
        <v>248</v>
      </c>
      <c r="F12" s="115" t="s">
        <v>248</v>
      </c>
      <c r="G12" s="117">
        <v>0</v>
      </c>
      <c r="H12" s="114"/>
      <c r="I12" s="130">
        <v>0</v>
      </c>
      <c r="J12" s="130">
        <v>0</v>
      </c>
    </row>
    <row r="13" spans="1:17" s="112" customFormat="1" x14ac:dyDescent="0.25">
      <c r="A13" s="89" t="s">
        <v>680</v>
      </c>
      <c r="B13" s="130" t="s">
        <v>248</v>
      </c>
      <c r="C13" s="129" t="s">
        <v>248</v>
      </c>
      <c r="D13" s="129" t="s">
        <v>248</v>
      </c>
      <c r="E13" s="128" t="s">
        <v>248</v>
      </c>
      <c r="F13" s="115" t="s">
        <v>248</v>
      </c>
      <c r="G13" s="117">
        <v>0</v>
      </c>
      <c r="H13" s="114"/>
      <c r="I13" s="130">
        <v>0</v>
      </c>
      <c r="J13" s="130">
        <v>0</v>
      </c>
    </row>
    <row r="14" spans="1:17" s="112" customFormat="1" x14ac:dyDescent="0.25">
      <c r="A14" s="89" t="s">
        <v>681</v>
      </c>
      <c r="B14" s="130" t="s">
        <v>248</v>
      </c>
      <c r="C14" s="129" t="s">
        <v>248</v>
      </c>
      <c r="D14" s="129" t="s">
        <v>248</v>
      </c>
      <c r="E14" s="128" t="s">
        <v>248</v>
      </c>
      <c r="F14" s="115" t="s">
        <v>248</v>
      </c>
      <c r="G14" s="117">
        <v>0</v>
      </c>
      <c r="H14" s="114"/>
      <c r="I14" s="130">
        <v>0</v>
      </c>
      <c r="J14" s="130">
        <v>0</v>
      </c>
    </row>
    <row r="15" spans="1:17" s="112" customFormat="1" x14ac:dyDescent="0.25">
      <c r="A15" s="89" t="s">
        <v>682</v>
      </c>
      <c r="B15" s="130" t="s">
        <v>248</v>
      </c>
      <c r="C15" s="129" t="s">
        <v>248</v>
      </c>
      <c r="D15" s="129" t="s">
        <v>248</v>
      </c>
      <c r="E15" s="128" t="s">
        <v>248</v>
      </c>
      <c r="F15" s="115" t="s">
        <v>248</v>
      </c>
      <c r="G15" s="117">
        <v>0</v>
      </c>
      <c r="H15" s="114"/>
      <c r="I15" s="130">
        <v>0</v>
      </c>
      <c r="J15" s="130">
        <v>0</v>
      </c>
    </row>
    <row r="16" spans="1:17" s="112" customFormat="1" x14ac:dyDescent="0.25">
      <c r="A16" s="89" t="s">
        <v>678</v>
      </c>
      <c r="B16" s="130" t="s">
        <v>248</v>
      </c>
      <c r="C16" s="129" t="s">
        <v>248</v>
      </c>
      <c r="D16" s="129" t="s">
        <v>248</v>
      </c>
      <c r="E16" s="128" t="s">
        <v>248</v>
      </c>
      <c r="F16" s="115" t="s">
        <v>248</v>
      </c>
      <c r="G16" s="117">
        <v>0</v>
      </c>
      <c r="H16" s="114"/>
      <c r="I16" s="130">
        <v>0</v>
      </c>
      <c r="J16" s="130">
        <v>0</v>
      </c>
    </row>
    <row r="17" spans="1:13" s="112" customFormat="1" x14ac:dyDescent="0.25">
      <c r="A17" s="89" t="s">
        <v>679</v>
      </c>
      <c r="B17" s="130" t="s">
        <v>248</v>
      </c>
      <c r="C17" s="129" t="s">
        <v>248</v>
      </c>
      <c r="D17" s="129" t="s">
        <v>248</v>
      </c>
      <c r="E17" s="128" t="s">
        <v>248</v>
      </c>
      <c r="F17" s="115" t="s">
        <v>248</v>
      </c>
      <c r="G17" s="117">
        <v>0</v>
      </c>
      <c r="H17" s="114"/>
      <c r="I17" s="130">
        <v>0</v>
      </c>
      <c r="J17" s="130">
        <v>0</v>
      </c>
    </row>
    <row r="18" spans="1:13" s="112" customFormat="1" x14ac:dyDescent="0.25">
      <c r="A18" s="89" t="s">
        <v>680</v>
      </c>
      <c r="B18" s="130" t="s">
        <v>248</v>
      </c>
      <c r="C18" s="129" t="s">
        <v>248</v>
      </c>
      <c r="D18" s="129" t="s">
        <v>248</v>
      </c>
      <c r="E18" s="128" t="s">
        <v>248</v>
      </c>
      <c r="F18" s="115" t="s">
        <v>248</v>
      </c>
      <c r="G18" s="117">
        <v>0</v>
      </c>
      <c r="H18" s="114"/>
      <c r="I18" s="130">
        <v>0</v>
      </c>
      <c r="J18" s="130">
        <v>0</v>
      </c>
    </row>
    <row r="19" spans="1:13" s="112" customFormat="1" x14ac:dyDescent="0.25">
      <c r="A19" s="89" t="s">
        <v>681</v>
      </c>
      <c r="B19" s="130" t="s">
        <v>248</v>
      </c>
      <c r="C19" s="129" t="s">
        <v>248</v>
      </c>
      <c r="D19" s="129" t="s">
        <v>248</v>
      </c>
      <c r="E19" s="128" t="s">
        <v>248</v>
      </c>
      <c r="F19" s="115" t="s">
        <v>248</v>
      </c>
      <c r="G19" s="117">
        <v>0</v>
      </c>
      <c r="H19" s="114"/>
      <c r="I19" s="130">
        <v>0</v>
      </c>
      <c r="J19" s="130">
        <v>0</v>
      </c>
    </row>
    <row r="20" spans="1:13" s="112" customFormat="1" x14ac:dyDescent="0.25">
      <c r="A20" s="75" t="s">
        <v>241</v>
      </c>
      <c r="B20" s="118"/>
      <c r="C20" s="119"/>
      <c r="D20" s="119"/>
      <c r="E20" s="119"/>
      <c r="F20" s="120"/>
      <c r="G20" s="121"/>
      <c r="H20" s="122"/>
      <c r="I20" s="122"/>
      <c r="J20" s="122"/>
      <c r="K20" s="141"/>
      <c r="L20" s="123"/>
      <c r="M20" s="123"/>
    </row>
    <row r="21" spans="1:13" s="112" customFormat="1" x14ac:dyDescent="0.25">
      <c r="A21" s="75" t="s">
        <v>242</v>
      </c>
      <c r="B21" s="118"/>
      <c r="C21" s="119"/>
      <c r="D21" s="119"/>
      <c r="E21" s="119"/>
      <c r="F21" s="120"/>
      <c r="G21" s="121"/>
      <c r="H21" s="122"/>
      <c r="I21" s="122"/>
      <c r="J21" s="122"/>
      <c r="K21" s="141"/>
      <c r="L21" s="123"/>
      <c r="M21" s="123"/>
    </row>
    <row r="22" spans="1:13" s="112" customFormat="1" x14ac:dyDescent="0.25">
      <c r="A22" s="75" t="s">
        <v>243</v>
      </c>
      <c r="B22" s="118"/>
      <c r="C22" s="119"/>
      <c r="D22" s="119"/>
      <c r="E22" s="119"/>
      <c r="F22" s="120"/>
      <c r="G22" s="121"/>
      <c r="H22" s="122"/>
      <c r="I22" s="122"/>
      <c r="J22" s="122"/>
      <c r="K22" s="141"/>
      <c r="L22" s="123"/>
      <c r="M22" s="123"/>
    </row>
    <row r="23" spans="1:13" s="112" customFormat="1" x14ac:dyDescent="0.25">
      <c r="A23" s="75" t="s">
        <v>244</v>
      </c>
      <c r="B23" s="118"/>
      <c r="C23" s="119"/>
      <c r="D23" s="119"/>
      <c r="E23" s="119"/>
      <c r="F23" s="120"/>
      <c r="G23" s="121"/>
      <c r="H23" s="122"/>
      <c r="I23" s="122"/>
      <c r="J23" s="122"/>
      <c r="K23" s="141"/>
      <c r="L23" s="123"/>
      <c r="M23" s="123"/>
    </row>
    <row r="24" spans="1:13" s="112" customFormat="1" x14ac:dyDescent="0.25">
      <c r="A24" s="75" t="s">
        <v>245</v>
      </c>
      <c r="B24" s="118"/>
      <c r="C24" s="119"/>
      <c r="D24" s="119"/>
      <c r="E24" s="119"/>
      <c r="F24" s="120"/>
      <c r="G24" s="121"/>
      <c r="H24" s="122"/>
      <c r="I24" s="122"/>
      <c r="J24" s="122"/>
      <c r="K24" s="141"/>
      <c r="L24" s="123"/>
      <c r="M24" s="123"/>
    </row>
  </sheetData>
  <mergeCells count="2">
    <mergeCell ref="A5:J5"/>
    <mergeCell ref="A4:J4"/>
  </mergeCells>
  <phoneticPr fontId="3" type="noConversion"/>
  <conditionalFormatting sqref="A10:A19 G10:G19">
    <cfRule type="expression" dxfId="53" priority="337" stopIfTrue="1">
      <formula>#REF!&gt;0</formula>
    </cfRule>
  </conditionalFormatting>
  <conditionalFormatting sqref="B10:D19 I10:J19">
    <cfRule type="expression" dxfId="52" priority="335" stopIfTrue="1">
      <formula>OR(LEFT(#REF!,3)="TIR",LEFT(#REF!,2)="IR")</formula>
    </cfRule>
  </conditionalFormatting>
  <conditionalFormatting sqref="F11:F19">
    <cfRule type="expression" dxfId="51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3.6640625" style="9" bestFit="1" customWidth="1"/>
    <col min="2" max="2" width="13.5546875" style="8" bestFit="1" customWidth="1"/>
    <col min="3" max="3" width="11.5546875" style="9" customWidth="1"/>
    <col min="4" max="4" width="11.33203125" style="10" customWidth="1"/>
    <col min="5" max="5" width="14.109375" style="10" customWidth="1"/>
    <col min="6" max="6" width="10.5546875" style="10" customWidth="1"/>
    <col min="7" max="7" width="7" style="1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13" t="s">
        <v>28</v>
      </c>
      <c r="B4" s="214"/>
      <c r="C4" s="214"/>
      <c r="D4" s="214"/>
      <c r="E4" s="214"/>
      <c r="F4" s="214"/>
      <c r="G4" s="214"/>
      <c r="H4" s="214"/>
      <c r="I4" s="214"/>
      <c r="J4" s="214"/>
      <c r="K4" s="215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6" t="s">
        <v>31</v>
      </c>
      <c r="B5" s="217"/>
      <c r="C5" s="217"/>
      <c r="D5" s="217"/>
      <c r="E5" s="217"/>
      <c r="F5" s="217"/>
      <c r="G5" s="217"/>
      <c r="H5" s="217"/>
      <c r="I5" s="217"/>
      <c r="J5" s="217"/>
      <c r="K5" s="218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3" t="s">
        <v>157</v>
      </c>
      <c r="B6" s="197" t="s">
        <v>69</v>
      </c>
      <c r="C6" s="197" t="s">
        <v>19</v>
      </c>
      <c r="D6" s="197" t="s">
        <v>6</v>
      </c>
      <c r="E6" s="197" t="s">
        <v>13</v>
      </c>
      <c r="F6" s="198" t="s">
        <v>67</v>
      </c>
      <c r="G6" s="198" t="s">
        <v>68</v>
      </c>
      <c r="H6" s="198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3">
        <v>10</v>
      </c>
    </row>
    <row r="9" spans="1:18" s="112" customFormat="1" ht="12.75" customHeight="1" thickBot="1" x14ac:dyDescent="0.3">
      <c r="A9" s="96" t="s">
        <v>55</v>
      </c>
      <c r="B9" s="64" t="s">
        <v>248</v>
      </c>
      <c r="C9" s="64" t="s">
        <v>248</v>
      </c>
      <c r="D9" s="132" t="s">
        <v>248</v>
      </c>
      <c r="E9" s="132" t="s">
        <v>248</v>
      </c>
      <c r="F9" s="134" t="s">
        <v>248</v>
      </c>
      <c r="G9" s="132" t="s">
        <v>248</v>
      </c>
      <c r="H9" s="146">
        <v>2.0000000000000002E-7</v>
      </c>
      <c r="I9" s="67"/>
      <c r="J9" s="80">
        <v>1</v>
      </c>
      <c r="K9" s="79">
        <v>0</v>
      </c>
    </row>
    <row r="10" spans="1:18" s="112" customFormat="1" x14ac:dyDescent="0.25">
      <c r="A10" s="88" t="s">
        <v>683</v>
      </c>
      <c r="B10" s="114" t="s">
        <v>248</v>
      </c>
      <c r="C10" s="114" t="s">
        <v>248</v>
      </c>
      <c r="D10" s="136" t="s">
        <v>248</v>
      </c>
      <c r="E10" s="136" t="s">
        <v>248</v>
      </c>
      <c r="F10" s="135" t="s">
        <v>248</v>
      </c>
      <c r="G10" s="136" t="s">
        <v>248</v>
      </c>
      <c r="H10" s="116">
        <v>0</v>
      </c>
      <c r="I10" s="114" t="s">
        <v>248</v>
      </c>
      <c r="J10" s="114">
        <v>0</v>
      </c>
      <c r="K10" s="114">
        <v>0</v>
      </c>
    </row>
    <row r="11" spans="1:18" s="112" customFormat="1" x14ac:dyDescent="0.25">
      <c r="A11" s="89" t="s">
        <v>684</v>
      </c>
      <c r="B11" s="130" t="s">
        <v>248</v>
      </c>
      <c r="C11" s="130" t="s">
        <v>248</v>
      </c>
      <c r="D11" s="138" t="s">
        <v>248</v>
      </c>
      <c r="E11" s="138" t="s">
        <v>248</v>
      </c>
      <c r="F11" s="137" t="s">
        <v>248</v>
      </c>
      <c r="G11" s="138" t="s">
        <v>248</v>
      </c>
      <c r="H11" s="117">
        <v>0</v>
      </c>
      <c r="I11" s="130"/>
      <c r="J11" s="114">
        <v>0</v>
      </c>
      <c r="K11" s="114">
        <v>0</v>
      </c>
    </row>
    <row r="12" spans="1:18" s="112" customFormat="1" x14ac:dyDescent="0.25">
      <c r="A12" s="75" t="s">
        <v>241</v>
      </c>
      <c r="B12" s="118"/>
      <c r="C12" s="75"/>
      <c r="D12" s="139"/>
      <c r="E12" s="139"/>
      <c r="F12" s="139"/>
      <c r="G12" s="140"/>
      <c r="H12" s="123"/>
      <c r="I12" s="141"/>
      <c r="J12" s="141"/>
      <c r="K12" s="141"/>
      <c r="L12" s="141"/>
      <c r="M12" s="123"/>
      <c r="N12" s="123"/>
    </row>
    <row r="13" spans="1:18" s="112" customFormat="1" x14ac:dyDescent="0.25">
      <c r="A13" s="75" t="s">
        <v>242</v>
      </c>
      <c r="B13" s="118"/>
      <c r="C13" s="75"/>
      <c r="D13" s="139"/>
      <c r="E13" s="139"/>
      <c r="F13" s="139"/>
      <c r="G13" s="140"/>
      <c r="H13" s="123"/>
      <c r="I13" s="141"/>
      <c r="J13" s="141"/>
      <c r="K13" s="141"/>
      <c r="L13" s="141"/>
      <c r="M13" s="123"/>
      <c r="N13" s="123"/>
    </row>
    <row r="14" spans="1:18" s="112" customFormat="1" x14ac:dyDescent="0.25">
      <c r="A14" s="75" t="s">
        <v>243</v>
      </c>
      <c r="B14" s="118"/>
      <c r="C14" s="75"/>
      <c r="D14" s="139"/>
      <c r="E14" s="139"/>
      <c r="F14" s="139"/>
      <c r="G14" s="140"/>
      <c r="H14" s="123"/>
      <c r="I14" s="141"/>
      <c r="J14" s="141"/>
      <c r="K14" s="141"/>
      <c r="L14" s="141"/>
      <c r="M14" s="123"/>
      <c r="N14" s="123"/>
    </row>
    <row r="15" spans="1:18" s="112" customFormat="1" x14ac:dyDescent="0.25">
      <c r="A15" s="75" t="s">
        <v>244</v>
      </c>
      <c r="B15" s="118"/>
      <c r="C15" s="75"/>
      <c r="D15" s="139"/>
      <c r="E15" s="139"/>
      <c r="F15" s="139"/>
      <c r="G15" s="140"/>
      <c r="H15" s="123"/>
      <c r="I15" s="141"/>
      <c r="J15" s="141"/>
      <c r="K15" s="141"/>
      <c r="L15" s="141"/>
      <c r="M15" s="123"/>
      <c r="N15" s="123"/>
    </row>
    <row r="16" spans="1:18" s="112" customFormat="1" x14ac:dyDescent="0.25">
      <c r="A16" s="75" t="s">
        <v>245</v>
      </c>
      <c r="B16" s="118"/>
      <c r="C16" s="75"/>
      <c r="D16" s="139"/>
      <c r="E16" s="139"/>
      <c r="F16" s="139"/>
      <c r="G16" s="140"/>
      <c r="H16" s="123"/>
      <c r="I16" s="141"/>
      <c r="J16" s="141"/>
      <c r="K16" s="141"/>
      <c r="L16" s="141"/>
      <c r="M16" s="123"/>
      <c r="N16" s="123"/>
    </row>
  </sheetData>
  <mergeCells count="2">
    <mergeCell ref="A5:K5"/>
    <mergeCell ref="A4:K4"/>
  </mergeCells>
  <phoneticPr fontId="3" type="noConversion"/>
  <conditionalFormatting sqref="A9:A11 H9:H11">
    <cfRule type="expression" dxfId="50" priority="343" stopIfTrue="1">
      <formula>#REF!&gt;0</formula>
    </cfRule>
  </conditionalFormatting>
  <conditionalFormatting sqref="J9:K11">
    <cfRule type="expression" dxfId="49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1.5546875" style="8" customWidth="1"/>
    <col min="4" max="4" width="11.33203125" style="57" customWidth="1"/>
    <col min="5" max="5" width="14.109375" style="57" customWidth="1"/>
    <col min="6" max="6" width="10.5546875" style="57" customWidth="1"/>
    <col min="7" max="7" width="7" style="36" customWidth="1"/>
    <col min="8" max="8" width="10.44140625" style="59" customWidth="1"/>
    <col min="9" max="9" width="22" style="61" customWidth="1"/>
    <col min="10" max="10" width="25.44140625" style="61" customWidth="1"/>
    <col min="11" max="11" width="20.6640625" style="61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7"/>
      <c r="E1" s="57"/>
      <c r="F1" s="57"/>
      <c r="G1" s="36"/>
      <c r="H1" s="59"/>
      <c r="I1" s="60"/>
      <c r="J1" s="60"/>
      <c r="K1" s="60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7"/>
      <c r="E2" s="57"/>
      <c r="F2" s="57"/>
      <c r="G2" s="36"/>
      <c r="H2" s="59"/>
      <c r="I2" s="60"/>
      <c r="J2" s="60"/>
      <c r="K2" s="60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57"/>
      <c r="E3" s="57"/>
      <c r="F3" s="57"/>
      <c r="G3" s="36"/>
      <c r="H3" s="59"/>
      <c r="I3" s="60"/>
      <c r="J3" s="60"/>
      <c r="K3" s="60"/>
      <c r="L3" s="13"/>
      <c r="M3" s="12"/>
      <c r="N3" s="12"/>
      <c r="O3" s="14"/>
    </row>
    <row r="4" spans="1:18" s="7" customFormat="1" ht="13.8" thickBot="1" x14ac:dyDescent="0.3">
      <c r="A4" s="213" t="s">
        <v>28</v>
      </c>
      <c r="B4" s="214"/>
      <c r="C4" s="214"/>
      <c r="D4" s="214"/>
      <c r="E4" s="214"/>
      <c r="F4" s="214"/>
      <c r="G4" s="214"/>
      <c r="H4" s="214"/>
      <c r="I4" s="214"/>
      <c r="J4" s="214"/>
      <c r="K4" s="215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6" t="s">
        <v>32</v>
      </c>
      <c r="B5" s="217"/>
      <c r="C5" s="217"/>
      <c r="D5" s="217"/>
      <c r="E5" s="217"/>
      <c r="F5" s="217"/>
      <c r="G5" s="217"/>
      <c r="H5" s="217"/>
      <c r="I5" s="217"/>
      <c r="J5" s="217"/>
      <c r="K5" s="218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3" t="s">
        <v>157</v>
      </c>
      <c r="B6" s="197" t="s">
        <v>69</v>
      </c>
      <c r="C6" s="197" t="s">
        <v>19</v>
      </c>
      <c r="D6" s="197" t="s">
        <v>6</v>
      </c>
      <c r="E6" s="197" t="s">
        <v>13</v>
      </c>
      <c r="F6" s="198" t="s">
        <v>67</v>
      </c>
      <c r="G6" s="198" t="s">
        <v>68</v>
      </c>
      <c r="H6" s="198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2" customFormat="1" ht="12.75" customHeight="1" thickBot="1" x14ac:dyDescent="0.3">
      <c r="A9" s="96" t="s">
        <v>56</v>
      </c>
      <c r="B9" s="64" t="s">
        <v>248</v>
      </c>
      <c r="C9" s="64" t="s">
        <v>248</v>
      </c>
      <c r="D9" s="97" t="s">
        <v>248</v>
      </c>
      <c r="E9" s="97" t="s">
        <v>248</v>
      </c>
      <c r="F9" s="98" t="s">
        <v>248</v>
      </c>
      <c r="G9" s="97" t="s">
        <v>248</v>
      </c>
      <c r="H9" s="104">
        <v>9.9999999999999995E-7</v>
      </c>
      <c r="I9" s="64" t="s">
        <v>248</v>
      </c>
      <c r="J9" s="64">
        <v>1</v>
      </c>
      <c r="K9" s="78">
        <v>0</v>
      </c>
    </row>
    <row r="10" spans="1:18" s="112" customFormat="1" x14ac:dyDescent="0.25">
      <c r="A10" s="88" t="s">
        <v>685</v>
      </c>
      <c r="B10" s="114" t="s">
        <v>248</v>
      </c>
      <c r="C10" s="114" t="s">
        <v>248</v>
      </c>
      <c r="D10" s="115" t="s">
        <v>248</v>
      </c>
      <c r="E10" s="115" t="s">
        <v>248</v>
      </c>
      <c r="F10" s="126" t="s">
        <v>248</v>
      </c>
      <c r="G10" s="115" t="s">
        <v>248</v>
      </c>
      <c r="H10" s="116">
        <v>0</v>
      </c>
      <c r="I10" s="114" t="s">
        <v>248</v>
      </c>
      <c r="J10" s="114">
        <v>0</v>
      </c>
      <c r="K10" s="114">
        <v>0</v>
      </c>
    </row>
    <row r="11" spans="1:18" s="112" customFormat="1" x14ac:dyDescent="0.25">
      <c r="A11" s="89" t="s">
        <v>633</v>
      </c>
      <c r="B11" s="130" t="s">
        <v>248</v>
      </c>
      <c r="C11" s="130" t="s">
        <v>248</v>
      </c>
      <c r="D11" s="129" t="s">
        <v>248</v>
      </c>
      <c r="E11" s="129" t="s">
        <v>248</v>
      </c>
      <c r="F11" s="128" t="s">
        <v>248</v>
      </c>
      <c r="G11" s="129" t="s">
        <v>248</v>
      </c>
      <c r="H11" s="117">
        <v>0</v>
      </c>
      <c r="I11" s="130"/>
      <c r="J11" s="130">
        <v>0</v>
      </c>
      <c r="K11" s="130">
        <v>0</v>
      </c>
    </row>
    <row r="12" spans="1:18" s="112" customFormat="1" x14ac:dyDescent="0.25">
      <c r="A12" s="89" t="s">
        <v>686</v>
      </c>
      <c r="B12" s="130" t="s">
        <v>248</v>
      </c>
      <c r="C12" s="130" t="s">
        <v>248</v>
      </c>
      <c r="D12" s="129" t="s">
        <v>248</v>
      </c>
      <c r="E12" s="129" t="s">
        <v>248</v>
      </c>
      <c r="F12" s="128" t="s">
        <v>248</v>
      </c>
      <c r="G12" s="129" t="s">
        <v>248</v>
      </c>
      <c r="H12" s="117">
        <v>0</v>
      </c>
      <c r="I12" s="130"/>
      <c r="J12" s="130">
        <v>0</v>
      </c>
      <c r="K12" s="130">
        <v>0</v>
      </c>
    </row>
    <row r="13" spans="1:18" s="112" customFormat="1" x14ac:dyDescent="0.25">
      <c r="A13" s="89" t="s">
        <v>687</v>
      </c>
      <c r="B13" s="130" t="s">
        <v>248</v>
      </c>
      <c r="C13" s="130" t="s">
        <v>248</v>
      </c>
      <c r="D13" s="129" t="s">
        <v>248</v>
      </c>
      <c r="E13" s="129" t="s">
        <v>248</v>
      </c>
      <c r="F13" s="128" t="s">
        <v>248</v>
      </c>
      <c r="G13" s="129" t="s">
        <v>248</v>
      </c>
      <c r="H13" s="117">
        <v>0</v>
      </c>
      <c r="I13" s="130"/>
      <c r="J13" s="130">
        <v>0</v>
      </c>
      <c r="K13" s="130">
        <v>0</v>
      </c>
    </row>
    <row r="14" spans="1:18" s="112" customFormat="1" x14ac:dyDescent="0.25">
      <c r="A14" s="89" t="s">
        <v>635</v>
      </c>
      <c r="B14" s="130" t="s">
        <v>248</v>
      </c>
      <c r="C14" s="130" t="s">
        <v>248</v>
      </c>
      <c r="D14" s="129" t="s">
        <v>248</v>
      </c>
      <c r="E14" s="129" t="s">
        <v>248</v>
      </c>
      <c r="F14" s="128" t="s">
        <v>248</v>
      </c>
      <c r="G14" s="129" t="s">
        <v>248</v>
      </c>
      <c r="H14" s="117">
        <v>0</v>
      </c>
      <c r="I14" s="130"/>
      <c r="J14" s="130">
        <v>0</v>
      </c>
      <c r="K14" s="130">
        <v>0</v>
      </c>
    </row>
    <row r="15" spans="1:18" s="112" customFormat="1" x14ac:dyDescent="0.25">
      <c r="A15" s="89" t="s">
        <v>141</v>
      </c>
      <c r="B15" s="130" t="s">
        <v>248</v>
      </c>
      <c r="C15" s="130" t="s">
        <v>248</v>
      </c>
      <c r="D15" s="129" t="s">
        <v>248</v>
      </c>
      <c r="E15" s="129" t="s">
        <v>248</v>
      </c>
      <c r="F15" s="128" t="s">
        <v>248</v>
      </c>
      <c r="G15" s="129" t="s">
        <v>248</v>
      </c>
      <c r="H15" s="117">
        <v>0</v>
      </c>
      <c r="I15" s="130"/>
      <c r="J15" s="130">
        <v>0</v>
      </c>
      <c r="K15" s="130">
        <v>0</v>
      </c>
    </row>
    <row r="16" spans="1:18" s="112" customFormat="1" x14ac:dyDescent="0.25">
      <c r="A16" s="89" t="s">
        <v>688</v>
      </c>
      <c r="B16" s="130" t="s">
        <v>248</v>
      </c>
      <c r="C16" s="130" t="s">
        <v>248</v>
      </c>
      <c r="D16" s="129" t="s">
        <v>248</v>
      </c>
      <c r="E16" s="129" t="s">
        <v>248</v>
      </c>
      <c r="F16" s="128" t="s">
        <v>248</v>
      </c>
      <c r="G16" s="129" t="s">
        <v>248</v>
      </c>
      <c r="H16" s="117">
        <v>0</v>
      </c>
      <c r="I16" s="130"/>
      <c r="J16" s="130">
        <v>0</v>
      </c>
      <c r="K16" s="130">
        <v>0</v>
      </c>
    </row>
    <row r="17" spans="1:14" s="112" customFormat="1" x14ac:dyDescent="0.25">
      <c r="A17" s="89" t="s">
        <v>633</v>
      </c>
      <c r="B17" s="130" t="s">
        <v>248</v>
      </c>
      <c r="C17" s="130" t="s">
        <v>248</v>
      </c>
      <c r="D17" s="129" t="s">
        <v>248</v>
      </c>
      <c r="E17" s="129" t="s">
        <v>248</v>
      </c>
      <c r="F17" s="128" t="s">
        <v>248</v>
      </c>
      <c r="G17" s="129" t="s">
        <v>248</v>
      </c>
      <c r="H17" s="117">
        <v>0</v>
      </c>
      <c r="I17" s="130"/>
      <c r="J17" s="130">
        <v>0</v>
      </c>
      <c r="K17" s="130">
        <v>0</v>
      </c>
    </row>
    <row r="18" spans="1:14" s="112" customFormat="1" x14ac:dyDescent="0.25">
      <c r="A18" s="89" t="s">
        <v>640</v>
      </c>
      <c r="B18" s="130" t="s">
        <v>248</v>
      </c>
      <c r="C18" s="130" t="s">
        <v>248</v>
      </c>
      <c r="D18" s="129" t="s">
        <v>248</v>
      </c>
      <c r="E18" s="129" t="s">
        <v>248</v>
      </c>
      <c r="F18" s="128" t="s">
        <v>248</v>
      </c>
      <c r="G18" s="129" t="s">
        <v>248</v>
      </c>
      <c r="H18" s="117">
        <v>0</v>
      </c>
      <c r="I18" s="130"/>
      <c r="J18" s="130">
        <v>0</v>
      </c>
      <c r="K18" s="130">
        <v>0</v>
      </c>
    </row>
    <row r="19" spans="1:14" s="112" customFormat="1" x14ac:dyDescent="0.25">
      <c r="A19" s="89" t="s">
        <v>635</v>
      </c>
      <c r="B19" s="130" t="s">
        <v>248</v>
      </c>
      <c r="C19" s="130" t="s">
        <v>248</v>
      </c>
      <c r="D19" s="129" t="s">
        <v>248</v>
      </c>
      <c r="E19" s="129" t="s">
        <v>248</v>
      </c>
      <c r="F19" s="128" t="s">
        <v>248</v>
      </c>
      <c r="G19" s="129" t="s">
        <v>248</v>
      </c>
      <c r="H19" s="117">
        <v>0</v>
      </c>
      <c r="I19" s="130"/>
      <c r="J19" s="130">
        <v>0</v>
      </c>
      <c r="K19" s="130">
        <v>0</v>
      </c>
    </row>
    <row r="20" spans="1:14" s="112" customFormat="1" x14ac:dyDescent="0.25">
      <c r="A20" s="89" t="s">
        <v>641</v>
      </c>
      <c r="B20" s="130" t="s">
        <v>248</v>
      </c>
      <c r="C20" s="130" t="s">
        <v>248</v>
      </c>
      <c r="D20" s="129" t="s">
        <v>248</v>
      </c>
      <c r="E20" s="129" t="s">
        <v>248</v>
      </c>
      <c r="F20" s="128" t="s">
        <v>248</v>
      </c>
      <c r="G20" s="129" t="s">
        <v>248</v>
      </c>
      <c r="H20" s="117">
        <v>0</v>
      </c>
      <c r="I20" s="130"/>
      <c r="J20" s="130">
        <v>0</v>
      </c>
      <c r="K20" s="130">
        <v>0</v>
      </c>
    </row>
    <row r="21" spans="1:14" s="112" customFormat="1" x14ac:dyDescent="0.25">
      <c r="A21" s="89" t="s">
        <v>141</v>
      </c>
      <c r="B21" s="130" t="s">
        <v>248</v>
      </c>
      <c r="C21" s="130" t="s">
        <v>248</v>
      </c>
      <c r="D21" s="129" t="s">
        <v>248</v>
      </c>
      <c r="E21" s="129" t="s">
        <v>248</v>
      </c>
      <c r="F21" s="128" t="s">
        <v>248</v>
      </c>
      <c r="G21" s="129" t="s">
        <v>248</v>
      </c>
      <c r="H21" s="117">
        <v>0</v>
      </c>
      <c r="I21" s="130"/>
      <c r="J21" s="130">
        <v>0</v>
      </c>
      <c r="K21" s="130">
        <v>0</v>
      </c>
    </row>
    <row r="22" spans="1:14" s="112" customFormat="1" x14ac:dyDescent="0.25">
      <c r="A22" s="75" t="s">
        <v>241</v>
      </c>
      <c r="B22" s="118"/>
      <c r="C22" s="118"/>
      <c r="D22" s="119"/>
      <c r="E22" s="119"/>
      <c r="F22" s="119"/>
      <c r="G22" s="120"/>
      <c r="H22" s="121"/>
      <c r="I22" s="122"/>
      <c r="J22" s="122"/>
      <c r="K22" s="122"/>
      <c r="L22" s="141"/>
      <c r="M22" s="123"/>
      <c r="N22" s="123"/>
    </row>
    <row r="23" spans="1:14" s="112" customFormat="1" x14ac:dyDescent="0.25">
      <c r="A23" s="75" t="s">
        <v>242</v>
      </c>
      <c r="B23" s="118"/>
      <c r="C23" s="118"/>
      <c r="D23" s="119"/>
      <c r="E23" s="119"/>
      <c r="F23" s="119"/>
      <c r="G23" s="120"/>
      <c r="H23" s="121"/>
      <c r="I23" s="122"/>
      <c r="J23" s="122"/>
      <c r="K23" s="122"/>
      <c r="L23" s="141"/>
      <c r="M23" s="123"/>
      <c r="N23" s="123"/>
    </row>
    <row r="24" spans="1:14" s="112" customFormat="1" x14ac:dyDescent="0.25">
      <c r="A24" s="75" t="s">
        <v>243</v>
      </c>
      <c r="B24" s="118"/>
      <c r="C24" s="118"/>
      <c r="D24" s="119"/>
      <c r="E24" s="119"/>
      <c r="F24" s="119"/>
      <c r="G24" s="120"/>
      <c r="H24" s="121"/>
      <c r="I24" s="122"/>
      <c r="J24" s="122"/>
      <c r="K24" s="122"/>
      <c r="L24" s="141"/>
      <c r="M24" s="123"/>
      <c r="N24" s="123"/>
    </row>
    <row r="25" spans="1:14" s="112" customFormat="1" x14ac:dyDescent="0.25">
      <c r="A25" s="75" t="s">
        <v>244</v>
      </c>
      <c r="B25" s="118"/>
      <c r="C25" s="118"/>
      <c r="D25" s="119"/>
      <c r="E25" s="119"/>
      <c r="F25" s="119"/>
      <c r="G25" s="120"/>
      <c r="H25" s="121"/>
      <c r="I25" s="122"/>
      <c r="J25" s="122"/>
      <c r="K25" s="122"/>
      <c r="L25" s="141"/>
      <c r="M25" s="123"/>
      <c r="N25" s="123"/>
    </row>
    <row r="26" spans="1:14" s="112" customFormat="1" x14ac:dyDescent="0.25">
      <c r="A26" s="75" t="s">
        <v>245</v>
      </c>
      <c r="B26" s="118"/>
      <c r="C26" s="118"/>
      <c r="D26" s="119"/>
      <c r="E26" s="119"/>
      <c r="F26" s="119"/>
      <c r="G26" s="120"/>
      <c r="H26" s="121"/>
      <c r="I26" s="122"/>
      <c r="J26" s="122"/>
      <c r="K26" s="122"/>
      <c r="L26" s="141"/>
      <c r="M26" s="123"/>
      <c r="N26" s="123"/>
    </row>
  </sheetData>
  <mergeCells count="2">
    <mergeCell ref="A5:K5"/>
    <mergeCell ref="A4:K4"/>
  </mergeCells>
  <phoneticPr fontId="3" type="noConversion"/>
  <conditionalFormatting sqref="A10:A21 H10:H21">
    <cfRule type="expression" dxfId="48" priority="351" stopIfTrue="1">
      <formula>#REF!&gt;0</formula>
    </cfRule>
  </conditionalFormatting>
  <conditionalFormatting sqref="B10:E21 J10:K21">
    <cfRule type="expression" dxfId="47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95"/>
  <sheetViews>
    <sheetView rightToLeft="1" zoomScale="85" workbookViewId="0"/>
  </sheetViews>
  <sheetFormatPr defaultColWidth="9.109375" defaultRowHeight="13.2" x14ac:dyDescent="0.25"/>
  <cols>
    <col min="1" max="1" width="28.5546875" style="9" bestFit="1" customWidth="1"/>
    <col min="2" max="2" width="12.6640625" style="8" bestFit="1" customWidth="1"/>
    <col min="3" max="3" width="11.109375" style="9" customWidth="1"/>
    <col min="4" max="4" width="11.88671875" style="57" bestFit="1" customWidth="1"/>
    <col min="5" max="5" width="13.44140625" style="57" customWidth="1"/>
    <col min="6" max="6" width="12.6640625" style="57" bestFit="1" customWidth="1"/>
    <col min="7" max="7" width="6.6640625" style="36" bestFit="1" customWidth="1"/>
    <col min="8" max="8" width="9.88671875" style="59" customWidth="1"/>
    <col min="9" max="9" width="24" style="59" customWidth="1"/>
    <col min="10" max="10" width="19.6640625" style="61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7"/>
      <c r="E1" s="57"/>
      <c r="F1" s="57"/>
      <c r="G1" s="36"/>
      <c r="H1" s="59"/>
      <c r="I1" s="59"/>
      <c r="J1" s="60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7"/>
      <c r="E2" s="57"/>
      <c r="F2" s="57"/>
      <c r="G2" s="36"/>
      <c r="H2" s="59"/>
      <c r="I2" s="59"/>
      <c r="J2" s="60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57"/>
      <c r="E3" s="57"/>
      <c r="F3" s="57"/>
      <c r="G3" s="36"/>
      <c r="H3" s="59"/>
      <c r="I3" s="59"/>
      <c r="J3" s="60"/>
      <c r="K3" s="13"/>
      <c r="L3" s="13"/>
      <c r="M3" s="12"/>
      <c r="N3" s="12"/>
      <c r="O3" s="14"/>
    </row>
    <row r="4" spans="1:15" s="7" customFormat="1" ht="13.8" thickBot="1" x14ac:dyDescent="0.3">
      <c r="A4" s="213" t="s">
        <v>28</v>
      </c>
      <c r="B4" s="214"/>
      <c r="C4" s="214"/>
      <c r="D4" s="214"/>
      <c r="E4" s="214"/>
      <c r="F4" s="214"/>
      <c r="G4" s="214"/>
      <c r="H4" s="214"/>
      <c r="I4" s="214"/>
      <c r="J4" s="215"/>
      <c r="K4" s="13"/>
      <c r="L4" s="13"/>
      <c r="M4" s="12"/>
      <c r="N4" s="12"/>
      <c r="O4" s="12"/>
    </row>
    <row r="5" spans="1:15" s="7" customFormat="1" x14ac:dyDescent="0.25">
      <c r="A5" s="216" t="s">
        <v>33</v>
      </c>
      <c r="B5" s="217"/>
      <c r="C5" s="217"/>
      <c r="D5" s="217"/>
      <c r="E5" s="217"/>
      <c r="F5" s="217"/>
      <c r="G5" s="217"/>
      <c r="H5" s="217"/>
      <c r="I5" s="217"/>
      <c r="J5" s="218"/>
      <c r="K5" s="13"/>
      <c r="L5" s="13"/>
      <c r="M5" s="12"/>
      <c r="N5" s="12"/>
      <c r="O5" s="12"/>
    </row>
    <row r="6" spans="1:15" s="7" customFormat="1" x14ac:dyDescent="0.25">
      <c r="A6" s="83" t="s">
        <v>157</v>
      </c>
      <c r="B6" s="197" t="s">
        <v>69</v>
      </c>
      <c r="C6" s="197" t="s">
        <v>19</v>
      </c>
      <c r="D6" s="197" t="s">
        <v>6</v>
      </c>
      <c r="E6" s="197" t="s">
        <v>13</v>
      </c>
      <c r="F6" s="198" t="s">
        <v>67</v>
      </c>
      <c r="G6" s="198" t="s">
        <v>68</v>
      </c>
      <c r="H6" s="198" t="s">
        <v>29</v>
      </c>
      <c r="I6" s="86" t="s">
        <v>75</v>
      </c>
      <c r="J6" s="87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2" customFormat="1" ht="12.75" customHeight="1" thickBot="1" x14ac:dyDescent="0.3">
      <c r="A9" s="96" t="s">
        <v>62</v>
      </c>
      <c r="B9" s="64"/>
      <c r="C9" s="64"/>
      <c r="D9" s="97"/>
      <c r="E9" s="97"/>
      <c r="F9" s="98"/>
      <c r="G9" s="97"/>
      <c r="H9" s="99">
        <v>-134.29796910000005</v>
      </c>
      <c r="I9" s="64">
        <v>1</v>
      </c>
      <c r="J9" s="78">
        <v>-1.2950483469250308E-3</v>
      </c>
    </row>
    <row r="10" spans="1:15" s="112" customFormat="1" x14ac:dyDescent="0.25">
      <c r="A10" s="88" t="s">
        <v>689</v>
      </c>
      <c r="B10" s="114" t="s">
        <v>248</v>
      </c>
      <c r="C10" s="114" t="s">
        <v>248</v>
      </c>
      <c r="D10" s="115" t="s">
        <v>248</v>
      </c>
      <c r="E10" s="115" t="s">
        <v>248</v>
      </c>
      <c r="F10" s="126" t="s">
        <v>248</v>
      </c>
      <c r="G10" s="115" t="s">
        <v>248</v>
      </c>
      <c r="H10" s="116">
        <v>-111.25477949999949</v>
      </c>
      <c r="I10" s="114">
        <v>0.82841743807129131</v>
      </c>
      <c r="J10" s="114">
        <v>-1.072840633738095E-3</v>
      </c>
    </row>
    <row r="11" spans="1:15" s="112" customFormat="1" x14ac:dyDescent="0.25">
      <c r="A11" s="89" t="s">
        <v>633</v>
      </c>
      <c r="B11" s="130" t="s">
        <v>248</v>
      </c>
      <c r="C11" s="130" t="s">
        <v>248</v>
      </c>
      <c r="D11" s="129" t="s">
        <v>248</v>
      </c>
      <c r="E11" s="129" t="s">
        <v>248</v>
      </c>
      <c r="F11" s="128" t="s">
        <v>248</v>
      </c>
      <c r="G11" s="129" t="s">
        <v>248</v>
      </c>
      <c r="H11" s="117">
        <v>0</v>
      </c>
      <c r="I11" s="130">
        <v>0</v>
      </c>
      <c r="J11" s="130">
        <v>0</v>
      </c>
    </row>
    <row r="12" spans="1:15" s="112" customFormat="1" x14ac:dyDescent="0.25">
      <c r="A12" s="89" t="s">
        <v>635</v>
      </c>
      <c r="B12" s="130" t="s">
        <v>248</v>
      </c>
      <c r="C12" s="130" t="s">
        <v>248</v>
      </c>
      <c r="D12" s="129" t="s">
        <v>248</v>
      </c>
      <c r="E12" s="129" t="s">
        <v>248</v>
      </c>
      <c r="F12" s="128" t="s">
        <v>248</v>
      </c>
      <c r="G12" s="129" t="s">
        <v>248</v>
      </c>
      <c r="H12" s="117">
        <v>-0.71707989999999699</v>
      </c>
      <c r="I12" s="130">
        <v>5.3394694261240079E-3</v>
      </c>
      <c r="J12" s="130">
        <v>-6.9148710537586395E-6</v>
      </c>
    </row>
    <row r="13" spans="1:15" x14ac:dyDescent="0.25">
      <c r="A13" s="16" t="s">
        <v>692</v>
      </c>
      <c r="B13" s="24" t="s">
        <v>693</v>
      </c>
      <c r="C13" s="24" t="s">
        <v>200</v>
      </c>
      <c r="D13" s="58" t="s">
        <v>254</v>
      </c>
      <c r="E13" s="58" t="s">
        <v>446</v>
      </c>
      <c r="F13" s="66">
        <v>-92516.340880678996</v>
      </c>
      <c r="G13" s="58">
        <v>100.025942</v>
      </c>
      <c r="H13" s="81">
        <v>-92.54034</v>
      </c>
      <c r="I13" s="24">
        <v>0.68906730771999414</v>
      </c>
      <c r="J13" s="24">
        <v>-8.9237547778286009E-4</v>
      </c>
      <c r="K13" s="14"/>
      <c r="L13" s="14"/>
      <c r="M13" s="14"/>
      <c r="N13" s="14"/>
    </row>
    <row r="14" spans="1:15" x14ac:dyDescent="0.25">
      <c r="A14" s="16" t="s">
        <v>696</v>
      </c>
      <c r="B14" s="24" t="s">
        <v>697</v>
      </c>
      <c r="C14" s="24" t="s">
        <v>200</v>
      </c>
      <c r="D14" s="58" t="s">
        <v>254</v>
      </c>
      <c r="E14" s="58" t="s">
        <v>446</v>
      </c>
      <c r="F14" s="66">
        <v>92516.340880678996</v>
      </c>
      <c r="G14" s="58">
        <v>99.532719999999998</v>
      </c>
      <c r="H14" s="81">
        <v>92.084029999999998</v>
      </c>
      <c r="I14" s="24">
        <v>-0.68566956460401129</v>
      </c>
      <c r="J14" s="24">
        <v>8.879752361772306E-4</v>
      </c>
      <c r="K14" s="14"/>
      <c r="L14" s="14"/>
      <c r="M14" s="14"/>
      <c r="N14" s="14"/>
    </row>
    <row r="15" spans="1:15" x14ac:dyDescent="0.25">
      <c r="A15" s="16" t="s">
        <v>690</v>
      </c>
      <c r="B15" s="24" t="s">
        <v>691</v>
      </c>
      <c r="C15" s="24" t="s">
        <v>200</v>
      </c>
      <c r="D15" s="58" t="s">
        <v>254</v>
      </c>
      <c r="E15" s="58" t="s">
        <v>446</v>
      </c>
      <c r="F15" s="66">
        <v>-46258.170440339498</v>
      </c>
      <c r="G15" s="58">
        <v>100.025942</v>
      </c>
      <c r="H15" s="81">
        <v>-46.27017</v>
      </c>
      <c r="I15" s="24">
        <v>0.34453365385999707</v>
      </c>
      <c r="J15" s="24">
        <v>-4.4618773889143004E-4</v>
      </c>
      <c r="K15" s="14"/>
      <c r="L15" s="14"/>
      <c r="M15" s="14"/>
      <c r="N15" s="14"/>
    </row>
    <row r="16" spans="1:15" x14ac:dyDescent="0.25">
      <c r="A16" s="16" t="s">
        <v>694</v>
      </c>
      <c r="B16" s="24" t="s">
        <v>695</v>
      </c>
      <c r="C16" s="24" t="s">
        <v>200</v>
      </c>
      <c r="D16" s="58" t="s">
        <v>254</v>
      </c>
      <c r="E16" s="58" t="s">
        <v>446</v>
      </c>
      <c r="F16" s="66">
        <v>46258.170440339498</v>
      </c>
      <c r="G16" s="58">
        <v>99.462203000000002</v>
      </c>
      <c r="H16" s="81">
        <v>46.009399999999999</v>
      </c>
      <c r="I16" s="24">
        <v>-0.34259192680524297</v>
      </c>
      <c r="J16" s="24">
        <v>4.436731084789911E-4</v>
      </c>
      <c r="K16" s="14"/>
      <c r="L16" s="14"/>
      <c r="M16" s="14"/>
      <c r="N16" s="14"/>
    </row>
    <row r="17" spans="1:14" s="112" customFormat="1" x14ac:dyDescent="0.25">
      <c r="A17" s="89" t="s">
        <v>698</v>
      </c>
      <c r="B17" s="130" t="s">
        <v>248</v>
      </c>
      <c r="C17" s="130" t="s">
        <v>248</v>
      </c>
      <c r="D17" s="129" t="s">
        <v>248</v>
      </c>
      <c r="E17" s="129" t="s">
        <v>248</v>
      </c>
      <c r="F17" s="128" t="s">
        <v>248</v>
      </c>
      <c r="G17" s="129" t="s">
        <v>248</v>
      </c>
      <c r="H17" s="117">
        <v>0</v>
      </c>
      <c r="I17" s="130">
        <v>0</v>
      </c>
      <c r="J17" s="130">
        <v>0</v>
      </c>
    </row>
    <row r="18" spans="1:14" s="112" customFormat="1" x14ac:dyDescent="0.25">
      <c r="A18" s="89" t="s">
        <v>687</v>
      </c>
      <c r="B18" s="130" t="s">
        <v>248</v>
      </c>
      <c r="C18" s="130" t="s">
        <v>248</v>
      </c>
      <c r="D18" s="129" t="s">
        <v>248</v>
      </c>
      <c r="E18" s="129" t="s">
        <v>248</v>
      </c>
      <c r="F18" s="128" t="s">
        <v>248</v>
      </c>
      <c r="G18" s="129" t="s">
        <v>248</v>
      </c>
      <c r="H18" s="117">
        <v>6.0748401000000305</v>
      </c>
      <c r="I18" s="130">
        <v>-4.5234042932373937E-2</v>
      </c>
      <c r="J18" s="130">
        <v>5.8580272524306742E-5</v>
      </c>
    </row>
    <row r="19" spans="1:14" x14ac:dyDescent="0.25">
      <c r="A19" s="16" t="s">
        <v>699</v>
      </c>
      <c r="B19" s="24" t="s">
        <v>700</v>
      </c>
      <c r="C19" s="24" t="s">
        <v>200</v>
      </c>
      <c r="D19" s="58" t="s">
        <v>125</v>
      </c>
      <c r="E19" s="58" t="s">
        <v>701</v>
      </c>
      <c r="F19" s="66">
        <v>7196.8</v>
      </c>
      <c r="G19" s="58">
        <v>0.99779300000000004</v>
      </c>
      <c r="H19" s="81">
        <v>27.45984</v>
      </c>
      <c r="I19" s="24">
        <v>-0.20446951047750425</v>
      </c>
      <c r="J19" s="24">
        <v>2.6479790154046218E-4</v>
      </c>
      <c r="K19" s="14"/>
      <c r="L19" s="14"/>
      <c r="M19" s="14"/>
      <c r="N19" s="14"/>
    </row>
    <row r="20" spans="1:14" x14ac:dyDescent="0.25">
      <c r="A20" s="16" t="s">
        <v>702</v>
      </c>
      <c r="B20" s="24" t="s">
        <v>703</v>
      </c>
      <c r="C20" s="24" t="s">
        <v>200</v>
      </c>
      <c r="D20" s="58" t="s">
        <v>126</v>
      </c>
      <c r="E20" s="58" t="s">
        <v>701</v>
      </c>
      <c r="F20" s="66">
        <v>-6500</v>
      </c>
      <c r="G20" s="58">
        <v>0.99839999999999995</v>
      </c>
      <c r="H20" s="81">
        <v>-26.303000000000001</v>
      </c>
      <c r="I20" s="24">
        <v>0.19585553062544406</v>
      </c>
      <c r="J20" s="24">
        <v>-2.5364238117260611E-4</v>
      </c>
      <c r="K20" s="14"/>
      <c r="L20" s="14"/>
      <c r="M20" s="14"/>
      <c r="N20" s="14"/>
    </row>
    <row r="21" spans="1:14" x14ac:dyDescent="0.25">
      <c r="A21" s="16" t="s">
        <v>699</v>
      </c>
      <c r="B21" s="24" t="s">
        <v>704</v>
      </c>
      <c r="C21" s="24" t="s">
        <v>200</v>
      </c>
      <c r="D21" s="58" t="s">
        <v>125</v>
      </c>
      <c r="E21" s="58" t="s">
        <v>705</v>
      </c>
      <c r="F21" s="66">
        <v>90375.6</v>
      </c>
      <c r="G21" s="58">
        <v>0.99779300000000004</v>
      </c>
      <c r="H21" s="81">
        <v>344.83378000000005</v>
      </c>
      <c r="I21" s="24">
        <v>-2.5676768033865964</v>
      </c>
      <c r="J21" s="24">
        <v>3.3252655996635597E-3</v>
      </c>
      <c r="K21" s="14"/>
      <c r="L21" s="14"/>
      <c r="M21" s="14"/>
      <c r="N21" s="14"/>
    </row>
    <row r="22" spans="1:14" x14ac:dyDescent="0.25">
      <c r="A22" s="16" t="s">
        <v>702</v>
      </c>
      <c r="B22" s="24" t="s">
        <v>706</v>
      </c>
      <c r="C22" s="24" t="s">
        <v>200</v>
      </c>
      <c r="D22" s="58" t="s">
        <v>126</v>
      </c>
      <c r="E22" s="58" t="s">
        <v>705</v>
      </c>
      <c r="F22" s="66">
        <v>-84000</v>
      </c>
      <c r="G22" s="58">
        <v>0.99839999999999995</v>
      </c>
      <c r="H22" s="81">
        <v>-339.91578000000004</v>
      </c>
      <c r="I22" s="24">
        <v>2.5310567410508957</v>
      </c>
      <c r="J22" s="24">
        <v>-3.2778408484714187E-3</v>
      </c>
      <c r="K22" s="14"/>
      <c r="L22" s="14"/>
      <c r="M22" s="14"/>
      <c r="N22" s="14"/>
    </row>
    <row r="23" spans="1:14" s="112" customFormat="1" x14ac:dyDescent="0.25">
      <c r="A23" s="89" t="s">
        <v>686</v>
      </c>
      <c r="B23" s="130" t="s">
        <v>248</v>
      </c>
      <c r="C23" s="130" t="s">
        <v>248</v>
      </c>
      <c r="D23" s="129" t="s">
        <v>248</v>
      </c>
      <c r="E23" s="129" t="s">
        <v>248</v>
      </c>
      <c r="F23" s="128" t="s">
        <v>248</v>
      </c>
      <c r="G23" s="129" t="s">
        <v>248</v>
      </c>
      <c r="H23" s="117">
        <v>-116.61253989999959</v>
      </c>
      <c r="I23" s="130">
        <v>0.86831201306676764</v>
      </c>
      <c r="J23" s="130">
        <v>-1.1245060371372633E-3</v>
      </c>
    </row>
    <row r="24" spans="1:14" x14ac:dyDescent="0.25">
      <c r="A24" s="16" t="s">
        <v>712</v>
      </c>
      <c r="B24" s="24" t="s">
        <v>713</v>
      </c>
      <c r="C24" s="24" t="s">
        <v>200</v>
      </c>
      <c r="D24" s="58" t="s">
        <v>254</v>
      </c>
      <c r="E24" s="58" t="s">
        <v>714</v>
      </c>
      <c r="F24" s="66">
        <v>77914.440541310993</v>
      </c>
      <c r="G24" s="58">
        <v>0.97453299999999998</v>
      </c>
      <c r="H24" s="81">
        <v>75.930210000000002</v>
      </c>
      <c r="I24" s="24">
        <v>-0.56538613732469301</v>
      </c>
      <c r="J24" s="24">
        <v>7.3220238251667214E-4</v>
      </c>
      <c r="K24" s="14"/>
      <c r="L24" s="14"/>
      <c r="M24" s="14"/>
      <c r="N24" s="14"/>
    </row>
    <row r="25" spans="1:14" x14ac:dyDescent="0.25">
      <c r="A25" s="16" t="s">
        <v>715</v>
      </c>
      <c r="B25" s="24" t="s">
        <v>716</v>
      </c>
      <c r="C25" s="24" t="s">
        <v>200</v>
      </c>
      <c r="D25" s="58" t="s">
        <v>125</v>
      </c>
      <c r="E25" s="58" t="s">
        <v>714</v>
      </c>
      <c r="F25" s="66">
        <v>-21741.340106959564</v>
      </c>
      <c r="G25" s="58">
        <v>0.96176300000000003</v>
      </c>
      <c r="H25" s="81">
        <v>-79.95993</v>
      </c>
      <c r="I25" s="24">
        <v>0.59539195220786079</v>
      </c>
      <c r="J25" s="24">
        <v>-7.7106136347925719E-4</v>
      </c>
      <c r="K25" s="14"/>
      <c r="L25" s="14"/>
      <c r="M25" s="14"/>
      <c r="N25" s="14"/>
    </row>
    <row r="26" spans="1:14" x14ac:dyDescent="0.25">
      <c r="A26" s="16" t="s">
        <v>717</v>
      </c>
      <c r="B26" s="24" t="s">
        <v>718</v>
      </c>
      <c r="C26" s="24" t="s">
        <v>200</v>
      </c>
      <c r="D26" s="58" t="s">
        <v>254</v>
      </c>
      <c r="E26" s="58" t="s">
        <v>719</v>
      </c>
      <c r="F26" s="66">
        <v>967695.02103645576</v>
      </c>
      <c r="G26" s="58">
        <v>0.97206899999999996</v>
      </c>
      <c r="H26" s="81">
        <v>940.66683</v>
      </c>
      <c r="I26" s="24">
        <v>-7.0043265456945738</v>
      </c>
      <c r="J26" s="24">
        <v>9.0709415143248699E-3</v>
      </c>
      <c r="K26" s="14"/>
      <c r="L26" s="14"/>
      <c r="M26" s="14"/>
      <c r="N26" s="14"/>
    </row>
    <row r="27" spans="1:14" x14ac:dyDescent="0.25">
      <c r="A27" s="16" t="s">
        <v>720</v>
      </c>
      <c r="B27" s="24" t="s">
        <v>721</v>
      </c>
      <c r="C27" s="24" t="s">
        <v>200</v>
      </c>
      <c r="D27" s="58" t="s">
        <v>125</v>
      </c>
      <c r="E27" s="58" t="s">
        <v>719</v>
      </c>
      <c r="F27" s="66">
        <v>-268297.3885539691</v>
      </c>
      <c r="G27" s="58">
        <v>0.95802900000000002</v>
      </c>
      <c r="H27" s="81">
        <v>-982.90877</v>
      </c>
      <c r="I27" s="24">
        <v>7.3188654794035877</v>
      </c>
      <c r="J27" s="24">
        <v>-9.4782846404682895E-3</v>
      </c>
      <c r="K27" s="14"/>
      <c r="L27" s="14"/>
      <c r="M27" s="14"/>
      <c r="N27" s="14"/>
    </row>
    <row r="28" spans="1:14" x14ac:dyDescent="0.25">
      <c r="A28" s="16" t="s">
        <v>712</v>
      </c>
      <c r="B28" s="24" t="s">
        <v>747</v>
      </c>
      <c r="C28" s="24" t="s">
        <v>200</v>
      </c>
      <c r="D28" s="58" t="s">
        <v>254</v>
      </c>
      <c r="E28" s="58" t="s">
        <v>748</v>
      </c>
      <c r="F28" s="66">
        <v>166899.47894874492</v>
      </c>
      <c r="G28" s="58">
        <v>0.97453000000000001</v>
      </c>
      <c r="H28" s="81">
        <v>162.64869000000002</v>
      </c>
      <c r="I28" s="24">
        <v>-1.2111031245669071</v>
      </c>
      <c r="J28" s="24">
        <v>1.568437099426113E-3</v>
      </c>
      <c r="K28" s="14"/>
      <c r="L28" s="14"/>
      <c r="M28" s="14"/>
      <c r="N28" s="14"/>
    </row>
    <row r="29" spans="1:14" x14ac:dyDescent="0.25">
      <c r="A29" s="16" t="s">
        <v>715</v>
      </c>
      <c r="B29" s="24" t="s">
        <v>749</v>
      </c>
      <c r="C29" s="24" t="s">
        <v>200</v>
      </c>
      <c r="D29" s="58" t="s">
        <v>125</v>
      </c>
      <c r="E29" s="58" t="s">
        <v>748</v>
      </c>
      <c r="F29" s="66">
        <v>-46258.170440339498</v>
      </c>
      <c r="G29" s="58">
        <v>0.96176099999999998</v>
      </c>
      <c r="H29" s="81">
        <v>-170.12710000000001</v>
      </c>
      <c r="I29" s="24">
        <v>1.2667883300105687</v>
      </c>
      <c r="J29" s="24">
        <v>-1.6405521326841074E-3</v>
      </c>
      <c r="K29" s="14"/>
      <c r="L29" s="14"/>
      <c r="M29" s="14"/>
      <c r="N29" s="14"/>
    </row>
    <row r="30" spans="1:14" x14ac:dyDescent="0.25">
      <c r="A30" s="16" t="s">
        <v>707</v>
      </c>
      <c r="B30" s="24" t="s">
        <v>769</v>
      </c>
      <c r="C30" s="24" t="s">
        <v>200</v>
      </c>
      <c r="D30" s="58" t="s">
        <v>254</v>
      </c>
      <c r="E30" s="58" t="s">
        <v>770</v>
      </c>
      <c r="F30" s="66">
        <v>7025.6909264787637</v>
      </c>
      <c r="G30" s="58">
        <v>0.99354699999999996</v>
      </c>
      <c r="H30" s="81">
        <v>6.9803599999999992</v>
      </c>
      <c r="I30" s="24">
        <v>-5.1976660903951061E-2</v>
      </c>
      <c r="J30" s="24">
        <v>6.7312288782344699E-5</v>
      </c>
      <c r="K30" s="14"/>
      <c r="L30" s="14"/>
      <c r="M30" s="14"/>
      <c r="N30" s="14"/>
    </row>
    <row r="31" spans="1:14" x14ac:dyDescent="0.25">
      <c r="A31" s="16" t="s">
        <v>710</v>
      </c>
      <c r="B31" s="24" t="s">
        <v>771</v>
      </c>
      <c r="C31" s="24" t="s">
        <v>200</v>
      </c>
      <c r="D31" s="58" t="s">
        <v>125</v>
      </c>
      <c r="E31" s="58" t="s">
        <v>770</v>
      </c>
      <c r="F31" s="66">
        <v>-1850.32681761358</v>
      </c>
      <c r="G31" s="58">
        <v>0.99060800000000004</v>
      </c>
      <c r="H31" s="81">
        <v>-7.0091999999999999</v>
      </c>
      <c r="I31" s="24">
        <v>5.2191407263804987E-2</v>
      </c>
      <c r="J31" s="24">
        <v>-6.7590395700681702E-5</v>
      </c>
      <c r="K31" s="14"/>
      <c r="L31" s="14"/>
      <c r="M31" s="14"/>
      <c r="N31" s="14"/>
    </row>
    <row r="32" spans="1:14" x14ac:dyDescent="0.25">
      <c r="A32" s="16" t="s">
        <v>707</v>
      </c>
      <c r="B32" s="24" t="s">
        <v>708</v>
      </c>
      <c r="C32" s="24" t="s">
        <v>200</v>
      </c>
      <c r="D32" s="58" t="s">
        <v>254</v>
      </c>
      <c r="E32" s="58" t="s">
        <v>709</v>
      </c>
      <c r="F32" s="66">
        <v>187853.12</v>
      </c>
      <c r="G32" s="58">
        <v>0.99354699999999996</v>
      </c>
      <c r="H32" s="81">
        <v>186.64095</v>
      </c>
      <c r="I32" s="24">
        <v>-1.3897525871074394</v>
      </c>
      <c r="J32" s="24">
        <v>1.7997967905682742E-3</v>
      </c>
      <c r="K32" s="14"/>
      <c r="L32" s="14"/>
      <c r="M32" s="14"/>
      <c r="N32" s="14"/>
    </row>
    <row r="33" spans="1:14" x14ac:dyDescent="0.25">
      <c r="A33" s="16" t="s">
        <v>710</v>
      </c>
      <c r="B33" s="24" t="s">
        <v>711</v>
      </c>
      <c r="C33" s="24" t="s">
        <v>200</v>
      </c>
      <c r="D33" s="58" t="s">
        <v>125</v>
      </c>
      <c r="E33" s="58" t="s">
        <v>709</v>
      </c>
      <c r="F33" s="66">
        <v>-52000</v>
      </c>
      <c r="G33" s="58">
        <v>0.99060800000000004</v>
      </c>
      <c r="H33" s="81">
        <v>-196.98054999999999</v>
      </c>
      <c r="I33" s="24">
        <v>1.4667425823344034</v>
      </c>
      <c r="J33" s="24">
        <v>-1.8995025566167203E-3</v>
      </c>
      <c r="K33" s="14"/>
      <c r="L33" s="14"/>
      <c r="M33" s="14"/>
      <c r="N33" s="14"/>
    </row>
    <row r="34" spans="1:14" x14ac:dyDescent="0.25">
      <c r="A34" s="16" t="s">
        <v>717</v>
      </c>
      <c r="B34" s="24" t="s">
        <v>722</v>
      </c>
      <c r="C34" s="24" t="s">
        <v>200</v>
      </c>
      <c r="D34" s="58" t="s">
        <v>254</v>
      </c>
      <c r="E34" s="58" t="s">
        <v>719</v>
      </c>
      <c r="F34" s="66">
        <v>195565.85220330505</v>
      </c>
      <c r="G34" s="58">
        <v>0.97206899999999996</v>
      </c>
      <c r="H34" s="81">
        <v>190.1036</v>
      </c>
      <c r="I34" s="24">
        <v>-1.4155359256285278</v>
      </c>
      <c r="J34" s="24">
        <v>1.8331874604982186E-3</v>
      </c>
      <c r="K34" s="14"/>
      <c r="L34" s="14"/>
      <c r="M34" s="14"/>
      <c r="N34" s="14"/>
    </row>
    <row r="35" spans="1:14" x14ac:dyDescent="0.25">
      <c r="A35" s="16" t="s">
        <v>720</v>
      </c>
      <c r="B35" s="24" t="s">
        <v>723</v>
      </c>
      <c r="C35" s="24" t="s">
        <v>200</v>
      </c>
      <c r="D35" s="58" t="s">
        <v>125</v>
      </c>
      <c r="E35" s="58" t="s">
        <v>719</v>
      </c>
      <c r="F35" s="66">
        <v>-54584.641119600608</v>
      </c>
      <c r="G35" s="58">
        <v>0.95802900000000002</v>
      </c>
      <c r="H35" s="81">
        <v>-199.97109</v>
      </c>
      <c r="I35" s="24">
        <v>1.4890105289015865</v>
      </c>
      <c r="J35" s="24">
        <v>-1.9283406240079657E-3</v>
      </c>
      <c r="K35" s="14"/>
      <c r="L35" s="14"/>
      <c r="M35" s="14"/>
      <c r="N35" s="14"/>
    </row>
    <row r="36" spans="1:14" x14ac:dyDescent="0.25">
      <c r="A36" s="16" t="s">
        <v>715</v>
      </c>
      <c r="B36" s="24" t="s">
        <v>724</v>
      </c>
      <c r="C36" s="24" t="s">
        <v>200</v>
      </c>
      <c r="D36" s="58" t="s">
        <v>125</v>
      </c>
      <c r="E36" s="58" t="s">
        <v>725</v>
      </c>
      <c r="F36" s="66">
        <v>13877.451132101851</v>
      </c>
      <c r="G36" s="58">
        <v>0.96175999999999995</v>
      </c>
      <c r="H36" s="81">
        <v>51.0381</v>
      </c>
      <c r="I36" s="24">
        <v>-0.38003627561930109</v>
      </c>
      <c r="J36" s="24">
        <v>4.9216535051232134E-4</v>
      </c>
      <c r="K36" s="14"/>
      <c r="L36" s="14"/>
      <c r="M36" s="14"/>
      <c r="N36" s="14"/>
    </row>
    <row r="37" spans="1:14" x14ac:dyDescent="0.25">
      <c r="A37" s="16" t="s">
        <v>712</v>
      </c>
      <c r="B37" s="24" t="s">
        <v>726</v>
      </c>
      <c r="C37" s="24" t="s">
        <v>200</v>
      </c>
      <c r="D37" s="58" t="s">
        <v>254</v>
      </c>
      <c r="E37" s="58" t="s">
        <v>725</v>
      </c>
      <c r="F37" s="66">
        <v>-49958.824075566663</v>
      </c>
      <c r="G37" s="58">
        <v>0.97453000000000001</v>
      </c>
      <c r="H37" s="81">
        <v>-48.686410000000002</v>
      </c>
      <c r="I37" s="24">
        <v>0.36252528855255778</v>
      </c>
      <c r="J37" s="24">
        <v>-4.6948777565850974E-4</v>
      </c>
      <c r="K37" s="14"/>
      <c r="L37" s="14"/>
      <c r="M37" s="14"/>
      <c r="N37" s="14"/>
    </row>
    <row r="38" spans="1:14" x14ac:dyDescent="0.25">
      <c r="A38" s="16" t="s">
        <v>720</v>
      </c>
      <c r="B38" s="24" t="s">
        <v>727</v>
      </c>
      <c r="C38" s="24" t="s">
        <v>200</v>
      </c>
      <c r="D38" s="58" t="s">
        <v>125</v>
      </c>
      <c r="E38" s="58" t="s">
        <v>728</v>
      </c>
      <c r="F38" s="66">
        <v>24979.412037783331</v>
      </c>
      <c r="G38" s="58">
        <v>0.95802799999999999</v>
      </c>
      <c r="H38" s="81">
        <v>91.512119999999996</v>
      </c>
      <c r="I38" s="24">
        <v>-0.68141104897765703</v>
      </c>
      <c r="J38" s="24">
        <v>8.8246025255496593E-4</v>
      </c>
      <c r="K38" s="14"/>
      <c r="L38" s="14"/>
      <c r="M38" s="14"/>
      <c r="N38" s="14"/>
    </row>
    <row r="39" spans="1:14" x14ac:dyDescent="0.25">
      <c r="A39" s="16" t="s">
        <v>717</v>
      </c>
      <c r="B39" s="24" t="s">
        <v>729</v>
      </c>
      <c r="C39" s="24" t="s">
        <v>200</v>
      </c>
      <c r="D39" s="58" t="s">
        <v>254</v>
      </c>
      <c r="E39" s="58" t="s">
        <v>728</v>
      </c>
      <c r="F39" s="66">
        <v>-90925.059817531321</v>
      </c>
      <c r="G39" s="58">
        <v>0.97206899999999996</v>
      </c>
      <c r="H39" s="81">
        <v>-88.385440000000003</v>
      </c>
      <c r="I39" s="24">
        <v>0.65812938641080299</v>
      </c>
      <c r="J39" s="24">
        <v>-8.5230937393409526E-4</v>
      </c>
      <c r="K39" s="14"/>
      <c r="L39" s="14"/>
      <c r="M39" s="14"/>
      <c r="N39" s="14"/>
    </row>
    <row r="40" spans="1:14" x14ac:dyDescent="0.25">
      <c r="A40" s="16" t="s">
        <v>707</v>
      </c>
      <c r="B40" s="24" t="s">
        <v>765</v>
      </c>
      <c r="C40" s="24" t="s">
        <v>200</v>
      </c>
      <c r="D40" s="58" t="s">
        <v>254</v>
      </c>
      <c r="E40" s="58" t="s">
        <v>350</v>
      </c>
      <c r="F40" s="66">
        <v>7410000</v>
      </c>
      <c r="G40" s="58">
        <v>0.99354699999999996</v>
      </c>
      <c r="H40" s="81">
        <v>7362.18966</v>
      </c>
      <c r="I40" s="24">
        <v>-54.81981380163699</v>
      </c>
      <c r="J40" s="24">
        <v>7.0994309242547973E-2</v>
      </c>
      <c r="K40" s="14"/>
      <c r="L40" s="14"/>
      <c r="M40" s="14"/>
      <c r="N40" s="14"/>
    </row>
    <row r="41" spans="1:14" x14ac:dyDescent="0.25">
      <c r="A41" s="16" t="s">
        <v>710</v>
      </c>
      <c r="B41" s="24" t="s">
        <v>766</v>
      </c>
      <c r="C41" s="24" t="s">
        <v>200</v>
      </c>
      <c r="D41" s="58" t="s">
        <v>125</v>
      </c>
      <c r="E41" s="58" t="s">
        <v>350</v>
      </c>
      <c r="F41" s="66">
        <v>-1950000</v>
      </c>
      <c r="G41" s="58">
        <v>0.99060899999999996</v>
      </c>
      <c r="H41" s="81">
        <v>-7386.7752099999998</v>
      </c>
      <c r="I41" s="24">
        <v>55.002880978041517</v>
      </c>
      <c r="J41" s="24">
        <v>-7.1231390086726895E-2</v>
      </c>
      <c r="K41" s="14"/>
      <c r="L41" s="14"/>
      <c r="M41" s="14"/>
      <c r="N41" s="14"/>
    </row>
    <row r="42" spans="1:14" x14ac:dyDescent="0.25">
      <c r="A42" s="16" t="s">
        <v>710</v>
      </c>
      <c r="B42" s="24" t="s">
        <v>767</v>
      </c>
      <c r="C42" s="24" t="s">
        <v>200</v>
      </c>
      <c r="D42" s="58" t="s">
        <v>125</v>
      </c>
      <c r="E42" s="58" t="s">
        <v>465</v>
      </c>
      <c r="F42" s="66">
        <v>220000</v>
      </c>
      <c r="G42" s="58">
        <v>0.99060899999999996</v>
      </c>
      <c r="H42" s="81">
        <v>833.37976000000003</v>
      </c>
      <c r="I42" s="24">
        <v>-6.2054531843251803</v>
      </c>
      <c r="J42" s="24">
        <v>8.0363618882809944E-3</v>
      </c>
      <c r="K42" s="14"/>
      <c r="L42" s="14"/>
      <c r="M42" s="14"/>
      <c r="N42" s="14"/>
    </row>
    <row r="43" spans="1:14" x14ac:dyDescent="0.25">
      <c r="A43" s="16" t="s">
        <v>707</v>
      </c>
      <c r="B43" s="24" t="s">
        <v>768</v>
      </c>
      <c r="C43" s="24" t="s">
        <v>200</v>
      </c>
      <c r="D43" s="58" t="s">
        <v>254</v>
      </c>
      <c r="E43" s="58" t="s">
        <v>465</v>
      </c>
      <c r="F43" s="66">
        <v>-844074</v>
      </c>
      <c r="G43" s="58">
        <v>0.99354699999999996</v>
      </c>
      <c r="H43" s="81">
        <v>-838.62791000000004</v>
      </c>
      <c r="I43" s="24">
        <v>6.2445315861444382</v>
      </c>
      <c r="J43" s="24">
        <v>-8.0869703079574952E-3</v>
      </c>
      <c r="K43" s="14"/>
      <c r="L43" s="14"/>
      <c r="M43" s="14"/>
      <c r="N43" s="14"/>
    </row>
    <row r="44" spans="1:14" x14ac:dyDescent="0.25">
      <c r="A44" s="16" t="s">
        <v>707</v>
      </c>
      <c r="B44" s="24" t="s">
        <v>777</v>
      </c>
      <c r="C44" s="24" t="s">
        <v>200</v>
      </c>
      <c r="D44" s="58" t="s">
        <v>254</v>
      </c>
      <c r="E44" s="58" t="s">
        <v>778</v>
      </c>
      <c r="F44" s="66">
        <v>23055.997310874012</v>
      </c>
      <c r="G44" s="58">
        <v>0.99354699999999996</v>
      </c>
      <c r="H44" s="81">
        <v>22.907220000000002</v>
      </c>
      <c r="I44" s="24">
        <v>-0.17057011474941206</v>
      </c>
      <c r="J44" s="24">
        <v>2.2089654514103891E-4</v>
      </c>
      <c r="K44" s="14"/>
      <c r="L44" s="14"/>
      <c r="M44" s="14"/>
      <c r="N44" s="14"/>
    </row>
    <row r="45" spans="1:14" x14ac:dyDescent="0.25">
      <c r="A45" s="16" t="s">
        <v>710</v>
      </c>
      <c r="B45" s="24" t="s">
        <v>779</v>
      </c>
      <c r="C45" s="24" t="s">
        <v>200</v>
      </c>
      <c r="D45" s="58" t="s">
        <v>125</v>
      </c>
      <c r="E45" s="58" t="s">
        <v>778</v>
      </c>
      <c r="F45" s="66">
        <v>-6013.5621572441351</v>
      </c>
      <c r="G45" s="58">
        <v>0.99060800000000004</v>
      </c>
      <c r="H45" s="81">
        <v>-22.779900000000001</v>
      </c>
      <c r="I45" s="24">
        <v>0.16962207360736622</v>
      </c>
      <c r="J45" s="24">
        <v>-2.1966878602721552E-4</v>
      </c>
      <c r="K45" s="14"/>
      <c r="L45" s="14"/>
      <c r="M45" s="14"/>
      <c r="N45" s="14"/>
    </row>
    <row r="46" spans="1:14" x14ac:dyDescent="0.25">
      <c r="A46" s="16" t="s">
        <v>712</v>
      </c>
      <c r="B46" s="24" t="s">
        <v>730</v>
      </c>
      <c r="C46" s="24" t="s">
        <v>200</v>
      </c>
      <c r="D46" s="58" t="s">
        <v>254</v>
      </c>
      <c r="E46" s="58" t="s">
        <v>731</v>
      </c>
      <c r="F46" s="66">
        <v>13492.583154038226</v>
      </c>
      <c r="G46" s="58">
        <v>0.97453000000000001</v>
      </c>
      <c r="H46" s="81">
        <v>13.14893</v>
      </c>
      <c r="I46" s="24">
        <v>-9.7908628761237126E-2</v>
      </c>
      <c r="J46" s="24">
        <v>1.2679640782693667E-4</v>
      </c>
      <c r="K46" s="14"/>
      <c r="L46" s="14"/>
      <c r="M46" s="14"/>
      <c r="N46" s="14"/>
    </row>
    <row r="47" spans="1:14" x14ac:dyDescent="0.25">
      <c r="A47" s="16" t="s">
        <v>715</v>
      </c>
      <c r="B47" s="24" t="s">
        <v>732</v>
      </c>
      <c r="C47" s="24" t="s">
        <v>200</v>
      </c>
      <c r="D47" s="58" t="s">
        <v>125</v>
      </c>
      <c r="E47" s="58" t="s">
        <v>731</v>
      </c>
      <c r="F47" s="66">
        <v>-3700.6536352271601</v>
      </c>
      <c r="G47" s="58">
        <v>0.96175999999999995</v>
      </c>
      <c r="H47" s="81">
        <v>-13.610149999999999</v>
      </c>
      <c r="I47" s="24">
        <v>0.1013429323705238</v>
      </c>
      <c r="J47" s="24">
        <v>-1.3124399703898205E-4</v>
      </c>
      <c r="K47" s="14"/>
      <c r="L47" s="14"/>
      <c r="M47" s="14"/>
      <c r="N47" s="14"/>
    </row>
    <row r="48" spans="1:14" x14ac:dyDescent="0.25">
      <c r="A48" s="16" t="s">
        <v>712</v>
      </c>
      <c r="B48" s="24" t="s">
        <v>733</v>
      </c>
      <c r="C48" s="24" t="s">
        <v>200</v>
      </c>
      <c r="D48" s="58" t="s">
        <v>254</v>
      </c>
      <c r="E48" s="58" t="s">
        <v>406</v>
      </c>
      <c r="F48" s="66">
        <v>11783.343756267681</v>
      </c>
      <c r="G48" s="58">
        <v>0.97453000000000001</v>
      </c>
      <c r="H48" s="81">
        <v>11.483219999999999</v>
      </c>
      <c r="I48" s="24">
        <v>-8.5505537253876426E-2</v>
      </c>
      <c r="J48" s="24">
        <v>1.1073380467356931E-4</v>
      </c>
      <c r="K48" s="14"/>
      <c r="L48" s="14"/>
      <c r="M48" s="14"/>
      <c r="N48" s="14"/>
    </row>
    <row r="49" spans="1:14" x14ac:dyDescent="0.25">
      <c r="A49" s="16" t="s">
        <v>715</v>
      </c>
      <c r="B49" s="24" t="s">
        <v>734</v>
      </c>
      <c r="C49" s="24" t="s">
        <v>200</v>
      </c>
      <c r="D49" s="58" t="s">
        <v>125</v>
      </c>
      <c r="E49" s="58" t="s">
        <v>406</v>
      </c>
      <c r="F49" s="66">
        <v>-3238.0719308237649</v>
      </c>
      <c r="G49" s="58">
        <v>0.96175999999999995</v>
      </c>
      <c r="H49" s="81">
        <v>-11.90888</v>
      </c>
      <c r="I49" s="24">
        <v>8.8675056516547099E-2</v>
      </c>
      <c r="J49" s="24">
        <v>-1.1483848535523802E-4</v>
      </c>
      <c r="K49" s="14"/>
      <c r="L49" s="14"/>
      <c r="M49" s="14"/>
      <c r="N49" s="14"/>
    </row>
    <row r="50" spans="1:14" x14ac:dyDescent="0.25">
      <c r="A50" s="16" t="s">
        <v>712</v>
      </c>
      <c r="B50" s="24" t="s">
        <v>744</v>
      </c>
      <c r="C50" s="24" t="s">
        <v>200</v>
      </c>
      <c r="D50" s="58" t="s">
        <v>254</v>
      </c>
      <c r="E50" s="58" t="s">
        <v>745</v>
      </c>
      <c r="F50" s="66">
        <v>13462.977924956409</v>
      </c>
      <c r="G50" s="58">
        <v>0.97453000000000001</v>
      </c>
      <c r="H50" s="81">
        <v>13.12008</v>
      </c>
      <c r="I50" s="24">
        <v>-9.7693807940093386E-2</v>
      </c>
      <c r="J50" s="24">
        <v>1.2651820447762938E-4</v>
      </c>
      <c r="K50" s="14"/>
      <c r="L50" s="14"/>
      <c r="M50" s="14"/>
      <c r="N50" s="14"/>
    </row>
    <row r="51" spans="1:14" x14ac:dyDescent="0.25">
      <c r="A51" s="16" t="s">
        <v>715</v>
      </c>
      <c r="B51" s="24" t="s">
        <v>746</v>
      </c>
      <c r="C51" s="24" t="s">
        <v>200</v>
      </c>
      <c r="D51" s="58" t="s">
        <v>125</v>
      </c>
      <c r="E51" s="58" t="s">
        <v>745</v>
      </c>
      <c r="F51" s="66">
        <v>-3700.6536352271601</v>
      </c>
      <c r="G51" s="58">
        <v>0.96175999999999995</v>
      </c>
      <c r="H51" s="81">
        <v>-13.610149999999999</v>
      </c>
      <c r="I51" s="24">
        <v>0.1013429323705238</v>
      </c>
      <c r="J51" s="24">
        <v>-1.3124399703898205E-4</v>
      </c>
      <c r="K51" s="14"/>
      <c r="L51" s="14"/>
      <c r="M51" s="14"/>
      <c r="N51" s="14"/>
    </row>
    <row r="52" spans="1:14" x14ac:dyDescent="0.25">
      <c r="A52" s="16" t="s">
        <v>712</v>
      </c>
      <c r="B52" s="24" t="s">
        <v>753</v>
      </c>
      <c r="C52" s="24" t="s">
        <v>200</v>
      </c>
      <c r="D52" s="58" t="s">
        <v>254</v>
      </c>
      <c r="E52" s="58" t="s">
        <v>754</v>
      </c>
      <c r="F52" s="66">
        <v>11906.390489638983</v>
      </c>
      <c r="G52" s="58">
        <v>0.97453100000000004</v>
      </c>
      <c r="H52" s="81">
        <v>11.603149999999999</v>
      </c>
      <c r="I52" s="24">
        <v>-8.6398551502741935E-2</v>
      </c>
      <c r="J52" s="24">
        <v>1.1189030130034309E-4</v>
      </c>
      <c r="K52" s="14"/>
      <c r="L52" s="14"/>
      <c r="M52" s="14"/>
      <c r="N52" s="14"/>
    </row>
    <row r="53" spans="1:14" x14ac:dyDescent="0.25">
      <c r="A53" s="16" t="s">
        <v>715</v>
      </c>
      <c r="B53" s="24" t="s">
        <v>755</v>
      </c>
      <c r="C53" s="24" t="s">
        <v>200</v>
      </c>
      <c r="D53" s="58" t="s">
        <v>125</v>
      </c>
      <c r="E53" s="58" t="s">
        <v>754</v>
      </c>
      <c r="F53" s="66">
        <v>-3238.0719308237649</v>
      </c>
      <c r="G53" s="58">
        <v>0.96176099999999998</v>
      </c>
      <c r="H53" s="81">
        <v>-11.908899999999999</v>
      </c>
      <c r="I53" s="24">
        <v>8.8675205439126742E-2</v>
      </c>
      <c r="J53" s="24">
        <v>-1.148386782171786E-4</v>
      </c>
      <c r="K53" s="14"/>
      <c r="L53" s="14"/>
      <c r="M53" s="14"/>
      <c r="N53" s="14"/>
    </row>
    <row r="54" spans="1:14" x14ac:dyDescent="0.25">
      <c r="A54" s="16" t="s">
        <v>707</v>
      </c>
      <c r="B54" s="24" t="s">
        <v>756</v>
      </c>
      <c r="C54" s="24" t="s">
        <v>200</v>
      </c>
      <c r="D54" s="58" t="s">
        <v>254</v>
      </c>
      <c r="E54" s="58" t="s">
        <v>757</v>
      </c>
      <c r="F54" s="66">
        <v>5525.0758773941498</v>
      </c>
      <c r="G54" s="58">
        <v>0.99354699999999996</v>
      </c>
      <c r="H54" s="81">
        <v>5.4894300000000005</v>
      </c>
      <c r="I54" s="24">
        <v>-4.0875003820143384E-2</v>
      </c>
      <c r="J54" s="24">
        <v>5.2935106127831018E-5</v>
      </c>
      <c r="K54" s="14"/>
      <c r="L54" s="14"/>
      <c r="M54" s="14"/>
      <c r="N54" s="14"/>
    </row>
    <row r="55" spans="1:14" x14ac:dyDescent="0.25">
      <c r="A55" s="16" t="s">
        <v>710</v>
      </c>
      <c r="B55" s="24" t="s">
        <v>758</v>
      </c>
      <c r="C55" s="24" t="s">
        <v>200</v>
      </c>
      <c r="D55" s="58" t="s">
        <v>125</v>
      </c>
      <c r="E55" s="58" t="s">
        <v>757</v>
      </c>
      <c r="F55" s="66">
        <v>-1480.2614540908639</v>
      </c>
      <c r="G55" s="58">
        <v>0.99060899999999996</v>
      </c>
      <c r="H55" s="81">
        <v>-5.6073599999999999</v>
      </c>
      <c r="I55" s="24">
        <v>4.1753125811043984E-2</v>
      </c>
      <c r="J55" s="24">
        <v>-5.4072316560545355E-5</v>
      </c>
      <c r="K55" s="14"/>
      <c r="L55" s="14"/>
      <c r="M55" s="14"/>
      <c r="N55" s="14"/>
    </row>
    <row r="56" spans="1:14" x14ac:dyDescent="0.25">
      <c r="A56" s="16" t="s">
        <v>707</v>
      </c>
      <c r="B56" s="24" t="s">
        <v>762</v>
      </c>
      <c r="C56" s="24" t="s">
        <v>200</v>
      </c>
      <c r="D56" s="58" t="s">
        <v>254</v>
      </c>
      <c r="E56" s="58" t="s">
        <v>763</v>
      </c>
      <c r="F56" s="66">
        <v>17365.317183303447</v>
      </c>
      <c r="G56" s="58">
        <v>0.99354699999999996</v>
      </c>
      <c r="H56" s="81">
        <v>17.253259999999997</v>
      </c>
      <c r="I56" s="24">
        <v>-0.12846999932778574</v>
      </c>
      <c r="J56" s="24">
        <v>1.6637486025890876E-4</v>
      </c>
      <c r="K56" s="14"/>
      <c r="L56" s="14"/>
      <c r="M56" s="14"/>
      <c r="N56" s="14"/>
    </row>
    <row r="57" spans="1:14" x14ac:dyDescent="0.25">
      <c r="A57" s="16" t="s">
        <v>710</v>
      </c>
      <c r="B57" s="24" t="s">
        <v>764</v>
      </c>
      <c r="C57" s="24" t="s">
        <v>200</v>
      </c>
      <c r="D57" s="58" t="s">
        <v>125</v>
      </c>
      <c r="E57" s="58" t="s">
        <v>763</v>
      </c>
      <c r="F57" s="66">
        <v>-4625.81704403395</v>
      </c>
      <c r="G57" s="58">
        <v>0.99060800000000004</v>
      </c>
      <c r="H57" s="81">
        <v>-17.523</v>
      </c>
      <c r="I57" s="24">
        <v>0.13047851815951247</v>
      </c>
      <c r="J57" s="24">
        <v>-1.6897598925170424E-4</v>
      </c>
      <c r="K57" s="14"/>
      <c r="L57" s="14"/>
      <c r="M57" s="14"/>
      <c r="N57" s="14"/>
    </row>
    <row r="58" spans="1:14" x14ac:dyDescent="0.25">
      <c r="A58" s="16" t="s">
        <v>707</v>
      </c>
      <c r="B58" s="24" t="s">
        <v>772</v>
      </c>
      <c r="C58" s="24" t="s">
        <v>200</v>
      </c>
      <c r="D58" s="58" t="s">
        <v>254</v>
      </c>
      <c r="E58" s="58" t="s">
        <v>372</v>
      </c>
      <c r="F58" s="66">
        <v>7025.6909264787637</v>
      </c>
      <c r="G58" s="58">
        <v>0.99354699999999996</v>
      </c>
      <c r="H58" s="81">
        <v>6.9803599999999992</v>
      </c>
      <c r="I58" s="24">
        <v>-5.1976660903951061E-2</v>
      </c>
      <c r="J58" s="24">
        <v>6.7312288782344699E-5</v>
      </c>
      <c r="K58" s="14"/>
      <c r="L58" s="14"/>
      <c r="M58" s="14"/>
      <c r="N58" s="14"/>
    </row>
    <row r="59" spans="1:14" x14ac:dyDescent="0.25">
      <c r="A59" s="16" t="s">
        <v>710</v>
      </c>
      <c r="B59" s="24" t="s">
        <v>773</v>
      </c>
      <c r="C59" s="24" t="s">
        <v>200</v>
      </c>
      <c r="D59" s="58" t="s">
        <v>125</v>
      </c>
      <c r="E59" s="58" t="s">
        <v>372</v>
      </c>
      <c r="F59" s="66">
        <v>-1850.32681761358</v>
      </c>
      <c r="G59" s="58">
        <v>0.99060800000000004</v>
      </c>
      <c r="H59" s="81">
        <v>-7.0091999999999999</v>
      </c>
      <c r="I59" s="24">
        <v>5.2191407263804987E-2</v>
      </c>
      <c r="J59" s="24">
        <v>-6.7590395700681702E-5</v>
      </c>
      <c r="K59" s="14"/>
      <c r="L59" s="14"/>
      <c r="M59" s="14"/>
      <c r="N59" s="14"/>
    </row>
    <row r="60" spans="1:14" x14ac:dyDescent="0.25">
      <c r="A60" s="16" t="s">
        <v>707</v>
      </c>
      <c r="B60" s="24" t="s">
        <v>774</v>
      </c>
      <c r="C60" s="24" t="s">
        <v>200</v>
      </c>
      <c r="D60" s="58" t="s">
        <v>254</v>
      </c>
      <c r="E60" s="58" t="s">
        <v>775</v>
      </c>
      <c r="F60" s="66">
        <v>4227.6267128835079</v>
      </c>
      <c r="G60" s="58">
        <v>0.99354699999999996</v>
      </c>
      <c r="H60" s="81">
        <v>4.2003500000000003</v>
      </c>
      <c r="I60" s="24">
        <v>-3.1276347871443719E-2</v>
      </c>
      <c r="J60" s="24">
        <v>4.0504382608765393E-5</v>
      </c>
      <c r="K60" s="14"/>
      <c r="L60" s="14"/>
      <c r="M60" s="14"/>
      <c r="N60" s="14"/>
    </row>
    <row r="61" spans="1:14" x14ac:dyDescent="0.25">
      <c r="A61" s="16" t="s">
        <v>710</v>
      </c>
      <c r="B61" s="24" t="s">
        <v>776</v>
      </c>
      <c r="C61" s="24" t="s">
        <v>200</v>
      </c>
      <c r="D61" s="58" t="s">
        <v>125</v>
      </c>
      <c r="E61" s="58" t="s">
        <v>775</v>
      </c>
      <c r="F61" s="66">
        <v>-1110.1960905681481</v>
      </c>
      <c r="G61" s="58">
        <v>0.99060800000000004</v>
      </c>
      <c r="H61" s="81">
        <v>-4.2055200000000008</v>
      </c>
      <c r="I61" s="24">
        <v>3.1314844358282995E-2</v>
      </c>
      <c r="J61" s="24">
        <v>-4.0554237420409028E-5</v>
      </c>
      <c r="K61" s="14"/>
      <c r="L61" s="14"/>
      <c r="M61" s="14"/>
      <c r="N61" s="14"/>
    </row>
    <row r="62" spans="1:14" x14ac:dyDescent="0.25">
      <c r="A62" s="16" t="s">
        <v>712</v>
      </c>
      <c r="B62" s="24" t="s">
        <v>735</v>
      </c>
      <c r="C62" s="24" t="s">
        <v>200</v>
      </c>
      <c r="D62" s="58" t="s">
        <v>254</v>
      </c>
      <c r="E62" s="58" t="s">
        <v>736</v>
      </c>
      <c r="F62" s="66">
        <v>13348.257662264366</v>
      </c>
      <c r="G62" s="58">
        <v>0.97453100000000004</v>
      </c>
      <c r="H62" s="81">
        <v>13.008299999999998</v>
      </c>
      <c r="I62" s="24">
        <v>-9.6861479642434856E-2</v>
      </c>
      <c r="J62" s="24">
        <v>1.2544029909164779E-4</v>
      </c>
      <c r="K62" s="14"/>
      <c r="L62" s="14"/>
      <c r="M62" s="14"/>
      <c r="N62" s="14"/>
    </row>
    <row r="63" spans="1:14" x14ac:dyDescent="0.25">
      <c r="A63" s="16" t="s">
        <v>715</v>
      </c>
      <c r="B63" s="24" t="s">
        <v>737</v>
      </c>
      <c r="C63" s="24" t="s">
        <v>200</v>
      </c>
      <c r="D63" s="58" t="s">
        <v>125</v>
      </c>
      <c r="E63" s="58" t="s">
        <v>736</v>
      </c>
      <c r="F63" s="66">
        <v>-3700.6536352271601</v>
      </c>
      <c r="G63" s="58">
        <v>0.96176099999999998</v>
      </c>
      <c r="H63" s="81">
        <v>-13.61018</v>
      </c>
      <c r="I63" s="24">
        <v>0.10134315575439327</v>
      </c>
      <c r="J63" s="24">
        <v>-1.3124428633189293E-4</v>
      </c>
      <c r="K63" s="14"/>
      <c r="L63" s="14"/>
      <c r="M63" s="14"/>
      <c r="N63" s="14"/>
    </row>
    <row r="64" spans="1:14" x14ac:dyDescent="0.25">
      <c r="A64" s="16" t="s">
        <v>712</v>
      </c>
      <c r="B64" s="24" t="s">
        <v>738</v>
      </c>
      <c r="C64" s="24" t="s">
        <v>200</v>
      </c>
      <c r="D64" s="58" t="s">
        <v>254</v>
      </c>
      <c r="E64" s="58" t="s">
        <v>739</v>
      </c>
      <c r="F64" s="66">
        <v>164160.99525867682</v>
      </c>
      <c r="G64" s="58">
        <v>0.97453000000000001</v>
      </c>
      <c r="H64" s="81">
        <v>159.97984</v>
      </c>
      <c r="I64" s="24">
        <v>-1.1912305232320892</v>
      </c>
      <c r="J64" s="24">
        <v>1.5427011199183568E-3</v>
      </c>
      <c r="K64" s="14"/>
      <c r="L64" s="14"/>
      <c r="M64" s="14"/>
      <c r="N64" s="14"/>
    </row>
    <row r="65" spans="1:14" x14ac:dyDescent="0.25">
      <c r="A65" s="16" t="s">
        <v>715</v>
      </c>
      <c r="B65" s="24" t="s">
        <v>740</v>
      </c>
      <c r="C65" s="24" t="s">
        <v>200</v>
      </c>
      <c r="D65" s="58" t="s">
        <v>125</v>
      </c>
      <c r="E65" s="58" t="s">
        <v>739</v>
      </c>
      <c r="F65" s="66">
        <v>-46258.170440339498</v>
      </c>
      <c r="G65" s="58">
        <v>0.96175999999999995</v>
      </c>
      <c r="H65" s="81">
        <v>-170.12692000000001</v>
      </c>
      <c r="I65" s="24">
        <v>1.2667869897073518</v>
      </c>
      <c r="J65" s="24">
        <v>-1.6405503969266421E-3</v>
      </c>
      <c r="K65" s="14"/>
      <c r="L65" s="14"/>
      <c r="M65" s="14"/>
      <c r="N65" s="14"/>
    </row>
    <row r="66" spans="1:14" x14ac:dyDescent="0.25">
      <c r="A66" s="16" t="s">
        <v>712</v>
      </c>
      <c r="B66" s="24" t="s">
        <v>741</v>
      </c>
      <c r="C66" s="24" t="s">
        <v>200</v>
      </c>
      <c r="D66" s="58" t="s">
        <v>254</v>
      </c>
      <c r="E66" s="58" t="s">
        <v>742</v>
      </c>
      <c r="F66" s="66">
        <v>137843.79693175887</v>
      </c>
      <c r="G66" s="58">
        <v>0.97453100000000004</v>
      </c>
      <c r="H66" s="81">
        <v>134.33310999999998</v>
      </c>
      <c r="I66" s="24">
        <v>-1.000261663673959</v>
      </c>
      <c r="J66" s="24">
        <v>1.2953872140334419E-3</v>
      </c>
      <c r="K66" s="14"/>
      <c r="L66" s="14"/>
      <c r="M66" s="14"/>
      <c r="N66" s="14"/>
    </row>
    <row r="67" spans="1:14" x14ac:dyDescent="0.25">
      <c r="A67" s="16" t="s">
        <v>715</v>
      </c>
      <c r="B67" s="24" t="s">
        <v>743</v>
      </c>
      <c r="C67" s="24" t="s">
        <v>200</v>
      </c>
      <c r="D67" s="58" t="s">
        <v>125</v>
      </c>
      <c r="E67" s="58" t="s">
        <v>742</v>
      </c>
      <c r="F67" s="66">
        <v>-37931.699761078387</v>
      </c>
      <c r="G67" s="58">
        <v>0.96176099999999998</v>
      </c>
      <c r="H67" s="81">
        <v>-139.5043</v>
      </c>
      <c r="I67" s="24">
        <v>1.0387670114067269</v>
      </c>
      <c r="J67" s="24">
        <v>-1.3452535009625365E-3</v>
      </c>
      <c r="K67" s="14"/>
      <c r="L67" s="14"/>
      <c r="M67" s="14"/>
      <c r="N67" s="14"/>
    </row>
    <row r="68" spans="1:14" x14ac:dyDescent="0.25">
      <c r="A68" s="16" t="s">
        <v>712</v>
      </c>
      <c r="B68" s="24" t="s">
        <v>750</v>
      </c>
      <c r="C68" s="24" t="s">
        <v>200</v>
      </c>
      <c r="D68" s="58" t="s">
        <v>254</v>
      </c>
      <c r="E68" s="58" t="s">
        <v>751</v>
      </c>
      <c r="F68" s="66">
        <v>6772.1961524657027</v>
      </c>
      <c r="G68" s="58">
        <v>0.97453100000000004</v>
      </c>
      <c r="H68" s="81">
        <v>6.5997200000000005</v>
      </c>
      <c r="I68" s="24">
        <v>-4.91423663680704E-2</v>
      </c>
      <c r="J68" s="24">
        <v>6.3641740328953817E-5</v>
      </c>
      <c r="K68" s="14"/>
      <c r="L68" s="14"/>
      <c r="M68" s="14"/>
      <c r="N68" s="14"/>
    </row>
    <row r="69" spans="1:14" x14ac:dyDescent="0.25">
      <c r="A69" s="16" t="s">
        <v>715</v>
      </c>
      <c r="B69" s="24" t="s">
        <v>752</v>
      </c>
      <c r="C69" s="24" t="s">
        <v>200</v>
      </c>
      <c r="D69" s="58" t="s">
        <v>125</v>
      </c>
      <c r="E69" s="58" t="s">
        <v>751</v>
      </c>
      <c r="F69" s="66">
        <v>-1850.32681761358</v>
      </c>
      <c r="G69" s="58">
        <v>0.96176099999999998</v>
      </c>
      <c r="H69" s="81">
        <v>-6.8050899999999999</v>
      </c>
      <c r="I69" s="24">
        <v>5.0671577877196637E-2</v>
      </c>
      <c r="J69" s="24">
        <v>-6.5622143165946467E-5</v>
      </c>
      <c r="K69" s="14"/>
      <c r="L69" s="14"/>
      <c r="M69" s="14"/>
      <c r="N69" s="14"/>
    </row>
    <row r="70" spans="1:14" x14ac:dyDescent="0.25">
      <c r="A70" s="16" t="s">
        <v>707</v>
      </c>
      <c r="B70" s="24" t="s">
        <v>759</v>
      </c>
      <c r="C70" s="24" t="s">
        <v>200</v>
      </c>
      <c r="D70" s="58" t="s">
        <v>254</v>
      </c>
      <c r="E70" s="58" t="s">
        <v>760</v>
      </c>
      <c r="F70" s="66">
        <v>17467.085158272195</v>
      </c>
      <c r="G70" s="58">
        <v>0.99354699999999996</v>
      </c>
      <c r="H70" s="81">
        <v>17.354369999999999</v>
      </c>
      <c r="I70" s="24">
        <v>-0.12922287742920152</v>
      </c>
      <c r="J70" s="24">
        <v>1.6734987379958332E-4</v>
      </c>
      <c r="K70" s="14"/>
      <c r="L70" s="14"/>
      <c r="M70" s="14"/>
      <c r="N70" s="14"/>
    </row>
    <row r="71" spans="1:14" x14ac:dyDescent="0.25">
      <c r="A71" s="16" t="s">
        <v>710</v>
      </c>
      <c r="B71" s="24" t="s">
        <v>761</v>
      </c>
      <c r="C71" s="24" t="s">
        <v>200</v>
      </c>
      <c r="D71" s="58" t="s">
        <v>125</v>
      </c>
      <c r="E71" s="58" t="s">
        <v>760</v>
      </c>
      <c r="F71" s="66">
        <v>-4625.81704403395</v>
      </c>
      <c r="G71" s="58">
        <v>0.99060800000000004</v>
      </c>
      <c r="H71" s="81">
        <v>-17.523</v>
      </c>
      <c r="I71" s="24">
        <v>0.13047851815951247</v>
      </c>
      <c r="J71" s="24">
        <v>-1.6897598925170424E-4</v>
      </c>
      <c r="K71" s="14"/>
      <c r="L71" s="14"/>
      <c r="M71" s="14"/>
      <c r="N71" s="14"/>
    </row>
    <row r="72" spans="1:14" s="112" customFormat="1" x14ac:dyDescent="0.25">
      <c r="A72" s="89" t="s">
        <v>780</v>
      </c>
      <c r="B72" s="130" t="s">
        <v>248</v>
      </c>
      <c r="C72" s="130" t="s">
        <v>248</v>
      </c>
      <c r="D72" s="129" t="s">
        <v>248</v>
      </c>
      <c r="E72" s="129" t="s">
        <v>248</v>
      </c>
      <c r="F72" s="128" t="s">
        <v>248</v>
      </c>
      <c r="G72" s="129" t="s">
        <v>248</v>
      </c>
      <c r="H72" s="117">
        <v>-23.043189599999984</v>
      </c>
      <c r="I72" s="130">
        <v>0.17158256192870436</v>
      </c>
      <c r="J72" s="130">
        <v>-2.2220771318693034E-4</v>
      </c>
    </row>
    <row r="73" spans="1:14" s="112" customFormat="1" x14ac:dyDescent="0.25">
      <c r="A73" s="89" t="s">
        <v>633</v>
      </c>
      <c r="B73" s="130" t="s">
        <v>248</v>
      </c>
      <c r="C73" s="130" t="s">
        <v>248</v>
      </c>
      <c r="D73" s="129" t="s">
        <v>248</v>
      </c>
      <c r="E73" s="129" t="s">
        <v>248</v>
      </c>
      <c r="F73" s="128" t="s">
        <v>248</v>
      </c>
      <c r="G73" s="129" t="s">
        <v>248</v>
      </c>
      <c r="H73" s="117">
        <v>0</v>
      </c>
      <c r="I73" s="130">
        <v>0</v>
      </c>
      <c r="J73" s="130">
        <v>0</v>
      </c>
    </row>
    <row r="74" spans="1:14" s="112" customFormat="1" x14ac:dyDescent="0.25">
      <c r="A74" s="89" t="s">
        <v>640</v>
      </c>
      <c r="B74" s="130" t="s">
        <v>248</v>
      </c>
      <c r="C74" s="130" t="s">
        <v>248</v>
      </c>
      <c r="D74" s="129" t="s">
        <v>248</v>
      </c>
      <c r="E74" s="129" t="s">
        <v>248</v>
      </c>
      <c r="F74" s="128" t="s">
        <v>248</v>
      </c>
      <c r="G74" s="129" t="s">
        <v>248</v>
      </c>
      <c r="H74" s="117">
        <v>-23.043189899999938</v>
      </c>
      <c r="I74" s="130">
        <v>0.17158256416254272</v>
      </c>
      <c r="J74" s="130">
        <v>-2.2220771607985899E-4</v>
      </c>
    </row>
    <row r="75" spans="1:14" x14ac:dyDescent="0.25">
      <c r="A75" s="16" t="s">
        <v>781</v>
      </c>
      <c r="B75" s="24" t="s">
        <v>782</v>
      </c>
      <c r="C75" s="24" t="s">
        <v>200</v>
      </c>
      <c r="D75" s="58" t="s">
        <v>2</v>
      </c>
      <c r="E75" s="58" t="s">
        <v>783</v>
      </c>
      <c r="F75" s="66">
        <v>15000</v>
      </c>
      <c r="G75" s="58">
        <v>0.99788399999999999</v>
      </c>
      <c r="H75" s="81">
        <v>70.020020000000002</v>
      </c>
      <c r="I75" s="24">
        <v>-0.52137810027389297</v>
      </c>
      <c r="J75" s="24">
        <v>6.7520984688261803E-4</v>
      </c>
      <c r="K75" s="14"/>
      <c r="L75" s="14"/>
      <c r="M75" s="14"/>
      <c r="N75" s="14"/>
    </row>
    <row r="76" spans="1:14" x14ac:dyDescent="0.25">
      <c r="A76" s="16" t="s">
        <v>784</v>
      </c>
      <c r="B76" s="24" t="s">
        <v>785</v>
      </c>
      <c r="C76" s="24" t="s">
        <v>200</v>
      </c>
      <c r="D76" s="58" t="s">
        <v>125</v>
      </c>
      <c r="E76" s="58" t="s">
        <v>783</v>
      </c>
      <c r="F76" s="66">
        <v>-19192.5</v>
      </c>
      <c r="G76" s="58">
        <v>0.99779300000000004</v>
      </c>
      <c r="H76" s="81">
        <v>-73.230190000000007</v>
      </c>
      <c r="I76" s="24">
        <v>0.54528144014949198</v>
      </c>
      <c r="J76" s="24">
        <v>-7.0616582767449982E-4</v>
      </c>
      <c r="K76" s="14"/>
      <c r="L76" s="14"/>
      <c r="M76" s="14"/>
      <c r="N76" s="14"/>
    </row>
    <row r="77" spans="1:14" x14ac:dyDescent="0.25">
      <c r="A77" s="16" t="s">
        <v>786</v>
      </c>
      <c r="B77" s="24" t="s">
        <v>787</v>
      </c>
      <c r="C77" s="24" t="s">
        <v>200</v>
      </c>
      <c r="D77" s="58" t="s">
        <v>859</v>
      </c>
      <c r="E77" s="58" t="s">
        <v>788</v>
      </c>
      <c r="F77" s="66">
        <v>12805821</v>
      </c>
      <c r="G77" s="58">
        <v>1.000256</v>
      </c>
      <c r="H77" s="81">
        <v>328.68167</v>
      </c>
      <c r="I77" s="24">
        <v>-2.4474061089878378</v>
      </c>
      <c r="J77" s="24">
        <v>3.1695092356989214E-3</v>
      </c>
      <c r="K77" s="14"/>
      <c r="L77" s="14"/>
      <c r="M77" s="14"/>
      <c r="N77" s="14"/>
    </row>
    <row r="78" spans="1:14" x14ac:dyDescent="0.25">
      <c r="A78" s="16" t="s">
        <v>789</v>
      </c>
      <c r="B78" s="24" t="s">
        <v>790</v>
      </c>
      <c r="C78" s="24" t="s">
        <v>200</v>
      </c>
      <c r="D78" s="58" t="s">
        <v>125</v>
      </c>
      <c r="E78" s="58" t="s">
        <v>788</v>
      </c>
      <c r="F78" s="66">
        <v>-93000</v>
      </c>
      <c r="G78" s="58">
        <v>0.99676699999999996</v>
      </c>
      <c r="H78" s="81">
        <v>-354.48241999999999</v>
      </c>
      <c r="I78" s="24">
        <v>2.639521821331845</v>
      </c>
      <c r="J78" s="24">
        <v>-3.4183083713883529E-3</v>
      </c>
      <c r="K78" s="14"/>
      <c r="L78" s="14"/>
      <c r="M78" s="14"/>
      <c r="N78" s="14"/>
    </row>
    <row r="79" spans="1:14" x14ac:dyDescent="0.25">
      <c r="A79" s="16" t="s">
        <v>791</v>
      </c>
      <c r="B79" s="24" t="s">
        <v>792</v>
      </c>
      <c r="C79" s="24" t="s">
        <v>200</v>
      </c>
      <c r="D79" s="58" t="s">
        <v>125</v>
      </c>
      <c r="E79" s="58" t="s">
        <v>793</v>
      </c>
      <c r="F79" s="66">
        <v>148534.20000000001</v>
      </c>
      <c r="G79" s="58">
        <v>0.97838400000000003</v>
      </c>
      <c r="H79" s="81">
        <v>555.7171800000001</v>
      </c>
      <c r="I79" s="24">
        <v>-4.1379418000446879</v>
      </c>
      <c r="J79" s="24">
        <v>5.3588346878198599E-3</v>
      </c>
      <c r="K79" s="14"/>
      <c r="L79" s="14"/>
      <c r="M79" s="14"/>
      <c r="N79" s="14"/>
    </row>
    <row r="80" spans="1:14" x14ac:dyDescent="0.25">
      <c r="A80" s="16" t="s">
        <v>794</v>
      </c>
      <c r="B80" s="24" t="s">
        <v>795</v>
      </c>
      <c r="C80" s="24" t="s">
        <v>200</v>
      </c>
      <c r="D80" s="58" t="s">
        <v>2</v>
      </c>
      <c r="E80" s="58" t="s">
        <v>793</v>
      </c>
      <c r="F80" s="66">
        <v>-120000</v>
      </c>
      <c r="G80" s="58">
        <v>0.97932300000000005</v>
      </c>
      <c r="H80" s="81">
        <v>-549.74109999999996</v>
      </c>
      <c r="I80" s="24">
        <v>4.0934431375552336</v>
      </c>
      <c r="J80" s="24">
        <v>-5.3012067685225166E-3</v>
      </c>
      <c r="K80" s="14"/>
      <c r="L80" s="14"/>
      <c r="M80" s="14"/>
      <c r="N80" s="14"/>
    </row>
    <row r="81" spans="1:14" x14ac:dyDescent="0.25">
      <c r="A81" s="16" t="s">
        <v>784</v>
      </c>
      <c r="B81" s="24" t="s">
        <v>796</v>
      </c>
      <c r="C81" s="24" t="s">
        <v>200</v>
      </c>
      <c r="D81" s="58" t="s">
        <v>125</v>
      </c>
      <c r="E81" s="58" t="s">
        <v>770</v>
      </c>
      <c r="F81" s="66">
        <v>18547.5</v>
      </c>
      <c r="G81" s="58">
        <v>0.99779300000000004</v>
      </c>
      <c r="H81" s="81">
        <v>70.769149999999996</v>
      </c>
      <c r="I81" s="24">
        <v>-0.5269562188785174</v>
      </c>
      <c r="J81" s="24">
        <v>6.8243378016048881E-4</v>
      </c>
      <c r="K81" s="14"/>
      <c r="L81" s="14"/>
      <c r="M81" s="14"/>
      <c r="N81" s="14"/>
    </row>
    <row r="82" spans="1:14" x14ac:dyDescent="0.25">
      <c r="A82" s="16" t="s">
        <v>781</v>
      </c>
      <c r="B82" s="24" t="s">
        <v>797</v>
      </c>
      <c r="C82" s="24" t="s">
        <v>200</v>
      </c>
      <c r="D82" s="58" t="s">
        <v>2</v>
      </c>
      <c r="E82" s="58" t="s">
        <v>770</v>
      </c>
      <c r="F82" s="66">
        <v>-15000</v>
      </c>
      <c r="G82" s="58">
        <v>0.99788399999999999</v>
      </c>
      <c r="H82" s="81">
        <v>-70.020020000000002</v>
      </c>
      <c r="I82" s="24">
        <v>0.52137810027389297</v>
      </c>
      <c r="J82" s="24">
        <v>-6.7520984688261803E-4</v>
      </c>
      <c r="K82" s="14"/>
      <c r="L82" s="14"/>
      <c r="M82" s="14"/>
      <c r="N82" s="14"/>
    </row>
    <row r="83" spans="1:14" x14ac:dyDescent="0.25">
      <c r="A83" s="16" t="s">
        <v>794</v>
      </c>
      <c r="B83" s="24" t="s">
        <v>798</v>
      </c>
      <c r="C83" s="24" t="s">
        <v>200</v>
      </c>
      <c r="D83" s="58" t="s">
        <v>2</v>
      </c>
      <c r="E83" s="58" t="s">
        <v>770</v>
      </c>
      <c r="F83" s="66">
        <v>15000</v>
      </c>
      <c r="G83" s="58">
        <v>0.97932300000000005</v>
      </c>
      <c r="H83" s="81">
        <v>68.717640000000003</v>
      </c>
      <c r="I83" s="24">
        <v>-0.5116804108097267</v>
      </c>
      <c r="J83" s="24">
        <v>6.6265087017305729E-4</v>
      </c>
      <c r="K83" s="14"/>
      <c r="L83" s="14"/>
      <c r="M83" s="14"/>
      <c r="N83" s="14"/>
    </row>
    <row r="84" spans="1:14" x14ac:dyDescent="0.25">
      <c r="A84" s="16" t="s">
        <v>791</v>
      </c>
      <c r="B84" s="24" t="s">
        <v>799</v>
      </c>
      <c r="C84" s="24" t="s">
        <v>200</v>
      </c>
      <c r="D84" s="58" t="s">
        <v>125</v>
      </c>
      <c r="E84" s="58" t="s">
        <v>770</v>
      </c>
      <c r="F84" s="66">
        <v>-18560.7</v>
      </c>
      <c r="G84" s="58">
        <v>0.97838400000000003</v>
      </c>
      <c r="H84" s="81">
        <v>-69.441910000000007</v>
      </c>
      <c r="I84" s="24">
        <v>0.51707341864784739</v>
      </c>
      <c r="J84" s="24">
        <v>-6.6963507605876933E-4</v>
      </c>
      <c r="K84" s="14"/>
      <c r="L84" s="14"/>
      <c r="M84" s="14"/>
      <c r="N84" s="14"/>
    </row>
    <row r="85" spans="1:14" x14ac:dyDescent="0.25">
      <c r="A85" s="16" t="s">
        <v>702</v>
      </c>
      <c r="B85" s="24" t="s">
        <v>800</v>
      </c>
      <c r="C85" s="24" t="s">
        <v>200</v>
      </c>
      <c r="D85" s="58" t="s">
        <v>126</v>
      </c>
      <c r="E85" s="58" t="s">
        <v>372</v>
      </c>
      <c r="F85" s="66">
        <v>90500</v>
      </c>
      <c r="G85" s="58">
        <v>0.99839999999999995</v>
      </c>
      <c r="H85" s="81">
        <v>366.21878999999996</v>
      </c>
      <c r="I85" s="24">
        <v>-2.7269123461376292</v>
      </c>
      <c r="J85" s="24">
        <v>3.5314833260749945E-3</v>
      </c>
      <c r="K85" s="14"/>
      <c r="L85" s="14"/>
      <c r="M85" s="14"/>
      <c r="N85" s="14"/>
    </row>
    <row r="86" spans="1:14" x14ac:dyDescent="0.25">
      <c r="A86" s="16" t="s">
        <v>699</v>
      </c>
      <c r="B86" s="24" t="s">
        <v>801</v>
      </c>
      <c r="C86" s="24" t="s">
        <v>200</v>
      </c>
      <c r="D86" s="58" t="s">
        <v>125</v>
      </c>
      <c r="E86" s="58" t="s">
        <v>372</v>
      </c>
      <c r="F86" s="66">
        <v>-96490.2</v>
      </c>
      <c r="G86" s="58">
        <v>0.99779300000000004</v>
      </c>
      <c r="H86" s="81">
        <v>-368.16442000000001</v>
      </c>
      <c r="I86" s="24">
        <v>2.741399758069758</v>
      </c>
      <c r="J86" s="24">
        <v>-3.5502452249489202E-3</v>
      </c>
      <c r="K86" s="14"/>
      <c r="L86" s="14"/>
      <c r="M86" s="14"/>
      <c r="N86" s="14"/>
    </row>
    <row r="87" spans="1:14" x14ac:dyDescent="0.25">
      <c r="A87" s="16" t="s">
        <v>802</v>
      </c>
      <c r="B87" s="24" t="s">
        <v>803</v>
      </c>
      <c r="C87" s="24" t="s">
        <v>200</v>
      </c>
      <c r="D87" s="58" t="s">
        <v>125</v>
      </c>
      <c r="E87" s="58" t="s">
        <v>372</v>
      </c>
      <c r="F87" s="66">
        <v>97197</v>
      </c>
      <c r="G87" s="58">
        <v>0.97537499999999999</v>
      </c>
      <c r="H87" s="81">
        <v>362.52884999999998</v>
      </c>
      <c r="I87" s="24">
        <v>-2.6994365769601192</v>
      </c>
      <c r="J87" s="24">
        <v>3.4959008766211664E-3</v>
      </c>
      <c r="K87" s="14"/>
      <c r="L87" s="14"/>
      <c r="M87" s="14"/>
      <c r="N87" s="14"/>
    </row>
    <row r="88" spans="1:14" x14ac:dyDescent="0.25">
      <c r="A88" s="16" t="s">
        <v>804</v>
      </c>
      <c r="B88" s="24" t="s">
        <v>805</v>
      </c>
      <c r="C88" s="24" t="s">
        <v>200</v>
      </c>
      <c r="D88" s="58" t="s">
        <v>126</v>
      </c>
      <c r="E88" s="58" t="s">
        <v>372</v>
      </c>
      <c r="F88" s="66">
        <v>-90500</v>
      </c>
      <c r="G88" s="58">
        <v>0.98312600000000006</v>
      </c>
      <c r="H88" s="81">
        <v>-360.61642999999998</v>
      </c>
      <c r="I88" s="24">
        <v>2.6851964509714978</v>
      </c>
      <c r="J88" s="24">
        <v>-3.477459224999598E-3</v>
      </c>
      <c r="K88" s="14"/>
      <c r="L88" s="14"/>
      <c r="M88" s="14"/>
      <c r="N88" s="14"/>
    </row>
    <row r="89" spans="1:14" s="112" customFormat="1" x14ac:dyDescent="0.25">
      <c r="A89" s="89" t="s">
        <v>635</v>
      </c>
      <c r="B89" s="130" t="s">
        <v>248</v>
      </c>
      <c r="C89" s="130" t="s">
        <v>248</v>
      </c>
      <c r="D89" s="129" t="s">
        <v>248</v>
      </c>
      <c r="E89" s="129" t="s">
        <v>248</v>
      </c>
      <c r="F89" s="128" t="s">
        <v>248</v>
      </c>
      <c r="G89" s="129" t="s">
        <v>248</v>
      </c>
      <c r="H89" s="117">
        <v>0</v>
      </c>
      <c r="I89" s="130">
        <v>0</v>
      </c>
      <c r="J89" s="130">
        <v>0</v>
      </c>
    </row>
    <row r="90" spans="1:14" s="112" customFormat="1" x14ac:dyDescent="0.25">
      <c r="A90" s="89" t="s">
        <v>141</v>
      </c>
      <c r="B90" s="130" t="s">
        <v>248</v>
      </c>
      <c r="C90" s="130" t="s">
        <v>248</v>
      </c>
      <c r="D90" s="129" t="s">
        <v>248</v>
      </c>
      <c r="E90" s="129" t="s">
        <v>248</v>
      </c>
      <c r="F90" s="128" t="s">
        <v>248</v>
      </c>
      <c r="G90" s="129" t="s">
        <v>248</v>
      </c>
      <c r="H90" s="117">
        <v>0</v>
      </c>
      <c r="I90" s="130">
        <v>0</v>
      </c>
      <c r="J90" s="130">
        <v>0</v>
      </c>
    </row>
    <row r="91" spans="1:14" s="112" customFormat="1" x14ac:dyDescent="0.25">
      <c r="A91" s="75" t="s">
        <v>241</v>
      </c>
      <c r="B91" s="118"/>
      <c r="C91" s="75"/>
      <c r="D91" s="119"/>
      <c r="E91" s="119"/>
      <c r="F91" s="119"/>
      <c r="G91" s="120"/>
      <c r="H91" s="121"/>
      <c r="I91" s="121"/>
      <c r="J91" s="122"/>
      <c r="K91" s="141"/>
      <c r="L91" s="141"/>
      <c r="M91" s="123"/>
      <c r="N91" s="123"/>
    </row>
    <row r="92" spans="1:14" s="112" customFormat="1" x14ac:dyDescent="0.25">
      <c r="A92" s="75" t="s">
        <v>242</v>
      </c>
      <c r="B92" s="118"/>
      <c r="C92" s="75"/>
      <c r="D92" s="119"/>
      <c r="E92" s="119"/>
      <c r="F92" s="119"/>
      <c r="G92" s="120"/>
      <c r="H92" s="121"/>
      <c r="I92" s="121"/>
      <c r="J92" s="122"/>
      <c r="K92" s="141"/>
      <c r="L92" s="141"/>
      <c r="M92" s="123"/>
      <c r="N92" s="123"/>
    </row>
    <row r="93" spans="1:14" s="112" customFormat="1" x14ac:dyDescent="0.25">
      <c r="A93" s="75" t="s">
        <v>243</v>
      </c>
      <c r="B93" s="118"/>
      <c r="C93" s="75"/>
      <c r="D93" s="119"/>
      <c r="E93" s="119"/>
      <c r="F93" s="119"/>
      <c r="G93" s="120"/>
      <c r="H93" s="121"/>
      <c r="I93" s="121"/>
      <c r="J93" s="122"/>
      <c r="K93" s="141"/>
      <c r="L93" s="141"/>
      <c r="M93" s="123"/>
      <c r="N93" s="123"/>
    </row>
    <row r="94" spans="1:14" s="112" customFormat="1" x14ac:dyDescent="0.25">
      <c r="A94" s="75" t="s">
        <v>244</v>
      </c>
      <c r="B94" s="118"/>
      <c r="C94" s="75"/>
      <c r="D94" s="119"/>
      <c r="E94" s="119"/>
      <c r="F94" s="119"/>
      <c r="G94" s="120"/>
      <c r="H94" s="121"/>
      <c r="I94" s="121"/>
      <c r="J94" s="122"/>
      <c r="K94" s="141"/>
      <c r="L94" s="141"/>
      <c r="M94" s="123"/>
      <c r="N94" s="123"/>
    </row>
    <row r="95" spans="1:14" s="112" customFormat="1" x14ac:dyDescent="0.25">
      <c r="A95" s="75" t="s">
        <v>245</v>
      </c>
      <c r="B95" s="118"/>
      <c r="C95" s="75"/>
      <c r="D95" s="119"/>
      <c r="E95" s="119"/>
      <c r="F95" s="119"/>
      <c r="G95" s="120"/>
      <c r="H95" s="121"/>
      <c r="I95" s="121"/>
      <c r="J95" s="122"/>
      <c r="K95" s="141"/>
      <c r="L95" s="141"/>
      <c r="M95" s="123"/>
      <c r="N95" s="123"/>
    </row>
  </sheetData>
  <mergeCells count="2">
    <mergeCell ref="A5:J5"/>
    <mergeCell ref="A4:J4"/>
  </mergeCells>
  <phoneticPr fontId="3" type="noConversion"/>
  <conditionalFormatting sqref="B10:E90 I10:J90">
    <cfRule type="expression" dxfId="46" priority="355" stopIfTrue="1">
      <formula>OR(LEFT(#REF!,3)="TIR",LEFT(#REF!,2)="IR")</formula>
    </cfRule>
  </conditionalFormatting>
  <conditionalFormatting sqref="H10:I90 A10:A90">
    <cfRule type="expression" dxfId="45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13" t="s">
        <v>28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5"/>
    </row>
    <row r="5" spans="1:16" s="7" customFormat="1" x14ac:dyDescent="0.25">
      <c r="A5" s="216" t="s">
        <v>34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8"/>
    </row>
    <row r="6" spans="1:16" s="7" customFormat="1" ht="31.5" customHeight="1" x14ac:dyDescent="0.25">
      <c r="A6" s="83" t="s">
        <v>157</v>
      </c>
      <c r="B6" s="197" t="s">
        <v>69</v>
      </c>
      <c r="C6" s="197" t="s">
        <v>27</v>
      </c>
      <c r="D6" s="197" t="s">
        <v>70</v>
      </c>
      <c r="E6" s="197" t="s">
        <v>5</v>
      </c>
      <c r="F6" s="197" t="s">
        <v>13</v>
      </c>
      <c r="G6" s="197" t="s">
        <v>14</v>
      </c>
      <c r="H6" s="197" t="s">
        <v>6</v>
      </c>
      <c r="I6" s="198" t="s">
        <v>66</v>
      </c>
      <c r="J6" s="198" t="s">
        <v>71</v>
      </c>
      <c r="K6" s="198" t="s">
        <v>67</v>
      </c>
      <c r="L6" s="198" t="s">
        <v>68</v>
      </c>
      <c r="M6" s="198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3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4">
        <v>14</v>
      </c>
      <c r="P8" s="22">
        <v>15</v>
      </c>
    </row>
    <row r="9" spans="1:16" s="112" customFormat="1" ht="12.75" customHeight="1" thickBot="1" x14ac:dyDescent="0.3">
      <c r="A9" s="96" t="s">
        <v>57</v>
      </c>
      <c r="B9" s="64" t="s">
        <v>248</v>
      </c>
      <c r="C9" s="64" t="s">
        <v>248</v>
      </c>
      <c r="D9" s="97"/>
      <c r="E9" s="97" t="s">
        <v>248</v>
      </c>
      <c r="F9" s="97" t="s">
        <v>248</v>
      </c>
      <c r="G9" s="97" t="s">
        <v>248</v>
      </c>
      <c r="H9" s="97" t="s">
        <v>248</v>
      </c>
      <c r="I9" s="64" t="s">
        <v>248</v>
      </c>
      <c r="J9" s="64" t="s">
        <v>248</v>
      </c>
      <c r="K9" s="98" t="s">
        <v>248</v>
      </c>
      <c r="L9" s="97" t="s">
        <v>248</v>
      </c>
      <c r="M9" s="99">
        <v>1.2000000000000002E-6</v>
      </c>
      <c r="N9" s="64" t="s">
        <v>248</v>
      </c>
      <c r="O9" s="64">
        <v>0</v>
      </c>
      <c r="P9" s="78">
        <v>0</v>
      </c>
    </row>
    <row r="10" spans="1:16" s="112" customFormat="1" x14ac:dyDescent="0.25">
      <c r="A10" s="88" t="s">
        <v>137</v>
      </c>
      <c r="B10" s="114" t="s">
        <v>248</v>
      </c>
      <c r="C10" s="114" t="s">
        <v>248</v>
      </c>
      <c r="D10" s="115" t="s">
        <v>248</v>
      </c>
      <c r="E10" s="115" t="s">
        <v>248</v>
      </c>
      <c r="F10" s="115" t="s">
        <v>248</v>
      </c>
      <c r="G10" s="115" t="s">
        <v>248</v>
      </c>
      <c r="H10" s="115" t="s">
        <v>248</v>
      </c>
      <c r="I10" s="114" t="s">
        <v>248</v>
      </c>
      <c r="J10" s="114" t="s">
        <v>248</v>
      </c>
      <c r="K10" s="126" t="s">
        <v>248</v>
      </c>
      <c r="L10" s="115" t="s">
        <v>248</v>
      </c>
      <c r="M10" s="116">
        <v>0</v>
      </c>
      <c r="N10" s="114" t="s">
        <v>248</v>
      </c>
      <c r="O10" s="114">
        <v>0</v>
      </c>
      <c r="P10" s="114">
        <v>0</v>
      </c>
    </row>
    <row r="11" spans="1:16" s="112" customFormat="1" x14ac:dyDescent="0.25">
      <c r="A11" s="89" t="s">
        <v>655</v>
      </c>
      <c r="B11" s="130" t="s">
        <v>248</v>
      </c>
      <c r="C11" s="130" t="s">
        <v>248</v>
      </c>
      <c r="D11" s="129" t="s">
        <v>248</v>
      </c>
      <c r="E11" s="129" t="s">
        <v>248</v>
      </c>
      <c r="F11" s="129" t="s">
        <v>248</v>
      </c>
      <c r="G11" s="129" t="s">
        <v>248</v>
      </c>
      <c r="H11" s="129" t="s">
        <v>248</v>
      </c>
      <c r="I11" s="130" t="s">
        <v>248</v>
      </c>
      <c r="J11" s="130" t="s">
        <v>248</v>
      </c>
      <c r="K11" s="128" t="s">
        <v>248</v>
      </c>
      <c r="L11" s="115" t="s">
        <v>248</v>
      </c>
      <c r="M11" s="117">
        <v>0</v>
      </c>
      <c r="N11" s="130"/>
      <c r="O11" s="130">
        <v>0</v>
      </c>
      <c r="P11" s="130">
        <v>0</v>
      </c>
    </row>
    <row r="12" spans="1:16" s="112" customFormat="1" x14ac:dyDescent="0.25">
      <c r="A12" s="89" t="s">
        <v>656</v>
      </c>
      <c r="B12" s="130" t="s">
        <v>248</v>
      </c>
      <c r="C12" s="130" t="s">
        <v>248</v>
      </c>
      <c r="D12" s="129" t="s">
        <v>248</v>
      </c>
      <c r="E12" s="129" t="s">
        <v>248</v>
      </c>
      <c r="F12" s="129" t="s">
        <v>248</v>
      </c>
      <c r="G12" s="129" t="s">
        <v>248</v>
      </c>
      <c r="H12" s="129" t="s">
        <v>248</v>
      </c>
      <c r="I12" s="130" t="s">
        <v>248</v>
      </c>
      <c r="J12" s="130" t="s">
        <v>248</v>
      </c>
      <c r="K12" s="128" t="s">
        <v>248</v>
      </c>
      <c r="L12" s="115" t="s">
        <v>248</v>
      </c>
      <c r="M12" s="117">
        <v>0</v>
      </c>
      <c r="N12" s="130"/>
      <c r="O12" s="130">
        <v>0</v>
      </c>
      <c r="P12" s="130">
        <v>0</v>
      </c>
    </row>
    <row r="13" spans="1:16" s="112" customFormat="1" x14ac:dyDescent="0.25">
      <c r="A13" s="89" t="s">
        <v>657</v>
      </c>
      <c r="B13" s="130" t="s">
        <v>248</v>
      </c>
      <c r="C13" s="130" t="s">
        <v>248</v>
      </c>
      <c r="D13" s="129" t="s">
        <v>248</v>
      </c>
      <c r="E13" s="129" t="s">
        <v>248</v>
      </c>
      <c r="F13" s="129" t="s">
        <v>248</v>
      </c>
      <c r="G13" s="129" t="s">
        <v>248</v>
      </c>
      <c r="H13" s="129" t="s">
        <v>248</v>
      </c>
      <c r="I13" s="130" t="s">
        <v>248</v>
      </c>
      <c r="J13" s="130" t="s">
        <v>248</v>
      </c>
      <c r="K13" s="128" t="s">
        <v>248</v>
      </c>
      <c r="L13" s="115" t="s">
        <v>248</v>
      </c>
      <c r="M13" s="117">
        <v>0</v>
      </c>
      <c r="N13" s="130"/>
      <c r="O13" s="130">
        <v>0</v>
      </c>
      <c r="P13" s="130">
        <v>0</v>
      </c>
    </row>
    <row r="14" spans="1:16" s="112" customFormat="1" x14ac:dyDescent="0.25">
      <c r="A14" s="89" t="s">
        <v>658</v>
      </c>
      <c r="B14" s="130" t="s">
        <v>248</v>
      </c>
      <c r="C14" s="130" t="s">
        <v>248</v>
      </c>
      <c r="D14" s="129" t="s">
        <v>248</v>
      </c>
      <c r="E14" s="129" t="s">
        <v>248</v>
      </c>
      <c r="F14" s="129" t="s">
        <v>248</v>
      </c>
      <c r="G14" s="129" t="s">
        <v>248</v>
      </c>
      <c r="H14" s="129" t="s">
        <v>248</v>
      </c>
      <c r="I14" s="130" t="s">
        <v>248</v>
      </c>
      <c r="J14" s="130" t="s">
        <v>248</v>
      </c>
      <c r="K14" s="128" t="s">
        <v>248</v>
      </c>
      <c r="L14" s="115" t="s">
        <v>248</v>
      </c>
      <c r="M14" s="117">
        <v>0</v>
      </c>
      <c r="N14" s="130"/>
      <c r="O14" s="130">
        <v>0</v>
      </c>
      <c r="P14" s="130">
        <v>0</v>
      </c>
    </row>
    <row r="15" spans="1:16" s="112" customFormat="1" x14ac:dyDescent="0.25">
      <c r="A15" s="89" t="s">
        <v>659</v>
      </c>
      <c r="B15" s="130" t="s">
        <v>248</v>
      </c>
      <c r="C15" s="130" t="s">
        <v>248</v>
      </c>
      <c r="D15" s="129" t="s">
        <v>248</v>
      </c>
      <c r="E15" s="129" t="s">
        <v>248</v>
      </c>
      <c r="F15" s="129" t="s">
        <v>248</v>
      </c>
      <c r="G15" s="129" t="s">
        <v>248</v>
      </c>
      <c r="H15" s="129" t="s">
        <v>248</v>
      </c>
      <c r="I15" s="130" t="s">
        <v>248</v>
      </c>
      <c r="J15" s="130" t="s">
        <v>248</v>
      </c>
      <c r="K15" s="128" t="s">
        <v>248</v>
      </c>
      <c r="L15" s="115" t="s">
        <v>248</v>
      </c>
      <c r="M15" s="117">
        <v>0</v>
      </c>
      <c r="N15" s="130"/>
      <c r="O15" s="130">
        <v>0</v>
      </c>
      <c r="P15" s="130">
        <v>0</v>
      </c>
    </row>
    <row r="16" spans="1:16" s="112" customFormat="1" x14ac:dyDescent="0.25">
      <c r="A16" s="89" t="s">
        <v>660</v>
      </c>
      <c r="B16" s="130" t="s">
        <v>248</v>
      </c>
      <c r="C16" s="130" t="s">
        <v>248</v>
      </c>
      <c r="D16" s="129" t="s">
        <v>248</v>
      </c>
      <c r="E16" s="129" t="s">
        <v>248</v>
      </c>
      <c r="F16" s="129" t="s">
        <v>248</v>
      </c>
      <c r="G16" s="129" t="s">
        <v>248</v>
      </c>
      <c r="H16" s="129" t="s">
        <v>248</v>
      </c>
      <c r="I16" s="130" t="s">
        <v>248</v>
      </c>
      <c r="J16" s="130" t="s">
        <v>248</v>
      </c>
      <c r="K16" s="128" t="s">
        <v>248</v>
      </c>
      <c r="L16" s="115" t="s">
        <v>248</v>
      </c>
      <c r="M16" s="117">
        <v>0</v>
      </c>
      <c r="N16" s="130"/>
      <c r="O16" s="130">
        <v>0</v>
      </c>
      <c r="P16" s="130">
        <v>0</v>
      </c>
    </row>
    <row r="17" spans="1:16" s="112" customFormat="1" x14ac:dyDescent="0.25">
      <c r="A17" s="89" t="s">
        <v>661</v>
      </c>
      <c r="B17" s="130" t="s">
        <v>248</v>
      </c>
      <c r="C17" s="130" t="s">
        <v>248</v>
      </c>
      <c r="D17" s="129" t="s">
        <v>248</v>
      </c>
      <c r="E17" s="129" t="s">
        <v>248</v>
      </c>
      <c r="F17" s="129" t="s">
        <v>248</v>
      </c>
      <c r="G17" s="129" t="s">
        <v>248</v>
      </c>
      <c r="H17" s="129" t="s">
        <v>248</v>
      </c>
      <c r="I17" s="130" t="s">
        <v>248</v>
      </c>
      <c r="J17" s="130" t="s">
        <v>248</v>
      </c>
      <c r="K17" s="128" t="s">
        <v>248</v>
      </c>
      <c r="L17" s="115" t="s">
        <v>248</v>
      </c>
      <c r="M17" s="117">
        <v>0</v>
      </c>
      <c r="N17" s="130"/>
      <c r="O17" s="130">
        <v>0</v>
      </c>
      <c r="P17" s="130">
        <v>0</v>
      </c>
    </row>
    <row r="18" spans="1:16" s="112" customFormat="1" x14ac:dyDescent="0.25">
      <c r="A18" s="89" t="s">
        <v>415</v>
      </c>
      <c r="B18" s="130" t="s">
        <v>248</v>
      </c>
      <c r="C18" s="130" t="s">
        <v>248</v>
      </c>
      <c r="D18" s="129" t="s">
        <v>248</v>
      </c>
      <c r="E18" s="129" t="s">
        <v>248</v>
      </c>
      <c r="F18" s="129" t="s">
        <v>248</v>
      </c>
      <c r="G18" s="129" t="s">
        <v>248</v>
      </c>
      <c r="H18" s="129" t="s">
        <v>248</v>
      </c>
      <c r="I18" s="130" t="s">
        <v>248</v>
      </c>
      <c r="J18" s="130" t="s">
        <v>248</v>
      </c>
      <c r="K18" s="128" t="s">
        <v>248</v>
      </c>
      <c r="L18" s="115" t="s">
        <v>248</v>
      </c>
      <c r="M18" s="117">
        <v>0</v>
      </c>
      <c r="N18" s="130"/>
      <c r="O18" s="130">
        <v>0</v>
      </c>
      <c r="P18" s="130">
        <v>0</v>
      </c>
    </row>
    <row r="19" spans="1:16" s="112" customFormat="1" x14ac:dyDescent="0.25">
      <c r="A19" s="89" t="s">
        <v>655</v>
      </c>
      <c r="B19" s="130" t="s">
        <v>248</v>
      </c>
      <c r="C19" s="130" t="s">
        <v>248</v>
      </c>
      <c r="D19" s="129" t="s">
        <v>248</v>
      </c>
      <c r="E19" s="129" t="s">
        <v>248</v>
      </c>
      <c r="F19" s="129" t="s">
        <v>248</v>
      </c>
      <c r="G19" s="129" t="s">
        <v>248</v>
      </c>
      <c r="H19" s="129" t="s">
        <v>248</v>
      </c>
      <c r="I19" s="130" t="s">
        <v>248</v>
      </c>
      <c r="J19" s="130" t="s">
        <v>248</v>
      </c>
      <c r="K19" s="128" t="s">
        <v>248</v>
      </c>
      <c r="L19" s="115" t="s">
        <v>248</v>
      </c>
      <c r="M19" s="117">
        <v>0</v>
      </c>
      <c r="N19" s="130"/>
      <c r="O19" s="130">
        <v>0</v>
      </c>
      <c r="P19" s="130">
        <v>0</v>
      </c>
    </row>
    <row r="20" spans="1:16" s="112" customFormat="1" x14ac:dyDescent="0.25">
      <c r="A20" s="89" t="s">
        <v>656</v>
      </c>
      <c r="B20" s="130" t="s">
        <v>248</v>
      </c>
      <c r="C20" s="130" t="s">
        <v>248</v>
      </c>
      <c r="D20" s="129" t="s">
        <v>248</v>
      </c>
      <c r="E20" s="129" t="s">
        <v>248</v>
      </c>
      <c r="F20" s="129" t="s">
        <v>248</v>
      </c>
      <c r="G20" s="129" t="s">
        <v>248</v>
      </c>
      <c r="H20" s="129" t="s">
        <v>248</v>
      </c>
      <c r="I20" s="130" t="s">
        <v>248</v>
      </c>
      <c r="J20" s="130" t="s">
        <v>248</v>
      </c>
      <c r="K20" s="128" t="s">
        <v>248</v>
      </c>
      <c r="L20" s="115" t="s">
        <v>248</v>
      </c>
      <c r="M20" s="117">
        <v>0</v>
      </c>
      <c r="N20" s="130"/>
      <c r="O20" s="130">
        <v>0</v>
      </c>
      <c r="P20" s="130">
        <v>0</v>
      </c>
    </row>
    <row r="21" spans="1:16" s="112" customFormat="1" x14ac:dyDescent="0.25">
      <c r="A21" s="89" t="s">
        <v>657</v>
      </c>
      <c r="B21" s="130" t="s">
        <v>248</v>
      </c>
      <c r="C21" s="130" t="s">
        <v>248</v>
      </c>
      <c r="D21" s="129" t="s">
        <v>248</v>
      </c>
      <c r="E21" s="129" t="s">
        <v>248</v>
      </c>
      <c r="F21" s="129" t="s">
        <v>248</v>
      </c>
      <c r="G21" s="129" t="s">
        <v>248</v>
      </c>
      <c r="H21" s="129" t="s">
        <v>248</v>
      </c>
      <c r="I21" s="130" t="s">
        <v>248</v>
      </c>
      <c r="J21" s="130" t="s">
        <v>248</v>
      </c>
      <c r="K21" s="128" t="s">
        <v>248</v>
      </c>
      <c r="L21" s="115" t="s">
        <v>248</v>
      </c>
      <c r="M21" s="117">
        <v>0</v>
      </c>
      <c r="N21" s="130"/>
      <c r="O21" s="130">
        <v>0</v>
      </c>
      <c r="P21" s="130">
        <v>0</v>
      </c>
    </row>
    <row r="22" spans="1:16" s="112" customFormat="1" x14ac:dyDescent="0.25">
      <c r="A22" s="89" t="s">
        <v>658</v>
      </c>
      <c r="B22" s="130" t="s">
        <v>248</v>
      </c>
      <c r="C22" s="130" t="s">
        <v>248</v>
      </c>
      <c r="D22" s="129" t="s">
        <v>248</v>
      </c>
      <c r="E22" s="129" t="s">
        <v>248</v>
      </c>
      <c r="F22" s="129" t="s">
        <v>248</v>
      </c>
      <c r="G22" s="129" t="s">
        <v>248</v>
      </c>
      <c r="H22" s="129" t="s">
        <v>248</v>
      </c>
      <c r="I22" s="130" t="s">
        <v>248</v>
      </c>
      <c r="J22" s="130" t="s">
        <v>248</v>
      </c>
      <c r="K22" s="128" t="s">
        <v>248</v>
      </c>
      <c r="L22" s="115" t="s">
        <v>248</v>
      </c>
      <c r="M22" s="117">
        <v>0</v>
      </c>
      <c r="N22" s="130"/>
      <c r="O22" s="130">
        <v>0</v>
      </c>
      <c r="P22" s="130">
        <v>0</v>
      </c>
    </row>
    <row r="23" spans="1:16" s="112" customFormat="1" x14ac:dyDescent="0.25">
      <c r="A23" s="89" t="s">
        <v>659</v>
      </c>
      <c r="B23" s="130" t="s">
        <v>248</v>
      </c>
      <c r="C23" s="130" t="s">
        <v>248</v>
      </c>
      <c r="D23" s="129" t="s">
        <v>248</v>
      </c>
      <c r="E23" s="129" t="s">
        <v>248</v>
      </c>
      <c r="F23" s="129" t="s">
        <v>248</v>
      </c>
      <c r="G23" s="129" t="s">
        <v>248</v>
      </c>
      <c r="H23" s="129" t="s">
        <v>248</v>
      </c>
      <c r="I23" s="130" t="s">
        <v>248</v>
      </c>
      <c r="J23" s="130" t="s">
        <v>248</v>
      </c>
      <c r="K23" s="128" t="s">
        <v>248</v>
      </c>
      <c r="L23" s="115" t="s">
        <v>248</v>
      </c>
      <c r="M23" s="117">
        <v>0</v>
      </c>
      <c r="N23" s="130"/>
      <c r="O23" s="130">
        <v>0</v>
      </c>
      <c r="P23" s="130">
        <v>0</v>
      </c>
    </row>
    <row r="24" spans="1:16" s="112" customFormat="1" x14ac:dyDescent="0.25">
      <c r="A24" s="89" t="s">
        <v>660</v>
      </c>
      <c r="B24" s="130" t="s">
        <v>248</v>
      </c>
      <c r="C24" s="130" t="s">
        <v>248</v>
      </c>
      <c r="D24" s="129" t="s">
        <v>248</v>
      </c>
      <c r="E24" s="129" t="s">
        <v>248</v>
      </c>
      <c r="F24" s="129" t="s">
        <v>248</v>
      </c>
      <c r="G24" s="129" t="s">
        <v>248</v>
      </c>
      <c r="H24" s="129" t="s">
        <v>248</v>
      </c>
      <c r="I24" s="130" t="s">
        <v>248</v>
      </c>
      <c r="J24" s="130" t="s">
        <v>248</v>
      </c>
      <c r="K24" s="128" t="s">
        <v>248</v>
      </c>
      <c r="L24" s="115" t="s">
        <v>248</v>
      </c>
      <c r="M24" s="117">
        <v>0</v>
      </c>
      <c r="N24" s="130"/>
      <c r="O24" s="130">
        <v>0</v>
      </c>
      <c r="P24" s="130">
        <v>0</v>
      </c>
    </row>
    <row r="25" spans="1:16" s="112" customFormat="1" x14ac:dyDescent="0.25">
      <c r="A25" s="89" t="s">
        <v>661</v>
      </c>
      <c r="B25" s="130" t="s">
        <v>248</v>
      </c>
      <c r="C25" s="130" t="s">
        <v>248</v>
      </c>
      <c r="D25" s="129" t="s">
        <v>248</v>
      </c>
      <c r="E25" s="129" t="s">
        <v>248</v>
      </c>
      <c r="F25" s="129" t="s">
        <v>248</v>
      </c>
      <c r="G25" s="129" t="s">
        <v>248</v>
      </c>
      <c r="H25" s="129" t="s">
        <v>248</v>
      </c>
      <c r="I25" s="130" t="s">
        <v>248</v>
      </c>
      <c r="J25" s="130" t="s">
        <v>248</v>
      </c>
      <c r="K25" s="128" t="s">
        <v>248</v>
      </c>
      <c r="L25" s="115" t="s">
        <v>248</v>
      </c>
      <c r="M25" s="117">
        <v>0</v>
      </c>
      <c r="N25" s="130"/>
      <c r="O25" s="130">
        <v>0</v>
      </c>
      <c r="P25" s="130">
        <v>0</v>
      </c>
    </row>
    <row r="26" spans="1:16" s="112" customFormat="1" x14ac:dyDescent="0.25">
      <c r="A26" s="75" t="s">
        <v>241</v>
      </c>
      <c r="B26" s="118"/>
      <c r="C26" s="75"/>
      <c r="D26" s="119"/>
      <c r="E26" s="119"/>
      <c r="F26" s="119"/>
      <c r="G26" s="120"/>
      <c r="H26" s="121"/>
      <c r="I26" s="122"/>
      <c r="J26" s="122"/>
      <c r="K26" s="122"/>
      <c r="L26" s="121"/>
      <c r="M26" s="121"/>
      <c r="N26" s="131"/>
      <c r="O26" s="131"/>
      <c r="P26" s="131"/>
    </row>
    <row r="27" spans="1:16" s="112" customFormat="1" x14ac:dyDescent="0.25">
      <c r="A27" s="75" t="s">
        <v>242</v>
      </c>
      <c r="B27" s="118"/>
      <c r="C27" s="75"/>
      <c r="D27" s="119"/>
      <c r="E27" s="119"/>
      <c r="F27" s="119"/>
      <c r="G27" s="120"/>
      <c r="H27" s="121"/>
      <c r="I27" s="122"/>
      <c r="J27" s="122"/>
      <c r="K27" s="122"/>
      <c r="L27" s="121"/>
      <c r="M27" s="121"/>
      <c r="N27" s="131"/>
      <c r="O27" s="131"/>
      <c r="P27" s="131"/>
    </row>
    <row r="28" spans="1:16" s="112" customFormat="1" x14ac:dyDescent="0.25">
      <c r="A28" s="75" t="s">
        <v>243</v>
      </c>
      <c r="B28" s="118"/>
      <c r="C28" s="75"/>
      <c r="D28" s="119"/>
      <c r="E28" s="119"/>
      <c r="F28" s="119"/>
      <c r="G28" s="120"/>
      <c r="H28" s="121"/>
      <c r="I28" s="122"/>
      <c r="J28" s="122"/>
      <c r="K28" s="122"/>
      <c r="L28" s="121"/>
      <c r="M28" s="121"/>
      <c r="N28" s="131"/>
      <c r="O28" s="131"/>
      <c r="P28" s="131"/>
    </row>
    <row r="29" spans="1:16" s="112" customFormat="1" x14ac:dyDescent="0.25">
      <c r="A29" s="75" t="s">
        <v>244</v>
      </c>
      <c r="B29" s="118"/>
      <c r="C29" s="75"/>
      <c r="D29" s="119"/>
      <c r="E29" s="119"/>
      <c r="F29" s="119"/>
      <c r="G29" s="120"/>
      <c r="H29" s="121"/>
      <c r="I29" s="122"/>
      <c r="J29" s="122"/>
      <c r="K29" s="122"/>
      <c r="L29" s="121"/>
      <c r="M29" s="121"/>
      <c r="N29" s="131"/>
      <c r="O29" s="131"/>
      <c r="P29" s="131"/>
    </row>
    <row r="30" spans="1:16" s="112" customFormat="1" x14ac:dyDescent="0.25">
      <c r="A30" s="75" t="s">
        <v>245</v>
      </c>
      <c r="B30" s="118"/>
      <c r="C30" s="75"/>
      <c r="D30" s="119"/>
      <c r="E30" s="119"/>
      <c r="F30" s="119"/>
      <c r="G30" s="120"/>
      <c r="H30" s="121"/>
      <c r="I30" s="122"/>
      <c r="J30" s="122"/>
      <c r="K30" s="122"/>
      <c r="L30" s="121"/>
      <c r="M30" s="121"/>
      <c r="N30" s="131"/>
      <c r="O30" s="131"/>
      <c r="P30" s="131"/>
    </row>
  </sheetData>
  <mergeCells count="2">
    <mergeCell ref="A5:P5"/>
    <mergeCell ref="A4:P4"/>
  </mergeCells>
  <phoneticPr fontId="3" type="noConversion"/>
  <conditionalFormatting sqref="A10:A25 M10:M25">
    <cfRule type="expression" dxfId="44" priority="365" stopIfTrue="1">
      <formula>#REF!&gt;0</formula>
    </cfRule>
  </conditionalFormatting>
  <conditionalFormatting sqref="B10:F25 H10:H25 O10:P25">
    <cfRule type="expression" dxfId="43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5"/>
  <sheetViews>
    <sheetView rightToLeft="1" tabSelected="1" topLeftCell="A5" zoomScale="80" zoomScaleNormal="80" workbookViewId="0">
      <selection activeCell="B12" sqref="B12:B17"/>
    </sheetView>
  </sheetViews>
  <sheetFormatPr defaultColWidth="9.109375" defaultRowHeight="13.2" x14ac:dyDescent="0.25"/>
  <cols>
    <col min="1" max="1" width="38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7" customWidth="1"/>
    <col min="7" max="7" width="11.109375" style="57" customWidth="1"/>
    <col min="8" max="8" width="7.88671875" style="57" customWidth="1"/>
    <col min="9" max="9" width="10.88671875" style="57" customWidth="1"/>
    <col min="10" max="10" width="11.33203125" style="57" customWidth="1"/>
    <col min="11" max="11" width="18.33203125" style="36" customWidth="1"/>
    <col min="12" max="12" width="14.109375" style="59" customWidth="1"/>
    <col min="13" max="13" width="13" style="61" bestFit="1" customWidth="1"/>
    <col min="14" max="14" width="7.109375" style="61" bestFit="1" customWidth="1"/>
    <col min="15" max="15" width="10.44140625" style="61" customWidth="1"/>
    <col min="16" max="16" width="25.44140625" style="61" customWidth="1"/>
    <col min="17" max="17" width="20.6640625" style="59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2"/>
      <c r="F1" s="57"/>
      <c r="G1" s="57"/>
      <c r="H1" s="57"/>
      <c r="I1" s="57"/>
      <c r="J1" s="57"/>
      <c r="K1" s="36"/>
      <c r="L1" s="59"/>
      <c r="M1" s="60"/>
      <c r="N1" s="60"/>
      <c r="O1" s="60"/>
      <c r="P1" s="60"/>
      <c r="Q1" s="59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2"/>
      <c r="F2" s="57"/>
      <c r="G2" s="57"/>
      <c r="H2" s="57"/>
      <c r="I2" s="57"/>
      <c r="J2" s="57"/>
      <c r="K2" s="36"/>
      <c r="L2" s="59"/>
      <c r="M2" s="60"/>
      <c r="N2" s="60"/>
      <c r="O2" s="60"/>
      <c r="P2" s="60"/>
      <c r="Q2" s="59"/>
      <c r="R2" s="12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42"/>
      <c r="F3" s="57"/>
      <c r="G3" s="57"/>
      <c r="H3" s="57"/>
      <c r="I3" s="57"/>
      <c r="J3" s="57"/>
      <c r="K3" s="36"/>
      <c r="L3" s="59"/>
      <c r="M3" s="60"/>
      <c r="N3" s="60"/>
      <c r="O3" s="60"/>
      <c r="P3" s="60"/>
      <c r="Q3" s="59"/>
      <c r="R3" s="12"/>
      <c r="S3" s="14"/>
    </row>
    <row r="4" spans="1:20" s="7" customFormat="1" x14ac:dyDescent="0.25">
      <c r="A4" s="213" t="s">
        <v>35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5"/>
      <c r="R4" s="12"/>
      <c r="S4" s="12"/>
      <c r="T4" s="12"/>
    </row>
    <row r="5" spans="1:20" s="7" customFormat="1" ht="33.75" customHeight="1" x14ac:dyDescent="0.25">
      <c r="A5" s="83" t="s">
        <v>157</v>
      </c>
      <c r="B5" s="197" t="s">
        <v>80</v>
      </c>
      <c r="C5" s="197" t="s">
        <v>69</v>
      </c>
      <c r="D5" s="197" t="s">
        <v>74</v>
      </c>
      <c r="E5" s="197" t="s">
        <v>70</v>
      </c>
      <c r="F5" s="197" t="s">
        <v>13</v>
      </c>
      <c r="G5" s="197" t="s">
        <v>5</v>
      </c>
      <c r="H5" s="197" t="s">
        <v>14</v>
      </c>
      <c r="I5" s="197" t="s">
        <v>160</v>
      </c>
      <c r="J5" s="197" t="s">
        <v>6</v>
      </c>
      <c r="K5" s="198" t="s">
        <v>36</v>
      </c>
      <c r="L5" s="198" t="s">
        <v>71</v>
      </c>
      <c r="M5" s="198" t="s">
        <v>67</v>
      </c>
      <c r="N5" s="198" t="s">
        <v>68</v>
      </c>
      <c r="O5" s="198" t="s">
        <v>29</v>
      </c>
      <c r="P5" s="86" t="s">
        <v>75</v>
      </c>
      <c r="Q5" s="87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4">
        <v>15</v>
      </c>
      <c r="Q7" s="35">
        <v>16</v>
      </c>
    </row>
    <row r="8" spans="1:20" s="112" customFormat="1" ht="12.75" customHeight="1" thickBot="1" x14ac:dyDescent="0.3">
      <c r="A8" s="96" t="s">
        <v>121</v>
      </c>
      <c r="B8" s="64" t="s">
        <v>248</v>
      </c>
      <c r="C8" s="64" t="s">
        <v>248</v>
      </c>
      <c r="D8" s="64"/>
      <c r="E8" s="97" t="s">
        <v>248</v>
      </c>
      <c r="F8" s="97"/>
      <c r="G8" s="97" t="s">
        <v>248</v>
      </c>
      <c r="H8" s="98" t="s">
        <v>248</v>
      </c>
      <c r="I8" s="98"/>
      <c r="J8" s="97" t="s">
        <v>248</v>
      </c>
      <c r="K8" s="64" t="s">
        <v>248</v>
      </c>
      <c r="L8" s="64" t="s">
        <v>248</v>
      </c>
      <c r="M8" s="106" t="s">
        <v>248</v>
      </c>
      <c r="N8" s="97" t="s">
        <v>248</v>
      </c>
      <c r="O8" s="99">
        <v>2311.8335112999998</v>
      </c>
      <c r="P8" s="64">
        <v>1</v>
      </c>
      <c r="Q8" s="78">
        <v>2.2293234866013721E-2</v>
      </c>
    </row>
    <row r="9" spans="1:20" s="112" customFormat="1" x14ac:dyDescent="0.25">
      <c r="A9" s="88" t="s">
        <v>137</v>
      </c>
      <c r="B9" s="124" t="s">
        <v>248</v>
      </c>
      <c r="C9" s="124" t="s">
        <v>248</v>
      </c>
      <c r="D9" s="124" t="s">
        <v>248</v>
      </c>
      <c r="E9" s="124" t="s">
        <v>248</v>
      </c>
      <c r="F9" s="124" t="s">
        <v>248</v>
      </c>
      <c r="G9" s="124" t="s">
        <v>248</v>
      </c>
      <c r="H9" s="125" t="s">
        <v>248</v>
      </c>
      <c r="I9" s="124" t="s">
        <v>248</v>
      </c>
      <c r="J9" s="125" t="s">
        <v>248</v>
      </c>
      <c r="K9" s="124" t="s">
        <v>248</v>
      </c>
      <c r="L9" s="124" t="s">
        <v>248</v>
      </c>
      <c r="M9" s="152" t="s">
        <v>248</v>
      </c>
      <c r="N9" s="115" t="s">
        <v>248</v>
      </c>
      <c r="O9" s="116">
        <v>2311.8335108999995</v>
      </c>
      <c r="P9" s="114">
        <v>0.99999999982697707</v>
      </c>
      <c r="Q9" s="114">
        <v>2.229323486215648E-2</v>
      </c>
    </row>
    <row r="10" spans="1:20" s="112" customFormat="1" x14ac:dyDescent="0.25">
      <c r="A10" s="89" t="s">
        <v>806</v>
      </c>
      <c r="B10" s="124" t="s">
        <v>248</v>
      </c>
      <c r="C10" s="124" t="s">
        <v>248</v>
      </c>
      <c r="D10" s="124" t="s">
        <v>248</v>
      </c>
      <c r="E10" s="124" t="s">
        <v>248</v>
      </c>
      <c r="F10" s="124" t="s">
        <v>248</v>
      </c>
      <c r="G10" s="124" t="s">
        <v>248</v>
      </c>
      <c r="H10" s="125" t="s">
        <v>248</v>
      </c>
      <c r="I10" s="124" t="s">
        <v>248</v>
      </c>
      <c r="J10" s="125" t="s">
        <v>248</v>
      </c>
      <c r="K10" s="124" t="s">
        <v>248</v>
      </c>
      <c r="L10" s="124" t="s">
        <v>248</v>
      </c>
      <c r="M10" s="153" t="s">
        <v>248</v>
      </c>
      <c r="N10" s="129" t="s">
        <v>248</v>
      </c>
      <c r="O10" s="117">
        <v>2311.8335100999998</v>
      </c>
      <c r="P10" s="130">
        <v>0.99999999948093132</v>
      </c>
      <c r="Q10" s="130">
        <v>2.2293234854442005E-2</v>
      </c>
    </row>
    <row r="11" spans="1:20" s="112" customFormat="1" x14ac:dyDescent="0.25">
      <c r="A11" s="169" t="s">
        <v>860</v>
      </c>
      <c r="B11" s="110" t="s">
        <v>867</v>
      </c>
      <c r="C11" s="167">
        <v>42628</v>
      </c>
      <c r="D11" s="167"/>
      <c r="E11" s="110" t="s">
        <v>620</v>
      </c>
      <c r="F11" s="124"/>
      <c r="G11" s="124" t="s">
        <v>620</v>
      </c>
      <c r="H11" s="111">
        <v>0.4</v>
      </c>
      <c r="I11" s="110" t="s">
        <v>218</v>
      </c>
      <c r="J11" s="111" t="s">
        <v>254</v>
      </c>
      <c r="K11" s="110">
        <v>5.7500000000000002E-2</v>
      </c>
      <c r="L11" s="110">
        <v>5.7500000000000002E-2</v>
      </c>
      <c r="M11" s="168">
        <f>O11/N11*100*1000</f>
        <v>159434.15529353623</v>
      </c>
      <c r="N11" s="58">
        <v>111.455315</v>
      </c>
      <c r="O11" s="81">
        <v>177.69783999999999</v>
      </c>
      <c r="P11" s="24">
        <f>O11/$O$8</f>
        <v>7.6864462398105904E-2</v>
      </c>
      <c r="Q11" s="24">
        <v>1.7135575130908553E-3</v>
      </c>
    </row>
    <row r="12" spans="1:20" s="112" customFormat="1" x14ac:dyDescent="0.25">
      <c r="A12" s="169" t="s">
        <v>861</v>
      </c>
      <c r="B12" s="110" t="s">
        <v>867</v>
      </c>
      <c r="C12" s="167">
        <v>43829</v>
      </c>
      <c r="D12" s="167"/>
      <c r="E12" s="110" t="s">
        <v>620</v>
      </c>
      <c r="F12" s="124"/>
      <c r="G12" s="124" t="s">
        <v>620</v>
      </c>
      <c r="H12" s="111">
        <v>4</v>
      </c>
      <c r="I12" s="110" t="s">
        <v>218</v>
      </c>
      <c r="J12" s="111" t="s">
        <v>254</v>
      </c>
      <c r="K12" s="110">
        <v>5.7500000000000002E-2</v>
      </c>
      <c r="L12" s="110">
        <v>5.7500000000000002E-2</v>
      </c>
      <c r="M12" s="168">
        <f t="shared" ref="M12:M16" si="0">O12/N12*100*1000</f>
        <v>145153.29304842933</v>
      </c>
      <c r="N12" s="58">
        <v>111.455315</v>
      </c>
      <c r="O12" s="81">
        <v>161.78106</v>
      </c>
      <c r="P12" s="24">
        <f t="shared" ref="P12:P16" si="1">O12/$O$8</f>
        <v>6.9979546195360148E-2</v>
      </c>
      <c r="Q12" s="24">
        <v>1.5600704591502209E-3</v>
      </c>
    </row>
    <row r="13" spans="1:20" s="112" customFormat="1" x14ac:dyDescent="0.25">
      <c r="A13" s="169" t="s">
        <v>862</v>
      </c>
      <c r="B13" s="110" t="s">
        <v>867</v>
      </c>
      <c r="C13" s="167">
        <v>44443</v>
      </c>
      <c r="D13" s="167"/>
      <c r="E13" s="110" t="s">
        <v>620</v>
      </c>
      <c r="F13" s="124"/>
      <c r="G13" s="124" t="s">
        <v>620</v>
      </c>
      <c r="H13" s="111">
        <v>2.2000000000000002</v>
      </c>
      <c r="I13" s="110" t="s">
        <v>218</v>
      </c>
      <c r="J13" s="111" t="s">
        <v>254</v>
      </c>
      <c r="K13" s="110">
        <v>5.7500000000000002E-2</v>
      </c>
      <c r="L13" s="110">
        <v>5.7500000000000002E-2</v>
      </c>
      <c r="M13" s="168">
        <f t="shared" si="0"/>
        <v>185726.91665713739</v>
      </c>
      <c r="N13" s="58">
        <v>111.455315</v>
      </c>
      <c r="O13" s="81">
        <v>207.00251999999998</v>
      </c>
      <c r="P13" s="24">
        <f t="shared" si="1"/>
        <v>8.9540409803817347E-2</v>
      </c>
      <c r="Q13" s="24">
        <v>1.9961453857556175E-3</v>
      </c>
    </row>
    <row r="14" spans="1:20" s="112" customFormat="1" x14ac:dyDescent="0.25">
      <c r="A14" s="169" t="s">
        <v>863</v>
      </c>
      <c r="B14" s="110" t="s">
        <v>867</v>
      </c>
      <c r="C14" s="167">
        <v>53385</v>
      </c>
      <c r="D14" s="167"/>
      <c r="E14" s="110" t="s">
        <v>620</v>
      </c>
      <c r="F14" s="124"/>
      <c r="G14" s="124" t="s">
        <v>620</v>
      </c>
      <c r="H14" s="111">
        <v>4.5</v>
      </c>
      <c r="I14" s="110" t="s">
        <v>218</v>
      </c>
      <c r="J14" s="111" t="s">
        <v>254</v>
      </c>
      <c r="K14" s="110">
        <v>5.7500000000000002E-2</v>
      </c>
      <c r="L14" s="110">
        <v>5.7500000000000002E-2</v>
      </c>
      <c r="M14" s="168">
        <f t="shared" si="0"/>
        <v>612106.1969992189</v>
      </c>
      <c r="N14" s="58">
        <v>111.455315</v>
      </c>
      <c r="O14" s="81">
        <v>682.22488999999996</v>
      </c>
      <c r="P14" s="24">
        <f t="shared" si="1"/>
        <v>0.29510122016371693</v>
      </c>
      <c r="Q14" s="24">
        <v>6.578760810356965E-3</v>
      </c>
    </row>
    <row r="15" spans="1:20" s="112" customFormat="1" x14ac:dyDescent="0.25">
      <c r="A15" s="169" t="s">
        <v>864</v>
      </c>
      <c r="B15" s="110" t="s">
        <v>867</v>
      </c>
      <c r="C15" s="167">
        <v>56942</v>
      </c>
      <c r="D15" s="167"/>
      <c r="E15" s="110" t="s">
        <v>620</v>
      </c>
      <c r="F15" s="124"/>
      <c r="G15" s="124" t="s">
        <v>620</v>
      </c>
      <c r="H15" s="111">
        <v>4.7</v>
      </c>
      <c r="I15" s="110" t="s">
        <v>218</v>
      </c>
      <c r="J15" s="111" t="s">
        <v>254</v>
      </c>
      <c r="K15" s="110">
        <v>5.7500000000000002E-2</v>
      </c>
      <c r="L15" s="110">
        <v>5.7500000000000002E-2</v>
      </c>
      <c r="M15" s="168">
        <f t="shared" si="0"/>
        <v>265325.8662451405</v>
      </c>
      <c r="N15" s="58">
        <v>111.455315</v>
      </c>
      <c r="O15" s="81">
        <v>295.71978000000001</v>
      </c>
      <c r="P15" s="24">
        <f t="shared" si="1"/>
        <v>0.1279156905350462</v>
      </c>
      <c r="Q15" s="24">
        <v>2.8516545321461135E-3</v>
      </c>
    </row>
    <row r="16" spans="1:20" x14ac:dyDescent="0.25">
      <c r="A16" s="16" t="s">
        <v>865</v>
      </c>
      <c r="B16" s="110" t="s">
        <v>867</v>
      </c>
      <c r="C16" s="110" t="s">
        <v>807</v>
      </c>
      <c r="D16" s="110"/>
      <c r="E16" s="110" t="s">
        <v>620</v>
      </c>
      <c r="F16" s="110" t="s">
        <v>248</v>
      </c>
      <c r="G16" s="110" t="s">
        <v>620</v>
      </c>
      <c r="H16" s="111">
        <v>2.59</v>
      </c>
      <c r="I16" s="110" t="s">
        <v>218</v>
      </c>
      <c r="J16" s="111" t="s">
        <v>254</v>
      </c>
      <c r="K16" s="110">
        <v>5.8000000000000003E-2</v>
      </c>
      <c r="L16" s="110">
        <v>5.8000000000000003E-2</v>
      </c>
      <c r="M16" s="168">
        <f t="shared" si="0"/>
        <v>706478.12542631978</v>
      </c>
      <c r="N16" s="58">
        <v>111.455315</v>
      </c>
      <c r="O16" s="81">
        <v>787.40742009999985</v>
      </c>
      <c r="P16" s="24">
        <f t="shared" si="1"/>
        <v>0.34059867038488495</v>
      </c>
      <c r="Q16" s="24">
        <v>7.5930461539422331E-3</v>
      </c>
      <c r="R16" s="14"/>
    </row>
    <row r="17" spans="1:18" s="112" customFormat="1" x14ac:dyDescent="0.25">
      <c r="A17" s="89" t="s">
        <v>808</v>
      </c>
      <c r="B17" s="124" t="s">
        <v>248</v>
      </c>
      <c r="C17" s="124" t="s">
        <v>248</v>
      </c>
      <c r="D17" s="124"/>
      <c r="E17" s="124" t="s">
        <v>248</v>
      </c>
      <c r="F17" s="124" t="s">
        <v>248</v>
      </c>
      <c r="G17" s="124" t="s">
        <v>248</v>
      </c>
      <c r="H17" s="125" t="s">
        <v>248</v>
      </c>
      <c r="I17" s="124" t="s">
        <v>248</v>
      </c>
      <c r="J17" s="125" t="s">
        <v>248</v>
      </c>
      <c r="K17" s="124" t="s">
        <v>248</v>
      </c>
      <c r="L17" s="124" t="s">
        <v>248</v>
      </c>
      <c r="M17" s="153" t="s">
        <v>248</v>
      </c>
      <c r="N17" s="129" t="s">
        <v>248</v>
      </c>
      <c r="O17" s="117">
        <v>0</v>
      </c>
      <c r="P17" s="130">
        <v>0</v>
      </c>
      <c r="Q17" s="130">
        <v>0</v>
      </c>
    </row>
    <row r="18" spans="1:18" s="112" customFormat="1" x14ac:dyDescent="0.25">
      <c r="A18" s="89" t="s">
        <v>809</v>
      </c>
      <c r="B18" s="124" t="s">
        <v>248</v>
      </c>
      <c r="C18" s="124" t="s">
        <v>248</v>
      </c>
      <c r="D18" s="124"/>
      <c r="E18" s="124" t="s">
        <v>248</v>
      </c>
      <c r="F18" s="124" t="s">
        <v>248</v>
      </c>
      <c r="G18" s="124" t="s">
        <v>248</v>
      </c>
      <c r="H18" s="125" t="s">
        <v>248</v>
      </c>
      <c r="I18" s="124" t="s">
        <v>248</v>
      </c>
      <c r="J18" s="125" t="s">
        <v>248</v>
      </c>
      <c r="K18" s="124" t="s">
        <v>248</v>
      </c>
      <c r="L18" s="124" t="s">
        <v>248</v>
      </c>
      <c r="M18" s="153" t="s">
        <v>248</v>
      </c>
      <c r="N18" s="129" t="s">
        <v>248</v>
      </c>
      <c r="O18" s="117">
        <v>0</v>
      </c>
      <c r="P18" s="130">
        <v>0</v>
      </c>
      <c r="Q18" s="130">
        <v>0</v>
      </c>
    </row>
    <row r="19" spans="1:18" s="112" customFormat="1" x14ac:dyDescent="0.25">
      <c r="A19" s="89" t="s">
        <v>810</v>
      </c>
      <c r="B19" s="124" t="s">
        <v>248</v>
      </c>
      <c r="C19" s="124" t="s">
        <v>248</v>
      </c>
      <c r="D19" s="124"/>
      <c r="E19" s="124" t="s">
        <v>248</v>
      </c>
      <c r="F19" s="124" t="s">
        <v>248</v>
      </c>
      <c r="G19" s="124" t="s">
        <v>248</v>
      </c>
      <c r="H19" s="125" t="s">
        <v>248</v>
      </c>
      <c r="I19" s="124" t="s">
        <v>248</v>
      </c>
      <c r="J19" s="125" t="s">
        <v>248</v>
      </c>
      <c r="K19" s="124" t="s">
        <v>248</v>
      </c>
      <c r="L19" s="124" t="s">
        <v>248</v>
      </c>
      <c r="M19" s="153" t="s">
        <v>248</v>
      </c>
      <c r="N19" s="129" t="s">
        <v>248</v>
      </c>
      <c r="O19" s="117">
        <v>0</v>
      </c>
      <c r="P19" s="130">
        <v>0</v>
      </c>
      <c r="Q19" s="130">
        <v>0</v>
      </c>
    </row>
    <row r="20" spans="1:18" s="112" customFormat="1" x14ac:dyDescent="0.25">
      <c r="A20" s="89" t="s">
        <v>811</v>
      </c>
      <c r="B20" s="124" t="s">
        <v>248</v>
      </c>
      <c r="C20" s="124" t="s">
        <v>248</v>
      </c>
      <c r="D20" s="124"/>
      <c r="E20" s="124" t="s">
        <v>248</v>
      </c>
      <c r="F20" s="124" t="s">
        <v>248</v>
      </c>
      <c r="G20" s="124" t="s">
        <v>248</v>
      </c>
      <c r="H20" s="125" t="s">
        <v>248</v>
      </c>
      <c r="I20" s="124" t="s">
        <v>248</v>
      </c>
      <c r="J20" s="125" t="s">
        <v>248</v>
      </c>
      <c r="K20" s="124" t="s">
        <v>248</v>
      </c>
      <c r="L20" s="124" t="s">
        <v>248</v>
      </c>
      <c r="M20" s="153">
        <v>0</v>
      </c>
      <c r="N20" s="129" t="s">
        <v>248</v>
      </c>
      <c r="O20" s="117">
        <v>0</v>
      </c>
      <c r="P20" s="130">
        <v>0</v>
      </c>
      <c r="Q20" s="130">
        <v>0</v>
      </c>
    </row>
    <row r="21" spans="1:18" s="112" customFormat="1" x14ac:dyDescent="0.25">
      <c r="A21" s="89" t="s">
        <v>812</v>
      </c>
      <c r="B21" s="124" t="s">
        <v>248</v>
      </c>
      <c r="C21" s="124" t="s">
        <v>248</v>
      </c>
      <c r="D21" s="124"/>
      <c r="E21" s="124" t="s">
        <v>248</v>
      </c>
      <c r="F21" s="124" t="s">
        <v>248</v>
      </c>
      <c r="G21" s="124" t="s">
        <v>248</v>
      </c>
      <c r="H21" s="125" t="s">
        <v>248</v>
      </c>
      <c r="I21" s="124" t="s">
        <v>248</v>
      </c>
      <c r="J21" s="125" t="s">
        <v>248</v>
      </c>
      <c r="K21" s="124" t="s">
        <v>248</v>
      </c>
      <c r="L21" s="124" t="s">
        <v>248</v>
      </c>
      <c r="M21" s="153" t="s">
        <v>248</v>
      </c>
      <c r="N21" s="129" t="s">
        <v>248</v>
      </c>
      <c r="O21" s="117">
        <v>0</v>
      </c>
      <c r="P21" s="130">
        <v>0</v>
      </c>
      <c r="Q21" s="130">
        <v>0</v>
      </c>
    </row>
    <row r="22" spans="1:18" s="112" customFormat="1" x14ac:dyDescent="0.25">
      <c r="A22" s="89" t="s">
        <v>813</v>
      </c>
      <c r="B22" s="124" t="s">
        <v>248</v>
      </c>
      <c r="C22" s="124" t="s">
        <v>248</v>
      </c>
      <c r="D22" s="124"/>
      <c r="E22" s="124" t="s">
        <v>248</v>
      </c>
      <c r="F22" s="124" t="s">
        <v>248</v>
      </c>
      <c r="G22" s="124" t="s">
        <v>248</v>
      </c>
      <c r="H22" s="125" t="s">
        <v>248</v>
      </c>
      <c r="I22" s="124" t="s">
        <v>248</v>
      </c>
      <c r="J22" s="125" t="s">
        <v>248</v>
      </c>
      <c r="K22" s="124" t="s">
        <v>248</v>
      </c>
      <c r="L22" s="124" t="s">
        <v>248</v>
      </c>
      <c r="M22" s="153" t="s">
        <v>248</v>
      </c>
      <c r="N22" s="129" t="s">
        <v>248</v>
      </c>
      <c r="O22" s="117">
        <v>0</v>
      </c>
      <c r="P22" s="130">
        <v>0</v>
      </c>
      <c r="Q22" s="130">
        <v>0</v>
      </c>
    </row>
    <row r="23" spans="1:18" s="112" customFormat="1" x14ac:dyDescent="0.25">
      <c r="A23" s="89" t="s">
        <v>814</v>
      </c>
      <c r="B23" s="124" t="s">
        <v>248</v>
      </c>
      <c r="C23" s="124" t="s">
        <v>248</v>
      </c>
      <c r="D23" s="124"/>
      <c r="E23" s="124" t="s">
        <v>248</v>
      </c>
      <c r="F23" s="124" t="s">
        <v>248</v>
      </c>
      <c r="G23" s="124" t="s">
        <v>248</v>
      </c>
      <c r="H23" s="125" t="s">
        <v>248</v>
      </c>
      <c r="I23" s="124" t="s">
        <v>248</v>
      </c>
      <c r="J23" s="125" t="s">
        <v>248</v>
      </c>
      <c r="K23" s="124" t="s">
        <v>248</v>
      </c>
      <c r="L23" s="124" t="s">
        <v>248</v>
      </c>
      <c r="M23" s="153" t="s">
        <v>248</v>
      </c>
      <c r="N23" s="129" t="s">
        <v>248</v>
      </c>
      <c r="O23" s="117">
        <v>0</v>
      </c>
      <c r="P23" s="130">
        <v>0</v>
      </c>
      <c r="Q23" s="130">
        <v>0</v>
      </c>
    </row>
    <row r="24" spans="1:18" s="112" customFormat="1" x14ac:dyDescent="0.25">
      <c r="A24" s="89" t="s">
        <v>815</v>
      </c>
      <c r="B24" s="124" t="s">
        <v>248</v>
      </c>
      <c r="C24" s="124" t="s">
        <v>248</v>
      </c>
      <c r="D24" s="124"/>
      <c r="E24" s="124" t="s">
        <v>248</v>
      </c>
      <c r="F24" s="124" t="s">
        <v>248</v>
      </c>
      <c r="G24" s="124" t="s">
        <v>248</v>
      </c>
      <c r="H24" s="125" t="s">
        <v>248</v>
      </c>
      <c r="I24" s="124" t="s">
        <v>248</v>
      </c>
      <c r="J24" s="125" t="s">
        <v>248</v>
      </c>
      <c r="K24" s="124" t="s">
        <v>248</v>
      </c>
      <c r="L24" s="124" t="s">
        <v>248</v>
      </c>
      <c r="M24" s="153" t="s">
        <v>248</v>
      </c>
      <c r="N24" s="129" t="s">
        <v>248</v>
      </c>
      <c r="O24" s="117">
        <v>0</v>
      </c>
      <c r="P24" s="130">
        <v>0</v>
      </c>
      <c r="Q24" s="130">
        <v>0</v>
      </c>
    </row>
    <row r="25" spans="1:18" s="112" customFormat="1" x14ac:dyDescent="0.25">
      <c r="A25" s="89" t="s">
        <v>816</v>
      </c>
      <c r="B25" s="124" t="s">
        <v>248</v>
      </c>
      <c r="C25" s="124" t="s">
        <v>248</v>
      </c>
      <c r="D25" s="124"/>
      <c r="E25" s="124" t="s">
        <v>248</v>
      </c>
      <c r="F25" s="124" t="s">
        <v>248</v>
      </c>
      <c r="G25" s="124" t="s">
        <v>248</v>
      </c>
      <c r="H25" s="125" t="s">
        <v>248</v>
      </c>
      <c r="I25" s="124" t="s">
        <v>248</v>
      </c>
      <c r="J25" s="125" t="s">
        <v>248</v>
      </c>
      <c r="K25" s="124" t="s">
        <v>248</v>
      </c>
      <c r="L25" s="124" t="s">
        <v>248</v>
      </c>
      <c r="M25" s="153" t="s">
        <v>248</v>
      </c>
      <c r="N25" s="129" t="s">
        <v>248</v>
      </c>
      <c r="O25" s="117">
        <v>0</v>
      </c>
      <c r="P25" s="130">
        <v>0</v>
      </c>
      <c r="Q25" s="130">
        <v>0</v>
      </c>
    </row>
    <row r="26" spans="1:18" s="112" customFormat="1" x14ac:dyDescent="0.25">
      <c r="A26" s="89" t="s">
        <v>415</v>
      </c>
      <c r="B26" s="124" t="s">
        <v>248</v>
      </c>
      <c r="C26" s="124" t="s">
        <v>248</v>
      </c>
      <c r="D26" s="124"/>
      <c r="E26" s="124" t="s">
        <v>248</v>
      </c>
      <c r="F26" s="124" t="s">
        <v>248</v>
      </c>
      <c r="G26" s="124" t="s">
        <v>248</v>
      </c>
      <c r="H26" s="125" t="s">
        <v>248</v>
      </c>
      <c r="I26" s="124" t="s">
        <v>248</v>
      </c>
      <c r="J26" s="125" t="s">
        <v>248</v>
      </c>
      <c r="K26" s="124" t="s">
        <v>248</v>
      </c>
      <c r="L26" s="124" t="s">
        <v>248</v>
      </c>
      <c r="M26" s="153" t="s">
        <v>248</v>
      </c>
      <c r="N26" s="129" t="s">
        <v>248</v>
      </c>
      <c r="O26" s="117">
        <v>0</v>
      </c>
      <c r="P26" s="130">
        <v>0</v>
      </c>
      <c r="Q26" s="130">
        <v>0</v>
      </c>
    </row>
    <row r="27" spans="1:18" s="112" customFormat="1" x14ac:dyDescent="0.25">
      <c r="A27" s="89" t="s">
        <v>808</v>
      </c>
      <c r="B27" s="124" t="s">
        <v>248</v>
      </c>
      <c r="C27" s="124" t="s">
        <v>248</v>
      </c>
      <c r="D27" s="124"/>
      <c r="E27" s="124" t="s">
        <v>248</v>
      </c>
      <c r="F27" s="124" t="s">
        <v>248</v>
      </c>
      <c r="G27" s="124" t="s">
        <v>248</v>
      </c>
      <c r="H27" s="125" t="s">
        <v>248</v>
      </c>
      <c r="I27" s="124" t="s">
        <v>248</v>
      </c>
      <c r="J27" s="125" t="s">
        <v>248</v>
      </c>
      <c r="K27" s="124" t="s">
        <v>248</v>
      </c>
      <c r="L27" s="124" t="s">
        <v>248</v>
      </c>
      <c r="M27" s="153" t="s">
        <v>248</v>
      </c>
      <c r="N27" s="129" t="s">
        <v>248</v>
      </c>
      <c r="O27" s="117">
        <v>0</v>
      </c>
      <c r="P27" s="130">
        <v>0</v>
      </c>
      <c r="Q27" s="130">
        <v>0</v>
      </c>
    </row>
    <row r="28" spans="1:18" s="112" customFormat="1" x14ac:dyDescent="0.25">
      <c r="A28" s="89" t="s">
        <v>815</v>
      </c>
      <c r="B28" s="124" t="s">
        <v>248</v>
      </c>
      <c r="C28" s="124" t="s">
        <v>248</v>
      </c>
      <c r="D28" s="124"/>
      <c r="E28" s="124" t="s">
        <v>248</v>
      </c>
      <c r="F28" s="124" t="s">
        <v>248</v>
      </c>
      <c r="G28" s="124" t="s">
        <v>248</v>
      </c>
      <c r="H28" s="125" t="s">
        <v>248</v>
      </c>
      <c r="I28" s="124" t="s">
        <v>248</v>
      </c>
      <c r="J28" s="125" t="s">
        <v>248</v>
      </c>
      <c r="K28" s="124" t="s">
        <v>248</v>
      </c>
      <c r="L28" s="124" t="s">
        <v>248</v>
      </c>
      <c r="M28" s="153" t="s">
        <v>248</v>
      </c>
      <c r="N28" s="129" t="s">
        <v>248</v>
      </c>
      <c r="O28" s="117">
        <v>0</v>
      </c>
      <c r="P28" s="130">
        <v>0</v>
      </c>
      <c r="Q28" s="130">
        <v>0</v>
      </c>
    </row>
    <row r="29" spans="1:18" s="112" customFormat="1" x14ac:dyDescent="0.25">
      <c r="A29" s="89" t="s">
        <v>809</v>
      </c>
      <c r="B29" s="124" t="s">
        <v>248</v>
      </c>
      <c r="C29" s="124" t="s">
        <v>248</v>
      </c>
      <c r="D29" s="124"/>
      <c r="E29" s="124" t="s">
        <v>248</v>
      </c>
      <c r="F29" s="124" t="s">
        <v>248</v>
      </c>
      <c r="G29" s="124" t="s">
        <v>248</v>
      </c>
      <c r="H29" s="125" t="s">
        <v>248</v>
      </c>
      <c r="I29" s="124" t="s">
        <v>248</v>
      </c>
      <c r="J29" s="125" t="s">
        <v>248</v>
      </c>
      <c r="K29" s="124" t="s">
        <v>248</v>
      </c>
      <c r="L29" s="124" t="s">
        <v>248</v>
      </c>
      <c r="M29" s="153" t="s">
        <v>248</v>
      </c>
      <c r="N29" s="129" t="s">
        <v>248</v>
      </c>
      <c r="O29" s="117">
        <v>0</v>
      </c>
      <c r="P29" s="130">
        <v>0</v>
      </c>
      <c r="Q29" s="130">
        <v>0</v>
      </c>
    </row>
    <row r="30" spans="1:18" s="112" customFormat="1" x14ac:dyDescent="0.25">
      <c r="A30" s="89" t="s">
        <v>816</v>
      </c>
      <c r="B30" s="124" t="s">
        <v>248</v>
      </c>
      <c r="C30" s="124" t="s">
        <v>248</v>
      </c>
      <c r="D30" s="124"/>
      <c r="E30" s="124" t="s">
        <v>248</v>
      </c>
      <c r="F30" s="124" t="s">
        <v>248</v>
      </c>
      <c r="G30" s="124" t="s">
        <v>248</v>
      </c>
      <c r="H30" s="125" t="s">
        <v>248</v>
      </c>
      <c r="I30" s="124" t="s">
        <v>248</v>
      </c>
      <c r="J30" s="125" t="s">
        <v>248</v>
      </c>
      <c r="K30" s="124" t="s">
        <v>248</v>
      </c>
      <c r="L30" s="124" t="s">
        <v>248</v>
      </c>
      <c r="M30" s="153" t="s">
        <v>248</v>
      </c>
      <c r="N30" s="129" t="s">
        <v>248</v>
      </c>
      <c r="O30" s="117">
        <v>0</v>
      </c>
      <c r="P30" s="130">
        <v>0</v>
      </c>
      <c r="Q30" s="130">
        <v>0</v>
      </c>
    </row>
    <row r="31" spans="1:18" s="112" customFormat="1" x14ac:dyDescent="0.25">
      <c r="A31" s="75" t="s">
        <v>241</v>
      </c>
      <c r="B31" s="75"/>
      <c r="C31" s="118"/>
      <c r="D31" s="118"/>
      <c r="E31" s="118"/>
      <c r="F31" s="119"/>
      <c r="G31" s="119"/>
      <c r="H31" s="119"/>
      <c r="I31" s="119"/>
      <c r="J31" s="119"/>
      <c r="K31" s="120"/>
      <c r="L31" s="121"/>
      <c r="M31" s="122"/>
      <c r="N31" s="122"/>
      <c r="O31" s="122"/>
      <c r="P31" s="122"/>
      <c r="Q31" s="121"/>
      <c r="R31" s="123"/>
    </row>
    <row r="32" spans="1:18" s="112" customFormat="1" x14ac:dyDescent="0.25">
      <c r="A32" s="75" t="s">
        <v>242</v>
      </c>
      <c r="B32" s="75"/>
      <c r="C32" s="118"/>
      <c r="D32" s="118"/>
      <c r="E32" s="118"/>
      <c r="F32" s="119"/>
      <c r="G32" s="119"/>
      <c r="H32" s="119"/>
      <c r="I32" s="119"/>
      <c r="J32" s="119"/>
      <c r="K32" s="120"/>
      <c r="L32" s="121"/>
      <c r="M32" s="122"/>
      <c r="N32" s="122"/>
      <c r="O32" s="122"/>
      <c r="P32" s="122"/>
      <c r="Q32" s="121"/>
      <c r="R32" s="123"/>
    </row>
    <row r="33" spans="1:18" s="112" customFormat="1" x14ac:dyDescent="0.25">
      <c r="A33" s="75" t="s">
        <v>243</v>
      </c>
      <c r="B33" s="75"/>
      <c r="C33" s="118"/>
      <c r="D33" s="118"/>
      <c r="E33" s="118"/>
      <c r="F33" s="119"/>
      <c r="G33" s="119"/>
      <c r="H33" s="119"/>
      <c r="I33" s="119"/>
      <c r="J33" s="119"/>
      <c r="K33" s="120"/>
      <c r="L33" s="121"/>
      <c r="M33" s="122"/>
      <c r="N33" s="122"/>
      <c r="O33" s="122"/>
      <c r="P33" s="122"/>
      <c r="Q33" s="121"/>
      <c r="R33" s="123"/>
    </row>
    <row r="34" spans="1:18" s="112" customFormat="1" x14ac:dyDescent="0.25">
      <c r="A34" s="75" t="s">
        <v>244</v>
      </c>
      <c r="B34" s="75"/>
      <c r="C34" s="118"/>
      <c r="D34" s="118"/>
      <c r="E34" s="118"/>
      <c r="F34" s="119"/>
      <c r="G34" s="119"/>
      <c r="H34" s="119"/>
      <c r="I34" s="119"/>
      <c r="J34" s="119"/>
      <c r="K34" s="120"/>
      <c r="L34" s="121"/>
      <c r="M34" s="122"/>
      <c r="N34" s="122"/>
      <c r="O34" s="122"/>
      <c r="P34" s="122"/>
      <c r="Q34" s="121"/>
      <c r="R34" s="123"/>
    </row>
    <row r="35" spans="1:18" s="112" customFormat="1" x14ac:dyDescent="0.25">
      <c r="A35" s="75" t="s">
        <v>245</v>
      </c>
      <c r="B35" s="75"/>
      <c r="C35" s="118"/>
      <c r="D35" s="118"/>
      <c r="E35" s="118"/>
      <c r="F35" s="119"/>
      <c r="G35" s="119"/>
      <c r="H35" s="119"/>
      <c r="I35" s="119"/>
      <c r="J35" s="119"/>
      <c r="K35" s="120"/>
      <c r="L35" s="121"/>
      <c r="M35" s="122"/>
      <c r="N35" s="122"/>
      <c r="O35" s="122"/>
      <c r="P35" s="122"/>
      <c r="Q35" s="121"/>
      <c r="R35" s="123"/>
    </row>
  </sheetData>
  <mergeCells count="1">
    <mergeCell ref="A4:Q4"/>
  </mergeCells>
  <phoneticPr fontId="3" type="noConversion"/>
  <conditionalFormatting sqref="B9:L30">
    <cfRule type="expression" dxfId="42" priority="374" stopIfTrue="1">
      <formula>LEFT(#REF!,3)="TIR"</formula>
    </cfRule>
  </conditionalFormatting>
  <conditionalFormatting sqref="O9:P30 A9:A30">
    <cfRule type="expression" dxfId="41" priority="372" stopIfTrue="1">
      <formula>#REF!&gt;0</formula>
    </cfRule>
  </conditionalFormatting>
  <conditionalFormatting sqref="P9:Q30">
    <cfRule type="expression" dxfId="40" priority="371" stopIfTrue="1">
      <formula>OR(LEFT(#REF!,3)="TIR",LEFT(#REF!,2)="IR")</formula>
    </cfRule>
  </conditionalFormatting>
  <conditionalFormatting sqref="Q11:Q16">
    <cfRule type="expression" dxfId="39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workbookViewId="0"/>
  </sheetViews>
  <sheetFormatPr defaultColWidth="9.109375" defaultRowHeight="13.2" x14ac:dyDescent="0.25"/>
  <cols>
    <col min="1" max="1" width="30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7" customWidth="1"/>
    <col min="6" max="6" width="7.88671875" style="57" customWidth="1"/>
    <col min="7" max="7" width="11.33203125" style="57" customWidth="1"/>
    <col min="8" max="8" width="17.6640625" style="36" customWidth="1"/>
    <col min="9" max="9" width="14.109375" style="59" customWidth="1"/>
    <col min="10" max="10" width="10.88671875" style="61" bestFit="1" customWidth="1"/>
    <col min="11" max="11" width="7.109375" style="61" bestFit="1" customWidth="1"/>
    <col min="12" max="12" width="10.44140625" style="61" customWidth="1"/>
    <col min="13" max="13" width="25.44140625" style="61" customWidth="1"/>
    <col min="14" max="14" width="20.6640625" style="59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2"/>
      <c r="E1" s="57"/>
      <c r="F1" s="57"/>
      <c r="G1" s="57"/>
      <c r="H1" s="36"/>
      <c r="I1" s="59"/>
      <c r="J1" s="60"/>
      <c r="K1" s="60"/>
      <c r="L1" s="60"/>
      <c r="M1" s="60"/>
      <c r="N1" s="59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2"/>
      <c r="E2" s="57"/>
      <c r="F2" s="57"/>
      <c r="G2" s="57"/>
      <c r="H2" s="36"/>
      <c r="I2" s="59"/>
      <c r="J2" s="60"/>
      <c r="K2" s="60"/>
      <c r="L2" s="60"/>
      <c r="M2" s="60"/>
      <c r="N2" s="59"/>
      <c r="O2" s="12"/>
      <c r="P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42"/>
      <c r="E3" s="57"/>
      <c r="F3" s="57"/>
      <c r="G3" s="57"/>
      <c r="H3" s="36"/>
      <c r="I3" s="59"/>
      <c r="J3" s="60"/>
      <c r="K3" s="60"/>
      <c r="L3" s="60"/>
      <c r="M3" s="60"/>
      <c r="N3" s="59"/>
      <c r="O3" s="12"/>
      <c r="P3" s="14"/>
    </row>
    <row r="4" spans="1:17" s="7" customFormat="1" x14ac:dyDescent="0.25">
      <c r="A4" s="213" t="s">
        <v>37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5"/>
      <c r="O4" s="12"/>
      <c r="P4" s="12"/>
      <c r="Q4" s="12"/>
    </row>
    <row r="5" spans="1:17" s="7" customFormat="1" ht="30.75" customHeight="1" x14ac:dyDescent="0.25">
      <c r="A5" s="83" t="s">
        <v>157</v>
      </c>
      <c r="B5" s="197" t="s">
        <v>69</v>
      </c>
      <c r="C5" s="197" t="s">
        <v>74</v>
      </c>
      <c r="D5" s="197" t="s">
        <v>70</v>
      </c>
      <c r="E5" s="197" t="s">
        <v>5</v>
      </c>
      <c r="F5" s="197" t="s">
        <v>14</v>
      </c>
      <c r="G5" s="197" t="s">
        <v>6</v>
      </c>
      <c r="H5" s="198" t="s">
        <v>89</v>
      </c>
      <c r="I5" s="198" t="s">
        <v>71</v>
      </c>
      <c r="J5" s="198" t="s">
        <v>67</v>
      </c>
      <c r="K5" s="198" t="s">
        <v>68</v>
      </c>
      <c r="L5" s="198" t="s">
        <v>29</v>
      </c>
      <c r="M5" s="86" t="s">
        <v>75</v>
      </c>
      <c r="N5" s="87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5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4">
        <v>12</v>
      </c>
      <c r="N7" s="35">
        <v>13</v>
      </c>
    </row>
    <row r="8" spans="1:17" s="112" customFormat="1" ht="12.75" customHeight="1" thickBot="1" x14ac:dyDescent="0.3">
      <c r="A8" s="96" t="s">
        <v>122</v>
      </c>
      <c r="B8" s="64" t="s">
        <v>248</v>
      </c>
      <c r="C8" s="97" t="s">
        <v>248</v>
      </c>
      <c r="D8" s="97"/>
      <c r="E8" s="97" t="s">
        <v>248</v>
      </c>
      <c r="F8" s="97" t="s">
        <v>248</v>
      </c>
      <c r="G8" s="97" t="s">
        <v>248</v>
      </c>
      <c r="H8" s="64" t="s">
        <v>248</v>
      </c>
      <c r="I8" s="64" t="s">
        <v>248</v>
      </c>
      <c r="J8" s="98" t="s">
        <v>248</v>
      </c>
      <c r="K8" s="97" t="s">
        <v>248</v>
      </c>
      <c r="L8" s="99">
        <v>210.9702906</v>
      </c>
      <c r="M8" s="64">
        <v>1</v>
      </c>
      <c r="N8" s="78">
        <v>2.0344069826430701E-3</v>
      </c>
    </row>
    <row r="9" spans="1:17" s="112" customFormat="1" x14ac:dyDescent="0.25">
      <c r="A9" s="88" t="s">
        <v>137</v>
      </c>
      <c r="B9" s="114" t="s">
        <v>248</v>
      </c>
      <c r="C9" s="115" t="s">
        <v>248</v>
      </c>
      <c r="D9" s="115" t="s">
        <v>248</v>
      </c>
      <c r="E9" s="115" t="s">
        <v>248</v>
      </c>
      <c r="F9" s="115" t="s">
        <v>248</v>
      </c>
      <c r="G9" s="115" t="s">
        <v>248</v>
      </c>
      <c r="H9" s="114" t="s">
        <v>248</v>
      </c>
      <c r="I9" s="114" t="s">
        <v>248</v>
      </c>
      <c r="J9" s="126" t="s">
        <v>248</v>
      </c>
      <c r="K9" s="115" t="s">
        <v>248</v>
      </c>
      <c r="L9" s="116">
        <v>210.9702905</v>
      </c>
      <c r="M9" s="114">
        <v>0.99999999952599961</v>
      </c>
      <c r="N9" s="114">
        <v>2.0344069816787607E-3</v>
      </c>
    </row>
    <row r="10" spans="1:17" s="112" customFormat="1" x14ac:dyDescent="0.25">
      <c r="A10" s="89" t="s">
        <v>817</v>
      </c>
      <c r="B10" s="130" t="s">
        <v>248</v>
      </c>
      <c r="C10" s="129" t="s">
        <v>248</v>
      </c>
      <c r="D10" s="129" t="s">
        <v>248</v>
      </c>
      <c r="E10" s="129" t="s">
        <v>248</v>
      </c>
      <c r="F10" s="129" t="s">
        <v>248</v>
      </c>
      <c r="G10" s="129" t="s">
        <v>248</v>
      </c>
      <c r="H10" s="130" t="s">
        <v>248</v>
      </c>
      <c r="I10" s="130" t="s">
        <v>248</v>
      </c>
      <c r="J10" s="128" t="s">
        <v>248</v>
      </c>
      <c r="K10" s="129" t="s">
        <v>248</v>
      </c>
      <c r="L10" s="117">
        <v>0</v>
      </c>
      <c r="M10" s="130">
        <v>0</v>
      </c>
      <c r="N10" s="130">
        <v>0</v>
      </c>
    </row>
    <row r="11" spans="1:17" s="112" customFormat="1" x14ac:dyDescent="0.25">
      <c r="A11" s="89" t="s">
        <v>672</v>
      </c>
      <c r="B11" s="130" t="s">
        <v>248</v>
      </c>
      <c r="C11" s="129" t="s">
        <v>248</v>
      </c>
      <c r="D11" s="129" t="s">
        <v>248</v>
      </c>
      <c r="E11" s="129" t="s">
        <v>248</v>
      </c>
      <c r="F11" s="129" t="s">
        <v>248</v>
      </c>
      <c r="G11" s="129" t="s">
        <v>248</v>
      </c>
      <c r="H11" s="130" t="s">
        <v>248</v>
      </c>
      <c r="I11" s="130" t="s">
        <v>248</v>
      </c>
      <c r="J11" s="128" t="s">
        <v>248</v>
      </c>
      <c r="K11" s="129" t="s">
        <v>248</v>
      </c>
      <c r="L11" s="117">
        <v>210.9702901</v>
      </c>
      <c r="M11" s="130">
        <v>0.99999999762999803</v>
      </c>
      <c r="N11" s="130">
        <v>2.034406977821522E-3</v>
      </c>
    </row>
    <row r="12" spans="1:17" x14ac:dyDescent="0.25">
      <c r="A12" s="16" t="s">
        <v>818</v>
      </c>
      <c r="B12" s="24" t="s">
        <v>819</v>
      </c>
      <c r="C12" s="58" t="s">
        <v>251</v>
      </c>
      <c r="D12" s="58" t="s">
        <v>252</v>
      </c>
      <c r="E12" s="58" t="s">
        <v>253</v>
      </c>
      <c r="F12" s="58">
        <v>0.2</v>
      </c>
      <c r="G12" s="58" t="s">
        <v>254</v>
      </c>
      <c r="H12" s="24">
        <v>4.8300000429153445E-2</v>
      </c>
      <c r="I12" s="24">
        <v>4.9000000000000002E-2</v>
      </c>
      <c r="J12" s="66">
        <v>207893.46959297379</v>
      </c>
      <c r="K12" s="58">
        <v>101.48</v>
      </c>
      <c r="L12" s="81">
        <v>210.97029000000001</v>
      </c>
      <c r="M12" s="24">
        <v>0.99999999715599763</v>
      </c>
      <c r="N12" s="24">
        <v>2.0344069768572122E-3</v>
      </c>
      <c r="O12" s="14"/>
    </row>
    <row r="13" spans="1:17" s="112" customFormat="1" x14ac:dyDescent="0.25">
      <c r="A13" s="89" t="s">
        <v>820</v>
      </c>
      <c r="B13" s="130" t="s">
        <v>248</v>
      </c>
      <c r="C13" s="129" t="s">
        <v>248</v>
      </c>
      <c r="D13" s="129" t="s">
        <v>248</v>
      </c>
      <c r="E13" s="129" t="s">
        <v>248</v>
      </c>
      <c r="F13" s="129" t="s">
        <v>248</v>
      </c>
      <c r="G13" s="129" t="s">
        <v>248</v>
      </c>
      <c r="H13" s="130" t="s">
        <v>248</v>
      </c>
      <c r="I13" s="130" t="s">
        <v>248</v>
      </c>
      <c r="J13" s="128" t="s">
        <v>248</v>
      </c>
      <c r="K13" s="129" t="s">
        <v>248</v>
      </c>
      <c r="L13" s="117">
        <v>0</v>
      </c>
      <c r="M13" s="130">
        <v>0</v>
      </c>
      <c r="N13" s="130">
        <v>0</v>
      </c>
    </row>
    <row r="14" spans="1:17" s="112" customFormat="1" x14ac:dyDescent="0.25">
      <c r="A14" s="89" t="s">
        <v>821</v>
      </c>
      <c r="B14" s="130" t="s">
        <v>248</v>
      </c>
      <c r="C14" s="129" t="s">
        <v>248</v>
      </c>
      <c r="D14" s="129" t="s">
        <v>248</v>
      </c>
      <c r="E14" s="129" t="s">
        <v>248</v>
      </c>
      <c r="F14" s="129" t="s">
        <v>248</v>
      </c>
      <c r="G14" s="129" t="s">
        <v>248</v>
      </c>
      <c r="H14" s="130" t="s">
        <v>248</v>
      </c>
      <c r="I14" s="130" t="s">
        <v>248</v>
      </c>
      <c r="J14" s="128" t="s">
        <v>248</v>
      </c>
      <c r="K14" s="129" t="s">
        <v>248</v>
      </c>
      <c r="L14" s="117">
        <v>0</v>
      </c>
      <c r="M14" s="130">
        <v>0</v>
      </c>
      <c r="N14" s="130">
        <v>0</v>
      </c>
    </row>
    <row r="15" spans="1:17" s="112" customFormat="1" x14ac:dyDescent="0.25">
      <c r="A15" s="89" t="s">
        <v>141</v>
      </c>
      <c r="B15" s="130" t="s">
        <v>248</v>
      </c>
      <c r="C15" s="129" t="s">
        <v>248</v>
      </c>
      <c r="D15" s="129" t="s">
        <v>248</v>
      </c>
      <c r="E15" s="129" t="s">
        <v>248</v>
      </c>
      <c r="F15" s="129" t="s">
        <v>248</v>
      </c>
      <c r="G15" s="129" t="s">
        <v>248</v>
      </c>
      <c r="H15" s="130" t="s">
        <v>248</v>
      </c>
      <c r="I15" s="130" t="s">
        <v>248</v>
      </c>
      <c r="J15" s="128" t="s">
        <v>248</v>
      </c>
      <c r="K15" s="129" t="s">
        <v>248</v>
      </c>
      <c r="L15" s="117">
        <v>0</v>
      </c>
      <c r="M15" s="130">
        <v>0</v>
      </c>
      <c r="N15" s="130">
        <v>0</v>
      </c>
    </row>
    <row r="16" spans="1:17" s="112" customFormat="1" x14ac:dyDescent="0.25">
      <c r="A16" s="89" t="s">
        <v>431</v>
      </c>
      <c r="B16" s="130" t="s">
        <v>248</v>
      </c>
      <c r="C16" s="129" t="s">
        <v>248</v>
      </c>
      <c r="D16" s="129" t="s">
        <v>248</v>
      </c>
      <c r="E16" s="129" t="s">
        <v>248</v>
      </c>
      <c r="F16" s="129" t="s">
        <v>248</v>
      </c>
      <c r="G16" s="129" t="s">
        <v>248</v>
      </c>
      <c r="H16" s="130" t="s">
        <v>248</v>
      </c>
      <c r="I16" s="130" t="s">
        <v>248</v>
      </c>
      <c r="J16" s="128" t="s">
        <v>248</v>
      </c>
      <c r="K16" s="129" t="s">
        <v>248</v>
      </c>
      <c r="L16" s="117">
        <v>0</v>
      </c>
      <c r="M16" s="130">
        <v>0</v>
      </c>
      <c r="N16" s="130">
        <v>0</v>
      </c>
    </row>
    <row r="17" spans="1:15" s="112" customFormat="1" x14ac:dyDescent="0.25">
      <c r="A17" s="75" t="s">
        <v>241</v>
      </c>
      <c r="B17" s="75"/>
      <c r="C17" s="118"/>
      <c r="D17" s="118"/>
      <c r="E17" s="119"/>
      <c r="F17" s="119"/>
      <c r="G17" s="119"/>
      <c r="H17" s="120"/>
      <c r="I17" s="121"/>
      <c r="J17" s="122"/>
      <c r="K17" s="122"/>
      <c r="L17" s="122"/>
      <c r="M17" s="122"/>
      <c r="N17" s="121"/>
      <c r="O17" s="123"/>
    </row>
    <row r="18" spans="1:15" s="112" customFormat="1" x14ac:dyDescent="0.25">
      <c r="A18" s="75" t="s">
        <v>242</v>
      </c>
      <c r="B18" s="75"/>
      <c r="C18" s="118"/>
      <c r="D18" s="118"/>
      <c r="E18" s="119"/>
      <c r="F18" s="119"/>
      <c r="G18" s="119"/>
      <c r="H18" s="120"/>
      <c r="I18" s="121"/>
      <c r="J18" s="122"/>
      <c r="K18" s="122"/>
      <c r="L18" s="122"/>
      <c r="M18" s="122"/>
      <c r="N18" s="121"/>
      <c r="O18" s="123"/>
    </row>
    <row r="19" spans="1:15" s="112" customFormat="1" x14ac:dyDescent="0.25">
      <c r="A19" s="75" t="s">
        <v>243</v>
      </c>
      <c r="B19" s="75"/>
      <c r="C19" s="118"/>
      <c r="D19" s="118"/>
      <c r="E19" s="119"/>
      <c r="F19" s="119"/>
      <c r="G19" s="119"/>
      <c r="H19" s="120"/>
      <c r="I19" s="121"/>
      <c r="J19" s="122"/>
      <c r="K19" s="122"/>
      <c r="L19" s="122"/>
      <c r="M19" s="122"/>
      <c r="N19" s="121"/>
      <c r="O19" s="123"/>
    </row>
    <row r="20" spans="1:15" s="112" customFormat="1" x14ac:dyDescent="0.25">
      <c r="A20" s="75" t="s">
        <v>244</v>
      </c>
      <c r="B20" s="75"/>
      <c r="C20" s="118"/>
      <c r="D20" s="118"/>
      <c r="E20" s="119"/>
      <c r="F20" s="119"/>
      <c r="G20" s="119"/>
      <c r="H20" s="120"/>
      <c r="I20" s="121"/>
      <c r="J20" s="122"/>
      <c r="K20" s="122"/>
      <c r="L20" s="122"/>
      <c r="M20" s="122"/>
      <c r="N20" s="121"/>
      <c r="O20" s="123"/>
    </row>
    <row r="21" spans="1:15" s="112" customFormat="1" x14ac:dyDescent="0.25">
      <c r="A21" s="75" t="s">
        <v>245</v>
      </c>
      <c r="B21" s="75"/>
      <c r="C21" s="118"/>
      <c r="D21" s="118"/>
      <c r="E21" s="119"/>
      <c r="F21" s="119"/>
      <c r="G21" s="119"/>
      <c r="H21" s="120"/>
      <c r="I21" s="121"/>
      <c r="J21" s="122"/>
      <c r="K21" s="122"/>
      <c r="L21" s="122"/>
      <c r="M21" s="122"/>
      <c r="N21" s="121"/>
      <c r="O21" s="123"/>
    </row>
  </sheetData>
  <mergeCells count="1">
    <mergeCell ref="A4:N4"/>
  </mergeCells>
  <phoneticPr fontId="3" type="noConversion"/>
  <conditionalFormatting sqref="B9:E16 G9:G16 M9:N16">
    <cfRule type="expression" dxfId="38" priority="378" stopIfTrue="1">
      <formula>OR(LEFT(#REF!,3)="TIR",LEFT(#REF!,2)="IR")</formula>
    </cfRule>
  </conditionalFormatting>
  <conditionalFormatting sqref="L8:M16 A8:A16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2" style="9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7" customWidth="1"/>
    <col min="6" max="6" width="13" style="57" customWidth="1"/>
    <col min="7" max="7" width="24" style="57" customWidth="1"/>
    <col min="8" max="8" width="18.6640625" style="57" customWidth="1"/>
    <col min="9" max="9" width="13.33203125" style="57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26" t="s">
        <v>38</v>
      </c>
      <c r="B4" s="227"/>
      <c r="C4" s="227"/>
      <c r="D4" s="227"/>
      <c r="E4" s="227"/>
      <c r="F4" s="227"/>
      <c r="G4" s="227"/>
      <c r="H4" s="227"/>
      <c r="I4" s="228"/>
      <c r="J4" s="11"/>
      <c r="K4" s="11"/>
      <c r="L4" s="11"/>
    </row>
    <row r="5" spans="1:17" s="7" customFormat="1" ht="33" customHeight="1" x14ac:dyDescent="0.25">
      <c r="A5" s="83" t="s">
        <v>157</v>
      </c>
      <c r="B5" s="84" t="s">
        <v>39</v>
      </c>
      <c r="C5" s="84" t="s">
        <v>41</v>
      </c>
      <c r="D5" s="84" t="s">
        <v>42</v>
      </c>
      <c r="E5" s="84" t="s">
        <v>6</v>
      </c>
      <c r="F5" s="85" t="s">
        <v>82</v>
      </c>
      <c r="G5" s="86" t="s">
        <v>75</v>
      </c>
      <c r="H5" s="86" t="s">
        <v>8</v>
      </c>
      <c r="I5" s="87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43">
        <v>8</v>
      </c>
    </row>
    <row r="8" spans="1:17" s="112" customFormat="1" ht="12.75" customHeight="1" thickBot="1" x14ac:dyDescent="0.3">
      <c r="A8" s="142" t="s">
        <v>73</v>
      </c>
      <c r="B8" s="67"/>
      <c r="C8" s="67" t="s">
        <v>248</v>
      </c>
      <c r="D8" s="154"/>
      <c r="E8" s="143"/>
      <c r="F8" s="146">
        <v>4.0000000000000003E-7</v>
      </c>
      <c r="G8" s="67">
        <v>1</v>
      </c>
      <c r="H8" s="67">
        <v>0</v>
      </c>
      <c r="I8" s="79"/>
    </row>
    <row r="9" spans="1:17" s="112" customFormat="1" x14ac:dyDescent="0.25">
      <c r="A9" s="88" t="s">
        <v>822</v>
      </c>
      <c r="B9" s="114" t="s">
        <v>248</v>
      </c>
      <c r="C9" s="114" t="s">
        <v>248</v>
      </c>
      <c r="D9" s="114" t="s">
        <v>248</v>
      </c>
      <c r="E9" s="115" t="s">
        <v>248</v>
      </c>
      <c r="F9" s="116">
        <v>0</v>
      </c>
      <c r="G9" s="114">
        <v>0</v>
      </c>
      <c r="H9" s="114">
        <v>0</v>
      </c>
      <c r="I9" s="114" t="s">
        <v>248</v>
      </c>
    </row>
    <row r="10" spans="1:17" s="112" customFormat="1" x14ac:dyDescent="0.25">
      <c r="A10" s="89" t="s">
        <v>823</v>
      </c>
      <c r="B10" s="114" t="s">
        <v>248</v>
      </c>
      <c r="C10" s="114" t="s">
        <v>248</v>
      </c>
      <c r="D10" s="114" t="s">
        <v>248</v>
      </c>
      <c r="E10" s="115" t="s">
        <v>248</v>
      </c>
      <c r="F10" s="116">
        <v>0</v>
      </c>
      <c r="G10" s="114">
        <v>0</v>
      </c>
      <c r="H10" s="114">
        <v>0</v>
      </c>
      <c r="I10" s="114" t="s">
        <v>248</v>
      </c>
    </row>
    <row r="11" spans="1:17" s="112" customFormat="1" x14ac:dyDescent="0.25">
      <c r="A11" s="89" t="s">
        <v>824</v>
      </c>
      <c r="B11" s="114" t="s">
        <v>248</v>
      </c>
      <c r="C11" s="114" t="s">
        <v>248</v>
      </c>
      <c r="D11" s="114" t="s">
        <v>248</v>
      </c>
      <c r="E11" s="115" t="s">
        <v>248</v>
      </c>
      <c r="F11" s="116">
        <v>0</v>
      </c>
      <c r="G11" s="114">
        <v>0</v>
      </c>
      <c r="H11" s="114">
        <v>0</v>
      </c>
      <c r="I11" s="114" t="s">
        <v>248</v>
      </c>
    </row>
    <row r="12" spans="1:17" s="112" customFormat="1" x14ac:dyDescent="0.25">
      <c r="A12" s="89" t="s">
        <v>825</v>
      </c>
      <c r="B12" s="114" t="s">
        <v>248</v>
      </c>
      <c r="C12" s="114" t="s">
        <v>248</v>
      </c>
      <c r="D12" s="114" t="s">
        <v>248</v>
      </c>
      <c r="E12" s="115" t="s">
        <v>248</v>
      </c>
      <c r="F12" s="116">
        <v>0</v>
      </c>
      <c r="G12" s="114">
        <v>0</v>
      </c>
      <c r="H12" s="114">
        <v>0</v>
      </c>
      <c r="I12" s="114" t="s">
        <v>248</v>
      </c>
    </row>
    <row r="13" spans="1:17" s="112" customFormat="1" x14ac:dyDescent="0.25">
      <c r="A13" s="89" t="s">
        <v>823</v>
      </c>
      <c r="B13" s="114" t="s">
        <v>248</v>
      </c>
      <c r="C13" s="114" t="s">
        <v>248</v>
      </c>
      <c r="D13" s="114" t="s">
        <v>248</v>
      </c>
      <c r="E13" s="115" t="s">
        <v>248</v>
      </c>
      <c r="F13" s="116">
        <v>0</v>
      </c>
      <c r="G13" s="114">
        <v>0</v>
      </c>
      <c r="H13" s="114">
        <v>0</v>
      </c>
      <c r="I13" s="114" t="s">
        <v>248</v>
      </c>
    </row>
    <row r="14" spans="1:17" s="112" customFormat="1" x14ac:dyDescent="0.25">
      <c r="A14" s="89" t="s">
        <v>824</v>
      </c>
      <c r="B14" s="114" t="s">
        <v>248</v>
      </c>
      <c r="C14" s="114" t="s">
        <v>248</v>
      </c>
      <c r="D14" s="114" t="s">
        <v>248</v>
      </c>
      <c r="E14" s="115" t="s">
        <v>248</v>
      </c>
      <c r="F14" s="116">
        <v>0</v>
      </c>
      <c r="G14" s="114">
        <v>0</v>
      </c>
      <c r="H14" s="114">
        <v>0</v>
      </c>
      <c r="I14" s="114" t="s">
        <v>248</v>
      </c>
    </row>
    <row r="15" spans="1:17" s="112" customFormat="1" x14ac:dyDescent="0.25">
      <c r="A15" s="75" t="s">
        <v>241</v>
      </c>
      <c r="B15" s="118"/>
      <c r="C15" s="75"/>
      <c r="D15" s="139"/>
      <c r="E15" s="119"/>
      <c r="F15" s="119"/>
      <c r="G15" s="119"/>
      <c r="H15" s="119"/>
      <c r="I15" s="119"/>
      <c r="J15" s="140"/>
      <c r="K15" s="123"/>
      <c r="L15" s="141"/>
      <c r="M15" s="141"/>
      <c r="N15" s="141"/>
      <c r="O15" s="123"/>
      <c r="P15" s="123"/>
    </row>
    <row r="16" spans="1:17" s="112" customFormat="1" x14ac:dyDescent="0.25">
      <c r="A16" s="75" t="s">
        <v>242</v>
      </c>
      <c r="B16" s="118"/>
      <c r="C16" s="75"/>
      <c r="D16" s="139"/>
      <c r="E16" s="119"/>
      <c r="F16" s="119"/>
      <c r="G16" s="119"/>
      <c r="H16" s="119"/>
      <c r="I16" s="119"/>
      <c r="J16" s="140"/>
      <c r="K16" s="123"/>
      <c r="L16" s="141"/>
      <c r="M16" s="141"/>
      <c r="N16" s="141"/>
      <c r="O16" s="123"/>
      <c r="P16" s="123"/>
    </row>
    <row r="17" spans="1:16" s="112" customFormat="1" x14ac:dyDescent="0.25">
      <c r="A17" s="75" t="s">
        <v>243</v>
      </c>
      <c r="B17" s="118"/>
      <c r="C17" s="75"/>
      <c r="D17" s="139"/>
      <c r="E17" s="119"/>
      <c r="F17" s="119"/>
      <c r="G17" s="119"/>
      <c r="H17" s="119"/>
      <c r="I17" s="119"/>
      <c r="J17" s="140"/>
      <c r="K17" s="123"/>
      <c r="L17" s="141"/>
      <c r="M17" s="141"/>
      <c r="N17" s="141"/>
      <c r="O17" s="123"/>
      <c r="P17" s="123"/>
    </row>
    <row r="18" spans="1:16" s="112" customFormat="1" x14ac:dyDescent="0.25">
      <c r="A18" s="75" t="s">
        <v>244</v>
      </c>
      <c r="B18" s="118"/>
      <c r="C18" s="75"/>
      <c r="D18" s="139"/>
      <c r="E18" s="119"/>
      <c r="F18" s="119"/>
      <c r="G18" s="119"/>
      <c r="H18" s="119"/>
      <c r="I18" s="119"/>
      <c r="J18" s="140"/>
      <c r="K18" s="123"/>
      <c r="L18" s="141"/>
      <c r="M18" s="141"/>
      <c r="N18" s="141"/>
      <c r="O18" s="123"/>
      <c r="P18" s="123"/>
    </row>
    <row r="19" spans="1:16" s="112" customFormat="1" x14ac:dyDescent="0.25">
      <c r="A19" s="75" t="s">
        <v>245</v>
      </c>
      <c r="B19" s="118"/>
      <c r="C19" s="75"/>
      <c r="D19" s="139"/>
      <c r="E19" s="119"/>
      <c r="F19" s="119"/>
      <c r="G19" s="119"/>
      <c r="H19" s="119"/>
      <c r="I19" s="119"/>
      <c r="J19" s="140"/>
      <c r="K19" s="123"/>
      <c r="L19" s="141"/>
      <c r="M19" s="141"/>
      <c r="N19" s="141"/>
      <c r="O19" s="123"/>
      <c r="P19" s="123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7" customWidth="1"/>
    <col min="6" max="6" width="10.6640625" style="57" customWidth="1"/>
    <col min="7" max="7" width="13.44140625" style="57" customWidth="1"/>
    <col min="8" max="8" width="9.88671875" style="57" customWidth="1"/>
    <col min="9" max="9" width="24" style="57" customWidth="1"/>
    <col min="10" max="10" width="22.33203125" style="57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57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57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57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13" t="s">
        <v>86</v>
      </c>
      <c r="B4" s="214"/>
      <c r="C4" s="214"/>
      <c r="D4" s="214"/>
      <c r="E4" s="214"/>
      <c r="F4" s="214"/>
      <c r="G4" s="214"/>
      <c r="H4" s="214"/>
      <c r="I4" s="214"/>
      <c r="J4" s="215"/>
      <c r="K4" s="11"/>
      <c r="L4" s="11"/>
      <c r="M4" s="11"/>
    </row>
    <row r="5" spans="1:18" s="7" customFormat="1" ht="33" customHeight="1" x14ac:dyDescent="0.25">
      <c r="A5" s="83" t="s">
        <v>157</v>
      </c>
      <c r="B5" s="197" t="s">
        <v>74</v>
      </c>
      <c r="C5" s="197" t="s">
        <v>70</v>
      </c>
      <c r="D5" s="197" t="s">
        <v>83</v>
      </c>
      <c r="E5" s="197" t="s">
        <v>84</v>
      </c>
      <c r="F5" s="198" t="s">
        <v>6</v>
      </c>
      <c r="G5" s="86" t="s">
        <v>71</v>
      </c>
      <c r="H5" s="86" t="s">
        <v>29</v>
      </c>
      <c r="I5" s="86" t="s">
        <v>75</v>
      </c>
      <c r="J5" s="87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55">
        <v>8</v>
      </c>
      <c r="J7" s="43">
        <v>9</v>
      </c>
    </row>
    <row r="8" spans="1:18" s="112" customFormat="1" ht="12.75" customHeight="1" thickBot="1" x14ac:dyDescent="0.3">
      <c r="A8" s="96" t="s">
        <v>123</v>
      </c>
      <c r="B8" s="67"/>
      <c r="C8" s="67"/>
      <c r="D8" s="154"/>
      <c r="E8" s="143"/>
      <c r="F8" s="103"/>
      <c r="G8" s="103"/>
      <c r="H8" s="146">
        <v>2.0000000000000002E-7</v>
      </c>
      <c r="I8" s="67">
        <v>1</v>
      </c>
      <c r="J8" s="78">
        <v>1.9286194059430948E-12</v>
      </c>
    </row>
    <row r="9" spans="1:18" s="112" customFormat="1" x14ac:dyDescent="0.25">
      <c r="A9" s="88" t="s">
        <v>137</v>
      </c>
      <c r="B9" s="114" t="s">
        <v>248</v>
      </c>
      <c r="C9" s="114" t="s">
        <v>248</v>
      </c>
      <c r="D9" s="114" t="s">
        <v>248</v>
      </c>
      <c r="E9" s="114" t="s">
        <v>248</v>
      </c>
      <c r="F9" s="127" t="s">
        <v>248</v>
      </c>
      <c r="G9" s="155" t="s">
        <v>248</v>
      </c>
      <c r="H9" s="116">
        <v>0</v>
      </c>
      <c r="I9" s="114">
        <v>0</v>
      </c>
      <c r="J9" s="114">
        <v>0</v>
      </c>
    </row>
    <row r="10" spans="1:18" s="112" customFormat="1" x14ac:dyDescent="0.25">
      <c r="A10" s="88" t="s">
        <v>415</v>
      </c>
      <c r="B10" s="114" t="s">
        <v>248</v>
      </c>
      <c r="C10" s="114" t="s">
        <v>248</v>
      </c>
      <c r="D10" s="114" t="s">
        <v>248</v>
      </c>
      <c r="E10" s="114" t="s">
        <v>248</v>
      </c>
      <c r="F10" s="127" t="s">
        <v>248</v>
      </c>
      <c r="G10" s="155" t="s">
        <v>248</v>
      </c>
      <c r="H10" s="116">
        <v>0</v>
      </c>
      <c r="I10" s="114">
        <v>0</v>
      </c>
      <c r="J10" s="114">
        <v>0</v>
      </c>
    </row>
    <row r="11" spans="1:18" s="112" customFormat="1" x14ac:dyDescent="0.25">
      <c r="A11" s="75" t="s">
        <v>241</v>
      </c>
      <c r="B11" s="118"/>
      <c r="C11" s="75"/>
      <c r="D11" s="139"/>
      <c r="E11" s="119"/>
      <c r="F11" s="119"/>
      <c r="G11" s="119"/>
      <c r="H11" s="119"/>
      <c r="I11" s="119"/>
      <c r="J11" s="119"/>
      <c r="K11" s="140"/>
      <c r="L11" s="123"/>
      <c r="M11" s="141"/>
      <c r="N11" s="141"/>
      <c r="O11" s="141"/>
      <c r="P11" s="123"/>
      <c r="Q11" s="123"/>
    </row>
    <row r="12" spans="1:18" s="112" customFormat="1" x14ac:dyDescent="0.25">
      <c r="A12" s="75" t="s">
        <v>242</v>
      </c>
      <c r="B12" s="118"/>
      <c r="C12" s="75"/>
      <c r="D12" s="139"/>
      <c r="E12" s="119"/>
      <c r="F12" s="119"/>
      <c r="G12" s="119"/>
      <c r="H12" s="119"/>
      <c r="I12" s="119"/>
      <c r="J12" s="119"/>
      <c r="K12" s="140"/>
      <c r="L12" s="123"/>
      <c r="M12" s="141"/>
      <c r="N12" s="141"/>
      <c r="O12" s="141"/>
      <c r="P12" s="123"/>
      <c r="Q12" s="123"/>
    </row>
    <row r="13" spans="1:18" s="112" customFormat="1" x14ac:dyDescent="0.25">
      <c r="A13" s="75" t="s">
        <v>243</v>
      </c>
      <c r="B13" s="118"/>
      <c r="C13" s="75"/>
      <c r="D13" s="139"/>
      <c r="E13" s="119"/>
      <c r="F13" s="119"/>
      <c r="G13" s="119"/>
      <c r="H13" s="119"/>
      <c r="I13" s="119"/>
      <c r="J13" s="119"/>
      <c r="K13" s="140"/>
      <c r="L13" s="123"/>
      <c r="M13" s="141"/>
      <c r="N13" s="141"/>
      <c r="O13" s="141"/>
      <c r="P13" s="123"/>
      <c r="Q13" s="123"/>
    </row>
    <row r="14" spans="1:18" s="112" customFormat="1" x14ac:dyDescent="0.25">
      <c r="A14" s="75" t="s">
        <v>244</v>
      </c>
      <c r="B14" s="118"/>
      <c r="C14" s="75"/>
      <c r="D14" s="139"/>
      <c r="E14" s="119"/>
      <c r="F14" s="119"/>
      <c r="G14" s="119"/>
      <c r="H14" s="119"/>
      <c r="I14" s="119"/>
      <c r="J14" s="119"/>
      <c r="K14" s="140"/>
      <c r="L14" s="123"/>
      <c r="M14" s="141"/>
      <c r="N14" s="141"/>
      <c r="O14" s="141"/>
      <c r="P14" s="123"/>
      <c r="Q14" s="123"/>
    </row>
    <row r="15" spans="1:18" s="112" customFormat="1" x14ac:dyDescent="0.25">
      <c r="A15" s="75" t="s">
        <v>245</v>
      </c>
      <c r="B15" s="118"/>
      <c r="C15" s="75"/>
      <c r="D15" s="139"/>
      <c r="E15" s="119"/>
      <c r="F15" s="119"/>
      <c r="G15" s="119"/>
      <c r="H15" s="119"/>
      <c r="I15" s="119"/>
      <c r="J15" s="119"/>
      <c r="K15" s="140"/>
      <c r="L15" s="123"/>
      <c r="M15" s="141"/>
      <c r="N15" s="141"/>
      <c r="O15" s="141"/>
      <c r="P15" s="123"/>
      <c r="Q15" s="123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6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0.6640625" style="10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13" t="s">
        <v>87</v>
      </c>
      <c r="B4" s="214"/>
      <c r="C4" s="214"/>
      <c r="D4" s="214"/>
      <c r="E4" s="214"/>
      <c r="F4" s="214"/>
      <c r="G4" s="214"/>
      <c r="H4" s="214"/>
      <c r="I4" s="214"/>
      <c r="J4" s="215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3" t="s">
        <v>157</v>
      </c>
      <c r="B5" s="197" t="s">
        <v>81</v>
      </c>
      <c r="C5" s="197" t="s">
        <v>70</v>
      </c>
      <c r="D5" s="197" t="s">
        <v>5</v>
      </c>
      <c r="E5" s="198" t="s">
        <v>66</v>
      </c>
      <c r="F5" s="198" t="s">
        <v>6</v>
      </c>
      <c r="G5" s="198" t="s">
        <v>71</v>
      </c>
      <c r="H5" s="198" t="s">
        <v>29</v>
      </c>
      <c r="I5" s="86" t="s">
        <v>75</v>
      </c>
      <c r="J5" s="87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2" customFormat="1" ht="12.75" customHeight="1" thickBot="1" x14ac:dyDescent="0.3">
      <c r="A8" s="69" t="s">
        <v>124</v>
      </c>
      <c r="B8" s="113"/>
      <c r="C8" s="113"/>
      <c r="D8" s="113" t="s">
        <v>248</v>
      </c>
      <c r="E8" s="113" t="s">
        <v>248</v>
      </c>
      <c r="F8" s="113" t="s">
        <v>248</v>
      </c>
      <c r="G8" s="113" t="s">
        <v>248</v>
      </c>
      <c r="H8" s="91">
        <v>-50.563799799999998</v>
      </c>
      <c r="I8" s="74">
        <v>1</v>
      </c>
      <c r="J8" s="56">
        <v>-4.8759162766250785E-4</v>
      </c>
    </row>
    <row r="9" spans="1:20" s="112" customFormat="1" x14ac:dyDescent="0.25">
      <c r="A9" s="88" t="s">
        <v>137</v>
      </c>
      <c r="B9" s="156"/>
      <c r="C9" s="115" t="s">
        <v>248</v>
      </c>
      <c r="D9" s="136" t="s">
        <v>248</v>
      </c>
      <c r="E9" s="150" t="s">
        <v>248</v>
      </c>
      <c r="F9" s="127" t="s">
        <v>248</v>
      </c>
      <c r="G9" s="150" t="s">
        <v>248</v>
      </c>
      <c r="H9" s="116">
        <v>-50.563799900000006</v>
      </c>
      <c r="I9" s="114">
        <v>1.0000000019776996</v>
      </c>
      <c r="J9" s="114">
        <v>-4.8759162862681765E-4</v>
      </c>
    </row>
    <row r="10" spans="1:20" x14ac:dyDescent="0.25">
      <c r="A10" s="16" t="s">
        <v>826</v>
      </c>
      <c r="B10" s="23" t="s">
        <v>827</v>
      </c>
      <c r="C10" s="63" t="s">
        <v>620</v>
      </c>
      <c r="D10" s="25" t="s">
        <v>248</v>
      </c>
      <c r="E10" s="17">
        <v>0</v>
      </c>
      <c r="F10" s="65" t="s">
        <v>254</v>
      </c>
      <c r="G10" s="17">
        <v>0</v>
      </c>
      <c r="H10" s="82">
        <v>-50.563800000000001</v>
      </c>
      <c r="I10" s="73">
        <v>1.0000000039553989</v>
      </c>
      <c r="J10" s="32">
        <v>-4.8759162959112728E-4</v>
      </c>
      <c r="K10" s="14"/>
      <c r="L10" s="14"/>
      <c r="M10" s="14"/>
      <c r="N10" s="14"/>
      <c r="O10" s="14"/>
      <c r="P10" s="14"/>
    </row>
    <row r="11" spans="1:20" s="112" customFormat="1" x14ac:dyDescent="0.25">
      <c r="A11" s="89" t="s">
        <v>415</v>
      </c>
      <c r="B11" s="157" t="s">
        <v>248</v>
      </c>
      <c r="C11" s="115" t="s">
        <v>248</v>
      </c>
      <c r="D11" s="138" t="s">
        <v>248</v>
      </c>
      <c r="E11" s="151" t="s">
        <v>248</v>
      </c>
      <c r="F11" s="127" t="s">
        <v>248</v>
      </c>
      <c r="G11" s="151" t="s">
        <v>248</v>
      </c>
      <c r="H11" s="116">
        <v>0</v>
      </c>
      <c r="I11" s="114">
        <v>0</v>
      </c>
      <c r="J11" s="114">
        <v>0</v>
      </c>
    </row>
    <row r="12" spans="1:20" s="112" customFormat="1" x14ac:dyDescent="0.25">
      <c r="A12" s="75" t="s">
        <v>241</v>
      </c>
      <c r="B12" s="75"/>
      <c r="C12" s="118"/>
      <c r="D12" s="75"/>
      <c r="E12" s="139"/>
      <c r="F12" s="139"/>
      <c r="G12" s="139"/>
      <c r="H12" s="139"/>
      <c r="I12" s="139"/>
      <c r="J12" s="120"/>
      <c r="K12" s="123"/>
      <c r="L12" s="141"/>
      <c r="M12" s="141"/>
      <c r="N12" s="141"/>
      <c r="O12" s="123"/>
      <c r="P12" s="123"/>
    </row>
    <row r="13" spans="1:20" s="112" customFormat="1" x14ac:dyDescent="0.25">
      <c r="A13" s="75" t="s">
        <v>242</v>
      </c>
      <c r="B13" s="75"/>
      <c r="C13" s="118"/>
      <c r="D13" s="75"/>
      <c r="E13" s="139"/>
      <c r="F13" s="139"/>
      <c r="G13" s="139"/>
      <c r="H13" s="139"/>
      <c r="I13" s="139"/>
      <c r="J13" s="120"/>
      <c r="K13" s="123"/>
      <c r="L13" s="141"/>
      <c r="M13" s="141"/>
      <c r="N13" s="141"/>
      <c r="O13" s="123"/>
      <c r="P13" s="123"/>
    </row>
    <row r="14" spans="1:20" s="112" customFormat="1" x14ac:dyDescent="0.25">
      <c r="A14" s="75" t="s">
        <v>243</v>
      </c>
      <c r="B14" s="75"/>
      <c r="C14" s="118"/>
      <c r="D14" s="75"/>
      <c r="E14" s="139"/>
      <c r="F14" s="139"/>
      <c r="G14" s="139"/>
      <c r="H14" s="139"/>
      <c r="I14" s="139"/>
      <c r="J14" s="120"/>
      <c r="K14" s="123"/>
      <c r="L14" s="141"/>
      <c r="M14" s="141"/>
      <c r="N14" s="141"/>
      <c r="O14" s="123"/>
      <c r="P14" s="123"/>
    </row>
    <row r="15" spans="1:20" s="112" customFormat="1" x14ac:dyDescent="0.25">
      <c r="A15" s="75" t="s">
        <v>244</v>
      </c>
      <c r="B15" s="75"/>
      <c r="C15" s="118"/>
      <c r="D15" s="75"/>
      <c r="E15" s="139"/>
      <c r="F15" s="139"/>
      <c r="G15" s="139"/>
      <c r="H15" s="139"/>
      <c r="I15" s="139"/>
      <c r="J15" s="120"/>
      <c r="K15" s="123"/>
      <c r="L15" s="141"/>
      <c r="M15" s="141"/>
      <c r="N15" s="141"/>
      <c r="O15" s="123"/>
      <c r="P15" s="123"/>
    </row>
    <row r="16" spans="1:20" s="112" customFormat="1" x14ac:dyDescent="0.25">
      <c r="A16" s="75" t="s">
        <v>245</v>
      </c>
      <c r="B16" s="75"/>
      <c r="C16" s="118"/>
      <c r="D16" s="75"/>
      <c r="E16" s="139"/>
      <c r="F16" s="139"/>
      <c r="G16" s="139"/>
      <c r="H16" s="139"/>
      <c r="I16" s="139"/>
      <c r="J16" s="120"/>
      <c r="K16" s="123"/>
      <c r="L16" s="141"/>
      <c r="M16" s="141"/>
      <c r="N16" s="141"/>
      <c r="O16" s="123"/>
      <c r="P16" s="123"/>
    </row>
  </sheetData>
  <mergeCells count="1">
    <mergeCell ref="A4:J4"/>
  </mergeCells>
  <phoneticPr fontId="3" type="noConversion"/>
  <conditionalFormatting sqref="A9:A11 F9:F11 H9:J11">
    <cfRule type="expression" dxfId="28" priority="423" stopIfTrue="1">
      <formula>LEFT(#REF!,3)="TIR"</formula>
    </cfRule>
  </conditionalFormatting>
  <conditionalFormatting sqref="B9:D11 J9:J11">
    <cfRule type="expression" dxfId="27" priority="420" stopIfTrue="1">
      <formula>LEFT(#REF!,3)="TIR"</formula>
    </cfRule>
  </conditionalFormatting>
  <conditionalFormatting sqref="H9:J11 F9:F11 A9:A1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1 K12:K5554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1"/>
  <sheetViews>
    <sheetView showGridLines="0" rightToLeft="1" workbookViewId="0"/>
  </sheetViews>
  <sheetFormatPr defaultRowHeight="13.2" x14ac:dyDescent="0.25"/>
  <cols>
    <col min="1" max="1" width="26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246</v>
      </c>
    </row>
    <row r="4" spans="1:3" x14ac:dyDescent="0.25">
      <c r="A4" s="213" t="s">
        <v>128</v>
      </c>
      <c r="B4" s="214"/>
      <c r="C4" s="215"/>
    </row>
    <row r="5" spans="1:3" x14ac:dyDescent="0.25">
      <c r="A5" s="83" t="s">
        <v>157</v>
      </c>
      <c r="B5" s="197" t="s">
        <v>63</v>
      </c>
      <c r="C5" s="92" t="s">
        <v>64</v>
      </c>
    </row>
    <row r="6" spans="1:3" x14ac:dyDescent="0.25">
      <c r="A6" s="26"/>
      <c r="B6" s="3" t="s">
        <v>10</v>
      </c>
      <c r="C6" s="43" t="s">
        <v>40</v>
      </c>
    </row>
    <row r="7" spans="1:3" s="107" customFormat="1" x14ac:dyDescent="0.25">
      <c r="A7" s="158"/>
      <c r="B7" s="159">
        <v>1</v>
      </c>
      <c r="C7" s="160">
        <v>2</v>
      </c>
    </row>
    <row r="8" spans="1:3" s="107" customFormat="1" ht="13.8" thickBot="1" x14ac:dyDescent="0.3">
      <c r="A8" s="69" t="s">
        <v>858</v>
      </c>
      <c r="B8" s="161">
        <v>2.0000000000000002E-7</v>
      </c>
      <c r="C8" s="109" t="s">
        <v>248</v>
      </c>
    </row>
    <row r="9" spans="1:3" s="107" customFormat="1" x14ac:dyDescent="0.25">
      <c r="A9" s="108" t="s">
        <v>137</v>
      </c>
      <c r="B9" s="162">
        <v>1.0000000000000001E-7</v>
      </c>
      <c r="C9" s="163" t="s">
        <v>248</v>
      </c>
    </row>
    <row r="10" spans="1:3" s="107" customFormat="1" x14ac:dyDescent="0.25">
      <c r="A10" s="164" t="s">
        <v>415</v>
      </c>
      <c r="B10" s="165">
        <v>1.0000000000000001E-7</v>
      </c>
      <c r="C10" s="166" t="s">
        <v>248</v>
      </c>
    </row>
    <row r="11" spans="1:3" x14ac:dyDescent="0.25">
      <c r="A11" t="s">
        <v>857</v>
      </c>
    </row>
  </sheetData>
  <mergeCells count="1">
    <mergeCell ref="A4:C4"/>
  </mergeCells>
  <phoneticPr fontId="3" type="noConversion"/>
  <conditionalFormatting sqref="A8:C10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6" t="s">
        <v>98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8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3" t="s">
        <v>102</v>
      </c>
      <c r="M5" s="84" t="s">
        <v>17</v>
      </c>
      <c r="N5" s="84" t="s">
        <v>75</v>
      </c>
      <c r="O5" s="92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4" t="s">
        <v>116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5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200" t="s">
        <v>144</v>
      </c>
      <c r="B16" s="201"/>
      <c r="C16" s="201"/>
      <c r="D16" s="201"/>
      <c r="E16" s="201"/>
      <c r="F16" s="201"/>
      <c r="G16" s="201"/>
      <c r="H16" s="202"/>
      <c r="I16" s="203"/>
      <c r="J16" s="204"/>
      <c r="K16" s="205"/>
      <c r="L16" s="204"/>
      <c r="M16" s="206"/>
      <c r="N16" s="207"/>
      <c r="O16" s="208"/>
      <c r="P16" s="14"/>
      <c r="Q16" s="14"/>
      <c r="R16" s="14"/>
      <c r="S16" s="14"/>
      <c r="T16" s="14"/>
      <c r="U16" s="14"/>
    </row>
    <row r="17" spans="1:19" x14ac:dyDescent="0.25">
      <c r="A17" s="105" t="s">
        <v>145</v>
      </c>
      <c r="O17" s="37"/>
      <c r="Q17" s="18"/>
      <c r="R17" s="18"/>
      <c r="S17" s="18"/>
    </row>
    <row r="18" spans="1:19" x14ac:dyDescent="0.25">
      <c r="A18" s="105" t="s">
        <v>146</v>
      </c>
      <c r="O18" s="37"/>
      <c r="Q18" s="18"/>
      <c r="R18" s="18"/>
      <c r="S18" s="18"/>
    </row>
    <row r="19" spans="1:19" x14ac:dyDescent="0.25">
      <c r="A19" s="105" t="s">
        <v>147</v>
      </c>
      <c r="O19" s="37"/>
      <c r="Q19" s="18"/>
      <c r="R19" s="18"/>
      <c r="S19" s="18"/>
    </row>
    <row r="20" spans="1:19" x14ac:dyDescent="0.25">
      <c r="A20" s="105" t="s">
        <v>148</v>
      </c>
      <c r="O20" s="37"/>
      <c r="Q20" s="18"/>
      <c r="R20" s="18"/>
      <c r="S20" s="18"/>
    </row>
    <row r="21" spans="1:19" x14ac:dyDescent="0.25">
      <c r="A21" s="105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6" t="s">
        <v>117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8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3" t="s">
        <v>102</v>
      </c>
      <c r="M5" s="84" t="s">
        <v>17</v>
      </c>
      <c r="N5" s="84" t="s">
        <v>75</v>
      </c>
      <c r="O5" s="92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4" t="s">
        <v>119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5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200" t="s">
        <v>144</v>
      </c>
      <c r="B16" s="201"/>
      <c r="C16" s="201"/>
      <c r="D16" s="201"/>
      <c r="E16" s="201"/>
      <c r="F16" s="201"/>
      <c r="G16" s="201"/>
      <c r="H16" s="202"/>
      <c r="I16" s="203"/>
      <c r="J16" s="204"/>
      <c r="K16" s="205"/>
      <c r="L16" s="204"/>
      <c r="M16" s="206"/>
      <c r="N16" s="207"/>
      <c r="O16" s="208"/>
      <c r="P16" s="14"/>
      <c r="Q16" s="14"/>
      <c r="R16" s="14"/>
      <c r="S16" s="14"/>
      <c r="T16" s="14"/>
      <c r="U16" s="14"/>
    </row>
    <row r="17" spans="1:19" x14ac:dyDescent="0.25">
      <c r="A17" s="105" t="s">
        <v>145</v>
      </c>
      <c r="O17" s="37"/>
      <c r="Q17" s="18"/>
      <c r="R17" s="18"/>
      <c r="S17" s="18"/>
    </row>
    <row r="18" spans="1:19" x14ac:dyDescent="0.25">
      <c r="A18" s="105" t="s">
        <v>146</v>
      </c>
      <c r="O18" s="37"/>
      <c r="Q18" s="18"/>
      <c r="R18" s="18"/>
      <c r="S18" s="18"/>
    </row>
    <row r="19" spans="1:19" x14ac:dyDescent="0.25">
      <c r="A19" s="105" t="s">
        <v>147</v>
      </c>
      <c r="O19" s="37"/>
      <c r="Q19" s="18"/>
      <c r="R19" s="18"/>
      <c r="S19" s="18"/>
    </row>
    <row r="20" spans="1:19" x14ac:dyDescent="0.25">
      <c r="A20" s="105" t="s">
        <v>148</v>
      </c>
      <c r="O20" s="37"/>
      <c r="Q20" s="18"/>
      <c r="R20" s="18"/>
      <c r="S20" s="18"/>
    </row>
    <row r="21" spans="1:19" x14ac:dyDescent="0.25">
      <c r="A21" s="105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zoomScaleNormal="100" workbookViewId="0">
      <selection activeCell="B1" sqref="B1:C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6" t="s">
        <v>118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8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3" t="s">
        <v>102</v>
      </c>
      <c r="M5" s="84" t="s">
        <v>17</v>
      </c>
      <c r="N5" s="84" t="s">
        <v>75</v>
      </c>
      <c r="O5" s="92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4" t="s">
        <v>120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5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200" t="s">
        <v>144</v>
      </c>
      <c r="B16" s="201"/>
      <c r="C16" s="201"/>
      <c r="D16" s="201"/>
      <c r="E16" s="201"/>
      <c r="F16" s="201"/>
      <c r="G16" s="201"/>
      <c r="H16" s="202"/>
      <c r="I16" s="203"/>
      <c r="J16" s="204"/>
      <c r="K16" s="205"/>
      <c r="L16" s="204"/>
      <c r="M16" s="206"/>
      <c r="N16" s="207"/>
      <c r="O16" s="208"/>
      <c r="P16" s="14"/>
      <c r="Q16" s="14"/>
      <c r="R16" s="14"/>
      <c r="S16" s="14"/>
      <c r="T16" s="14"/>
      <c r="U16" s="14"/>
    </row>
    <row r="17" spans="1:19" x14ac:dyDescent="0.25">
      <c r="A17" s="105" t="s">
        <v>145</v>
      </c>
      <c r="O17" s="37"/>
      <c r="Q17" s="18"/>
      <c r="R17" s="18"/>
      <c r="S17" s="18"/>
    </row>
    <row r="18" spans="1:19" x14ac:dyDescent="0.25">
      <c r="A18" s="105" t="s">
        <v>146</v>
      </c>
      <c r="O18" s="37"/>
      <c r="Q18" s="18"/>
      <c r="R18" s="18"/>
      <c r="S18" s="18"/>
    </row>
    <row r="19" spans="1:19" x14ac:dyDescent="0.25">
      <c r="A19" s="105" t="s">
        <v>147</v>
      </c>
      <c r="O19" s="37"/>
      <c r="Q19" s="18"/>
      <c r="R19" s="18"/>
      <c r="S19" s="18"/>
    </row>
    <row r="20" spans="1:19" x14ac:dyDescent="0.25">
      <c r="A20" s="105" t="s">
        <v>148</v>
      </c>
      <c r="O20" s="37"/>
      <c r="Q20" s="18"/>
      <c r="R20" s="18"/>
      <c r="S20" s="18"/>
    </row>
    <row r="21" spans="1:19" x14ac:dyDescent="0.25">
      <c r="A21" s="105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2025-05-21T19:12:02Z</dcterms:modified>
</cp:coreProperties>
</file>