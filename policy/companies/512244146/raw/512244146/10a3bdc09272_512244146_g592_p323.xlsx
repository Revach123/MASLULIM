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32023\"/>
    </mc:Choice>
  </mc:AlternateContent>
  <xr:revisionPtr revIDLastSave="0" documentId="13_ncr:1_{DFE4A38E-9FBE-4753-81CD-F49DCEE62865}" xr6:coauthVersionLast="47" xr6:coauthVersionMax="47" xr10:uidLastSave="{00000000-0000-0000-0000-000000000000}"/>
  <bookViews>
    <workbookView xWindow="-108" yWindow="-108" windowWidth="23256" windowHeight="12456" tabRatio="922" firstSheet="21" activeTab="21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קונצרני'!$A$4:$T$217</definedName>
    <definedName name="_xlnm.Print_Area" localSheetId="9">אופציות!$A$4:$K$20</definedName>
    <definedName name="_xlnm.Print_Area" localSheetId="21">הלוואות!$A$4:$Q$149</definedName>
    <definedName name="_xlnm.Print_Area" localSheetId="25">'השקעות אחרות'!$A$4:$J$16</definedName>
    <definedName name="_xlnm.Print_Area" localSheetId="23">'זכויות מקרקעין'!$A$4:$H$14</definedName>
    <definedName name="_xlnm.Print_Area" localSheetId="10">'חוזים עתידיים'!$A$4:$G$12</definedName>
    <definedName name="_xlnm.Print_Area" localSheetId="26">'יתרת התחייבות להשקעה'!$A$1:$B$29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קונצרני'!$A$4:$R$34</definedName>
    <definedName name="_xlnm.Print_Area" localSheetId="18">'לא סחיר - אופציות'!$A$4:$K$21</definedName>
    <definedName name="_xlnm.Print_Area" localSheetId="19">'לא סחיר - חוזים עתידיים'!$A$4:$J$97</definedName>
    <definedName name="_xlnm.Print_Area" localSheetId="17">'לא סחיר - כתבי אופציה'!$A$4:$K$12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השקעה'!$A$4:$J$21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מזומנים!$A$4:$K$107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חודשים'!$A$4:$N$16</definedName>
    <definedName name="_xlnm.Print_Area" localSheetId="7">'קרנות נאמנות'!$A$4:$N$36</definedName>
    <definedName name="_xlnm.Print_Area" localSheetId="6">'קרנות סל'!$A$4:$M$30</definedName>
    <definedName name="_xlnm.Print_Area" localSheetId="2">'תעודות התחייבות ממשלתיות'!$A$4:$Q$42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6" l="1"/>
</calcChain>
</file>

<file path=xl/sharedStrings.xml><?xml version="1.0" encoding="utf-8"?>
<sst xmlns="http://schemas.openxmlformats.org/spreadsheetml/2006/main" count="9255" uniqueCount="2132">
  <si>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</si>
  <si>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</si>
  <si>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</si>
  <si>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</si>
  <si>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</si>
  <si>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</si>
  <si>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</si>
  <si>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</si>
  <si>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</si>
  <si>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</si>
  <si>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</si>
  <si>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</si>
  <si>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</si>
  <si>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</si>
  <si>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</si>
  <si>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</si>
  <si>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</si>
  <si>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</si>
  <si>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</si>
  <si>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</si>
  <si>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</si>
  <si>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</si>
  <si>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</si>
  <si>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</si>
  <si>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</si>
  <si>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</si>
  <si>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</si>
  <si>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</si>
  <si>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</si>
  <si>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</si>
  <si>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</si>
  <si>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</si>
  <si>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</si>
  <si>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</si>
  <si>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</si>
  <si>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</si>
  <si>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</si>
  <si>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</si>
  <si>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</si>
  <si>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</si>
  <si>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</si>
  <si>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</si>
  <si>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</si>
  <si>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</si>
  <si>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</si>
  <si>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</si>
  <si>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</si>
  <si>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</si>
  <si>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</si>
  <si>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</si>
  <si>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</si>
  <si>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</si>
  <si>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</si>
  <si>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</si>
  <si>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</si>
  <si>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</si>
  <si>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</si>
  <si>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</si>
  <si>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</si>
  <si>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</si>
  <si>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</si>
  <si>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</si>
  <si>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</si>
  <si>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</si>
  <si>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</si>
  <si>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</si>
  <si>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</si>
  <si>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</si>
  <si>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</si>
  <si>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</si>
  <si>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</si>
  <si>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</si>
  <si>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</si>
  <si>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</si>
  <si>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</si>
  <si>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</si>
  <si>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</si>
  <si>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</si>
  <si>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</si>
  <si>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</si>
  <si>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</si>
  <si>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</si>
  <si>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</si>
  <si>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</si>
  <si>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</si>
  <si>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</si>
  <si>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</si>
  <si>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</si>
  <si>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</si>
  <si>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</si>
  <si>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</si>
  <si>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</si>
  <si>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</si>
  <si>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</si>
  <si>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</si>
  <si>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</si>
  <si>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</si>
  <si>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</si>
  <si>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</si>
  <si>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</si>
  <si>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</si>
  <si>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</si>
  <si>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</si>
  <si>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</si>
  <si>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</si>
  <si>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</si>
  <si>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</si>
  <si>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</si>
  <si>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</si>
  <si>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</si>
  <si>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</si>
  <si>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</si>
  <si>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</si>
  <si>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</si>
  <si>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</si>
  <si>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</si>
  <si>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</si>
  <si>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</si>
  <si>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</si>
  <si>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</si>
  <si>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</si>
  <si>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</si>
  <si>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</si>
  <si>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</si>
  <si>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</si>
  <si>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</si>
  <si>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</si>
  <si>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</si>
  <si>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</si>
  <si>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</si>
  <si>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</si>
  <si>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</si>
  <si>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</si>
  <si>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</si>
  <si>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</si>
  <si>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</si>
  <si>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</si>
  <si>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</si>
  <si>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</si>
  <si>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</si>
  <si>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</si>
  <si>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</si>
  <si>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</si>
  <si>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</si>
  <si>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</si>
  <si>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</si>
  <si>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</si>
  <si>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</si>
  <si>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</si>
  <si>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</si>
  <si>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</si>
  <si>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</si>
  <si>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</si>
  <si>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</si>
  <si>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</si>
  <si>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</si>
  <si>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</si>
  <si>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</si>
  <si>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</si>
  <si>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</si>
  <si>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</si>
  <si>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</si>
  <si>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</si>
  <si>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</si>
  <si>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</si>
  <si>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</si>
  <si>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</si>
  <si>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</si>
  <si>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</si>
  <si>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</si>
  <si>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</si>
  <si>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</si>
  <si>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</si>
  <si>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</si>
  <si>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</si>
  <si>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</si>
  <si>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</si>
  <si>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</si>
  <si>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</si>
  <si>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</si>
  <si>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</si>
  <si>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</si>
  <si>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</si>
  <si>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</si>
  <si>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</si>
  <si>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</si>
  <si>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</si>
  <si>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</si>
  <si>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</si>
  <si>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</si>
  <si>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</si>
  <si>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</si>
  <si>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</si>
  <si>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</si>
  <si>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</si>
  <si>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</si>
  <si>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</si>
  <si>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</si>
  <si>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</si>
  <si>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</si>
  <si>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</si>
  <si>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</si>
  <si>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</si>
  <si>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</si>
  <si>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</si>
  <si>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</si>
  <si>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</si>
  <si>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</si>
  <si>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</si>
  <si>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</si>
  <si>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</si>
  <si>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</si>
  <si>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</si>
  <si>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</si>
  <si>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</si>
  <si>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</si>
  <si>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</si>
  <si>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</si>
  <si>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</si>
  <si>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</si>
  <si>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</si>
  <si>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</si>
  <si>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</si>
  <si>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</si>
  <si>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</si>
  <si>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</si>
  <si>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</si>
  <si>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</si>
  <si>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</si>
  <si>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</si>
  <si>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</si>
  <si>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</si>
  <si>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</si>
  <si>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</si>
  <si>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</si>
  <si>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</si>
  <si>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</si>
  <si>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</si>
  <si>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</si>
  <si>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שקלים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</si>
  <si>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</si>
  <si>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</si>
  <si>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</si>
  <si>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</si>
  <si>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</si>
  <si>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</si>
  <si>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</si>
  <si>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592</t>
  </si>
  <si>
    <t xml:space="preserve">סה"כ בישראל: </t>
  </si>
  <si>
    <t/>
  </si>
  <si>
    <t xml:space="preserve">יתרות מזומנים ועו"ש בש"ח </t>
  </si>
  <si>
    <t>30005760</t>
  </si>
  <si>
    <t>11</t>
  </si>
  <si>
    <t>ilAAA</t>
  </si>
  <si>
    <t>S&amp;P מעלות</t>
  </si>
  <si>
    <t>שקל חדש</t>
  </si>
  <si>
    <t>30008180</t>
  </si>
  <si>
    <t>12</t>
  </si>
  <si>
    <t>30019960</t>
  </si>
  <si>
    <t>20</t>
  </si>
  <si>
    <t>30024480</t>
  </si>
  <si>
    <t>10</t>
  </si>
  <si>
    <t>30044420</t>
  </si>
  <si>
    <t>22</t>
  </si>
  <si>
    <t>A3</t>
  </si>
  <si>
    <t>Moodys</t>
  </si>
  <si>
    <t>30056620</t>
  </si>
  <si>
    <t>26</t>
  </si>
  <si>
    <t>30024481</t>
  </si>
  <si>
    <t>קרן לעסקים קטנים - מזומן בנק הפועלים בע"מ</t>
  </si>
  <si>
    <t>999999433</t>
  </si>
  <si>
    <t>30091530</t>
  </si>
  <si>
    <t>30098270</t>
  </si>
  <si>
    <t>30098610</t>
  </si>
  <si>
    <t>30098950</t>
  </si>
  <si>
    <t>27295738</t>
  </si>
  <si>
    <t>27295748</t>
  </si>
  <si>
    <t>30022650</t>
  </si>
  <si>
    <t>30023370</t>
  </si>
  <si>
    <t>שקל - נייר הפרשים - עדכון ידני בנק הפועלים בע"מ</t>
  </si>
  <si>
    <t>27457978</t>
  </si>
  <si>
    <t>30035240</t>
  </si>
  <si>
    <t>30046610</t>
  </si>
  <si>
    <t>30046670</t>
  </si>
  <si>
    <t>30044180</t>
  </si>
  <si>
    <t>2316330</t>
  </si>
  <si>
    <t>30057520</t>
  </si>
  <si>
    <t>30057560</t>
  </si>
  <si>
    <t>30057521</t>
  </si>
  <si>
    <t xml:space="preserve">יתרות מזומנים ועו"ש נקובים במט"ח </t>
  </si>
  <si>
    <t>30005780</t>
  </si>
  <si>
    <t>30008200</t>
  </si>
  <si>
    <t>30009520</t>
  </si>
  <si>
    <t>30024500</t>
  </si>
  <si>
    <t>30044430</t>
  </si>
  <si>
    <t>30098990</t>
  </si>
  <si>
    <t>30024520</t>
  </si>
  <si>
    <t>26401417</t>
  </si>
  <si>
    <t>30044440</t>
  </si>
  <si>
    <t>30057640</t>
  </si>
  <si>
    <t>30045140</t>
  </si>
  <si>
    <t>24296162</t>
  </si>
  <si>
    <t>30098290</t>
  </si>
  <si>
    <t>30098970</t>
  </si>
  <si>
    <t>30029450</t>
  </si>
  <si>
    <t>29295743</t>
  </si>
  <si>
    <t>29295748</t>
  </si>
  <si>
    <t>29401417</t>
  </si>
  <si>
    <t>30028670</t>
  </si>
  <si>
    <t>30006670</t>
  </si>
  <si>
    <t>30022670</t>
  </si>
  <si>
    <t>30023390</t>
  </si>
  <si>
    <t>30038370</t>
  </si>
  <si>
    <t>30035250</t>
  </si>
  <si>
    <t>28295738</t>
  </si>
  <si>
    <t>265016330</t>
  </si>
  <si>
    <t>30044190</t>
  </si>
  <si>
    <t>30046620</t>
  </si>
  <si>
    <t>30046680</t>
  </si>
  <si>
    <t>265016350</t>
  </si>
  <si>
    <t>26854250</t>
  </si>
  <si>
    <t>30057540</t>
  </si>
  <si>
    <t>30057580</t>
  </si>
  <si>
    <t>275016110</t>
  </si>
  <si>
    <t>30057541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</si>
  <si>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</si>
  <si>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</si>
  <si>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</si>
  <si>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</si>
  <si>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</si>
  <si>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</si>
  <si>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</si>
  <si>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</si>
  <si>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31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</si>
  <si>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</si>
  <si>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</si>
  <si>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</si>
  <si>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</si>
  <si>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</si>
  <si>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</si>
  <si>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</si>
  <si>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</si>
  <si>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</si>
  <si>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</si>
  <si>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</si>
  <si>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 xml:space="preserve">פקדונות במט"ח עד שלושה חודשים </t>
  </si>
  <si>
    <t>30022530</t>
  </si>
  <si>
    <t>30022100</t>
  </si>
  <si>
    <t>30028690</t>
  </si>
  <si>
    <t>30028710</t>
  </si>
  <si>
    <t>30006730</t>
  </si>
  <si>
    <t>30023470</t>
  </si>
  <si>
    <t>30023630</t>
  </si>
  <si>
    <t>30057600</t>
  </si>
  <si>
    <t>30057620</t>
  </si>
  <si>
    <t xml:space="preserve">סה"כ בחו"ל: </t>
  </si>
  <si>
    <t>30010280</t>
  </si>
  <si>
    <t>88</t>
  </si>
  <si>
    <t>A1</t>
  </si>
  <si>
    <t>3001281</t>
  </si>
  <si>
    <t>30096270</t>
  </si>
  <si>
    <t>29857050</t>
  </si>
  <si>
    <t>261861961</t>
  </si>
  <si>
    <t>99</t>
  </si>
  <si>
    <t>A2</t>
  </si>
  <si>
    <t>30040270</t>
  </si>
  <si>
    <t>30040760</t>
  </si>
  <si>
    <t>30045750</t>
  </si>
  <si>
    <t>30048170</t>
  </si>
  <si>
    <t>98</t>
  </si>
  <si>
    <t>AA</t>
  </si>
  <si>
    <t>S&amp;P</t>
  </si>
  <si>
    <t>26114070</t>
  </si>
  <si>
    <t>30060180</t>
  </si>
  <si>
    <t>30099530</t>
  </si>
  <si>
    <t>סה"כ צמודות למדד</t>
  </si>
  <si>
    <t>מלווה קצר מועד (מק"מ)</t>
  </si>
  <si>
    <t>מקמ 114</t>
  </si>
  <si>
    <t>8240111</t>
  </si>
  <si>
    <t>TASE</t>
  </si>
  <si>
    <t>RF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</si>
  <si>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</si>
  <si>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</si>
  <si>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</si>
  <si>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</si>
  <si>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</si>
  <si>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</si>
  <si>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</si>
  <si>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524</t>
  </si>
  <si>
    <t>8240525</t>
  </si>
  <si>
    <t>07/05/2023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</si>
  <si>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</si>
  <si>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</si>
  <si>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</si>
  <si>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</si>
  <si>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</si>
  <si>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</si>
  <si>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</si>
  <si>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</si>
  <si>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</si>
  <si>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</si>
  <si>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</si>
  <si>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</si>
  <si>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</si>
  <si>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</si>
  <si>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</si>
  <si>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</si>
  <si>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</si>
  <si>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</si>
  <si>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</si>
  <si>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</si>
  <si>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</si>
  <si>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</si>
  <si>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</si>
  <si>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</si>
  <si>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</si>
  <si>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</si>
  <si>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</si>
  <si>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</si>
  <si>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</si>
  <si>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</si>
  <si>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</si>
  <si>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</si>
  <si>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</si>
  <si>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</si>
  <si>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</si>
  <si>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</si>
  <si>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</si>
  <si>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ממשל משתנה 0526 ריפו 11/07/2024</t>
  </si>
  <si>
    <t>999999134</t>
  </si>
  <si>
    <t>11/07/2023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</si>
  <si>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</si>
  <si>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</si>
  <si>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</si>
  <si>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</si>
  <si>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</si>
  <si>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</si>
  <si>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</si>
  <si>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</si>
  <si>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</si>
  <si>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</si>
  <si>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</si>
  <si>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</si>
  <si>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09/01/2019</t>
  </si>
  <si>
    <t>סה"כ אג"ח שהנפיקו ממשלות זרות בחו"ל</t>
  </si>
  <si>
    <t>T 2.875 05/15/32</t>
  </si>
  <si>
    <t>US91282CEP23</t>
  </si>
  <si>
    <t>Aaa</t>
  </si>
  <si>
    <t>25/11/2022</t>
  </si>
  <si>
    <t>T 4.125 11/15/32</t>
  </si>
  <si>
    <t>US91282CFV81</t>
  </si>
  <si>
    <t>09/03/2023</t>
  </si>
  <si>
    <t>T 3.375 05/15/33</t>
  </si>
  <si>
    <t>US91282CHC82</t>
  </si>
  <si>
    <t>סה"כ צמודות למט"ח</t>
  </si>
  <si>
    <t>סה"כ בחו"ל</t>
  </si>
  <si>
    <t>ריט 1 אגח ד</t>
  </si>
  <si>
    <t>1129899</t>
  </si>
  <si>
    <t>513821488</t>
  </si>
  <si>
    <t>ilAA</t>
  </si>
  <si>
    <t>06/03/2014</t>
  </si>
  <si>
    <t>עזריאלי אגח ד</t>
  </si>
  <si>
    <t>1138650</t>
  </si>
  <si>
    <t>510960719</t>
  </si>
  <si>
    <t>Aa1.il</t>
  </si>
  <si>
    <t>מידרוג</t>
  </si>
  <si>
    <t>07/07/2016</t>
  </si>
  <si>
    <t>חשמל אגח 29</t>
  </si>
  <si>
    <t>6000236</t>
  </si>
  <si>
    <t>520000472</t>
  </si>
  <si>
    <t>28/03/2017</t>
  </si>
  <si>
    <t>מליסרון אגח טז</t>
  </si>
  <si>
    <t>3230265</t>
  </si>
  <si>
    <t>520037789</t>
  </si>
  <si>
    <t>12/01/2017</t>
  </si>
  <si>
    <t>פז נפט אגח ז</t>
  </si>
  <si>
    <t>1142595</t>
  </si>
  <si>
    <t>510216054</t>
  </si>
  <si>
    <t>ilA+</t>
  </si>
  <si>
    <t>25/01/2018</t>
  </si>
  <si>
    <t>הפניקס אגח 5</t>
  </si>
  <si>
    <t>7670284</t>
  </si>
  <si>
    <t>520017450</t>
  </si>
  <si>
    <t>Aa2.il</t>
  </si>
  <si>
    <t>23/02/2020</t>
  </si>
  <si>
    <t>ביג אגח יז</t>
  </si>
  <si>
    <t>1168459</t>
  </si>
  <si>
    <t>513623314</t>
  </si>
  <si>
    <t>07/09/2020</t>
  </si>
  <si>
    <t>ביג אגח יח</t>
  </si>
  <si>
    <t>1174226</t>
  </si>
  <si>
    <t>Aa3.il</t>
  </si>
  <si>
    <t>22/03/2021</t>
  </si>
  <si>
    <t>דליה אגח א</t>
  </si>
  <si>
    <t>1184951</t>
  </si>
  <si>
    <t>516269248</t>
  </si>
  <si>
    <t>A3.il</t>
  </si>
  <si>
    <t>13/03/2022</t>
  </si>
  <si>
    <t>אלוני חץ אגח טו</t>
  </si>
  <si>
    <t>1189414</t>
  </si>
  <si>
    <t>520038506</t>
  </si>
  <si>
    <t>18/06/2023</t>
  </si>
  <si>
    <t>אשטרום קבוצה אגח ב</t>
  </si>
  <si>
    <t>1132331</t>
  </si>
  <si>
    <t>510381601</t>
  </si>
  <si>
    <t>ilA</t>
  </si>
  <si>
    <t>29/05/2014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</si>
  <si>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</si>
  <si>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</si>
  <si>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</si>
  <si>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</si>
  <si>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</si>
  <si>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</si>
  <si>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</si>
  <si>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</si>
  <si>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אמות אגח ה</t>
  </si>
  <si>
    <t>1138114</t>
  </si>
  <si>
    <t>520026683</t>
  </si>
  <si>
    <t>29/03/2016</t>
  </si>
  <si>
    <t>הראל הנפקות אגח יב</t>
  </si>
  <si>
    <t>1138163</t>
  </si>
  <si>
    <t>513834200</t>
  </si>
  <si>
    <t>03/04/2016</t>
  </si>
  <si>
    <t>הראל הנפקות אגח יג</t>
  </si>
  <si>
    <t>1138171</t>
  </si>
  <si>
    <t>בזק אגח 9</t>
  </si>
  <si>
    <t>2300176</t>
  </si>
  <si>
    <t>520031931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</si>
  <si>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</si>
  <si>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</si>
  <si>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</si>
  <si>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</si>
  <si>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</si>
  <si>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</si>
  <si>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</si>
  <si>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</si>
  <si>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</si>
  <si>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</si>
  <si>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520022732</t>
  </si>
  <si>
    <t>09/10/2013</t>
  </si>
  <si>
    <t>פניקס הון אגח ח</t>
  </si>
  <si>
    <t>1139815</t>
  </si>
  <si>
    <t>514290345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</si>
  <si>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</si>
  <si>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</si>
  <si>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</si>
  <si>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</si>
  <si>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</si>
  <si>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</si>
  <si>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</si>
  <si>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</si>
  <si>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A2.il</t>
  </si>
  <si>
    <t>13/07/2006</t>
  </si>
  <si>
    <t>שלמה החזקות אגח יז</t>
  </si>
  <si>
    <t>1410299</t>
  </si>
  <si>
    <t>520034372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</si>
  <si>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</si>
  <si>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</si>
  <si>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</si>
  <si>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</si>
  <si>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</si>
  <si>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</si>
  <si>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</si>
  <si>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</si>
  <si>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Aaa.il</t>
  </si>
  <si>
    <t>22/06/2018</t>
  </si>
  <si>
    <t>גב ים אגח ח</t>
  </si>
  <si>
    <t>7590151</t>
  </si>
  <si>
    <t>520001736</t>
  </si>
  <si>
    <t>05/08/2018</t>
  </si>
  <si>
    <t>שפיר הנדסה אגח ב</t>
  </si>
  <si>
    <t>1141951</t>
  </si>
  <si>
    <t>12/09/2018</t>
  </si>
  <si>
    <t>דיסקונט השקעות אגח י</t>
  </si>
  <si>
    <t>6390348</t>
  </si>
  <si>
    <t>520023896</t>
  </si>
  <si>
    <t>ilBBB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</si>
  <si>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</si>
  <si>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</si>
  <si>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</si>
  <si>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</si>
  <si>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</si>
  <si>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</si>
  <si>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</si>
  <si>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ilAA-</t>
  </si>
  <si>
    <t>24/12/2018</t>
  </si>
  <si>
    <t>דיסקונט מנפיקים אגח יד</t>
  </si>
  <si>
    <t>7480163</t>
  </si>
  <si>
    <t>520029935</t>
  </si>
  <si>
    <t>פרטנר אגח ז</t>
  </si>
  <si>
    <t>1156397</t>
  </si>
  <si>
    <t>520044314</t>
  </si>
  <si>
    <t>06/01/2019</t>
  </si>
  <si>
    <t>לאומי אגח 180</t>
  </si>
  <si>
    <t>6040422</t>
  </si>
  <si>
    <t>520018078</t>
  </si>
  <si>
    <t>31/01/2019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</si>
  <si>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</si>
  <si>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</si>
  <si>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</si>
  <si>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</si>
  <si>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</si>
  <si>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</si>
  <si>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</si>
  <si>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</si>
  <si>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</si>
  <si>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</si>
  <si>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</si>
  <si>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510560188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</si>
  <si>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</si>
  <si>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</si>
  <si>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</si>
  <si>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</si>
  <si>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</si>
  <si>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</si>
  <si>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</si>
  <si>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</si>
  <si>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</si>
  <si>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</si>
  <si>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30/07/2008</t>
  </si>
  <si>
    <t>מיטב דש אגח ד</t>
  </si>
  <si>
    <t>1161371</t>
  </si>
  <si>
    <t>520043795</t>
  </si>
  <si>
    <t>A1.il</t>
  </si>
  <si>
    <t>25/03/2020</t>
  </si>
  <si>
    <t>בזק אגח 11</t>
  </si>
  <si>
    <t>2300234</t>
  </si>
  <si>
    <t>26/04/2020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</si>
  <si>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</si>
  <si>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</si>
  <si>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</si>
  <si>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</si>
  <si>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</si>
  <si>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</si>
  <si>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</si>
  <si>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</si>
  <si>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</si>
  <si>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</si>
  <si>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</si>
  <si>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</si>
  <si>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</si>
  <si>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</si>
  <si>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</si>
  <si>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</si>
  <si>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</si>
  <si>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</si>
  <si>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</si>
  <si>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</si>
  <si>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</si>
  <si>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</si>
  <si>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512607888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</si>
  <si>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</si>
  <si>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</si>
  <si>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</si>
  <si>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</si>
  <si>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</si>
  <si>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</si>
  <si>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</si>
  <si>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</si>
  <si>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</si>
  <si>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</si>
  <si>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</si>
  <si>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</si>
  <si>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NR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</si>
  <si>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</si>
  <si>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</si>
  <si>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</si>
  <si>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</si>
  <si>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</si>
  <si>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</si>
  <si>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</si>
  <si>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</si>
  <si>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</si>
  <si>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</si>
  <si>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</si>
  <si>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</si>
  <si>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</si>
  <si>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</si>
  <si>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</si>
  <si>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</si>
  <si>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</si>
  <si>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</si>
  <si>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</si>
  <si>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</si>
  <si>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</si>
  <si>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</si>
  <si>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510454333</t>
  </si>
  <si>
    <t>23/12/2020</t>
  </si>
  <si>
    <t>קרסו מוטורס אגח ד</t>
  </si>
  <si>
    <t>1173566</t>
  </si>
  <si>
    <t>אפריקה נכסים אגח יב</t>
  </si>
  <si>
    <t>1173764</t>
  </si>
  <si>
    <t>09/03/2021</t>
  </si>
  <si>
    <t>שיכון ובינוי אגח 10</t>
  </si>
  <si>
    <t>1175132</t>
  </si>
  <si>
    <t>520036104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</si>
  <si>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</si>
  <si>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</si>
  <si>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</si>
  <si>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</si>
  <si>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</si>
  <si>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</si>
  <si>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</si>
  <si>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</si>
  <si>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</si>
  <si>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</si>
  <si>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</si>
  <si>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</si>
  <si>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</si>
  <si>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</si>
  <si>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</si>
  <si>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</si>
  <si>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</si>
  <si>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</si>
  <si>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</si>
  <si>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</si>
  <si>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</si>
  <si>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</si>
  <si>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</si>
  <si>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</si>
  <si>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</si>
  <si>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</si>
  <si>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</si>
  <si>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</si>
  <si>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</si>
  <si>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</si>
  <si>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</si>
  <si>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</si>
  <si>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</si>
  <si>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</si>
  <si>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520000118</t>
  </si>
  <si>
    <t>12/12/2021</t>
  </si>
  <si>
    <t>הראל הנפקות אגח יח</t>
  </si>
  <si>
    <t>1182666</t>
  </si>
  <si>
    <t>14/12/2021</t>
  </si>
  <si>
    <t>מירלנד אגח ח</t>
  </si>
  <si>
    <t>1182542</t>
  </si>
  <si>
    <t>153919</t>
  </si>
  <si>
    <t>23/12/2021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</si>
  <si>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</si>
  <si>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</si>
  <si>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</si>
  <si>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</si>
  <si>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</si>
  <si>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</si>
  <si>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</si>
  <si>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</si>
  <si>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</si>
  <si>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</si>
  <si>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</si>
  <si>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</si>
  <si>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</si>
  <si>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</si>
  <si>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</si>
  <si>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</si>
  <si>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</si>
  <si>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</si>
  <si>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</si>
  <si>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</si>
  <si>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</si>
  <si>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520032046</t>
  </si>
  <si>
    <t>11/04/2022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</si>
  <si>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</si>
  <si>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</si>
  <si>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</si>
  <si>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</si>
  <si>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</si>
  <si>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</si>
  <si>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</si>
  <si>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</si>
  <si>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</si>
  <si>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</si>
  <si>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</si>
  <si>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</si>
  <si>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</si>
  <si>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</si>
  <si>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</si>
  <si>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</si>
  <si>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</si>
  <si>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</si>
  <si>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</si>
  <si>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</si>
  <si>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</si>
  <si>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</si>
  <si>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</si>
  <si>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</si>
  <si>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</si>
  <si>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</si>
  <si>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</si>
  <si>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13/12/2022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</si>
  <si>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</si>
  <si>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</si>
  <si>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</si>
  <si>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</si>
  <si>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</si>
  <si>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</si>
  <si>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</si>
  <si>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</si>
  <si>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</si>
  <si>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</si>
  <si>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</si>
  <si>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</si>
  <si>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</si>
  <si>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</si>
  <si>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</si>
  <si>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</si>
  <si>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</si>
  <si>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</si>
  <si>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</si>
  <si>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</si>
  <si>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</si>
  <si>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</si>
  <si>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</si>
  <si>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</si>
  <si>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</si>
  <si>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</si>
  <si>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</si>
  <si>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</si>
  <si>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</si>
  <si>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</si>
  <si>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</si>
  <si>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</si>
  <si>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</si>
  <si>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520025438</t>
  </si>
  <si>
    <t>31/03/2020</t>
  </si>
  <si>
    <t>מגדל הון אגח ו</t>
  </si>
  <si>
    <t>1142785</t>
  </si>
  <si>
    <t>13/08/2019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</si>
  <si>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</si>
  <si>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</si>
  <si>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</si>
  <si>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</si>
  <si>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</si>
  <si>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</si>
  <si>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</si>
  <si>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</si>
  <si>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11605970</t>
  </si>
  <si>
    <t>28/06/2023</t>
  </si>
  <si>
    <t>אלון רבוע אגח ח</t>
  </si>
  <si>
    <t>1197276</t>
  </si>
  <si>
    <t>520042847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</si>
  <si>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</si>
  <si>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</si>
  <si>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</si>
  <si>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</si>
  <si>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</si>
  <si>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</si>
  <si>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</si>
  <si>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</si>
  <si>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</si>
  <si>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</si>
  <si>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</si>
  <si>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520038274</t>
  </si>
  <si>
    <t>19/07/2023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</si>
  <si>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</si>
  <si>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</si>
  <si>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</si>
  <si>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</si>
  <si>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</si>
  <si>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</si>
  <si>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</si>
  <si>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</si>
  <si>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1198704</t>
  </si>
  <si>
    <t>520038605</t>
  </si>
  <si>
    <t>פתאל אירופה אגח ה</t>
  </si>
  <si>
    <t>1198886</t>
  </si>
  <si>
    <t>17/08/2023</t>
  </si>
  <si>
    <t>תמר פטרו אגח ב</t>
  </si>
  <si>
    <t>1143593</t>
  </si>
  <si>
    <t>515334662</t>
  </si>
  <si>
    <t>24/08/2023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</si>
  <si>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</si>
  <si>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</si>
  <si>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</si>
  <si>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</si>
  <si>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</si>
  <si>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</si>
  <si>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</si>
  <si>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</si>
  <si>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</si>
  <si>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</si>
  <si>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</si>
  <si>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</si>
  <si>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</si>
  <si>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</si>
  <si>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</si>
  <si>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</si>
  <si>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</si>
  <si>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</si>
  <si>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</si>
  <si>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</si>
  <si>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</si>
  <si>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</si>
  <si>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</si>
  <si>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</si>
  <si>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</si>
  <si>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</si>
  <si>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</si>
  <si>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</si>
  <si>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</si>
  <si>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</si>
  <si>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</si>
  <si>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</si>
  <si>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</si>
  <si>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</si>
  <si>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</si>
  <si>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</si>
  <si>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</si>
  <si>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</si>
  <si>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</si>
  <si>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</si>
  <si>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</si>
  <si>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</si>
  <si>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</si>
  <si>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</si>
  <si>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</si>
  <si>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</si>
  <si>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</si>
  <si>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</si>
  <si>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</si>
  <si>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</si>
  <si>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</si>
  <si>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</si>
  <si>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</si>
  <si>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</si>
  <si>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</si>
  <si>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</si>
  <si>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</si>
  <si>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</si>
  <si>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</si>
  <si>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</si>
  <si>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</si>
  <si>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</si>
  <si>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</si>
  <si>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</si>
  <si>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</si>
  <si>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</si>
  <si>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</si>
  <si>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</si>
  <si>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</si>
  <si>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</si>
  <si>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</si>
  <si>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</si>
  <si>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</si>
  <si>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</si>
  <si>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</si>
  <si>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</si>
  <si>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</si>
  <si>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</si>
  <si>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</si>
  <si>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</si>
  <si>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</si>
  <si>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TEVA 7.375 09/15/29</t>
  </si>
  <si>
    <t>XS2592804434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</si>
  <si>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</si>
  <si>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</si>
  <si>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</si>
  <si>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</si>
  <si>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</si>
  <si>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</si>
  <si>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</si>
  <si>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</si>
  <si>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</si>
  <si>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</si>
  <si>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</si>
  <si>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</si>
  <si>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Baa3</t>
  </si>
  <si>
    <t>22/07/2020</t>
  </si>
  <si>
    <t>IRM 4.5 02/15/31</t>
  </si>
  <si>
    <t>US46284VAN10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</si>
  <si>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</si>
  <si>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</si>
  <si>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</si>
  <si>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</si>
  <si>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</si>
  <si>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</si>
  <si>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</si>
  <si>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</si>
  <si>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</si>
  <si>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</si>
  <si>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</si>
  <si>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</si>
  <si>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</si>
  <si>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</si>
  <si>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</si>
  <si>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</si>
  <si>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</si>
  <si>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</si>
  <si>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</si>
  <si>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</si>
  <si>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</si>
  <si>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</si>
  <si>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</si>
  <si>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</si>
  <si>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</si>
  <si>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</si>
  <si>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</si>
  <si>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BBB+</t>
  </si>
  <si>
    <t>22/03/2022</t>
  </si>
  <si>
    <t>NAB 3.347  01/12/37</t>
  </si>
  <si>
    <t>US632525BB69</t>
  </si>
  <si>
    <t>Baa1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</si>
  <si>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</si>
  <si>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</si>
  <si>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</si>
  <si>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</si>
  <si>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</si>
  <si>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</si>
  <si>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</si>
  <si>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</si>
  <si>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</si>
  <si>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</si>
  <si>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</si>
  <si>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</si>
  <si>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</si>
  <si>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</si>
  <si>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</si>
  <si>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</si>
  <si>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</si>
  <si>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</si>
  <si>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</si>
  <si>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</si>
  <si>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</si>
  <si>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12/09/2022</t>
  </si>
  <si>
    <t>14/09/2022</t>
  </si>
  <si>
    <t>KD 3.15 10/15/31</t>
  </si>
  <si>
    <t>US50155QAL41</t>
  </si>
  <si>
    <t>31/10/2022</t>
  </si>
  <si>
    <t>EXPE 3.25 02/15/30</t>
  </si>
  <si>
    <t>US30212PAR64</t>
  </si>
  <si>
    <t>02/11/2022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</si>
  <si>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</si>
  <si>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</si>
  <si>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</si>
  <si>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</si>
  <si>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</si>
  <si>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</si>
  <si>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</si>
  <si>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BB+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</si>
  <si>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</si>
  <si>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</si>
  <si>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</si>
  <si>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</si>
  <si>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</si>
  <si>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</si>
  <si>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</si>
  <si>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</si>
  <si>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</si>
  <si>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</si>
  <si>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</si>
  <si>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LKQ 5.75 06/15/28</t>
  </si>
  <si>
    <t>US501889AC33</t>
  </si>
  <si>
    <t>16/05/2023</t>
  </si>
  <si>
    <t>DG 5.45 07/05/33</t>
  </si>
  <si>
    <t>US256677AP01</t>
  </si>
  <si>
    <t>08/06/2023</t>
  </si>
  <si>
    <t>GPN 5.4 08/15/32</t>
  </si>
  <si>
    <t>US37940XAQ51</t>
  </si>
  <si>
    <t>13/07/2023</t>
  </si>
  <si>
    <t>CEMEX 3.875 07/11/31</t>
  </si>
  <si>
    <t>USP2253TJR16</t>
  </si>
  <si>
    <t>19/09/2023</t>
  </si>
  <si>
    <t>VMED 4.5 07/15/31</t>
  </si>
  <si>
    <t>XS2358483258</t>
  </si>
  <si>
    <t>28/06/2021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</si>
  <si>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</si>
  <si>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</si>
  <si>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</si>
  <si>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</si>
  <si>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</si>
  <si>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</si>
  <si>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</si>
  <si>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</si>
  <si>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</si>
  <si>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</si>
  <si>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</si>
  <si>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</si>
  <si>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</si>
  <si>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</si>
  <si>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</si>
  <si>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</si>
  <si>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</si>
  <si>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</si>
  <si>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</si>
  <si>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</si>
  <si>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</si>
  <si>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</si>
  <si>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</si>
  <si>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</si>
  <si>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</si>
  <si>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</si>
  <si>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</si>
  <si>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</si>
  <si>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</si>
  <si>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</si>
  <si>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</si>
  <si>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</si>
  <si>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</si>
  <si>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</si>
  <si>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</si>
  <si>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</si>
  <si>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</si>
  <si>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</si>
  <si>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</si>
  <si>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</si>
  <si>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</si>
  <si>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BAYNGR 5.375% 03/25/82</t>
  </si>
  <si>
    <t>XS2451803063</t>
  </si>
  <si>
    <t>04/04/2022</t>
  </si>
  <si>
    <t>TELEFO 7.125 PERP</t>
  </si>
  <si>
    <t>XS2462605671</t>
  </si>
  <si>
    <t>14/11/2022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</si>
  <si>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</si>
  <si>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</si>
  <si>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</si>
  <si>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</si>
  <si>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</si>
  <si>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</si>
  <si>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</si>
  <si>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</si>
  <si>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</si>
  <si>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</si>
  <si>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</si>
  <si>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SANTAN 4.375 PERP</t>
  </si>
  <si>
    <t>XS2102912966</t>
  </si>
  <si>
    <t>04/01/2021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</si>
  <si>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</si>
  <si>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</si>
  <si>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</si>
  <si>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</si>
  <si>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</si>
  <si>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</si>
  <si>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</si>
  <si>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</si>
  <si>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</si>
  <si>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NWG 5.125 PERP</t>
  </si>
  <si>
    <t>XS2258827034</t>
  </si>
  <si>
    <t>11/01/2021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</si>
  <si>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</si>
  <si>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</si>
  <si>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</si>
  <si>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</si>
  <si>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</si>
  <si>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</si>
  <si>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</si>
  <si>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</si>
  <si>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</si>
  <si>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קסם ETF תל בונד צמודות-בנקים</t>
  </si>
  <si>
    <t>1146281</t>
  </si>
  <si>
    <t>510938608</t>
  </si>
  <si>
    <t>אג"ח</t>
  </si>
  <si>
    <t>מגדל קרן סל תל בונד תשואות</t>
  </si>
  <si>
    <t>1150119</t>
  </si>
  <si>
    <t>511303661</t>
  </si>
  <si>
    <t>תכלית קרן סל תלבונד שקלי</t>
  </si>
  <si>
    <t>1145184</t>
  </si>
  <si>
    <t>513534974</t>
  </si>
  <si>
    <t>קסם קרן סל תלבונד שקלי</t>
  </si>
  <si>
    <t>1146414</t>
  </si>
  <si>
    <t>הראל קרן סל תלבונד שקלי</t>
  </si>
  <si>
    <t>1150523</t>
  </si>
  <si>
    <t>511776783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</si>
  <si>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</si>
  <si>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</si>
  <si>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</si>
  <si>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</si>
  <si>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</si>
  <si>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</si>
  <si>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LQDE LN Equity</t>
  </si>
  <si>
    <t>IE0032895942</t>
  </si>
  <si>
    <t>LSE</t>
  </si>
  <si>
    <t>Bonds</t>
  </si>
  <si>
    <t>USCR LN Equity</t>
  </si>
  <si>
    <t>IE00BLF7VX27</t>
  </si>
  <si>
    <t>EMCA LN Equity</t>
  </si>
  <si>
    <t>IE00BFM6TD65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</si>
  <si>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</si>
  <si>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</si>
  <si>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</si>
  <si>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</si>
  <si>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</si>
  <si>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</si>
  <si>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</si>
  <si>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</si>
  <si>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</si>
  <si>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</si>
  <si>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</si>
  <si>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</si>
  <si>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</si>
  <si>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</si>
  <si>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</si>
  <si>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</si>
  <si>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</si>
  <si>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</si>
  <si>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</si>
  <si>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</si>
  <si>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</si>
  <si>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</si>
  <si>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</si>
  <si>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MOCCIIU LX Equity</t>
  </si>
  <si>
    <t>LU2240476817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</si>
  <si>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</si>
  <si>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</si>
  <si>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</si>
  <si>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</si>
  <si>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</si>
  <si>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</si>
  <si>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</si>
  <si>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</si>
  <si>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</si>
  <si>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</si>
  <si>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</si>
  <si>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</si>
  <si>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</si>
  <si>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</si>
  <si>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</si>
  <si>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</si>
  <si>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</si>
  <si>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UXYZ3 Comdty</t>
  </si>
  <si>
    <t>70175946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</si>
  <si>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</si>
  <si>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</si>
  <si>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</si>
  <si>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</si>
  <si>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</si>
  <si>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</si>
  <si>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</si>
  <si>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</si>
  <si>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</si>
  <si>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</si>
  <si>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</si>
  <si>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</si>
  <si>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</si>
  <si>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</si>
  <si>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</si>
  <si>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</si>
  <si>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</si>
  <si>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</si>
  <si>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</si>
  <si>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</si>
  <si>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</si>
  <si>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</si>
  <si>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</si>
  <si>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</si>
  <si>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</si>
  <si>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</si>
  <si>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</si>
  <si>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</si>
  <si>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</si>
  <si>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</si>
  <si>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520010869</t>
  </si>
  <si>
    <t>25/12/2006</t>
  </si>
  <si>
    <t>נתיבי גז אגח א רצף מוסדי</t>
  </si>
  <si>
    <t>1103084</t>
  </si>
  <si>
    <t>513436394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</si>
  <si>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</si>
  <si>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</si>
  <si>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</si>
  <si>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</si>
  <si>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</si>
  <si>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</si>
  <si>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</si>
  <si>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</si>
  <si>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</si>
  <si>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</si>
  <si>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</si>
  <si>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</si>
  <si>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</si>
  <si>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</si>
  <si>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</si>
  <si>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</si>
  <si>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</si>
  <si>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</si>
  <si>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</si>
  <si>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</si>
  <si>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</si>
  <si>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</si>
  <si>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</si>
  <si>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</si>
  <si>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</si>
  <si>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</si>
  <si>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</si>
  <si>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</si>
  <si>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</si>
  <si>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</si>
  <si>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</si>
  <si>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</si>
  <si>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</si>
  <si>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880326081</t>
  </si>
  <si>
    <t>לאומי אגח 1 רצף מוסדי</t>
  </si>
  <si>
    <t>1198639</t>
  </si>
  <si>
    <t>512905423</t>
  </si>
  <si>
    <t>07/08/2023</t>
  </si>
  <si>
    <t>מקס איט כתב התחייבות ב רצף מוסדי</t>
  </si>
  <si>
    <t>1156223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</si>
  <si>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</si>
  <si>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</si>
  <si>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</si>
  <si>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</si>
  <si>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</si>
  <si>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</si>
  <si>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</si>
  <si>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</si>
  <si>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</si>
  <si>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</si>
  <si>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Brosh Capital Partners</t>
  </si>
  <si>
    <t>76625236</t>
  </si>
  <si>
    <t>25/01/2021</t>
  </si>
  <si>
    <t>סה"כ קרנות נדל"ן</t>
  </si>
  <si>
    <t>סה"כ קרנות השקעה אחרות</t>
  </si>
  <si>
    <t>סה"כ קרנות השקעה בחו"ל</t>
  </si>
  <si>
    <t>RevolverCap Partners Fund</t>
  </si>
  <si>
    <t>89210</t>
  </si>
  <si>
    <t>18/11/2019</t>
  </si>
  <si>
    <t>סה"כ כתבי אופציה בישראל:</t>
  </si>
  <si>
    <t>אאורה אופציה לא סחירה 06/2024</t>
  </si>
  <si>
    <t>99368023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</si>
  <si>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</si>
  <si>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</si>
  <si>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</si>
  <si>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</si>
  <si>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</si>
  <si>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</si>
  <si>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IRS 4.245 FLOAT ILS 2023-2032</t>
  </si>
  <si>
    <t>2010852</t>
  </si>
  <si>
    <t>27/09/2023</t>
  </si>
  <si>
    <t>IRS 4.255 FLOAT ILS 2023-2032</t>
  </si>
  <si>
    <t>2010854</t>
  </si>
  <si>
    <t>IRS 4.245 FIX ILS 2023-2032</t>
  </si>
  <si>
    <t>2010851</t>
  </si>
  <si>
    <t>IRS 4.255 FIX 2023-2032</t>
  </si>
  <si>
    <t>2010853</t>
  </si>
  <si>
    <t>סה"כ  אחר</t>
  </si>
  <si>
    <t>FW EURUSD 18/10/2023 - USD</t>
  </si>
  <si>
    <t>445270100</t>
  </si>
  <si>
    <t>09/05/2023</t>
  </si>
  <si>
    <t>FW EURUSD 18/10/2023 - EUR</t>
  </si>
  <si>
    <t>445270101</t>
  </si>
  <si>
    <t>445270104</t>
  </si>
  <si>
    <t>445270105</t>
  </si>
  <si>
    <t>445281812</t>
  </si>
  <si>
    <t>445281813</t>
  </si>
  <si>
    <t>FW EURUSD 20/03/2024 - USD</t>
  </si>
  <si>
    <t>445281814</t>
  </si>
  <si>
    <t>FW EURUSD 20/03/2024 - EUR</t>
  </si>
  <si>
    <t>445281815</t>
  </si>
  <si>
    <t>445281816</t>
  </si>
  <si>
    <t>445281817</t>
  </si>
  <si>
    <t>445281818</t>
  </si>
  <si>
    <t>445281819</t>
  </si>
  <si>
    <t>FW USDILS 26/06/2024 - ILS</t>
  </si>
  <si>
    <t>445269472</t>
  </si>
  <si>
    <t>FW USDILS 26/06/2024 - USD</t>
  </si>
  <si>
    <t>445269473</t>
  </si>
  <si>
    <t>445269476</t>
  </si>
  <si>
    <t>445269477</t>
  </si>
  <si>
    <t>445269480</t>
  </si>
  <si>
    <t>445269481</t>
  </si>
  <si>
    <t>FW USDILS 24/07/2024 - ILS</t>
  </si>
  <si>
    <t>445270854</t>
  </si>
  <si>
    <t>FW USDILS 24/07/2024 - USD</t>
  </si>
  <si>
    <t>445270855</t>
  </si>
  <si>
    <t>445271276</t>
  </si>
  <si>
    <t>22/05/2023</t>
  </si>
  <si>
    <t>445271277</t>
  </si>
  <si>
    <t>445271280</t>
  </si>
  <si>
    <t>445271281</t>
  </si>
  <si>
    <t>445271332</t>
  </si>
  <si>
    <t>445271333</t>
  </si>
  <si>
    <t>445271778</t>
  </si>
  <si>
    <t>31/05/2023</t>
  </si>
  <si>
    <t>445271779</t>
  </si>
  <si>
    <t>FW USDILS 06/12/2023 - ILS</t>
  </si>
  <si>
    <t>445273338</t>
  </si>
  <si>
    <t>20/06/2023</t>
  </si>
  <si>
    <t>FW USDILS 06/12/2023 - USD</t>
  </si>
  <si>
    <t>445273339</t>
  </si>
  <si>
    <t>445274182</t>
  </si>
  <si>
    <t>26/06/2023</t>
  </si>
  <si>
    <t>445274183</t>
  </si>
  <si>
    <t>445274450</t>
  </si>
  <si>
    <t>445274451</t>
  </si>
  <si>
    <t>445274514</t>
  </si>
  <si>
    <t>29/06/2023</t>
  </si>
  <si>
    <t>445274515</t>
  </si>
  <si>
    <t>445274756</t>
  </si>
  <si>
    <t>445274757</t>
  </si>
  <si>
    <t>445275094</t>
  </si>
  <si>
    <t>10/07/2023</t>
  </si>
  <si>
    <t>445275095</t>
  </si>
  <si>
    <t>445275154</t>
  </si>
  <si>
    <t>445275155</t>
  </si>
  <si>
    <t>445275180</t>
  </si>
  <si>
    <t>445275181</t>
  </si>
  <si>
    <t>445275226</t>
  </si>
  <si>
    <t>12/07/2023</t>
  </si>
  <si>
    <t>445275227</t>
  </si>
  <si>
    <t>445276658</t>
  </si>
  <si>
    <t>24/07/2023</t>
  </si>
  <si>
    <t>445276659</t>
  </si>
  <si>
    <t>445276676</t>
  </si>
  <si>
    <t>445276677</t>
  </si>
  <si>
    <t>445276718</t>
  </si>
  <si>
    <t>25/07/2023</t>
  </si>
  <si>
    <t>445276719</t>
  </si>
  <si>
    <t>445276942</t>
  </si>
  <si>
    <t>26/07/2023</t>
  </si>
  <si>
    <t>445276943</t>
  </si>
  <si>
    <t>445277502</t>
  </si>
  <si>
    <t>01/08/2023</t>
  </si>
  <si>
    <t>445277503</t>
  </si>
  <si>
    <t>445277506</t>
  </si>
  <si>
    <t>445277507</t>
  </si>
  <si>
    <t>445278184</t>
  </si>
  <si>
    <t>09/08/2023</t>
  </si>
  <si>
    <t>445278185</t>
  </si>
  <si>
    <t>445278522</t>
  </si>
  <si>
    <t>445278523</t>
  </si>
  <si>
    <t>445278746</t>
  </si>
  <si>
    <t>16/08/2023</t>
  </si>
  <si>
    <t>445278747</t>
  </si>
  <si>
    <t>445278788</t>
  </si>
  <si>
    <t>445278789</t>
  </si>
  <si>
    <t>445278810</t>
  </si>
  <si>
    <t>445278811</t>
  </si>
  <si>
    <t>445278884</t>
  </si>
  <si>
    <t>21/08/2023</t>
  </si>
  <si>
    <t>445278885</t>
  </si>
  <si>
    <t>445279040</t>
  </si>
  <si>
    <t>22/08/2023</t>
  </si>
  <si>
    <t>445279041</t>
  </si>
  <si>
    <t>445279044</t>
  </si>
  <si>
    <t>445279045</t>
  </si>
  <si>
    <t>445279160</t>
  </si>
  <si>
    <t>445279161</t>
  </si>
  <si>
    <t>445279420</t>
  </si>
  <si>
    <t>31/08/2023</t>
  </si>
  <si>
    <t>445279421</t>
  </si>
  <si>
    <t>445279502</t>
  </si>
  <si>
    <t>445279503</t>
  </si>
  <si>
    <t>445279530</t>
  </si>
  <si>
    <t>05/09/2023</t>
  </si>
  <si>
    <t>445279531</t>
  </si>
  <si>
    <t>445280614</t>
  </si>
  <si>
    <t>445280615</t>
  </si>
  <si>
    <t>445280738</t>
  </si>
  <si>
    <t>13/09/2023</t>
  </si>
  <si>
    <t>445280739</t>
  </si>
  <si>
    <t>445281422</t>
  </si>
  <si>
    <t>20/09/2023</t>
  </si>
  <si>
    <t>445281423</t>
  </si>
  <si>
    <t>445282266</t>
  </si>
  <si>
    <t>445282267</t>
  </si>
  <si>
    <t>445282428</t>
  </si>
  <si>
    <t>26/09/2023</t>
  </si>
  <si>
    <t>445282429</t>
  </si>
  <si>
    <t>445282610</t>
  </si>
  <si>
    <t>28/09/2023</t>
  </si>
  <si>
    <t>445282611</t>
  </si>
  <si>
    <t>סה"כ חוזים עתידיים בחו"ל</t>
  </si>
  <si>
    <t>445270096</t>
  </si>
  <si>
    <t>445270097</t>
  </si>
  <si>
    <t>445272790</t>
  </si>
  <si>
    <t>09/06/2023</t>
  </si>
  <si>
    <t>445272791</t>
  </si>
  <si>
    <t>445272874</t>
  </si>
  <si>
    <t>445272875</t>
  </si>
  <si>
    <t>445272986</t>
  </si>
  <si>
    <t>14/06/2023</t>
  </si>
  <si>
    <t>445272987</t>
  </si>
  <si>
    <t>445273044</t>
  </si>
  <si>
    <t>15/06/2023</t>
  </si>
  <si>
    <t>445273045</t>
  </si>
  <si>
    <t>445274826</t>
  </si>
  <si>
    <t>445274827</t>
  </si>
  <si>
    <t>445276668</t>
  </si>
  <si>
    <t>445276669</t>
  </si>
  <si>
    <t>445277882</t>
  </si>
  <si>
    <t>445277883</t>
  </si>
  <si>
    <t>FW GBPUSD 28/02/2024 - USD</t>
  </si>
  <si>
    <t>445280808</t>
  </si>
  <si>
    <t>18/09/2023</t>
  </si>
  <si>
    <t>FW GBPUSD 28/02/2024 - GBP</t>
  </si>
  <si>
    <t>445280809</t>
  </si>
  <si>
    <t>445281292</t>
  </si>
  <si>
    <t>445281293</t>
  </si>
  <si>
    <t>445281300</t>
  </si>
  <si>
    <t>445281301</t>
  </si>
  <si>
    <t>445281808</t>
  </si>
  <si>
    <t>445281809</t>
  </si>
  <si>
    <t>445281810</t>
  </si>
  <si>
    <t>445281811</t>
  </si>
  <si>
    <t>445282582</t>
  </si>
  <si>
    <t>445282583</t>
  </si>
  <si>
    <t>AS IBOXIG Index 20/12/23 - Equity Leg</t>
  </si>
  <si>
    <t>880000307</t>
  </si>
  <si>
    <t>15/03/2023</t>
  </si>
  <si>
    <t>AS IBOXIG Index 20/12/23 - Fund Leg</t>
  </si>
  <si>
    <t>880000308</t>
  </si>
  <si>
    <t>AS BBB-BB Bonds basket 18/11/23 - Equity Leg</t>
  </si>
  <si>
    <t>880000323</t>
  </si>
  <si>
    <t>AS BBB-BB Bonds basket 18/11/23 - Fund Leg</t>
  </si>
  <si>
    <t>880000324</t>
  </si>
  <si>
    <t>880000325</t>
  </si>
  <si>
    <t>880000326</t>
  </si>
  <si>
    <t>AS IBOXIG Index 20/03/24 - Equity Leg</t>
  </si>
  <si>
    <t>880000327</t>
  </si>
  <si>
    <t>AS IBOXIG Index 20/03/24 - Fund Leg</t>
  </si>
  <si>
    <t>880000328</t>
  </si>
  <si>
    <t>AS BBB Basket 26/01/24 - Equity Leg</t>
  </si>
  <si>
    <t>880000349</t>
  </si>
  <si>
    <t>AS BBB Basket 26/01/24 - Fund Leg</t>
  </si>
  <si>
    <t>880000350</t>
  </si>
  <si>
    <t>סה"כ כנגד חסכון עמיתים/מבוטחים</t>
  </si>
  <si>
    <t>333014012</t>
  </si>
  <si>
    <t>סה"כ מובטחות במשכנתא או תיקי משכנתאות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</si>
  <si>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</si>
  <si>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</si>
  <si>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</si>
  <si>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</si>
  <si>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</si>
  <si>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</si>
  <si>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</si>
  <si>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</si>
  <si>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</si>
  <si>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</si>
  <si>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</si>
  <si>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</si>
  <si>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</si>
  <si>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</si>
  <si>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</si>
  <si>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</si>
  <si>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</si>
  <si>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</si>
  <si>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</si>
  <si>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</si>
  <si>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</si>
  <si>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</si>
  <si>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</si>
  <si>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</si>
  <si>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</si>
  <si>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</si>
  <si>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</si>
  <si>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20802647</t>
  </si>
  <si>
    <t>27/07/2023</t>
  </si>
  <si>
    <t>20802648</t>
  </si>
  <si>
    <t>20802649</t>
  </si>
  <si>
    <t>20802651</t>
  </si>
  <si>
    <t>20802652</t>
  </si>
  <si>
    <t>20802653</t>
  </si>
  <si>
    <t>2080411</t>
  </si>
  <si>
    <t>2080412</t>
  </si>
  <si>
    <t>2080499</t>
  </si>
  <si>
    <t>2080501</t>
  </si>
  <si>
    <t>2080502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</si>
  <si>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</si>
  <si>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</si>
  <si>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</si>
  <si>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</si>
  <si>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</si>
  <si>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</si>
  <si>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</si>
  <si>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</si>
  <si>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</si>
  <si>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</si>
  <si>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כן</t>
  </si>
  <si>
    <t>20701503</t>
  </si>
  <si>
    <t>18/11/2015</t>
  </si>
  <si>
    <t>2070208</t>
  </si>
  <si>
    <t>24/08/2016</t>
  </si>
  <si>
    <t>2070218</t>
  </si>
  <si>
    <t>26/10/2016</t>
  </si>
  <si>
    <t>2070243</t>
  </si>
  <si>
    <t>14/12/2016</t>
  </si>
  <si>
    <t>2070278</t>
  </si>
  <si>
    <t>14/06/2017</t>
  </si>
  <si>
    <t>2070287</t>
  </si>
  <si>
    <t>02/08/2017</t>
  </si>
  <si>
    <t>2070288</t>
  </si>
  <si>
    <t>2080202</t>
  </si>
  <si>
    <t>06/12/2017</t>
  </si>
  <si>
    <t>2080322</t>
  </si>
  <si>
    <t>30/11/2018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</si>
  <si>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</si>
  <si>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</si>
  <si>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</si>
  <si>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</si>
  <si>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</si>
  <si>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</si>
  <si>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</si>
  <si>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</si>
  <si>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</si>
  <si>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</si>
  <si>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</si>
  <si>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</si>
  <si>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</si>
  <si>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</si>
  <si>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</si>
  <si>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</si>
  <si>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</si>
  <si>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</si>
  <si>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</si>
  <si>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</si>
  <si>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</si>
  <si>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</si>
  <si>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</si>
  <si>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</si>
  <si>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</si>
  <si>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</si>
  <si>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</si>
  <si>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28/07/2021</t>
  </si>
  <si>
    <t>2080542</t>
  </si>
  <si>
    <t>11/08/2021</t>
  </si>
  <si>
    <t>2080543</t>
  </si>
  <si>
    <t>23/08/2021</t>
  </si>
  <si>
    <t>2080545</t>
  </si>
  <si>
    <t>19/09/2021</t>
  </si>
  <si>
    <t>2080549</t>
  </si>
  <si>
    <t>04/10/2021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</si>
  <si>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</si>
  <si>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</si>
  <si>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</si>
  <si>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</si>
  <si>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</si>
  <si>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</si>
  <si>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</si>
  <si>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</si>
  <si>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90240797</t>
  </si>
  <si>
    <t>11/07/2018</t>
  </si>
  <si>
    <t>2080562</t>
  </si>
  <si>
    <t>27/12/2021</t>
  </si>
  <si>
    <t>2080566</t>
  </si>
  <si>
    <t>06/01/2022</t>
  </si>
  <si>
    <t>2080567</t>
  </si>
  <si>
    <t>10/01/2022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</si>
  <si>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</si>
  <si>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</si>
  <si>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</si>
  <si>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</si>
  <si>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</si>
  <si>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</si>
  <si>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</si>
  <si>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</si>
  <si>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</si>
  <si>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</si>
  <si>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</si>
  <si>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</si>
  <si>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</si>
  <si>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</si>
  <si>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</si>
  <si>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</si>
  <si>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</si>
  <si>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</si>
  <si>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</si>
  <si>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</si>
  <si>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</si>
  <si>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</si>
  <si>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15/05/2022</t>
  </si>
  <si>
    <t>2080604</t>
  </si>
  <si>
    <t>18/05/2022</t>
  </si>
  <si>
    <t>2080607</t>
  </si>
  <si>
    <t>22/05/2022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</si>
  <si>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</si>
  <si>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</si>
  <si>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</si>
  <si>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</si>
  <si>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</si>
  <si>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</si>
  <si>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</si>
  <si>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</si>
  <si>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</si>
  <si>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</si>
  <si>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</si>
  <si>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</si>
  <si>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</si>
  <si>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</si>
  <si>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</si>
  <si>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</si>
  <si>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</si>
  <si>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</si>
  <si>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</si>
  <si>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</si>
  <si>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19/09/2022</t>
  </si>
  <si>
    <t>2080646</t>
  </si>
  <si>
    <t>2080656</t>
  </si>
  <si>
    <t>ilBBB+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</si>
  <si>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</si>
  <si>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</si>
  <si>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</si>
  <si>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</si>
  <si>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</si>
  <si>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</si>
  <si>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</si>
  <si>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</si>
  <si>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</si>
  <si>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</si>
  <si>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</si>
  <si>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</si>
  <si>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</si>
  <si>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</si>
  <si>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</si>
  <si>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</si>
  <si>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</si>
  <si>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</si>
  <si>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</si>
  <si>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19/02/2023</t>
  </si>
  <si>
    <t>2080685</t>
  </si>
  <si>
    <t>2080689</t>
  </si>
  <si>
    <t>26/02/2023</t>
  </si>
  <si>
    <t>2080690</t>
  </si>
  <si>
    <t>2080694</t>
  </si>
  <si>
    <t>2080695</t>
  </si>
  <si>
    <t>2080693</t>
  </si>
  <si>
    <t>08/03/2023</t>
  </si>
  <si>
    <t>2080700</t>
  </si>
  <si>
    <t>14/03/2023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</si>
  <si>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</si>
  <si>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</si>
  <si>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</si>
  <si>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</si>
  <si>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</si>
  <si>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</si>
  <si>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</si>
  <si>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</si>
  <si>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14/05/2023</t>
  </si>
  <si>
    <t>2080726</t>
  </si>
  <si>
    <t>29/05/2023</t>
  </si>
  <si>
    <t>2080727</t>
  </si>
  <si>
    <t>2080728</t>
  </si>
  <si>
    <t>30/05/2023</t>
  </si>
  <si>
    <t>2080732</t>
  </si>
  <si>
    <t>2080733</t>
  </si>
  <si>
    <t>2080734</t>
  </si>
  <si>
    <t>2080738</t>
  </si>
  <si>
    <t>09/07/2023</t>
  </si>
  <si>
    <t>2080739</t>
  </si>
  <si>
    <t>2080741</t>
  </si>
  <si>
    <t>06/08/2023</t>
  </si>
  <si>
    <t>2080742</t>
  </si>
  <si>
    <t>2080744</t>
  </si>
  <si>
    <t>2080747</t>
  </si>
  <si>
    <t>12/09/2023</t>
  </si>
  <si>
    <t>2080754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</si>
  <si>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</si>
  <si>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</si>
  <si>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</si>
  <si>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</si>
  <si>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</si>
  <si>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</si>
  <si>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</si>
  <si>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</si>
  <si>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</si>
  <si>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</si>
  <si>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</si>
  <si>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</si>
  <si>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</si>
  <si>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</si>
  <si>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2070286</t>
  </si>
  <si>
    <t>2070295</t>
  </si>
  <si>
    <t>ilAA+</t>
  </si>
  <si>
    <t>04/09/2017</t>
  </si>
  <si>
    <t>2070296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</si>
  <si>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</si>
  <si>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</si>
  <si>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</si>
  <si>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</si>
  <si>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</si>
  <si>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</si>
  <si>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</si>
  <si>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</si>
  <si>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</si>
  <si>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</si>
  <si>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</si>
  <si>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20803950</t>
  </si>
  <si>
    <t>ilA-</t>
  </si>
  <si>
    <t>29/07/2019</t>
  </si>
  <si>
    <t>20804061</t>
  </si>
  <si>
    <t>21/11/2019</t>
  </si>
  <si>
    <t>20702019</t>
  </si>
  <si>
    <t>26/12/2019</t>
  </si>
  <si>
    <t>20804114</t>
  </si>
  <si>
    <t>30/12/2019</t>
  </si>
  <si>
    <t>20804116</t>
  </si>
  <si>
    <t>20702022</t>
  </si>
  <si>
    <t>20802407</t>
  </si>
  <si>
    <t>01/05/2019</t>
  </si>
  <si>
    <t>2080521</t>
  </si>
  <si>
    <t>25/04/2021</t>
  </si>
  <si>
    <t>2080522</t>
  </si>
  <si>
    <t>2080531</t>
  </si>
  <si>
    <t>03/06/2021</t>
  </si>
  <si>
    <t>2080529</t>
  </si>
  <si>
    <t>30/05/2021</t>
  </si>
  <si>
    <t>2080574</t>
  </si>
  <si>
    <t>03/02/2022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</si>
  <si>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</si>
  <si>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</si>
  <si>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</si>
  <si>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</si>
  <si>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</si>
  <si>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</si>
  <si>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</si>
  <si>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</si>
  <si>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</si>
  <si>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</si>
  <si>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</si>
  <si>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</si>
  <si>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</si>
  <si>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</si>
  <si>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</si>
  <si>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</si>
  <si>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</si>
  <si>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28/02/2023</t>
  </si>
  <si>
    <t>2080704</t>
  </si>
  <si>
    <t>19/03/2023</t>
  </si>
  <si>
    <t>2080688</t>
  </si>
  <si>
    <t>12/02/2023</t>
  </si>
  <si>
    <t>2080706</t>
  </si>
  <si>
    <t>2080681</t>
  </si>
  <si>
    <t>18/01/2023</t>
  </si>
  <si>
    <t>2080724</t>
  </si>
  <si>
    <t>11/05/2023</t>
  </si>
  <si>
    <t>2080731</t>
  </si>
  <si>
    <t>2080736</t>
  </si>
  <si>
    <t>02/07/2023</t>
  </si>
  <si>
    <t>2080737</t>
  </si>
  <si>
    <t>30/06/2023</t>
  </si>
  <si>
    <t>2080745</t>
  </si>
  <si>
    <t>2080746</t>
  </si>
  <si>
    <t>2080756</t>
  </si>
  <si>
    <t>2080749</t>
  </si>
  <si>
    <t>2080750</t>
  </si>
  <si>
    <t>2080751</t>
  </si>
  <si>
    <t>2080748</t>
  </si>
  <si>
    <t>01/09/2023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</si>
  <si>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</si>
  <si>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</si>
  <si>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</si>
  <si>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</si>
  <si>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</si>
  <si>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</si>
  <si>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</si>
  <si>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</si>
  <si>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20/02/2017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</si>
  <si>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</si>
  <si>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</si>
  <si>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</si>
  <si>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</si>
  <si>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</si>
  <si>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</si>
  <si>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</si>
  <si>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</si>
  <si>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</si>
  <si>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</si>
  <si>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</si>
  <si>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</si>
  <si>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</si>
  <si>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</si>
  <si>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</si>
  <si>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</si>
  <si>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</si>
  <si>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</si>
  <si>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</si>
  <si>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</si>
  <si>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</si>
  <si>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</si>
  <si>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</si>
  <si>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</si>
  <si>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</si>
  <si>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</si>
  <si>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</si>
  <si>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</si>
  <si>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</si>
  <si>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</si>
  <si>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</si>
  <si>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</si>
  <si>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</si>
  <si>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</si>
  <si>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</si>
  <si>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</si>
  <si>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</si>
  <si>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</si>
  <si>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</si>
  <si>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</si>
  <si>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</si>
  <si>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</si>
  <si>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</si>
  <si>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</si>
  <si>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</si>
  <si>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</si>
  <si>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</si>
  <si>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</si>
  <si>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</si>
  <si>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</si>
  <si>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20/05/2021</t>
  </si>
  <si>
    <t>2080601</t>
  </si>
  <si>
    <t>26/11/2017</t>
  </si>
  <si>
    <t>777100009</t>
  </si>
  <si>
    <t>31/08/2022</t>
  </si>
  <si>
    <t>72681158</t>
  </si>
  <si>
    <t>29/12/2020</t>
  </si>
  <si>
    <t>72721459</t>
  </si>
  <si>
    <t>72721475</t>
  </si>
  <si>
    <t>סה"כ צמוד למדד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</si>
  <si>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</si>
  <si>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</si>
  <si>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</si>
  <si>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</si>
  <si>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</si>
  <si>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</si>
  <si>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</si>
  <si>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</si>
  <si>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</si>
  <si>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</si>
  <si>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</si>
  <si>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</si>
  <si>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</si>
  <si>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</si>
  <si>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</si>
  <si>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</si>
  <si>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חייבים זכאים תפעולי</t>
  </si>
  <si>
    <t>60101335</t>
  </si>
  <si>
    <t>מס לקבל דולר בוני</t>
  </si>
  <si>
    <t>20805061</t>
  </si>
  <si>
    <t>שקל  דיסקונט בנק דיסקונט לישראל בע"מ</t>
  </si>
  <si>
    <t>שקל  הפועלים בנק הפועלים בע"מ</t>
  </si>
  <si>
    <t>שקל  סיטי בנק סיטיבנק</t>
  </si>
  <si>
    <t>שקל  סיטי בנק עדכון ידני סיטיבנק</t>
  </si>
  <si>
    <t>דולר  דיסקונט בנק דיסקונט לישראל בע"מ</t>
  </si>
  <si>
    <t>דולר  הפועלים בנק הפועלים בע"מ</t>
  </si>
  <si>
    <t>דולר  סיטי בנק סיטיבנק</t>
  </si>
  <si>
    <t>אירו  סיטי בנק סיטיבנק</t>
  </si>
  <si>
    <t>יורו  סיטי בנק עדכון ידני סיטיבנק</t>
  </si>
  <si>
    <t>דולר  סיטי בנק עדכון ידני סיטיבנק</t>
  </si>
  <si>
    <t>Margin FW  Hapoalim USD בנק הפועלים בע"מ</t>
  </si>
  <si>
    <t>Margin FW  Citibank USD סיטיבנק</t>
  </si>
  <si>
    <t>שקל  יו בנק בנק יו-בנק בע"מ</t>
  </si>
  <si>
    <t>שקל  מזרחי בנק מזרחי טפחות בע"מ</t>
  </si>
  <si>
    <t>אירו  הפועלים בנק הפועלים בע"מ</t>
  </si>
  <si>
    <t>אירו  הפועלים עדכון ידני בנק הפועלים בע"מ</t>
  </si>
  <si>
    <t>דולר  הפועלים עדכון ידני בנק הפועלים בע"מ</t>
  </si>
  <si>
    <t>דולר  מזרחי בנק מזרחי טפחות בע"מ</t>
  </si>
  <si>
    <t>Margin Future  JPM USD JPM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</si>
  <si>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</si>
  <si>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</si>
  <si>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</si>
  <si>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דולר  דיסקונט עדכון ידני בנק דיסקונט לישראל בע"מ</t>
  </si>
  <si>
    <t>דולר  פועלים בנק הפועלים בע"מ</t>
  </si>
  <si>
    <t>דולר  לאומי בנק לאומי לישראל בע"מ</t>
  </si>
  <si>
    <t>דולר  לאומי עדכון ידני בנק לאומי לישראל בע"מ</t>
  </si>
  <si>
    <t>Margin FW  Discont USD בנק דיסקונט לישראל בע"מ</t>
  </si>
  <si>
    <t>Margin FW  Leumi USD בנק לאומי לישראל בע"מ</t>
  </si>
  <si>
    <t>דולר  BNY Bny Mellon</t>
  </si>
  <si>
    <t>דולר  BNY עדכון ידני Bny Mellon</t>
  </si>
  <si>
    <t>Margin FW  BNY USD Bny Mellon</t>
  </si>
  <si>
    <t>יורו  פועלים בנק הפועלים בע"מ</t>
  </si>
  <si>
    <t>אירו  לאומי בנק לאומי לישראל בע"מ</t>
  </si>
  <si>
    <t>דולר קנדי  לאומי בנק לאומי לישראל בע"מ</t>
  </si>
  <si>
    <t>Margin Future   Leumi USD בנק לאומי לישראל בע"מ</t>
  </si>
  <si>
    <t>BNY דולר עדכון ידני Bny Mellon</t>
  </si>
  <si>
    <t>דולר  GS עדכון ידני Goldman Sachs</t>
  </si>
  <si>
    <t>Margin FW   USD GS Goldman Sachs</t>
  </si>
  <si>
    <t>Margin FW  JPM USD JPM</t>
  </si>
  <si>
    <t>דולר  JPM עדכון ידני JPM</t>
  </si>
  <si>
    <t>Margin  JPM ILS JPM</t>
  </si>
  <si>
    <t>*בעל עניין/צד קשור</t>
  </si>
  <si>
    <t>סה"כ יתרות התחייבות להשקעה</t>
  </si>
  <si>
    <t>מסגרת וויצק נדלן בכיר</t>
  </si>
  <si>
    <t>2024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</si>
  <si>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</si>
  <si>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</si>
  <si>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</si>
  <si>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</si>
  <si>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2025</t>
  </si>
  <si>
    <t>מסגרת צומת OPC סטנד ביי</t>
  </si>
  <si>
    <t>מסגרת נמל דרום</t>
  </si>
  <si>
    <t>2044</t>
  </si>
  <si>
    <t>מסגרת אמפא יובלים</t>
  </si>
  <si>
    <t>מסגרת ברקת כיכר המדינה א</t>
  </si>
  <si>
    <t>2027</t>
  </si>
  <si>
    <t>מסגרת ברקת כיכר המדינה ב</t>
  </si>
  <si>
    <t>מסגרת תדהר</t>
  </si>
  <si>
    <t>2022</t>
  </si>
  <si>
    <t>מסגרת מגוריט מנרב</t>
  </si>
  <si>
    <t>2026</t>
  </si>
  <si>
    <t>מסגרת קריית התקשוב</t>
  </si>
  <si>
    <t>מסגרת קריית המודיעין</t>
  </si>
  <si>
    <t>2030</t>
  </si>
  <si>
    <t>מסגרת - Royal Palm Beach</t>
  </si>
  <si>
    <t>מסגרת מגוריט ישראל</t>
  </si>
  <si>
    <t>מסגרת דוראל</t>
  </si>
  <si>
    <t>2028</t>
  </si>
  <si>
    <t>Commitment RevolverCap Partners Fund</t>
  </si>
  <si>
    <t>Fort Lauderdale Commitment</t>
  </si>
  <si>
    <t>יין יפני</t>
  </si>
  <si>
    <t>_</t>
  </si>
  <si>
    <t>עמית א</t>
  </si>
  <si>
    <t>עמית ב</t>
  </si>
  <si>
    <t>עמית ג</t>
  </si>
  <si>
    <t>הלוואה לגורם 197</t>
  </si>
  <si>
    <t>הלוואה לגורם 199</t>
  </si>
  <si>
    <t>הלוואה לגורם 200</t>
  </si>
  <si>
    <t>הלוואה לגורם 171</t>
  </si>
  <si>
    <t>הלוואה לגורם 93</t>
  </si>
  <si>
    <t>הלוואה לגורם 94</t>
  </si>
  <si>
    <t>הלוואה לגורם 181</t>
  </si>
  <si>
    <t>הלוואה לגורם 166</t>
  </si>
  <si>
    <t>הלוואה לגורם 175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</si>
  <si>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</si>
  <si>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</si>
  <si>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</si>
  <si>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</si>
  <si>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</si>
  <si>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92</t>
  </si>
  <si>
    <t>הלוואה לגורם 169</t>
  </si>
  <si>
    <t>הלוואה לגורם 187</t>
  </si>
  <si>
    <t>הלוואה לגורם 100</t>
  </si>
  <si>
    <t>הלוואה לגורם 179</t>
  </si>
  <si>
    <t>הלוואה לגורם 168</t>
  </si>
  <si>
    <t>הלוואה לגורם 167</t>
  </si>
  <si>
    <t>הלוואה לגורם 154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</si>
  <si>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</si>
  <si>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</si>
  <si>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</si>
  <si>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</si>
  <si>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</si>
  <si>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</si>
  <si>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</si>
  <si>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165</t>
  </si>
  <si>
    <t>הלוואה לגורם 180</t>
  </si>
  <si>
    <t>הלוואה לגורם 41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</si>
  <si>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</si>
  <si>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</si>
  <si>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</si>
  <si>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</si>
  <si>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</si>
  <si>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203</t>
  </si>
  <si>
    <t>הלוואה לגורם 182</t>
  </si>
  <si>
    <t>הלוואה לגורם 174</t>
  </si>
  <si>
    <t>הלוואה לגורם 202</t>
  </si>
  <si>
    <t>הלוואה לגורם 120</t>
  </si>
  <si>
    <t>הלוואה לגורם 107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</si>
  <si>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</si>
  <si>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</si>
  <si>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</si>
  <si>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</si>
  <si>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</si>
  <si>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176</t>
  </si>
  <si>
    <t>הלוואה לגורם 177</t>
  </si>
  <si>
    <t>הלוואה לגורם 138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</si>
  <si>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</si>
  <si>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</si>
  <si>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</si>
  <si>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</si>
  <si>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</si>
  <si>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</si>
  <si>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</si>
  <si>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0J0XRGZE3PBRFEZ7MV65</t>
  </si>
  <si>
    <t>54930064UHXCIUWVI755</t>
  </si>
  <si>
    <t>254900QBKK4WBSO3GE51</t>
  </si>
  <si>
    <t>5493009JEEDYLVRA0J13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</si>
  <si>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</si>
  <si>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</si>
  <si>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</si>
  <si>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</si>
  <si>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</si>
  <si>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</si>
  <si>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</si>
  <si>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</si>
  <si>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</si>
  <si>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</si>
  <si>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</si>
  <si>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</si>
  <si>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</si>
  <si>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</si>
  <si>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</si>
  <si>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</si>
  <si>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</si>
  <si>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</si>
  <si>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</si>
  <si>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</si>
  <si>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DS830JTTZQN6GK0I2E41</t>
  </si>
  <si>
    <t>OPX52SQVOZI8IVSWYU66</t>
  </si>
  <si>
    <t>549300NOMHGVQBX6S778</t>
  </si>
  <si>
    <t>549300RIG2CXWN6IV731</t>
  </si>
  <si>
    <t>213800MRR46ECNGZ7L69</t>
  </si>
  <si>
    <t>549300HTGDOVDU6OGK19</t>
  </si>
  <si>
    <t>5299002QLUYKK2WBMB18</t>
  </si>
  <si>
    <t>5299005A2ZEP6AP7KM81</t>
  </si>
  <si>
    <t>9695005MSX1OYEMGDF46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</si>
  <si>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</si>
  <si>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</si>
  <si>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</si>
  <si>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</si>
  <si>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</si>
  <si>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</si>
  <si>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213800TB53ELEUKM7Q61</t>
  </si>
  <si>
    <t>549300CRVT18MXX0AG93</t>
  </si>
  <si>
    <t>222100CO2ZOTEPGJO223</t>
  </si>
  <si>
    <t>969500LENY69X51OOT31</t>
  </si>
  <si>
    <t>549300J4U55H3WP1XT59</t>
  </si>
  <si>
    <t>7245007FZS0M65WUGP67</t>
  </si>
  <si>
    <t>MAES062Z21O4RZ2U7M96</t>
  </si>
  <si>
    <t>O2RNE8IBXP4R0TD8PU41</t>
  </si>
  <si>
    <t>549300NYKK9MWM7GGW15</t>
  </si>
  <si>
    <t>R0MUWSFPU8MPRO8K5P83</t>
  </si>
  <si>
    <t>5493006QMFDDMYWIAM13</t>
  </si>
  <si>
    <t>DG3RU1DBUFHT4ZF9WN62</t>
  </si>
  <si>
    <t>969500TJ5KRTCJQWXH05</t>
  </si>
  <si>
    <t>213800LBQA1Y9L22JB70</t>
  </si>
  <si>
    <t>2138005O9XJIJN4JPN90</t>
  </si>
  <si>
    <t>549300Y4ZFSCU6XVGF08</t>
  </si>
  <si>
    <t>549300QQR5SNTQVNFC45</t>
  </si>
  <si>
    <t>549300D9O5F5P2DTYB19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</si>
  <si>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</si>
  <si>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</si>
  <si>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</si>
  <si>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</si>
  <si>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</si>
  <si>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</si>
  <si>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</si>
  <si>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549300H8QJOIP08BIM28</t>
  </si>
  <si>
    <t>549300B3CEAHYG7K8164</t>
  </si>
  <si>
    <t>549300RZ4TE1T5F3DY45</t>
  </si>
  <si>
    <t>51AMXMBYJTZWXA4L4L83</t>
  </si>
  <si>
    <t>FDQ3U0BX0ZTSLH0GBR19</t>
  </si>
  <si>
    <t>549300NHQGC72RX55X16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</si>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</sst>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8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10" fontId="1" fillId="2" borderId="34" xfId="3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10" fontId="13" fillId="2" borderId="34" xfId="3" applyNumberFormat="1" applyFon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4" fontId="8" fillId="3" borderId="17" xfId="0" applyNumberFormat="1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0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3836F2-6660-4896-9DFC-723482D21A20}" name="סכום נכסי הקרן1" displayName="סכום_נכסי_הקרן1" ref="A5:C41" totalsRowShown="0" headerRowDxfId="639" dataDxfId="638">
  <tableColumns count="3">
    <tableColumn id="1" xr3:uid="{D8B29A0D-C583-45F7-9EAB-85755F70AA61}" name="עמודה1" dataDxfId="637"/>
    <tableColumn id="2" xr3:uid="{C350FB8B-052B-4C25-99DC-40F595337ADB}" name="שווי הוגן" dataDxfId="636"/>
    <tableColumn id="3" xr3:uid="{FB498C6A-357F-42CB-8417-96710394F232}" name="שיעור מנכסי השקעה" dataDxfId="635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E7E695-87B5-49EB-9819-48CE3C3366D0}" name="סכום נכסי הקרן0" displayName="סכום_נכסי_הקרן0" ref="B42:C66" totalsRowShown="0" headerRowDxfId="634" dataDxfId="632" headerRowBorderDxfId="633" tableBorderDxfId="631" totalsRowBorderDxfId="630">
  <tableColumns count="2">
    <tableColumn id="1" xr3:uid="{8157298C-1F29-426D-8CBA-A179406DCE67}" name="שם המטבע" dataDxfId="629"/>
    <tableColumn id="2" xr3:uid="{B5352600-F040-437B-BC32-94E1700AEB79}" name="שע&quot;ח" dataDxfId="62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4466B5-D9D0-4FCE-90AC-DB91B54E33FC}" name="מזומנים1" displayName="מזומנים1" ref="A5:K112" totalsRowShown="0" headerRowDxfId="627" headerRowBorderDxfId="626" tableBorderDxfId="625" headerRowCellStyle="Percent">
  <tableColumns count="11">
    <tableColumn id="1" xr3:uid="{E139D85F-40B7-4DB3-9BF2-182485EBEDFD}" name="שם המנפיק/שם נייר ערך" dataDxfId="624"/>
    <tableColumn id="2" xr3:uid="{F5B0620A-8493-4636-9480-8E54B19486CB}" name="מספר נ&quot;ע" dataDxfId="623"/>
    <tableColumn id="3" xr3:uid="{26364E05-C553-40B8-8E0D-623B6B05585F}" name="מספר מנפיק" dataDxfId="622"/>
    <tableColumn id="4" xr3:uid="{859FAFE1-4C30-4772-8D96-6F277C68BC21}" name="דירוג" dataDxfId="621"/>
    <tableColumn id="5" xr3:uid="{6C127730-D0EB-41F9-AFB6-3C3C7A1397B9}" name="שם מדרג" dataDxfId="620" dataCellStyle="Percent"/>
    <tableColumn id="6" xr3:uid="{8004B0ED-1766-45CC-BBB4-79E44FF1C250}" name="סוג מטבע" dataDxfId="619"/>
    <tableColumn id="7" xr3:uid="{83DDEAD3-96EF-4AEA-83DF-EC9528D44EED}" name="שעור ריבית" dataDxfId="618" dataCellStyle="Percent"/>
    <tableColumn id="8" xr3:uid="{E5FCDFD5-CD41-46DF-B43B-EF4A100DBFE2}" name="תשואה לפדיון" dataDxfId="617" dataCellStyle="Comma"/>
    <tableColumn id="9" xr3:uid="{5F19C4CA-BAE8-4A83-A3D8-075DFC24C7E4}" name="שווי שוק" dataDxfId="616" dataCellStyle="Percent"/>
    <tableColumn id="10" xr3:uid="{4DD5981E-AF03-4327-836B-1BE968C03B2F}" name="שעור מנכסי אפיק ההשקעה" dataDxfId="615" dataCellStyle="Percent"/>
    <tableColumn id="11" xr3:uid="{DE991286-2A2D-40B6-B7E8-50B33C48436F}" name="שעור מנכסי השקעה" dataDxfId="614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FADE70-EA29-41AA-9794-BAD63DB810DE}" name="תעודות התחייבות ממשלתיות1" displayName="תעודות_התחייבות_ממשלתיות1" ref="A6:Q47" totalsRowShown="0" headerRowDxfId="613" dataDxfId="611" headerRowBorderDxfId="612" tableBorderDxfId="610" headerRowCellStyle="Percent" dataCellStyle="Percent">
  <tableColumns count="17">
    <tableColumn id="1" xr3:uid="{6B91DBD6-1688-44D8-83EA-F3ACE231A410}" name="שם המנפיק/שם נייר ערך" dataDxfId="609"/>
    <tableColumn id="2" xr3:uid="{0EC5B1CD-E9BE-4F36-A1AD-DF6D2F20B07B}" name="מספר נ&quot;ע" dataDxfId="608"/>
    <tableColumn id="3" xr3:uid="{8ED2E468-F4B9-42A4-BDB7-D9C2CA3E8588}" name="זירת מסחר" dataDxfId="607"/>
    <tableColumn id="4" xr3:uid="{BB664D6A-1A36-4B35-8E8D-166D73E857FE}" name="דירוג" dataDxfId="606"/>
    <tableColumn id="5" xr3:uid="{8146A132-37A9-4A9A-87FC-61A0966425BB}" name="שם מדרג" dataDxfId="605" dataCellStyle="Percent"/>
    <tableColumn id="6" xr3:uid="{7B00C3F9-245F-465D-A326-4E8C453911F5}" name="תאריך רכישה" dataDxfId="604" dataCellStyle="Percent"/>
    <tableColumn id="7" xr3:uid="{59C30D88-06FF-4804-ABEB-45B5EFC27BC6}" name="מח&quot;מ" dataDxfId="603" dataCellStyle="Percent"/>
    <tableColumn id="8" xr3:uid="{1EFC3CA3-A38F-4EF5-87B6-58C88EE796BB}" name="סוג מטבע" dataDxfId="602"/>
    <tableColumn id="9" xr3:uid="{CA112F1C-9CC8-4537-9976-AC684B4E4C6D}" name="שעור ריבית" dataDxfId="601" dataCellStyle="Percent"/>
    <tableColumn id="10" xr3:uid="{C85CAC03-9E2B-4277-A53F-852C74CF329A}" name="תשואה לפדיון" dataDxfId="600" dataCellStyle="Comma"/>
    <tableColumn id="11" xr3:uid="{454748B4-D157-4473-9829-EB7D7F7475FC}" name="ערך נקוב" dataDxfId="599" dataCellStyle="Comma"/>
    <tableColumn id="12" xr3:uid="{D2AC232D-D126-41D7-B36B-E8A087CB6E3B}" name="שער" dataDxfId="598" dataCellStyle="Comma"/>
    <tableColumn id="13" xr3:uid="{037D73E5-9AD5-4EB9-BFF2-5BCDA04FB3B0}" name="פדיון/ריבית לקבל" dataDxfId="597" dataCellStyle="Comma"/>
    <tableColumn id="14" xr3:uid="{C21B9361-ADD2-4489-8B3D-A6567C612FF9}" name="שווי שוק" dataDxfId="596" dataCellStyle="Percent"/>
    <tableColumn id="15" xr3:uid="{1D8A8B2C-0805-4890-83DB-442498BA3519}" name="שעור מערך נקוב מונפק" dataDxfId="595" dataCellStyle="Percent"/>
    <tableColumn id="16" xr3:uid="{197E2DAD-32F5-4808-A4BB-0D2F9A4435D3}" name="שעור מנכסי אפיק ההשקעה" dataDxfId="594" dataCellStyle="Percent"/>
    <tableColumn id="17" xr3:uid="{403B7140-5576-40C4-A31B-30BE4B0326DB}" name="שעור מנכסי השקעה" dataDxfId="593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9E7166-CD3E-481E-BF92-2639B9EC7DFE}" name="תעודות חוב מסחריות1" displayName="תעודות_חוב_מסחריות1" ref="A6:T21" totalsRowShown="0" headerRowDxfId="592" dataDxfId="590" headerRowBorderDxfId="591" tableBorderDxfId="589" headerRowCellStyle="Percent" dataCellStyle="Comma">
  <tableColumns count="20">
    <tableColumn id="1" xr3:uid="{BBA4280E-B88B-4EF1-A2D0-9A033DA0631B}" name="שם המנפיק/שם נייר ערך" dataDxfId="588"/>
    <tableColumn id="2" xr3:uid="{82CA73E9-73DD-4EB4-818E-EBFC1D5E5CC2}" name="מספר נ&quot;ע" dataDxfId="587"/>
    <tableColumn id="3" xr3:uid="{BF0CBB30-7499-4B64-AB18-819F1FF1C91B}" name="זירת מסחר" dataDxfId="586"/>
    <tableColumn id="4" xr3:uid="{19C673E1-8413-4327-AF8E-1DCC9069B495}" name="ספק מידע" dataDxfId="585"/>
    <tableColumn id="5" xr3:uid="{BE5708ED-A0D9-46A1-9819-1CBEEF927DAD}" name="מספר מנפיק" dataDxfId="584"/>
    <tableColumn id="6" xr3:uid="{834D0F2E-4EC9-494D-9975-51D0D370269D}" name="ענף מסחר" dataDxfId="583"/>
    <tableColumn id="7" xr3:uid="{D798B544-B870-4EE1-A178-10C153E0A988}" name="דירוג" dataDxfId="582" dataCellStyle="Percent"/>
    <tableColumn id="8" xr3:uid="{B4DD54F5-0B5B-4517-839D-9EC95456AFCB}" name="שם מדרג" dataDxfId="581" dataCellStyle="Percent"/>
    <tableColumn id="9" xr3:uid="{E9C8745F-9929-4491-A65C-02D598C7945E}" name="תאריך רכישה" dataDxfId="580" dataCellStyle="Percent"/>
    <tableColumn id="10" xr3:uid="{F000CE32-30BD-499E-A31D-18562E2EEF55}" name="מח&quot;מ" dataDxfId="579"/>
    <tableColumn id="11" xr3:uid="{9C0D23D1-A481-4F08-B935-C27A75E3EE74}" name="סוג מטבע" dataDxfId="578" dataCellStyle="Percent"/>
    <tableColumn id="12" xr3:uid="{6830FC61-5F87-4675-9C20-FBAE5487E174}" name="שעור ריבית" dataDxfId="577" dataCellStyle="Comma"/>
    <tableColumn id="13" xr3:uid="{7C0A62C6-8807-494D-AFFA-A06FCA630CFD}" name="תשואה לפדיון" dataDxfId="576" dataCellStyle="Comma"/>
    <tableColumn id="14" xr3:uid="{6DF83C1A-DB04-49D1-9F10-9A6F55091191}" name="ערך נקוב" dataDxfId="575" dataCellStyle="Comma"/>
    <tableColumn id="15" xr3:uid="{8BE4DA43-3A74-44AE-93B0-05F06D5CD9E8}" name="שער" dataDxfId="574" dataCellStyle="Percent"/>
    <tableColumn id="16" xr3:uid="{933C88E3-44D8-4F00-97B0-8B5F6C937DD6}" name="פדיון/ריבית לקבל" dataDxfId="573" dataCellStyle="Percent"/>
    <tableColumn id="17" xr3:uid="{3DDB1B14-688C-44D8-AE53-EF41990D4A18}" name="שווי שוק" dataDxfId="572" dataCellStyle="Percent"/>
    <tableColumn id="18" xr3:uid="{39F2F911-EBF1-4A5C-BB15-A96B64752AC6}" name="שעור מערך נקוב מונפק" dataDxfId="571" dataCellStyle="Comma"/>
    <tableColumn id="19" xr3:uid="{8D106B90-2A3B-426F-A4ED-8785B45ACB89}" name="שעור מנכסי אפיק ההשקעה" dataDxfId="570" dataCellStyle="Comma"/>
    <tableColumn id="20" xr3:uid="{87154FBA-4B89-418B-B8EA-E185FD59ED28}" name="שעור מנכסי השקעה" dataDxfId="569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4F05FF-6D08-4297-9C00-4660AC5161C3}" name="אג&quot;ח קונצרני1" displayName="אג_ח_קונצרני1" ref="A6:T222" totalsRowShown="0" headerRowDxfId="568" dataDxfId="566" headerRowBorderDxfId="567" tableBorderDxfId="565" headerRowCellStyle="Percent" dataCellStyle="Comma">
  <tableColumns count="20">
    <tableColumn id="1" xr3:uid="{3E4CB925-38D8-4A75-8F71-F28BD5434D99}" name="שם המנפיק/שם נייר ערך" dataDxfId="564"/>
    <tableColumn id="2" xr3:uid="{20C85CE9-2567-4D76-9ED6-F817F64E3BB4}" name="מספר נ&quot;ע" dataDxfId="563"/>
    <tableColumn id="3" xr3:uid="{B6EAF528-083F-4D1E-B599-E5B335E7EAD3}" name="זירת מסחר" dataDxfId="562"/>
    <tableColumn id="4" xr3:uid="{4B1992E5-81AE-48EC-811D-C826DF64EDB7}" name="ספק מידע" dataDxfId="561"/>
    <tableColumn id="5" xr3:uid="{BC5CB88B-DD34-46E6-92FB-F55AAF8ED155}" name="מספר מנפיק" dataDxfId="560"/>
    <tableColumn id="6" xr3:uid="{B65D48A8-3AC0-4EF3-876B-D6A59C75C0DF}" name="ענף מסחר" dataDxfId="559"/>
    <tableColumn id="7" xr3:uid="{19ECAD1D-A782-4D6C-98DC-23BE41EC5B54}" name="דירוג" dataDxfId="558" dataCellStyle="Percent"/>
    <tableColumn id="8" xr3:uid="{A1D5CAAE-1863-4B38-B970-831C8F14438B}" name="שם מדרג" dataDxfId="557" dataCellStyle="Percent"/>
    <tableColumn id="9" xr3:uid="{FE432BBF-B224-4AE0-9BEB-1FBD474CC06C}" name="תאריך רכישה" dataDxfId="556" dataCellStyle="Percent"/>
    <tableColumn id="10" xr3:uid="{C44E3D0D-00C5-452E-AF9B-17D42527C521}" name="מח&quot;מ" dataDxfId="555"/>
    <tableColumn id="11" xr3:uid="{46DC49A5-F954-4435-B4DC-2BEF5BA41DF2}" name="סוג מטבע" dataDxfId="554" dataCellStyle="Percent"/>
    <tableColumn id="12" xr3:uid="{9E645FCB-F5E1-4AC1-B3FE-FFC025CE111F}" name="שעור ריבית" dataDxfId="553" dataCellStyle="Comma"/>
    <tableColumn id="13" xr3:uid="{84E39A0B-AC05-41F5-9F62-E88F09C931AB}" name="תשואה לפדיון" dataDxfId="552" dataCellStyle="Comma"/>
    <tableColumn id="14" xr3:uid="{04BA6CB9-C09D-435B-A52E-8ADE3E5292FA}" name="ערך נקוב" dataDxfId="551" dataCellStyle="Comma"/>
    <tableColumn id="15" xr3:uid="{F56C1345-B291-4DE4-8290-808FE931514C}" name="שער" dataDxfId="550" dataCellStyle="Percent"/>
    <tableColumn id="16" xr3:uid="{3C226E1F-A05E-477B-833D-BCF586313BF5}" name="פדיון/ריבית לקבל" dataDxfId="549" dataCellStyle="Percent"/>
    <tableColumn id="17" xr3:uid="{7BFFA88A-6AF3-4253-8A62-AC0C3DC9FF2F}" name="שווי שוק" dataDxfId="548" dataCellStyle="Percent"/>
    <tableColumn id="18" xr3:uid="{55364FDA-AD9F-4B39-AE33-544A37BE7126}" name="שעור מערך נקוב מונפק" dataDxfId="547" dataCellStyle="Comma"/>
    <tableColumn id="19" xr3:uid="{B4571791-9DAE-4D93-95FC-A9DBA4242CF6}" name="שעור מנכסי אפיק ההשקעה" dataDxfId="546" dataCellStyle="Comma"/>
    <tableColumn id="20" xr3:uid="{7F0398E6-6BD4-46F8-BD1C-2BD0842A80C4}" name="שעור מנכסי השקעה" dataDxfId="545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2CA6CF-CACF-480F-A7DD-07761FC44A91}" name="מניות1" displayName="מניות1" ref="A6:N24" totalsRowShown="0" headerRowDxfId="544" dataDxfId="542" headerRowBorderDxfId="543" tableBorderDxfId="541" headerRowCellStyle="Percent" dataCellStyle="Percent">
  <tableColumns count="14">
    <tableColumn id="1" xr3:uid="{637FAC72-259B-47AD-BA6E-CC2ED33ADE4F}" name="שם המנפיק/שם נייר ערך" dataDxfId="540"/>
    <tableColumn id="2" xr3:uid="{BF972672-68B4-4F32-A9A5-584348135E8B}" name="מספר נ&quot;ע" dataDxfId="539"/>
    <tableColumn id="3" xr3:uid="{2B7F987A-7307-4773-B55C-36432548BE6E}" name="זירת מסחר" dataDxfId="538"/>
    <tableColumn id="4" xr3:uid="{20BF0508-4157-41E9-88BC-8AAB71172BFA}" name="ספק מידע" dataDxfId="537"/>
    <tableColumn id="5" xr3:uid="{C179E13C-9E8F-451A-82D8-122B0F8F624B}" name="מספר מנפיק" dataDxfId="536"/>
    <tableColumn id="6" xr3:uid="{1692A996-A552-4278-8E2A-1FCCB74619E5}" name="ענף מסחר" dataDxfId="535"/>
    <tableColumn id="7" xr3:uid="{1A0F03C0-36D6-4BBE-9EB5-5A43FAB0241C}" name="סוג מטבע" dataDxfId="534" dataCellStyle="Percent"/>
    <tableColumn id="8" xr3:uid="{EB61D961-E67B-4E14-BDF5-C9E0B6E330F6}" name="ערך נקוב" dataDxfId="533" dataCellStyle="Percent"/>
    <tableColumn id="9" xr3:uid="{B306FBC2-0C7F-4395-85E9-296FD812E0EF}" name="שער" dataDxfId="532" dataCellStyle="Percent"/>
    <tableColumn id="10" xr3:uid="{CD2553D9-3851-4BF0-B80E-7AEF594B7A95}" name="פדיון/ריבית לקבל" dataDxfId="531" dataCellStyle="Percent"/>
    <tableColumn id="11" xr3:uid="{593C7E81-C0C5-4CB9-89CD-D9BD680943E7}" name="שווי שוק" dataDxfId="530"/>
    <tableColumn id="12" xr3:uid="{4C74793D-4E25-4F6E-9BCE-3EB3333F4DCA}" name="שעור מערך נקוב מונפק" dataDxfId="529" dataCellStyle="Percent"/>
    <tableColumn id="13" xr3:uid="{735B81E6-5260-458A-A815-77235DC7A099}" name="שעור מנכסי אפיק ההשקעה" dataDxfId="528" dataCellStyle="Percent"/>
    <tableColumn id="14" xr3:uid="{1CC7AA6E-8FB9-438E-8640-12CC67C1F984}" name="שעור מנכסי השקעה" dataDxfId="527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C1482CD-857B-4318-B67A-C1D50BDBE68D}" name="קרנות סל1" displayName="קרנות_סל1" ref="A6:M35" totalsRowShown="0" headerRowDxfId="526" dataDxfId="524" headerRowBorderDxfId="525" tableBorderDxfId="523" headerRowCellStyle="Percent" dataCellStyle="Percent">
  <tableColumns count="13">
    <tableColumn id="1" xr3:uid="{474B4909-647B-4948-86FB-860EEE2B119C}" name="שם המנפיק/שם נייר ערך" dataDxfId="522"/>
    <tableColumn id="2" xr3:uid="{F9F31F4D-8BF7-4801-A4B7-49A8150E2779}" name="מספר נ&quot;ע" dataDxfId="521"/>
    <tableColumn id="3" xr3:uid="{CC390FFC-23FF-4CDD-B55D-0CCA7B146CC6}" name="זירת מסחר" dataDxfId="520"/>
    <tableColumn id="4" xr3:uid="{AB15A737-6F13-4247-A431-AD7E5169D1D8}" name="מספר מנפיק" dataDxfId="519"/>
    <tableColumn id="5" xr3:uid="{B7BCA803-85CA-491E-9DF8-FF7EA0D5C37F}" name="ענף מסחר" dataDxfId="518"/>
    <tableColumn id="6" xr3:uid="{8126A171-225C-4798-94FC-437E769EB607}" name="סוג מטבע" dataDxfId="517"/>
    <tableColumn id="7" xr3:uid="{D9F3E2B3-9424-40C2-9B86-52F04C575F18}" name="ערך נקוב" dataDxfId="516" dataCellStyle="Percent"/>
    <tableColumn id="8" xr3:uid="{8556A1D1-4AE9-4F88-BA3C-CE08EAFFB88B}" name="שער" dataDxfId="515" dataCellStyle="Percent"/>
    <tableColumn id="9" xr3:uid="{F106DB5E-6215-4561-9B1A-8F31766257B9}" name="פדיון/ריבית לקבל" dataDxfId="514" dataCellStyle="Percent"/>
    <tableColumn id="10" xr3:uid="{0B4EC45E-5B22-4C8B-9DBE-59FD7C9F3824}" name="שווי שוק" dataDxfId="513" dataCellStyle="Percent"/>
    <tableColumn id="11" xr3:uid="{1E2D7A2D-F85B-41DB-AA18-EE3CD4D9DE8E}" name="שעור מערך נקוב מונפק" dataDxfId="512"/>
    <tableColumn id="12" xr3:uid="{B5119285-C5FB-4FED-BE25-2DC0F3D68959}" name="שעור מנכסי אפיק ההשקעה" dataDxfId="511"/>
    <tableColumn id="13" xr3:uid="{67A73377-A1C3-4D2D-B66D-0BAE29D16D9E}" name="שעור מנכסי השקעה" dataDxfId="510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FE60906-41A4-4BB9-878C-629D2C2ABE07}" name="קרנות נאמנות1" displayName="קרנות_נאמנות1" ref="A6:N41" totalsRowShown="0" headerRowDxfId="509" dataDxfId="507" headerRowBorderDxfId="508" tableBorderDxfId="506" headerRowCellStyle="Percent" dataCellStyle="Comma">
  <tableColumns count="14">
    <tableColumn id="1" xr3:uid="{33EDE90A-3562-4424-98A4-CDA23CCFEC05}" name="שם המנפיק/שם נייר ערך" dataDxfId="505"/>
    <tableColumn id="2" xr3:uid="{AB026E95-48D1-4EEE-B5FD-B6EB92F422FA}" name="מספר נ&quot;ע" dataDxfId="504"/>
    <tableColumn id="3" xr3:uid="{91A23FA9-B4FE-400F-8479-BA37852D09D0}" name="זירת מסחר" dataDxfId="503"/>
    <tableColumn id="4" xr3:uid="{7486D27F-1BE1-4D39-A801-2E429B0BAC6A}" name="מספר מנפיק" dataDxfId="502"/>
    <tableColumn id="5" xr3:uid="{C59CAFD6-7FE4-49A9-BB27-210D2DC25F9D}" name="ענף מסחר" dataDxfId="501"/>
    <tableColumn id="6" xr3:uid="{7C1CA6EC-DD0A-4146-9F21-0978E502D5DC}" name="דירוג" dataDxfId="500" dataCellStyle="Percent"/>
    <tableColumn id="7" xr3:uid="{304A0766-5456-426A-99BA-8BCF70EAD856}" name="שם מדרג" dataDxfId="499" dataCellStyle="Percent"/>
    <tableColumn id="8" xr3:uid="{8ECB8878-D0FE-4221-AEA8-62256A9DD443}" name="סוג מטבע" dataDxfId="498" dataCellStyle="Percent"/>
    <tableColumn id="9" xr3:uid="{3D4AA1EC-862E-49E1-83A1-08F0FB61BC24}" name="ערך נקוב" dataDxfId="497"/>
    <tableColumn id="10" xr3:uid="{0D581B72-D4BB-45C5-AF94-AFF29567BBC5}" name="שער" dataDxfId="496" dataCellStyle="Percent"/>
    <tableColumn id="11" xr3:uid="{B4AE436F-C7A6-4FB9-A1F7-7E3AC99A86BD}" name="שווי שוק" dataDxfId="495" dataCellStyle="Comma"/>
    <tableColumn id="12" xr3:uid="{E84A77BF-0635-4855-B258-6AF8A9DA13C9}" name="שעור מערך נקוב מונפק" dataDxfId="494" dataCellStyle="Comma"/>
    <tableColumn id="13" xr3:uid="{620BFB6C-2CB0-487E-9D0F-8DF0440B0642}" name="שעור מנכסי אפיק ההשקעה" dataDxfId="493" dataCellStyle="Comma"/>
    <tableColumn id="14" xr3:uid="{FD2E1C28-51D8-4FF1-A54C-5A7CB0D57714}" name="שעור מנכסי השקעה" dataDxfId="492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53C401E-EDCA-4E7B-A9C6-C8AA24F0E340}" name="כתבי אופציה1" displayName="כתבי_אופציה1" ref="A6:K18" totalsRowShown="0" headerRowDxfId="491" dataDxfId="489" headerRowBorderDxfId="490" tableBorderDxfId="488" headerRowCellStyle="Percent" dataCellStyle="Percent">
  <tableColumns count="11">
    <tableColumn id="1" xr3:uid="{61B20862-C7C4-466A-AD2A-DCFCA0792A60}" name="שם המנפיק/שם נייר ערך" dataDxfId="487"/>
    <tableColumn id="2" xr3:uid="{79C3513B-09E7-42A3-8656-BA9365BB3AF7}" name="מספר נ&quot;ע" dataDxfId="486"/>
    <tableColumn id="3" xr3:uid="{18B8CD31-3BBD-40CB-B8B1-A001A7422A38}" name="זירת מסחר" dataDxfId="485"/>
    <tableColumn id="4" xr3:uid="{2873D970-78E4-4B80-A1F3-FE9FCC4375E5}" name="ענף מסחר" dataDxfId="484"/>
    <tableColumn id="5" xr3:uid="{562D2EFA-0D4B-4DE3-9F6C-FEB8B081AA39}" name="סוג מטבע" dataDxfId="483" dataCellStyle="Percent"/>
    <tableColumn id="6" xr3:uid="{E8864EC6-83EA-4486-A1FB-C3159F832DA4}" name="ערך נקוב" dataDxfId="482" dataCellStyle="Percent"/>
    <tableColumn id="7" xr3:uid="{BE152C0F-A25E-4175-A9F7-68B128EFA02E}" name="שער" dataDxfId="481" dataCellStyle="Percent"/>
    <tableColumn id="8" xr3:uid="{513D2382-F2B6-45B8-9E02-7AD8B98B4055}" name="שווי שוק" dataDxfId="480"/>
    <tableColumn id="9" xr3:uid="{7F4A945D-9B99-497E-91B9-7B79DDD83C37}" name="שעור מערך נקוב מונפק" dataDxfId="479" dataCellStyle="Percent"/>
    <tableColumn id="10" xr3:uid="{582F584D-9426-4EEC-A5F1-B780CCCD313A}" name="שעור מנכסי אפיק ההשקעה" dataDxfId="478" dataCellStyle="Percent"/>
    <tableColumn id="11" xr3:uid="{E9C88801-53A3-4AEA-8089-69E651D992CE}" name="שעור מנכסי השקעה" dataDxfId="477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AC2D2C8-5BAA-494A-8195-C8907F045857}" name="אופציות1" displayName="אופציות1" ref="A6:K25" totalsRowShown="0" headerRowDxfId="476" dataDxfId="474" headerRowBorderDxfId="475" tableBorderDxfId="473" headerRowCellStyle="Percent" dataCellStyle="Percent">
  <tableColumns count="11">
    <tableColumn id="1" xr3:uid="{F69525DA-F1E5-4473-A2C9-4669943752F3}" name="שם המנפיק/שם נייר ערך" dataDxfId="472"/>
    <tableColumn id="2" xr3:uid="{999B3F6C-D322-4187-B0AC-AE3F7F45B0A1}" name="מספר נ&quot;ע" dataDxfId="471"/>
    <tableColumn id="3" xr3:uid="{C8A8FDA4-9439-4B24-A713-EFF1AA0AA6F8}" name="זירת מסחר" dataDxfId="470"/>
    <tableColumn id="4" xr3:uid="{655FCF87-6BC9-48E1-BF65-ED1FAAA93047}" name="ענף מסחר" dataDxfId="469"/>
    <tableColumn id="5" xr3:uid="{02B4C00B-519C-40AF-8D92-0A2BEA49BFD7}" name="סוג מטבע" dataDxfId="468"/>
    <tableColumn id="6" xr3:uid="{16520BE7-9760-43BA-9EDE-4E75315E939F}" name="ערך נקוב" dataDxfId="467" dataCellStyle="Percent"/>
    <tableColumn id="7" xr3:uid="{96B74074-3455-42E2-B5A2-157AC4881398}" name="שער" dataDxfId="466" dataCellStyle="Percent"/>
    <tableColumn id="8" xr3:uid="{E5A943B3-3401-4A24-A270-747CCC8DFDB2}" name="שווי שוק" dataDxfId="465" dataCellStyle="Percent"/>
    <tableColumn id="9" xr3:uid="{074067AE-A7C6-407B-92AA-A6B85B3540DC}" name="שעור מערך נקוב מונפק" dataDxfId="464"/>
    <tableColumn id="10" xr3:uid="{D88A0449-BF08-47FD-BFF3-CC8FC0144515}" name="שעור מנכסי אפיק ההשקעה" dataDxfId="463" dataCellStyle="Percent"/>
    <tableColumn id="11" xr3:uid="{3F12DA20-450D-4504-8FEF-07571272D1B0}" name="שעור מנכסי השקעה" dataDxfId="462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628D7F0-833F-4365-9672-54811DDDBDCB}" name="חוזים עתידיים1" displayName="חוזים_עתידיים1" ref="A6:J17" totalsRowShown="0" headerRowDxfId="461" dataDxfId="459" headerRowBorderDxfId="460" tableBorderDxfId="458" headerRowCellStyle="Percent" dataCellStyle="Percent">
  <tableColumns count="10">
    <tableColumn id="1" xr3:uid="{4D6B3CE6-2CE7-4F42-A688-239D62CCBB9B}" name="שם המנפיק/שם נייר ערך" dataDxfId="457"/>
    <tableColumn id="2" xr3:uid="{9F7977E2-F3AF-421F-814E-0744373C9AB7}" name="מספר נ&quot;ע" dataDxfId="456"/>
    <tableColumn id="3" xr3:uid="{35FB4F26-36EB-4A55-B660-4EE020F5AC51}" name="זירת מסחר" dataDxfId="455"/>
    <tableColumn id="4" xr3:uid="{24B89DB3-002D-425E-8388-0E4AB38D7677}" name="ענף מסחר" dataDxfId="454"/>
    <tableColumn id="5" xr3:uid="{3DC5950E-0C57-4090-B73E-4BFC69D6DF58}" name="סוג מטבע" dataDxfId="453" dataCellStyle="Percent"/>
    <tableColumn id="6" xr3:uid="{78FE7677-84E8-42F8-BC3F-830C4D05B8AC}" name="ערך נקוב" dataDxfId="452" dataCellStyle="Percent"/>
    <tableColumn id="7" xr3:uid="{B89A5F96-11A8-43E6-8CBF-D6B4EBB47443}" name="שער" dataDxfId="451" dataCellStyle="Percent"/>
    <tableColumn id="8" xr3:uid="{E6DAA52E-0E1A-479A-BCB4-E63F5BB2677B}" name="שווי שוק" dataDxfId="450"/>
    <tableColumn id="9" xr3:uid="{B225352D-6DEF-4CFC-AFAB-F704FF4B25CC}" name="שעור מנכסי אפיק ההשקעה" dataDxfId="449"/>
    <tableColumn id="10" xr3:uid="{C904F76D-4B64-44DD-887B-D14B5C63C677}" name="שעור מנכסי השקעה" dataDxfId="448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D05B8E-3FED-4286-8F31-B56F6CCA53E6}" name="מוצרים מובנים1" displayName="מוצרים_מובנים1" ref="A6:P30" totalsRowShown="0" headerRowDxfId="447" dataDxfId="445" headerRowBorderDxfId="446" tableBorderDxfId="444" headerRowCellStyle="Percent" dataCellStyle="Comma">
  <tableColumns count="16">
    <tableColumn id="1" xr3:uid="{414CDA58-FAE0-4C65-ACCF-D0CD0F76D326}" name="שם המנפיק/שם נייר ערך" dataDxfId="443"/>
    <tableColumn id="2" xr3:uid="{E14FC1B9-4B3B-406A-8A9B-6B0B91531159}" name="מספר נ&quot;ע" dataDxfId="442"/>
    <tableColumn id="3" xr3:uid="{318B4B67-6ABF-4BAC-887E-3B7AFB7EB2F3}" name="נכס הבסיס" dataDxfId="441"/>
    <tableColumn id="4" xr3:uid="{3120B1E4-FA4A-4A5E-8BD5-87D0455D2370}" name="דירוג" dataDxfId="440" dataCellStyle="Percent"/>
    <tableColumn id="5" xr3:uid="{93011E94-AA01-4595-B091-3713540D2514}" name="שם מדרג" dataDxfId="439" dataCellStyle="Percent"/>
    <tableColumn id="6" xr3:uid="{C30D4817-28E3-4696-927B-1E47499826E9}" name="תאריך רכישה" dataDxfId="438" dataCellStyle="Percent"/>
    <tableColumn id="7" xr3:uid="{C39C5EF6-E243-4E4B-80EF-08FB6B746DBC}" name="מח&quot;מ" dataDxfId="437"/>
    <tableColumn id="8" xr3:uid="{67059DB7-30E2-4AED-8AFA-D527184CD3BF}" name="סוג מטבע" dataDxfId="436" dataCellStyle="Percent"/>
    <tableColumn id="9" xr3:uid="{8F917EAA-49E5-4D15-AE3F-AFE19A6FF509}" name="שעור ריבית" dataDxfId="435" dataCellStyle="Comma"/>
    <tableColumn id="10" xr3:uid="{32BF470C-02EF-47BC-AF83-02309216640E}" name="תשואה לפדיון" dataDxfId="434" dataCellStyle="Comma"/>
    <tableColumn id="11" xr3:uid="{3A96B161-5B00-4AA6-ABCD-9FA26A8526C6}" name="ערך נקוב" dataDxfId="433" dataCellStyle="Comma"/>
    <tableColumn id="12" xr3:uid="{C7EB3459-283E-4A70-BA4D-DB43E5392907}" name="שער" dataDxfId="432" dataCellStyle="Percent"/>
    <tableColumn id="13" xr3:uid="{CE23343F-D344-482A-B1CB-5EA0B8D361A9}" name="שווי שוק" dataDxfId="431" dataCellStyle="Percent"/>
    <tableColumn id="14" xr3:uid="{AD6E6F8E-60C9-4C50-8BDF-AB8287A85C67}" name="שעור מערך נקוב מונפק" dataDxfId="430" dataCellStyle="Comma"/>
    <tableColumn id="15" xr3:uid="{74B5C973-525F-465A-8C97-9A47B0D25537}" name="שעור מנכסי אפיק ההשקעה" dataDxfId="429" dataCellStyle="Comma"/>
    <tableColumn id="16" xr3:uid="{F5090433-C68F-4B4C-8977-7606E25DC104}" name="שעור מנכסי השקעה" dataDxfId="428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44358A8-F9FE-4F16-A125-FDCFF712FE3E}" name="לא סחיר- תעודות התחייבות ממשלתי1" displayName="לא_סחיר__תעודות_התחייבות_ממשלתי1" ref="A6:O23" totalsRowShown="0" headerRowDxfId="427" dataDxfId="425" headerRowBorderDxfId="426" tableBorderDxfId="424" headerRowCellStyle="Percent" dataCellStyle="Percent">
  <tableColumns count="15">
    <tableColumn id="1" xr3:uid="{E68BB33B-CE0D-4128-936C-13D6C44FC8D4}" name="שם המנפיק/שם נייר ערך" dataDxfId="423"/>
    <tableColumn id="2" xr3:uid="{53155424-6B46-452D-85DF-F2E262EBE0A6}" name="מספר נ&quot;ע" dataDxfId="422"/>
    <tableColumn id="3" xr3:uid="{867534FD-AD93-4B82-9DAD-35D3022AE241}" name="דירוג" dataDxfId="421"/>
    <tableColumn id="4" xr3:uid="{180AAAE6-E2F5-42D6-9E81-7E724C392A6D}" name="שם מדרג" dataDxfId="420" dataCellStyle="Percent"/>
    <tableColumn id="5" xr3:uid="{9F010AA0-22C5-4D98-A1AC-5D54CCDDCD37}" name="תאריך רכישה" dataDxfId="419" dataCellStyle="Percent"/>
    <tableColumn id="6" xr3:uid="{11B55C58-190C-4C15-97D4-C236B0359BC3}" name="מח&quot;מ" dataDxfId="418" dataCellStyle="Percent"/>
    <tableColumn id="7" xr3:uid="{D9AB7E2D-E7A2-460E-9B00-76833FDB8D5A}" name="סוג מטבע" dataDxfId="417"/>
    <tableColumn id="8" xr3:uid="{1E12A446-0E03-490C-B6F5-87B4BFC6A888}" name="שעור ריבית" dataDxfId="416" dataCellStyle="Percent"/>
    <tableColumn id="9" xr3:uid="{9D6E93C2-99A6-4AFB-B60C-DB92003E7161}" name="תשואה לפדיון" dataDxfId="415" dataCellStyle="Comma"/>
    <tableColumn id="10" xr3:uid="{0ACEAFD2-94D8-4D02-B55F-6F75AD0323B6}" name="ערך נקוב" dataDxfId="414" dataCellStyle="Comma"/>
    <tableColumn id="11" xr3:uid="{7C8F852B-0E0B-49C1-ABF9-B9F051C6EF69}" name="שער" dataDxfId="413" dataCellStyle="Comma"/>
    <tableColumn id="12" xr3:uid="{7089EF1F-1899-4ADD-ADCC-8DD557C51A23}" name="שווי הוגן" dataDxfId="412" dataCellStyle="Percent"/>
    <tableColumn id="13" xr3:uid="{A9CB7708-62DA-43B4-BA86-931045358E10}" name="שעור מערך נקוב מונפק" dataDxfId="411" dataCellStyle="Percent"/>
    <tableColumn id="14" xr3:uid="{3A467E6A-2737-490F-9B34-2110B598F7C9}" name="שעור מנכסי אפיק ההשקעה" dataDxfId="410" dataCellStyle="Percent"/>
    <tableColumn id="15" xr3:uid="{D5520429-FE43-4E77-A3CA-94F970C18BF8}" name="שעור מנכסי השקעה" dataDxfId="409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8F3AD02-A40F-4EA6-886F-D9052B95CF96}" name="לא סחיר - תעודות חוב מסחריות1" displayName="לא_סחיר___תעודות_חוב_מסחריות1" ref="A6:R22" totalsRowShown="0" headerRowDxfId="408" dataDxfId="406" headerRowBorderDxfId="407" tableBorderDxfId="405" headerRowCellStyle="Percent" dataCellStyle="Comma">
  <tableColumns count="18">
    <tableColumn id="1" xr3:uid="{BB8CBAF1-18DE-405B-96B8-8DCA7E6DDA53}" name="שם המנפיק/שם נייר ערך" dataDxfId="404"/>
    <tableColumn id="2" xr3:uid="{7BAB3E98-6F76-4212-9C14-42BB2364F906}" name="מספר נ&quot;ע" dataDxfId="403"/>
    <tableColumn id="3" xr3:uid="{BA3EA2AC-6C61-43E1-A20C-73CFD189F31E}" name="ספק המידע" dataDxfId="402"/>
    <tableColumn id="4" xr3:uid="{E9E50063-B617-4ECC-B4E4-622885AA249E}" name="מספר מנפיק" dataDxfId="401"/>
    <tableColumn id="5" xr3:uid="{30683394-36DF-4817-9B27-FAEA198F5EF5}" name="ענף מסחר" dataDxfId="400"/>
    <tableColumn id="6" xr3:uid="{5F9515DB-4AB5-47B0-9E97-3A6E2AF73E2F}" name="דירוג" dataDxfId="399" dataCellStyle="Percent"/>
    <tableColumn id="7" xr3:uid="{41796F8E-75C9-4648-8C74-9834BF87B63B}" name="שם מדרג" dataDxfId="398" dataCellStyle="Percent"/>
    <tableColumn id="8" xr3:uid="{ECA524B6-0B9A-46AD-BE82-997CBD997B6C}" name="תאריך רכישה" dataDxfId="397" dataCellStyle="Percent"/>
    <tableColumn id="9" xr3:uid="{ADD8EF74-9E4D-497D-8DD4-1C3BD0B36E82}" name="מח&quot;מ" dataDxfId="396"/>
    <tableColumn id="10" xr3:uid="{07E1B77C-9FBA-431D-9A93-32173922BAF3}" name="סוג מטבע" dataDxfId="395" dataCellStyle="Percent"/>
    <tableColumn id="11" xr3:uid="{A353BBC8-584F-4155-B8E4-7C41605F7603}" name="שעור ריבית" dataDxfId="394" dataCellStyle="Comma"/>
    <tableColumn id="12" xr3:uid="{3C06B76F-7399-4C6E-91D7-994CCCC67422}" name="תשואה לפדיון" dataDxfId="393" dataCellStyle="Comma"/>
    <tableColumn id="13" xr3:uid="{F593DAE9-3FF6-45C6-A6E4-6407B9151CD4}" name="ערך נקוב" dataDxfId="392" dataCellStyle="Comma"/>
    <tableColumn id="14" xr3:uid="{5426F587-947E-4B19-9F42-B052DB90D323}" name="שער" dataDxfId="391" dataCellStyle="Percent"/>
    <tableColumn id="15" xr3:uid="{3600763F-EFCB-4FF6-8E6C-1603D84F01B1}" name="שווי הוגן" dataDxfId="390" dataCellStyle="Percent"/>
    <tableColumn id="16" xr3:uid="{E2762ECD-5B8C-4BD7-B7F8-1D3DA89628FF}" name="שעור מערך נקוב מונפק" dataDxfId="389" dataCellStyle="Comma"/>
    <tableColumn id="17" xr3:uid="{BF4A08A1-1E1E-46D5-AB22-B6CD768566BC}" name="שעור מנכסי אפיק ההשקעה" dataDxfId="388" dataCellStyle="Comma"/>
    <tableColumn id="18" xr3:uid="{3CA4BD31-B27B-42F2-8042-A13C76237CD9}" name="שעור מנכסי השקעה" dataDxfId="387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08F426B-8680-4E44-B993-4FB9E90F97BE}" name="לא סחיר - אג&quot;ח קונצרני1" displayName="לא_סחיר___אג_ח_קונצרני1" ref="A6:R39" totalsRowShown="0" headerRowDxfId="386" dataDxfId="384" headerRowBorderDxfId="385" tableBorderDxfId="383" headerRowCellStyle="Percent" dataCellStyle="Comma">
  <tableColumns count="18">
    <tableColumn id="1" xr3:uid="{72D5E6F7-49C4-4CCC-993C-308DE7E65185}" name="שם המנפיק/שם נייר ערך" dataDxfId="382"/>
    <tableColumn id="2" xr3:uid="{1D94E308-E6D8-4242-B5B7-E0EA53550346}" name="מספר נ&quot;ע" dataDxfId="381"/>
    <tableColumn id="3" xr3:uid="{F8B41863-65D6-4354-B938-DC06CF160219}" name="ספק המידע" dataDxfId="380"/>
    <tableColumn id="4" xr3:uid="{0F219323-4371-4894-91F7-5366C041B287}" name="מספר מנפיק" dataDxfId="379"/>
    <tableColumn id="5" xr3:uid="{36762AB6-5D22-4F53-8245-68276F278652}" name="ענף מסחר" dataDxfId="378"/>
    <tableColumn id="6" xr3:uid="{09A70D0A-EEEB-40C2-8E71-0B19B9EF8023}" name="דירוג" dataDxfId="377" dataCellStyle="Percent"/>
    <tableColumn id="7" xr3:uid="{06AB775D-70C1-4283-A954-D24AAA87348D}" name="שם מדרג" dataDxfId="376" dataCellStyle="Percent"/>
    <tableColumn id="8" xr3:uid="{63F1C818-CA02-4B69-A4DF-D934A45988AE}" name="תאריך רכישה" dataDxfId="375" dataCellStyle="Percent"/>
    <tableColumn id="9" xr3:uid="{6C89F52F-0A02-496E-8E62-C6F6E4277DA7}" name="מח&quot;מ" dataDxfId="374"/>
    <tableColumn id="10" xr3:uid="{E0D04B7B-13F1-4D91-A0E0-93B126ABB751}" name="סוג מטבע" dataDxfId="373" dataCellStyle="Percent"/>
    <tableColumn id="11" xr3:uid="{228BDA2C-FC01-4F15-8123-A4B91A306CFE}" name="שעור ריבית" dataDxfId="372" dataCellStyle="Comma"/>
    <tableColumn id="12" xr3:uid="{52E98A09-2BE5-43D9-999A-CBBCA9576BA2}" name="תשואה לפדיון" dataDxfId="371" dataCellStyle="Comma"/>
    <tableColumn id="13" xr3:uid="{9AA96686-DE6A-403E-94C3-53E3BDE0C1FE}" name="ערך נקוב" dataDxfId="370" dataCellStyle="Comma"/>
    <tableColumn id="14" xr3:uid="{DB89A265-DB4D-4171-A785-309B16D58D97}" name="שער" dataDxfId="369" dataCellStyle="Percent"/>
    <tableColumn id="15" xr3:uid="{C1DFBE0D-4825-4111-8CBF-10D5411AED2E}" name="שווי הוגן" dataDxfId="368" dataCellStyle="Percent"/>
    <tableColumn id="16" xr3:uid="{6021D4F2-83E7-4896-A3D7-70FBE95CB578}" name="שעור מערך נקוב מונפק" dataDxfId="367" dataCellStyle="Comma"/>
    <tableColumn id="17" xr3:uid="{7254475F-4FD3-49DA-AD9E-196B03462E7E}" name="שעור מנכסי אפיק ההשקעה" dataDxfId="366" dataCellStyle="Comma"/>
    <tableColumn id="18" xr3:uid="{287CF97E-BE42-4C08-ACBD-CDEE84FC61FA}" name="שעור מנכסי השקעה" dataDxfId="365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F950B7D-F933-4603-8833-ACE710AF53AD}" name="לא סחיר - מניות1" displayName="לא_סחיר___מניות1" ref="A6:L18" totalsRowShown="0" headerRowDxfId="364" dataDxfId="362" headerRowBorderDxfId="363" tableBorderDxfId="361" headerRowCellStyle="Percent" dataCellStyle="Percent">
  <tableColumns count="12">
    <tableColumn id="1" xr3:uid="{6F03A6E5-02C8-4920-834F-054DCCE45E24}" name="שם המנפיק/שם נייר ערך" dataDxfId="360"/>
    <tableColumn id="2" xr3:uid="{A27815B8-8661-4BDE-85B0-5FB55E705166}" name="מספר נ&quot;ע" dataDxfId="359"/>
    <tableColumn id="3" xr3:uid="{F055ADB5-D378-43AC-8B72-487E87E8FAC9}" name="ספק המידע" dataDxfId="358"/>
    <tableColumn id="4" xr3:uid="{D68DDB74-DB11-47B4-B7A1-FD5F9A90D828}" name="מספר מנפיק" dataDxfId="357"/>
    <tableColumn id="5" xr3:uid="{ABDA0414-9850-463B-BC5B-24869CE97E4D}" name="ענף מסחר" dataDxfId="356"/>
    <tableColumn id="6" xr3:uid="{80977286-6E83-4D5F-AEAE-56A6A10D244C}" name="סוג מטבע" dataDxfId="355" dataCellStyle="Percent"/>
    <tableColumn id="7" xr3:uid="{32808ADE-60C5-4ADE-B8E1-6754BC28626F}" name="ערך נקוב" dataDxfId="354" dataCellStyle="Percent"/>
    <tableColumn id="8" xr3:uid="{DFC3756E-2AB6-40C1-9935-CEC2550A6EC3}" name="שער" dataDxfId="353" dataCellStyle="Percent"/>
    <tableColumn id="9" xr3:uid="{0D87AE33-9653-4607-AC07-81721FB7113A}" name="שווי שוק" dataDxfId="352"/>
    <tableColumn id="10" xr3:uid="{B4A7468F-6A2D-454A-B008-B7C4A00279BF}" name="שעור מערך נקוב מונפק" dataDxfId="351" dataCellStyle="Percent"/>
    <tableColumn id="11" xr3:uid="{6A1F2D52-202A-4C59-9E8B-3C2C980A2911}" name="שעור מנכסי אפיק ההשקעה" dataDxfId="350" dataCellStyle="Percent"/>
    <tableColumn id="12" xr3:uid="{619C7CB2-1642-4E2A-B62F-4AD34E4F15DF}" name="שעור מנכסי השקעה" dataDxfId="349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CD82BE7-BD28-49A8-8927-E42C3799D0B2}" name="לא סחיר - קרנות השקעה1" displayName="לא_סחיר___קרנות_השקעה1" ref="A6:J26" totalsRowShown="0" headerRowDxfId="348" dataDxfId="346" headerRowBorderDxfId="347" tableBorderDxfId="345" headerRowCellStyle="Percent" dataCellStyle="Comma">
  <tableColumns count="10">
    <tableColumn id="1" xr3:uid="{9FD58979-8949-4FED-8F92-9477E3876EF7}" name="שם המנפיק/שם נייר ערך" dataDxfId="344"/>
    <tableColumn id="2" xr3:uid="{93AC6DE9-8C05-4F38-9349-76E115359D6E}" name="מספר נ&quot;ע" dataDxfId="343"/>
    <tableColumn id="3" xr3:uid="{75C549C9-9A8F-496F-8939-F1474611959F}" name="סוג מטבע" dataDxfId="342" dataCellStyle="Percent"/>
    <tableColumn id="4" xr3:uid="{93F5B382-AEC8-46BD-A335-AE1679BC2F4D}" name="תאריך רכישה" dataDxfId="341" dataCellStyle="Percent"/>
    <tableColumn id="5" xr3:uid="{D389E028-458B-444C-8BB0-C8D7EAFD01A4}" name="ערך נקוב" dataDxfId="340" dataCellStyle="Percent"/>
    <tableColumn id="6" xr3:uid="{DA9CD4B4-A12F-49D3-8C9D-7D76D0FB5E68}" name="שער" dataDxfId="339"/>
    <tableColumn id="7" xr3:uid="{4D65BBE3-4DA4-46C2-8C10-340E340CA5DC}" name="שווי הוגן" dataDxfId="338" dataCellStyle="Percent"/>
    <tableColumn id="8" xr3:uid="{36F733B0-8E01-4CDE-8670-165B7A14D423}" name="שעור מערך נקוב מונפק" dataDxfId="337" dataCellStyle="Comma"/>
    <tableColumn id="9" xr3:uid="{D3872295-B41B-465F-9CAF-785CE8637648}" name="שעור מנכסי אפיק ההשקעה" dataDxfId="336" dataCellStyle="Comma"/>
    <tableColumn id="10" xr3:uid="{532ED2AB-2647-453B-B102-7F2183DA2443}" name="שעור מנכסי השקעה" dataDxfId="335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167DEF2-07D3-4942-A515-4AE07D1D8A08}" name="לא סחיר - כתבי אופציה1" displayName="לא_סחיר___כתבי_אופציה1" ref="A6:K17" totalsRowShown="0" headerRowDxfId="334" dataDxfId="332" headerRowBorderDxfId="333" tableBorderDxfId="331" headerRowCellStyle="Percent" dataCellStyle="Comma">
  <tableColumns count="11">
    <tableColumn id="1" xr3:uid="{08564D16-6BE6-41E5-A594-5B32296B7087}" name="שם המנפיק/שם נייר ערך" dataDxfId="330"/>
    <tableColumn id="2" xr3:uid="{27085ECA-4D18-46FB-961C-F53DF1A0A7C4}" name="מספר נ&quot;ע" dataDxfId="329"/>
    <tableColumn id="3" xr3:uid="{DFD504CD-03DC-4A96-A1A9-31B196EC457A}" name="ענף מסחר" dataDxfId="328"/>
    <tableColumn id="4" xr3:uid="{B8B519C6-33C3-4CE1-BBA8-2D62AC36C36D}" name="סוג מטבע" dataDxfId="327" dataCellStyle="Percent"/>
    <tableColumn id="5" xr3:uid="{082BE2C9-87F5-4B6B-96FD-1F1B6A1991E0}" name="תאריך רכישה" dataDxfId="326" dataCellStyle="Percent"/>
    <tableColumn id="6" xr3:uid="{D77EEAC7-1CA4-4F77-91D4-103471E8B0E9}" name="ערך נקוב" dataDxfId="325" dataCellStyle="Percent"/>
    <tableColumn id="7" xr3:uid="{052F2FE8-07C3-46AE-8BE0-6B234E25EF93}" name="שער" dataDxfId="324"/>
    <tableColumn id="8" xr3:uid="{7FADE159-9367-41AE-8378-1A1E311A7A69}" name="שווי הוגן" dataDxfId="323" dataCellStyle="Percent"/>
    <tableColumn id="9" xr3:uid="{EEC341EA-2412-462B-BEBE-C91C16EF97BE}" name="שעור מערך נקוב מונפק" dataDxfId="322" dataCellStyle="Comma"/>
    <tableColumn id="10" xr3:uid="{FBAD2BE8-42AA-48C0-AC72-782DD5EBC5A6}" name="שעור מנכסי אפיק ההשקעה" dataDxfId="321" dataCellStyle="Comma"/>
    <tableColumn id="11" xr3:uid="{5697BA36-7DDB-46D5-9B1D-4F3A0BDE0551}" name="שעור מנכסי השקעה" dataDxfId="320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65F65BD-A1AF-4323-9E5B-4A21F3B5667F}" name="לא סחיר - אופציות1" displayName="לא_סחיר___אופציות1" ref="A6:K26" totalsRowShown="0" headerRowDxfId="319" dataDxfId="317" headerRowBorderDxfId="318" tableBorderDxfId="316" headerRowCellStyle="Percent" dataCellStyle="Comma">
  <tableColumns count="11">
    <tableColumn id="1" xr3:uid="{023E9CCC-FB28-45A0-A336-4DC5B6EEA44B}" name="שם המנפיק/שם נייר ערך" dataDxfId="315"/>
    <tableColumn id="2" xr3:uid="{32B0AD7A-A096-4F26-B600-A00070A2BC17}" name="מספר נ&quot;ע" dataDxfId="314"/>
    <tableColumn id="3" xr3:uid="{87806865-8317-4527-9E8B-DC6BF95FA363}" name="ענף מסחר" dataDxfId="313"/>
    <tableColumn id="4" xr3:uid="{92C6B7DB-8ED1-4E9E-9D22-948CEE3BB94A}" name="סוג מטבע" dataDxfId="312" dataCellStyle="Percent"/>
    <tableColumn id="5" xr3:uid="{638E746E-F924-4960-8C91-9E8104CD76E4}" name="תאריך רכישה" dataDxfId="311" dataCellStyle="Percent"/>
    <tableColumn id="6" xr3:uid="{044AEF1A-90AD-401D-91AD-1109645BB8D9}" name="ערך נקוב" dataDxfId="310" dataCellStyle="Percent"/>
    <tableColumn id="7" xr3:uid="{A32E8EEF-8D1E-4F36-A7DB-A8F69C2DCF71}" name="שער" dataDxfId="309"/>
    <tableColumn id="8" xr3:uid="{8ACC3B1D-A2D1-4B8D-8D5B-461985167DEC}" name="שווי הוגן" dataDxfId="308" dataCellStyle="Percent"/>
    <tableColumn id="9" xr3:uid="{F94EE891-5DB7-4D48-9B19-AC7D77B3D2DC}" name="שעור מערך נקוב מונפק" dataDxfId="307" dataCellStyle="Comma"/>
    <tableColumn id="10" xr3:uid="{C18292A2-3B77-46ED-95A9-C5C67B79D28B}" name="שעור מנכסי אפיק ההשקעה" dataDxfId="306" dataCellStyle="Comma"/>
    <tableColumn id="11" xr3:uid="{710ED623-CB28-4D5E-B1C8-30B1521F5BA3}" name="שעור מנכסי השקעה" dataDxfId="305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90B31BB-D930-4231-8925-1F30E54036A9}" name="לא סחיר - חוזים עתידיים1" displayName="לא_סחיר___חוזים_עתידיים1" ref="A6:J161" totalsRowShown="0" headerRowDxfId="304" dataDxfId="302" headerRowBorderDxfId="303" tableBorderDxfId="301" headerRowCellStyle="Percent" dataCellStyle="Percent">
  <tableColumns count="10">
    <tableColumn id="1" xr3:uid="{C5674753-1B53-424B-8095-C449EB77C186}" name="שם המנפיק/שם נייר ערך" dataDxfId="300"/>
    <tableColumn id="2" xr3:uid="{70C9E5D0-B875-44DC-9F06-9D67D49CA55B}" name="מספר נ&quot;ע" dataDxfId="299"/>
    <tableColumn id="3" xr3:uid="{386A7ED2-5A1E-4A26-9EA2-E22F8C05CD37}" name="ענף מסחר" dataDxfId="298"/>
    <tableColumn id="4" xr3:uid="{603D0AD6-5B6C-4BF8-84EA-7F54D365A0F5}" name="סוג מטבע" dataDxfId="297" dataCellStyle="Percent"/>
    <tableColumn id="5" xr3:uid="{EFF88181-3D11-418E-ADD5-F94103E6DD87}" name="תאריך רכישה" dataDxfId="296" dataCellStyle="Percent"/>
    <tableColumn id="6" xr3:uid="{1FD8E143-108F-4953-AA70-686763591B73}" name="ערך נקוב" dataDxfId="295" dataCellStyle="Percent"/>
    <tableColumn id="7" xr3:uid="{9E6EC2F8-41DA-4FD1-9AE9-A1BE3408FE2B}" name="שער" dataDxfId="294"/>
    <tableColumn id="8" xr3:uid="{0E2F54B9-E801-4361-B295-2FF561D08714}" name="שווי הוגן" dataDxfId="293" dataCellStyle="Percent"/>
    <tableColumn id="9" xr3:uid="{1787A8EE-43B0-4ACA-8BD7-1E529AB83D5E}" name="שעור מנכסי אפיק ההשקעה" dataDxfId="292" dataCellStyle="Percent"/>
    <tableColumn id="10" xr3:uid="{5388165F-F270-42E9-A5DE-C46160C7581E}" name="שעור מנכסי השקעה" dataDxfId="291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7331553-9DF1-4550-A220-1EF178338369}" name="לא סחיר - מוצרים מובנים1" displayName="לא_סחיר___מוצרים_מובנים1" ref="A6:P30" totalsRowShown="0" headerRowDxfId="290" dataDxfId="288" headerRowBorderDxfId="289" tableBorderDxfId="287" headerRowCellStyle="Percent" dataCellStyle="Comma">
  <tableColumns count="16">
    <tableColumn id="1" xr3:uid="{87A62C1D-46A0-4D6D-8B1F-A0FE41663AF7}" name="שם המנפיק/שם נייר ערך" dataDxfId="286"/>
    <tableColumn id="2" xr3:uid="{C9252820-770A-4C2E-A6A3-26C043C43751}" name="מספר נ&quot;ע" dataDxfId="285"/>
    <tableColumn id="3" xr3:uid="{201E44E4-03E6-4182-8015-49D2909E4583}" name="נכס הבסיס" dataDxfId="284"/>
    <tableColumn id="4" xr3:uid="{D6CF34D0-35B0-4BAF-9463-0B72F98EAFDD}" name="דירוג" dataDxfId="283" dataCellStyle="Percent"/>
    <tableColumn id="5" xr3:uid="{C3393E21-31A9-427A-9E89-5D0ADC73F539}" name="שם מדרג" dataDxfId="282" dataCellStyle="Percent"/>
    <tableColumn id="6" xr3:uid="{C01FE136-65B6-4095-B01F-F5EAA0750864}" name="תאריך רכישה" dataDxfId="281" dataCellStyle="Percent"/>
    <tableColumn id="7" xr3:uid="{194F56EA-E4C9-4425-AAA7-A320FBB68EDA}" name="מח&quot;מ" dataDxfId="280"/>
    <tableColumn id="8" xr3:uid="{ED99DD0D-6D8E-4759-A16A-27E9EF14062B}" name="סוג מטבע" dataDxfId="279" dataCellStyle="Percent"/>
    <tableColumn id="9" xr3:uid="{CA707328-5844-4C11-A31D-3BC75C45B9C0}" name="שעור ריבית" dataDxfId="278" dataCellStyle="Comma"/>
    <tableColumn id="10" xr3:uid="{ED54F621-F0AA-46BC-A77F-EAEBE020131A}" name="תשואה לפדיון" dataDxfId="277" dataCellStyle="Comma"/>
    <tableColumn id="11" xr3:uid="{09EA8772-E44F-4132-8B37-70EB379766BA}" name="ערך נקוב" dataDxfId="276" dataCellStyle="Comma"/>
    <tableColumn id="12" xr3:uid="{F49A5E4D-14C9-4846-867D-8BD4ADBA2175}" name="שער" dataDxfId="275" dataCellStyle="Percent"/>
    <tableColumn id="13" xr3:uid="{7BE83794-E946-4B61-A9A5-22D6ACC49298}" name="שווי שוק" dataDxfId="274" dataCellStyle="Percent"/>
    <tableColumn id="14" xr3:uid="{7E3A3E3B-345D-4C26-9569-0444D8D5C998}" name="שעור מערך נקוב מונפק" dataDxfId="273" dataCellStyle="Comma"/>
    <tableColumn id="15" xr3:uid="{6633EBC1-4FB4-4C27-A6F9-15B51D14C9B0}" name="שעור מנכסי אפיק ההשקעה" dataDxfId="272" dataCellStyle="Comma"/>
    <tableColumn id="16" xr3:uid="{F0E36FDB-7DB3-43A8-B488-F322688D7B0B}" name="שעור מנכסי השקעה" dataDxfId="271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4EB61E3-24F3-4D57-BB6E-B936B67AEC00}" name="הלוואות1" displayName="הלוואות1" ref="A5:Q271" totalsRowShown="0" headerRowDxfId="270" dataDxfId="268" headerRowBorderDxfId="269" tableBorderDxfId="267" headerRowCellStyle="Percent" dataCellStyle="Comma">
  <tableColumns count="17">
    <tableColumn id="1" xr3:uid="{A74F4E08-9E39-416E-8AC7-D1147A5BB3B9}" name="_" dataDxfId="266"/>
    <tableColumn id="2" xr3:uid="{F5BDD382-4150-465F-ABA5-7EEC391B0ABF}" name="קונסורציום" dataDxfId="265"/>
    <tableColumn id="3" xr3:uid="{B0279C02-48FE-4333-9907-6B3E23C0EBA9}" name="מספר נ&quot;ע" dataDxfId="264"/>
    <tableColumn id="4" xr3:uid="{ABF4C62B-E671-4646-B245-FA06E0C1207E}" name="מספר מנפיק" dataDxfId="263"/>
    <tableColumn id="5" xr3:uid="{5A34066B-8D1C-4022-A519-1D9B04568E21}" name="דירוג" dataDxfId="262"/>
    <tableColumn id="6" xr3:uid="{B645033F-03E7-49D1-9AAF-49EA4619FB69}" name="תאריך רכישה" dataDxfId="261" dataCellStyle="Percent"/>
    <tableColumn id="7" xr3:uid="{EFA4965D-7F75-4F0B-BC22-D144D2BE44D7}" name="שם מדרג" dataDxfId="260" dataCellStyle="Percent"/>
    <tableColumn id="8" xr3:uid="{A750957D-4AD9-4D16-BC9A-4054CD1BC80E}" name="מח&quot;מ" dataDxfId="259" dataCellStyle="Percent"/>
    <tableColumn id="9" xr3:uid="{7C0DDA98-C87C-409C-A476-78DE6CE3B975}" name="ענף משק" dataDxfId="258" dataCellStyle="Percent"/>
    <tableColumn id="10" xr3:uid="{5558DA1A-B195-4A9D-94D2-A2F3880383D4}" name="סוג מטבע" dataDxfId="257" dataCellStyle="Percent"/>
    <tableColumn id="11" xr3:uid="{20B0E19F-7FDE-45E0-8C96-1329ADD340C4}" name="שעור ריבית ממוצע" dataDxfId="256"/>
    <tableColumn id="12" xr3:uid="{C73D59CB-9D52-49B6-BD4C-9C4BF0358A04}" name="תשואה לפדיון" dataDxfId="255" dataCellStyle="Percent"/>
    <tableColumn id="13" xr3:uid="{AF45970B-08A0-45DF-83C0-92910F197D44}" name="ערך נקוב" dataDxfId="254" dataCellStyle="Comma"/>
    <tableColumn id="14" xr3:uid="{4F70E83E-4742-4146-9F8A-D6CB43675441}" name="שער" dataDxfId="253" dataCellStyle="Comma"/>
    <tableColumn id="15" xr3:uid="{EF196E22-43C2-43C8-927D-407C15842F7A}" name="שווי הוגן" dataDxfId="252" dataCellStyle="Comma"/>
    <tableColumn id="16" xr3:uid="{D5C305F4-ABC6-4466-80AC-B8D8365B456A}" name="שעור מנכסי אפיק ההשקעה" dataDxfId="251" dataCellStyle="Comma"/>
    <tableColumn id="17" xr3:uid="{05051E74-5B0F-4D55-ACDE-F2182A9E4E87}" name="שעור מנכסי השקעה" dataDxfId="250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9647F63-1934-48C8-AD55-8D5BE3DDA0E0}" name="פקדונות מעל 3 חודשים1" displayName="פקדונות_מעל_3_חודשים1" ref="A5:N21" totalsRowShown="0" headerRowDxfId="249" dataDxfId="247" headerRowBorderDxfId="248" tableBorderDxfId="246" headerRowCellStyle="Percent" dataCellStyle="Comma">
  <tableColumns count="14">
    <tableColumn id="1" xr3:uid="{25B28051-DC07-4D1E-8291-77AF302708EA}" name="שם המנפיק/שם נייר ערך" dataDxfId="245"/>
    <tableColumn id="2" xr3:uid="{44396EE6-6605-41DE-9C36-81CB103FE16B}" name="מספר נ&quot;ע" dataDxfId="244"/>
    <tableColumn id="3" xr3:uid="{E6464ED2-8DC4-45F9-A8C2-B8C710E09DB5}" name="מספר מנפיק" dataDxfId="243"/>
    <tableColumn id="4" xr3:uid="{45BA80C6-FA74-4655-BD4E-F0565BDDD296}" name="דירוג" dataDxfId="242"/>
    <tableColumn id="5" xr3:uid="{C060DF29-716C-4F08-9CA6-8ED70E8A6348}" name="שם מדרג" dataDxfId="241" dataCellStyle="Percent"/>
    <tableColumn id="6" xr3:uid="{CE9D6A95-F429-410D-980C-76F0366A6BCF}" name="מח&quot;מ" dataDxfId="240" dataCellStyle="Percent"/>
    <tableColumn id="7" xr3:uid="{F63A449E-2389-4610-A831-7E43AE43C557}" name="סוג מטבע" dataDxfId="239" dataCellStyle="Percent"/>
    <tableColumn id="8" xr3:uid="{15786F0D-641E-4D04-AFAB-2C9B7FCB0AE0}" name="תנאי ושיעור ריבית" dataDxfId="238"/>
    <tableColumn id="9" xr3:uid="{0073C271-B8F7-476D-B698-E496AF3ECD90}" name="תשואה לפדיון" dataDxfId="237" dataCellStyle="Percent"/>
    <tableColumn id="10" xr3:uid="{6A2EFC29-F364-4020-B742-557D5AFD59F8}" name="ערך נקוב" dataDxfId="236" dataCellStyle="Comma"/>
    <tableColumn id="11" xr3:uid="{C7A6F55B-6725-41E3-81DE-A0E9516CCC1D}" name="שער" dataDxfId="235" dataCellStyle="Comma"/>
    <tableColumn id="12" xr3:uid="{DDF2A037-BD6E-4045-80E0-F39F64BA2E49}" name="שווי הוגן" dataDxfId="234" dataCellStyle="Comma"/>
    <tableColumn id="13" xr3:uid="{B0171A9C-EC7F-4171-A85C-76730F72AE54}" name="שעור מנכסי אפיק ההשקעה" dataDxfId="233" dataCellStyle="Comma"/>
    <tableColumn id="14" xr3:uid="{DB19E188-87CF-4E79-8647-C5D8F45600B6}" name="שעור מנכסי השקעה" dataDxfId="232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76F3B2E-9A58-4ACB-A2AC-DF80251A8E4B}" name="זכויות מקרקעין1" displayName="זכויות_מקרקעין1" ref="A5:I19" totalsRowShown="0" headerRowDxfId="231" dataDxfId="229" headerRowBorderDxfId="230" tableBorderDxfId="228" headerRowCellStyle="Percent" dataCellStyle="Percent">
  <tableColumns count="9">
    <tableColumn id="1" xr3:uid="{AC51B980-0FCF-4E60-86CB-82660B4A00BC}" name="שם המנפיק/שם נייר ערך" dataDxfId="227"/>
    <tableColumn id="2" xr3:uid="{24A97BAD-15D2-4696-BA55-9732A7E284E5}" name="תאריך שערוך אחרון" dataDxfId="226"/>
    <tableColumn id="3" xr3:uid="{876D9989-0203-4BF4-92CE-AC50405DF257}" name="אופי הנכס" dataDxfId="225"/>
    <tableColumn id="4" xr3:uid="{079A105A-2673-47CE-8530-538B297D9D7D}" name="שעור תשואה במהלך התקופה" dataDxfId="224" dataCellStyle="Percent"/>
    <tableColumn id="5" xr3:uid="{889E4CC6-5B60-4C1B-A288-3E866097D197}" name="סוג מטבע" dataDxfId="223" dataCellStyle="Percent"/>
    <tableColumn id="6" xr3:uid="{7A8B6715-C5AA-4E43-A2F4-94C69E2E7784}" name="שווי משוערך" dataDxfId="222" dataCellStyle="Percent"/>
    <tableColumn id="7" xr3:uid="{25216BFD-54C5-4860-8879-C4FCA1C34F94}" name="שעור מנכסי אפיק ההשקעה" dataDxfId="221" dataCellStyle="Percent"/>
    <tableColumn id="8" xr3:uid="{33AFE267-DD10-4271-BBE7-F599696F7654}" name="שעור מנכסי השקעה" dataDxfId="220" dataCellStyle="Percent"/>
    <tableColumn id="9" xr3:uid="{EE00A75F-FE93-46AB-929A-44099DAD32B6}" name="כתובת הנכס" dataDxfId="219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D9BB9D0-C2C2-4502-8EDF-543CA2F1CE58}" name="השקעה בחברות מוחזקות1" displayName="השקעה_בחברות_מוחזקות1" ref="A5:J15" totalsRowShown="0" headerRowDxfId="218" dataDxfId="216" headerRowBorderDxfId="217" tableBorderDxfId="215" headerRowCellStyle="Percent" dataCellStyle="Percent">
  <tableColumns count="10">
    <tableColumn id="1" xr3:uid="{90DC1240-1F6C-45A9-8E55-7FF37DD59A48}" name="שם המנפיק/שם נייר ערך" dataDxfId="214"/>
    <tableColumn id="2" xr3:uid="{456537DD-DEE6-4B55-B07A-BED708D009BF}" name="מספר מנפיק" dataDxfId="213"/>
    <tableColumn id="3" xr3:uid="{7054BF9B-5CFE-44E5-A3CA-87FAE15DBF69}" name="דירוג" dataDxfId="212"/>
    <tableColumn id="4" xr3:uid="{4D4FE20B-DA46-4736-AA1D-46C7F50D771E}" name="שם המדרג" dataDxfId="211" dataCellStyle="Percent"/>
    <tableColumn id="5" xr3:uid="{7B6526F2-6394-4225-B00C-20E996BB7C40}" name="שעור הריבית" dataDxfId="210" dataCellStyle="Percent"/>
    <tableColumn id="6" xr3:uid="{3D0F5A4D-2723-46C2-874A-DA4B3CF86CCE}" name="סוג מטבע" dataDxfId="209" dataCellStyle="Percent"/>
    <tableColumn id="7" xr3:uid="{35805581-64A3-42FE-B8E2-5BBA3A5D3436}" name="תשואה לפדיון" dataDxfId="208" dataCellStyle="Percent"/>
    <tableColumn id="8" xr3:uid="{9465BF90-42D7-42E9-95B6-A7F2E83DA998}" name="שווי הוגן" dataDxfId="207" dataCellStyle="Percent"/>
    <tableColumn id="9" xr3:uid="{55D768A6-3802-4B0A-8EF7-355AE3E30706}" name="שעור מנכסי אפיק ההשקעה" dataDxfId="206" dataCellStyle="Percent"/>
    <tableColumn id="10" xr3:uid="{282BC161-5B99-4CAB-8112-C4117DCFAB10}" name="שעור מסך נכסי השקעה" dataDxfId="205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3308238-A775-4D07-BF7B-E8234F5A78B4}" name="השקעות אחרות1" displayName="השקעות_אחרות1" ref="A5:J21" totalsRowShown="0" headerRowDxfId="204" dataDxfId="202" headerRowBorderDxfId="203" tableBorderDxfId="201" headerRowCellStyle="Percent" dataCellStyle="Percent">
  <tableColumns count="10">
    <tableColumn id="1" xr3:uid="{541FDE23-0AE1-4812-9CAA-3E4C34B2573B}" name="שם המנפיק/שם נייר ערך" dataDxfId="200"/>
    <tableColumn id="2" xr3:uid="{290F39E8-AD0F-4970-BCD9-4DCE08F0D329}" name="מספר נייר" dataDxfId="199"/>
    <tableColumn id="3" xr3:uid="{6C461068-234E-445D-86D9-9DC3F48FA2D6}" name="דירוג" dataDxfId="198"/>
    <tableColumn id="4" xr3:uid="{5F63450E-A796-41D5-966A-EBF6BE5AE36F}" name="שם מדרג" dataDxfId="197"/>
    <tableColumn id="5" xr3:uid="{F3B7C7C4-3E80-470A-B274-70B499FD970E}" name="שעור ריבית" dataDxfId="196" dataCellStyle="Percent"/>
    <tableColumn id="6" xr3:uid="{6F06E261-5FCC-4FBC-9EEF-6E72427FEEF5}" name="סוג מטבע" dataDxfId="195" dataCellStyle="Percent"/>
    <tableColumn id="7" xr3:uid="{7A14FDDD-B458-42B2-A667-F4AA489BAB8C}" name="תשואה לפדיון" dataDxfId="194" dataCellStyle="Percent"/>
    <tableColumn id="8" xr3:uid="{6DE9F47E-C3C4-4650-90CF-5FCF6456B94A}" name="שווי הוגן" dataDxfId="193" dataCellStyle="Percent"/>
    <tableColumn id="9" xr3:uid="{C1723A81-7F20-402C-9407-A17E454B4B74}" name="שעור מנכסי אפיק ההשקעה" dataDxfId="192" dataCellStyle="Percent"/>
    <tableColumn id="10" xr3:uid="{7590CFEB-8AAB-454F-BB2A-6E5476FD37D2}" name="שעור מנכסי השקעה" dataDxfId="191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84641BE-0C7B-482F-954D-C7AA29A86A87}" name="יתרת התחייבות להשקעה1" displayName="יתרת_התחייבות_להשקעה1" ref="A5:C30" totalsRowShown="0" headerRowBorderDxfId="190" tableBorderDxfId="189">
  <tableColumns count="3">
    <tableColumn id="1" xr3:uid="{2365FEBD-B923-47F7-88C0-61B8D822DB8F}" name="שם המנפיק/שם נייר ערך" dataDxfId="188"/>
    <tableColumn id="2" xr3:uid="{B8A9CEC3-0C03-4D4A-AAF3-D26220F472A9}" name="סכום ההתחייבות" dataDxfId="187"/>
    <tableColumn id="3" xr3:uid="{BD6DB062-9D14-4929-868D-7C269B803AA4}" name="תאריך סיום ההתחייבות" dataDxfId="186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4934C42-108B-4603-814C-146D6B64C0CF}" name="עלות מתואמת אג&quot;ח קונצרני סחיר1" displayName="עלות_מתואמת_אג_ח_קונצרני_סחיר1" ref="A5:O16" totalsRowShown="0" headerRowDxfId="185" headerRowBorderDxfId="184" tableBorderDxfId="183" headerRowCellStyle="Percent">
  <tableColumns count="15">
    <tableColumn id="1" xr3:uid="{307EFC83-81DC-4E16-9A3A-613517DA07A1}" name="שם המנפיק/שם נייר ערך" dataDxfId="182"/>
    <tableColumn id="2" xr3:uid="{8B5C52D2-91D5-4277-8274-E12326C094BA}" name="מספר ני&quot;ע" dataDxfId="181" dataCellStyle="Percent"/>
    <tableColumn id="3" xr3:uid="{3C4A5169-6F3F-4915-A129-4527D4F60B85}" name="ענף מסחר" dataDxfId="180" dataCellStyle="Percent"/>
    <tableColumn id="4" xr3:uid="{879FF8B8-BD17-4FCA-9EA5-148F51D84820}" name="דירוג" dataDxfId="179" dataCellStyle="Percent"/>
    <tableColumn id="5" xr3:uid="{4D5D4ED9-89EC-40E4-9FF7-DCE6E41EB7EF}" name="שם מדרג" dataDxfId="178" dataCellStyle="Percent"/>
    <tableColumn id="6" xr3:uid="{17647300-E364-400E-BE45-2712FD981D28}" name="תאריך רכישה" dataDxfId="177" dataCellStyle="Percent"/>
    <tableColumn id="7" xr3:uid="{E3265114-453C-485C-9147-297589DD9ADC}" name="מח&quot;מ" dataDxfId="176" dataCellStyle="Percent"/>
    <tableColumn id="8" xr3:uid="{71BEC652-730D-4179-B292-896920DF89FA}" name="סוג מטבע" dataDxfId="175" dataCellStyle="Percent"/>
    <tableColumn id="9" xr3:uid="{17C73E1C-73B0-4629-BACF-D4295EBF6719}" name="שיעור ריבית" dataDxfId="174" dataCellStyle="Percent"/>
    <tableColumn id="10" xr3:uid="{6D066165-C150-4928-8176-06C7ADEC2602}" name="ריבית אפקטיבית" dataDxfId="173" dataCellStyle="Percent"/>
    <tableColumn id="11" xr3:uid="{43805034-2E8B-46A5-9710-CE70AC8E3162}" name="ערך נקוב" dataDxfId="172" dataCellStyle="Comma"/>
    <tableColumn id="12" xr3:uid="{B936C291-FF6C-44BF-B091-62F586212C0E}" name="עלות מתואמת" dataDxfId="171" dataCellStyle="Percent"/>
    <tableColumn id="13" xr3:uid="{BC25A725-39BA-4C32-9AE8-AF6FCC1747AF}" name="שעור מערך נקוב מונפק" dataDxfId="170" dataCellStyle="Comma"/>
    <tableColumn id="14" xr3:uid="{DEBA0EF2-5290-4673-B729-40B1F49C96BD}" name="שעור מנכסי אפיק ההשקעה" dataDxfId="169" dataCellStyle="Percent"/>
    <tableColumn id="15" xr3:uid="{1A191D17-B92C-42B4-9554-0812ED48AC7A}" name="שעור מסך נכסי השקעה**" dataDxfId="168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B45EDCC-6C0F-4374-AB93-0FCEEAFF67F9}" name="עלות מתואמת אג&quot;ח קונצרני ל.סחיר1" displayName="עלות_מתואמת_אג_ח_קונצרני_ל.סחיר1" ref="A5:O16" totalsRowShown="0" headerRowDxfId="167" headerRowBorderDxfId="166" tableBorderDxfId="165" headerRowCellStyle="Percent">
  <tableColumns count="15">
    <tableColumn id="1" xr3:uid="{1C4C1F16-2424-44E6-A286-001CA795B7A7}" name="שם המנפיק/שם נייר ערך" dataDxfId="164"/>
    <tableColumn id="2" xr3:uid="{CCCE7BF5-C384-41B6-97D6-89E0F368B640}" name="מספר ני&quot;ע" dataDxfId="163" dataCellStyle="Percent"/>
    <tableColumn id="3" xr3:uid="{EB9DBA2A-CBD0-4195-A802-D3A12917C1D8}" name="ענף מסחר" dataDxfId="162" dataCellStyle="Percent"/>
    <tableColumn id="4" xr3:uid="{FD77CD8C-8141-4957-8F74-B7AE5D0E48E4}" name="דירוג" dataDxfId="161" dataCellStyle="Percent"/>
    <tableColumn id="5" xr3:uid="{5C3370CF-85C7-4837-B43F-DAFE00937601}" name="שם מדרג" dataDxfId="160" dataCellStyle="Percent"/>
    <tableColumn id="6" xr3:uid="{0EEBEB07-7F0E-4514-B855-018EE3019FE9}" name="תאריך רכישה" dataDxfId="159" dataCellStyle="Percent"/>
    <tableColumn id="7" xr3:uid="{817CFD88-40B2-46C3-9C66-B22402D3EF6D}" name="מח&quot;מ" dataDxfId="158" dataCellStyle="Percent"/>
    <tableColumn id="8" xr3:uid="{6C997435-D98F-489F-BE8C-58279E1C5809}" name="סוג מטבע" dataDxfId="157" dataCellStyle="Percent"/>
    <tableColumn id="9" xr3:uid="{DE260AC2-AE9C-4E45-8039-E2D75684206E}" name="שיעור ריבית" dataDxfId="156" dataCellStyle="Percent"/>
    <tableColumn id="10" xr3:uid="{C3D4B381-51AF-49EF-B88C-C3C99F5D2E1C}" name="ריבית אפקטיבית" dataDxfId="155" dataCellStyle="Percent"/>
    <tableColumn id="11" xr3:uid="{5B30BA1B-B51A-458D-96BA-8997CCEFA8E4}" name="ערך נקוב" dataDxfId="154" dataCellStyle="Comma"/>
    <tableColumn id="12" xr3:uid="{A47B0FED-C087-4A07-9CED-1E4D3597383F}" name="עלות מתואמת" dataDxfId="153" dataCellStyle="Percent"/>
    <tableColumn id="13" xr3:uid="{6CEED292-1828-4092-A351-B1635E0EB495}" name="שעור מערך נקוב מונפק" dataDxfId="152" dataCellStyle="Comma"/>
    <tableColumn id="14" xr3:uid="{6D8A5E62-1365-423B-B9A8-F4828242C13B}" name="שעור מנכסי אפיק ההשקעה" dataDxfId="151" dataCellStyle="Percent"/>
    <tableColumn id="15" xr3:uid="{42400135-0F9D-4DDD-A6EF-04BFFC52FEE5}" name="שעור מסך נכסי השקעה**" dataDxfId="150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156312F-8A5B-4197-AC15-4C1845DB9DC9}" name="עלות מתואמת מסגרות אשראי ללווים1" displayName="עלות_מתואמת_מסגרות_אשראי_ללווים1" ref="A5:O16" totalsRowShown="0" headerRowDxfId="149" headerRowBorderDxfId="148" tableBorderDxfId="147" headerRowCellStyle="Percent">
  <tableColumns count="15">
    <tableColumn id="1" xr3:uid="{8DDF010E-9FF5-4ECA-9B73-54327E78D20A}" name="שם המנפיק/שם נייר ערך" dataDxfId="146"/>
    <tableColumn id="2" xr3:uid="{6EA19300-44B6-4EEA-A67A-EE4008E0B317}" name="מספר ני&quot;ע" dataDxfId="145" dataCellStyle="Percent"/>
    <tableColumn id="3" xr3:uid="{042D20E4-DBEA-496F-8D7E-ACFB6543E71D}" name="ענף מסחר" dataDxfId="144" dataCellStyle="Percent"/>
    <tableColumn id="4" xr3:uid="{28B3CABC-FA61-4DF9-B0FA-36890B2F58AA}" name="דירוג" dataDxfId="143" dataCellStyle="Percent"/>
    <tableColumn id="5" xr3:uid="{78089260-C1B0-4FAD-873B-3329DEEA6B86}" name="שם מדרג" dataDxfId="142" dataCellStyle="Percent"/>
    <tableColumn id="6" xr3:uid="{7ABFFFBA-CDB2-4962-B638-A8D87C818A02}" name="תאריך רכישה" dataDxfId="141" dataCellStyle="Percent"/>
    <tableColumn id="7" xr3:uid="{60519F96-CAED-4639-9739-45DEAA59407A}" name="מח&quot;מ" dataDxfId="140" dataCellStyle="Percent"/>
    <tableColumn id="8" xr3:uid="{7535014D-2E6C-4370-B021-8659F5E4FC30}" name="סוג מטבע" dataDxfId="139" dataCellStyle="Percent"/>
    <tableColumn id="9" xr3:uid="{53133FB9-618C-4B65-8101-14B4FEAB3A37}" name="שיעור ריבית" dataDxfId="138" dataCellStyle="Percent"/>
    <tableColumn id="10" xr3:uid="{7A85EF27-51E5-4AD0-A6DD-1650F90CAE29}" name="ריבית אפקטיבית" dataDxfId="137" dataCellStyle="Percent"/>
    <tableColumn id="11" xr3:uid="{E3F28EF2-5A95-4856-AF68-5E8D281C292A}" name="ערך נקוב" dataDxfId="136" dataCellStyle="Comma"/>
    <tableColumn id="12" xr3:uid="{35C75A61-847E-495F-8E2C-FED675463AA3}" name="עלות מתואמת" dataDxfId="135" dataCellStyle="Percent"/>
    <tableColumn id="13" xr3:uid="{9AC03E8B-EE46-42B3-82DE-86CD5845E129}" name="שעור מערך נקוב מונפק" dataDxfId="134" dataCellStyle="Comma"/>
    <tableColumn id="14" xr3:uid="{18082B2C-B510-4581-9FA2-6E7EE63F867B}" name="שעור מנכסי אפיק ההשקעה" dataDxfId="133" dataCellStyle="Percent"/>
    <tableColumn id="15" xr3:uid="{146C41D6-2DDF-48D0-A4E2-8B8E043A66AF}" name="שעור מסך נכסי השקעה**" dataDxfId="132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6BB87EC2-A895-4C0C-9C85-9F4885713FE2}" name="טבלה32" displayName="טבלה32" ref="A1:B72" headerRowCount="0" totalsRowShown="0">
  <tableColumns count="2">
    <tableColumn id="1" xr3:uid="{8CC406B3-8566-45FC-85A9-B47A485C074D}" name="עמודה1"/>
    <tableColumn id="2" xr3:uid="{EB236EE4-C63F-406B-BB67-499E5A833764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topLeftCell="A19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8" t="s">
        <v>51</v>
      </c>
      <c r="B4" s="219"/>
      <c r="C4" s="220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3" t="s">
        <v>2050</v>
      </c>
      <c r="B5" s="178" t="s">
        <v>29</v>
      </c>
      <c r="C5" s="178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7"/>
      <c r="B6" s="186" t="s">
        <v>10</v>
      </c>
      <c r="C6" s="186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9"/>
      <c r="B7" s="180" t="s">
        <v>49</v>
      </c>
      <c r="C7" s="180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81" t="s">
        <v>97</v>
      </c>
      <c r="B8" s="180"/>
      <c r="C8" s="180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7" t="s">
        <v>43</v>
      </c>
      <c r="B9" s="188">
        <v>7526.7294200000006</v>
      </c>
      <c r="C9" s="189">
        <v>4.0304252860358929E-2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2" t="s">
        <v>45</v>
      </c>
      <c r="B10" s="188">
        <v>159092.55319680009</v>
      </c>
      <c r="C10" s="189">
        <v>0.85191138600063221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90" t="s">
        <v>12</v>
      </c>
      <c r="B11" s="188">
        <v>88499.996470699989</v>
      </c>
      <c r="C11" s="189">
        <v>0.47390121749533609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90" t="s">
        <v>18</v>
      </c>
      <c r="B12" s="188">
        <v>4.9999999999999998E-7</v>
      </c>
      <c r="C12" s="189">
        <v>2.6774081152208423E-12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90" t="s">
        <v>20</v>
      </c>
      <c r="B13" s="188">
        <v>64749.847300600057</v>
      </c>
      <c r="C13" s="189">
        <v>0.34672353324387389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90" t="s">
        <v>21</v>
      </c>
      <c r="B14" s="188">
        <v>6.9999999999999997E-7</v>
      </c>
      <c r="C14" s="189">
        <v>3.7483713613091787E-12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90" t="s">
        <v>158</v>
      </c>
      <c r="B15" s="188">
        <v>1965.4334810000003</v>
      </c>
      <c r="C15" s="189">
        <v>1.05245351039123E-2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90" t="s">
        <v>44</v>
      </c>
      <c r="B16" s="188">
        <v>3993.2109007999998</v>
      </c>
      <c r="C16" s="189">
        <v>2.1382910543180499E-2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90" t="s">
        <v>23</v>
      </c>
      <c r="B17" s="188">
        <v>2.0000000000000002E-7</v>
      </c>
      <c r="C17" s="189">
        <v>1.070963246088337E-12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90" t="s">
        <v>24</v>
      </c>
      <c r="B18" s="188">
        <v>9.0000000000000007E-7</v>
      </c>
      <c r="C18" s="189">
        <v>4.8193346073975163E-12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90" t="s">
        <v>25</v>
      </c>
      <c r="B19" s="188">
        <v>-115.93495980000002</v>
      </c>
      <c r="C19" s="189">
        <v>-6.2081040441264428E-4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90" t="s">
        <v>26</v>
      </c>
      <c r="B20" s="188">
        <v>1.2000000000000002E-6</v>
      </c>
      <c r="C20" s="189">
        <v>6.4257794765300222E-12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81" t="s">
        <v>46</v>
      </c>
      <c r="B21" s="188">
        <v>6821.2559363</v>
      </c>
      <c r="C21" s="189">
        <v>3.6526571999695931E-2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90" t="s">
        <v>12</v>
      </c>
      <c r="B22" s="188">
        <v>6.9999999999999997E-7</v>
      </c>
      <c r="C22" s="189">
        <v>3.7483713613091787E-12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90" t="s">
        <v>18</v>
      </c>
      <c r="B23" s="188">
        <v>6.0000000000000008E-7</v>
      </c>
      <c r="C23" s="189">
        <v>3.2128897382650111E-12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90" t="s">
        <v>20</v>
      </c>
      <c r="B24" s="188">
        <v>7055.7224405999996</v>
      </c>
      <c r="C24" s="189">
        <v>3.7782097042416495E-2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90" t="s">
        <v>21</v>
      </c>
      <c r="B25" s="188">
        <v>3.0000000000000004E-7</v>
      </c>
      <c r="C25" s="189">
        <v>1.6064448691325056E-12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90" t="s">
        <v>30</v>
      </c>
      <c r="B26" s="188">
        <v>738.73249080000005</v>
      </c>
      <c r="C26" s="189">
        <v>3.9557767316904524E-3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90" t="s">
        <v>31</v>
      </c>
      <c r="B27" s="188">
        <v>71.357160199999996</v>
      </c>
      <c r="C27" s="189">
        <v>3.821044795971874E-4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90" t="s">
        <v>32</v>
      </c>
      <c r="B28" s="188">
        <v>9.9999999999999995E-7</v>
      </c>
      <c r="C28" s="189">
        <v>5.3548162304416846E-12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90" t="s">
        <v>33</v>
      </c>
      <c r="B29" s="188">
        <v>-1044.5561591000001</v>
      </c>
      <c r="C29" s="189">
        <v>-5.5934062743565067E-3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90" t="s">
        <v>34</v>
      </c>
      <c r="B30" s="188">
        <v>1.2000000000000002E-6</v>
      </c>
      <c r="C30" s="189">
        <v>6.4257794765300222E-12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90" t="s">
        <v>35</v>
      </c>
      <c r="B31" s="188">
        <v>11979.312271300005</v>
      </c>
      <c r="C31" s="189">
        <v>6.4147015779886504E-2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90" t="s">
        <v>37</v>
      </c>
      <c r="B32" s="188">
        <v>1049.0820205999999</v>
      </c>
      <c r="C32" s="189">
        <v>5.6176414309734371E-3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90" t="s">
        <v>47</v>
      </c>
      <c r="B33" s="188">
        <v>4.0000000000000003E-7</v>
      </c>
      <c r="C33" s="189">
        <v>2.1419264921766739E-12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90" t="s">
        <v>86</v>
      </c>
      <c r="B34" s="188">
        <v>2.0000000000000002E-7</v>
      </c>
      <c r="C34" s="189">
        <v>1.070963246088337E-12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90" t="s">
        <v>87</v>
      </c>
      <c r="B35" s="188">
        <v>278.83906020000001</v>
      </c>
      <c r="C35" s="189">
        <v>1.493131925240066E-3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81" t="s">
        <v>93</v>
      </c>
      <c r="B36" s="191"/>
      <c r="C36" s="189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90" t="s">
        <v>94</v>
      </c>
      <c r="B37" s="191">
        <v>0</v>
      </c>
      <c r="C37" s="189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90" t="s">
        <v>95</v>
      </c>
      <c r="B38" s="191">
        <v>0</v>
      </c>
      <c r="C38" s="189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90" t="s">
        <v>96</v>
      </c>
      <c r="B39" s="191">
        <v>0</v>
      </c>
      <c r="C39" s="189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3" t="s">
        <v>48</v>
      </c>
      <c r="B40" s="184">
        <v>186747.77190580009</v>
      </c>
      <c r="C40" s="185">
        <v>0.99999999999999978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2" t="s">
        <v>92</v>
      </c>
      <c r="B41" s="188">
        <v>6454.7270972329989</v>
      </c>
      <c r="C41" s="189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3"/>
      <c r="B42" s="194" t="s">
        <v>0</v>
      </c>
      <c r="C42" s="195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6" t="s">
        <v>49</v>
      </c>
      <c r="C43" s="197" t="s">
        <v>50</v>
      </c>
      <c r="D43" s="107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8" t="s">
        <v>125</v>
      </c>
      <c r="C44" s="200">
        <v>3.8239999999999998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8" t="s">
        <v>126</v>
      </c>
      <c r="C45" s="200">
        <v>4.0530999999999997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8" t="s">
        <v>2</v>
      </c>
      <c r="C46" s="200">
        <v>4.6779000000000002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8" t="s">
        <v>131</v>
      </c>
      <c r="C47" s="200">
        <v>2.8424999999999998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8" t="s">
        <v>3</v>
      </c>
      <c r="C48" s="200">
        <v>2.4773999999999998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8" t="s">
        <v>65</v>
      </c>
      <c r="C49" s="200">
        <v>0.48830000000000001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8" t="s">
        <v>127</v>
      </c>
      <c r="C50" s="200">
        <v>2.3062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8" t="s">
        <v>90</v>
      </c>
      <c r="C51" s="201">
        <v>0.54420000000000002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8" t="s">
        <v>132</v>
      </c>
      <c r="C52" s="201">
        <v>0.34960000000000002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8" t="s">
        <v>1994</v>
      </c>
      <c r="C53" s="200">
        <v>2.5659999999999998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8" t="s">
        <v>130</v>
      </c>
      <c r="C54" s="201">
        <v>0.219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8" t="s">
        <v>236</v>
      </c>
      <c r="C55" s="201">
        <v>4.2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8" t="s">
        <v>91</v>
      </c>
      <c r="C56" s="201">
        <v>0.52429999999999999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8" t="s">
        <v>163</v>
      </c>
      <c r="C57" s="201">
        <v>0.75800000000000001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8" t="s">
        <v>129</v>
      </c>
      <c r="C58" s="201">
        <v>0.16639999999999999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8" t="s">
        <v>151</v>
      </c>
      <c r="C59" s="201">
        <v>0.35849999999999999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8" t="s">
        <v>161</v>
      </c>
      <c r="C60" s="201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8" t="s">
        <v>152</v>
      </c>
      <c r="C61" s="201">
        <v>0.87460000000000004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8" t="s">
        <v>153</v>
      </c>
      <c r="C62" s="201">
        <v>4.5838337E-2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8" t="s">
        <v>162</v>
      </c>
      <c r="C63" s="201">
        <v>2.4674899999999999E-4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8" t="s">
        <v>154</v>
      </c>
      <c r="C64" s="201">
        <v>3.9300000000000002E-2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8" t="s">
        <v>155</v>
      </c>
      <c r="C65" s="201">
        <v>2.8419999999999999E-3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9" t="s">
        <v>156</v>
      </c>
      <c r="C66" s="202">
        <v>6.7530000000000007E-2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1" priority="22" stopIfTrue="1">
      <formula>$E8&gt;0</formula>
    </cfRule>
    <cfRule type="expression" dxfId="130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12"/>
  <sheetViews>
    <sheetView rightToLeft="1" zoomScale="90" workbookViewId="0"/>
  </sheetViews>
  <sheetFormatPr defaultColWidth="9.109375" defaultRowHeight="13.2" x14ac:dyDescent="0.25"/>
  <cols>
    <col min="1" max="1" width="51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33203125" style="36" bestFit="1" customWidth="1"/>
    <col min="7" max="7" width="11.88671875" style="61" customWidth="1"/>
    <col min="8" max="8" width="13.6640625" style="63" customWidth="1"/>
    <col min="9" max="9" width="10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1" t="s">
        <v>4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</row>
    <row r="5" spans="1:11" s="7" customFormat="1" x14ac:dyDescent="0.25">
      <c r="A5" s="85" t="s">
        <v>157</v>
      </c>
      <c r="B5" s="204" t="s">
        <v>69</v>
      </c>
      <c r="C5" s="204" t="s">
        <v>74</v>
      </c>
      <c r="D5" s="204" t="s">
        <v>70</v>
      </c>
      <c r="E5" s="204" t="s">
        <v>5</v>
      </c>
      <c r="F5" s="204" t="s">
        <v>6</v>
      </c>
      <c r="G5" s="205" t="s">
        <v>66</v>
      </c>
      <c r="H5" s="205" t="s">
        <v>71</v>
      </c>
      <c r="I5" s="205" t="s">
        <v>7</v>
      </c>
      <c r="J5" s="88" t="s">
        <v>75</v>
      </c>
      <c r="K5" s="89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7" customFormat="1" ht="12.75" customHeight="1" thickBot="1" x14ac:dyDescent="0.3">
      <c r="A8" s="71" t="s">
        <v>78</v>
      </c>
      <c r="B8" s="118"/>
      <c r="C8" s="118"/>
      <c r="D8" s="118"/>
      <c r="E8" s="118"/>
      <c r="F8" s="118"/>
      <c r="G8" s="118"/>
      <c r="H8" s="118"/>
      <c r="I8" s="79">
        <v>7526.7294200000006</v>
      </c>
      <c r="J8" s="76">
        <v>1</v>
      </c>
      <c r="K8" s="58">
        <v>4.0304252860358929E-2</v>
      </c>
    </row>
    <row r="9" spans="1:11" s="117" customFormat="1" x14ac:dyDescent="0.25">
      <c r="A9" s="90" t="s">
        <v>248</v>
      </c>
      <c r="B9" s="119" t="s">
        <v>249</v>
      </c>
      <c r="C9" s="119" t="s">
        <v>249</v>
      </c>
      <c r="D9" s="120" t="s">
        <v>249</v>
      </c>
      <c r="E9" s="120" t="s">
        <v>249</v>
      </c>
      <c r="F9" s="120" t="s">
        <v>249</v>
      </c>
      <c r="G9" s="119" t="s">
        <v>249</v>
      </c>
      <c r="H9" s="119" t="s">
        <v>249</v>
      </c>
      <c r="I9" s="121">
        <v>7392.2572598000006</v>
      </c>
      <c r="J9" s="119">
        <v>0.98213405149882482</v>
      </c>
      <c r="K9" s="119">
        <v>3.9584179154377418E-2</v>
      </c>
    </row>
    <row r="10" spans="1:11" s="117" customFormat="1" x14ac:dyDescent="0.25">
      <c r="A10" s="91" t="s">
        <v>250</v>
      </c>
      <c r="B10" s="119" t="s">
        <v>249</v>
      </c>
      <c r="C10" s="119" t="s">
        <v>249</v>
      </c>
      <c r="D10" s="120" t="s">
        <v>249</v>
      </c>
      <c r="E10" s="120" t="s">
        <v>249</v>
      </c>
      <c r="F10" s="120" t="s">
        <v>249</v>
      </c>
      <c r="G10" s="119" t="s">
        <v>249</v>
      </c>
      <c r="H10" s="119" t="s">
        <v>249</v>
      </c>
      <c r="I10" s="122">
        <v>2652.5386791999999</v>
      </c>
      <c r="J10" s="119">
        <v>0.35241584108918317</v>
      </c>
      <c r="K10" s="119">
        <v>1.4203857171254509E-2</v>
      </c>
    </row>
    <row r="11" spans="1:11" x14ac:dyDescent="0.25">
      <c r="A11" s="16" t="s">
        <v>1924</v>
      </c>
      <c r="B11" s="32" t="s">
        <v>251</v>
      </c>
      <c r="C11" s="32" t="s">
        <v>252</v>
      </c>
      <c r="D11" s="65" t="s">
        <v>253</v>
      </c>
      <c r="E11" s="65" t="s">
        <v>254</v>
      </c>
      <c r="F11" s="65" t="s">
        <v>255</v>
      </c>
      <c r="G11" s="32">
        <v>0</v>
      </c>
      <c r="H11" s="32">
        <v>0</v>
      </c>
      <c r="I11" s="83">
        <v>36.018879999999996</v>
      </c>
      <c r="J11" s="32">
        <v>4.7854623157158735E-3</v>
      </c>
      <c r="K11" s="32">
        <v>1.9287448322633137E-4</v>
      </c>
    </row>
    <row r="12" spans="1:11" x14ac:dyDescent="0.25">
      <c r="A12" s="16" t="s">
        <v>1924</v>
      </c>
      <c r="B12" s="32" t="s">
        <v>271</v>
      </c>
      <c r="C12" s="32" t="s">
        <v>252</v>
      </c>
      <c r="D12" s="65" t="s">
        <v>253</v>
      </c>
      <c r="E12" s="65" t="s">
        <v>254</v>
      </c>
      <c r="F12" s="65" t="s">
        <v>255</v>
      </c>
      <c r="G12" s="32">
        <v>0</v>
      </c>
      <c r="H12" s="32">
        <v>0</v>
      </c>
      <c r="I12" s="83">
        <v>638.56293999999991</v>
      </c>
      <c r="J12" s="32">
        <v>8.4839364399524261E-2</v>
      </c>
      <c r="K12" s="32">
        <v>3.4193871952705591E-3</v>
      </c>
    </row>
    <row r="13" spans="1:11" x14ac:dyDescent="0.25">
      <c r="A13" s="16" t="s">
        <v>1925</v>
      </c>
      <c r="B13" s="32" t="s">
        <v>256</v>
      </c>
      <c r="C13" s="32" t="s">
        <v>257</v>
      </c>
      <c r="D13" s="65" t="s">
        <v>253</v>
      </c>
      <c r="E13" s="65" t="s">
        <v>254</v>
      </c>
      <c r="F13" s="65" t="s">
        <v>255</v>
      </c>
      <c r="G13" s="32">
        <v>0</v>
      </c>
      <c r="H13" s="32">
        <v>0</v>
      </c>
      <c r="I13" s="83">
        <v>847.41518999999994</v>
      </c>
      <c r="J13" s="32">
        <v>0.11258743907390255</v>
      </c>
      <c r="K13" s="32">
        <v>4.5377526133348238E-3</v>
      </c>
    </row>
    <row r="14" spans="1:11" x14ac:dyDescent="0.25">
      <c r="A14" s="16" t="s">
        <v>269</v>
      </c>
      <c r="B14" s="32" t="s">
        <v>270</v>
      </c>
      <c r="C14" s="32" t="s">
        <v>257</v>
      </c>
      <c r="D14" s="65" t="s">
        <v>253</v>
      </c>
      <c r="E14" s="65" t="s">
        <v>254</v>
      </c>
      <c r="F14" s="65" t="s">
        <v>255</v>
      </c>
      <c r="G14" s="32">
        <v>0</v>
      </c>
      <c r="H14" s="32">
        <v>0</v>
      </c>
      <c r="I14" s="83">
        <v>1.45512</v>
      </c>
      <c r="J14" s="32">
        <v>1.9332699753141913E-4</v>
      </c>
      <c r="K14" s="32">
        <v>7.7919001932403033E-6</v>
      </c>
    </row>
    <row r="15" spans="1:11" x14ac:dyDescent="0.25">
      <c r="A15" s="16" t="s">
        <v>1925</v>
      </c>
      <c r="B15" s="32" t="s">
        <v>274</v>
      </c>
      <c r="C15" s="32" t="s">
        <v>257</v>
      </c>
      <c r="D15" s="65" t="s">
        <v>253</v>
      </c>
      <c r="E15" s="65" t="s">
        <v>254</v>
      </c>
      <c r="F15" s="65" t="s">
        <v>255</v>
      </c>
      <c r="G15" s="32">
        <v>0</v>
      </c>
      <c r="H15" s="32">
        <v>0</v>
      </c>
      <c r="I15" s="83">
        <v>2.8969999999999999E-2</v>
      </c>
      <c r="J15" s="32">
        <v>3.8489493089815361E-6</v>
      </c>
      <c r="K15" s="32">
        <v>1.5512902619589559E-7</v>
      </c>
    </row>
    <row r="16" spans="1:11" x14ac:dyDescent="0.25">
      <c r="A16" s="16" t="s">
        <v>1943</v>
      </c>
      <c r="B16" s="32" t="s">
        <v>277</v>
      </c>
      <c r="C16" s="32" t="s">
        <v>257</v>
      </c>
      <c r="D16" s="65" t="s">
        <v>253</v>
      </c>
      <c r="E16" s="65" t="s">
        <v>254</v>
      </c>
      <c r="F16" s="65" t="s">
        <v>255</v>
      </c>
      <c r="G16" s="32">
        <v>0</v>
      </c>
      <c r="H16" s="32">
        <v>0</v>
      </c>
      <c r="I16" s="83">
        <v>0</v>
      </c>
      <c r="J16" s="32">
        <v>0</v>
      </c>
      <c r="K16" s="32">
        <v>0</v>
      </c>
    </row>
    <row r="17" spans="1:11" x14ac:dyDescent="0.25">
      <c r="A17" s="16" t="s">
        <v>1943</v>
      </c>
      <c r="B17" s="32" t="s">
        <v>278</v>
      </c>
      <c r="C17" s="32" t="s">
        <v>257</v>
      </c>
      <c r="D17" s="65" t="s">
        <v>253</v>
      </c>
      <c r="E17" s="65" t="s">
        <v>254</v>
      </c>
      <c r="F17" s="65" t="s">
        <v>255</v>
      </c>
      <c r="G17" s="32">
        <v>0</v>
      </c>
      <c r="H17" s="32">
        <v>0</v>
      </c>
      <c r="I17" s="83">
        <v>0.60699999999999998</v>
      </c>
      <c r="J17" s="32">
        <v>8.0645917519909981E-5</v>
      </c>
      <c r="K17" s="32">
        <v>3.2503734518781023E-6</v>
      </c>
    </row>
    <row r="18" spans="1:11" x14ac:dyDescent="0.25">
      <c r="A18" s="16" t="s">
        <v>279</v>
      </c>
      <c r="B18" s="32" t="s">
        <v>280</v>
      </c>
      <c r="C18" s="32" t="s">
        <v>257</v>
      </c>
      <c r="D18" s="65" t="s">
        <v>253</v>
      </c>
      <c r="E18" s="65" t="s">
        <v>254</v>
      </c>
      <c r="F18" s="65" t="s">
        <v>255</v>
      </c>
      <c r="G18" s="32">
        <v>0</v>
      </c>
      <c r="H18" s="32">
        <v>0</v>
      </c>
      <c r="I18" s="83">
        <v>3.29E-3</v>
      </c>
      <c r="J18" s="32">
        <v>4.3710884454778231E-7</v>
      </c>
      <c r="K18" s="32">
        <v>1.7617345398153143E-8</v>
      </c>
    </row>
    <row r="19" spans="1:11" x14ac:dyDescent="0.25">
      <c r="A19" s="16" t="s">
        <v>1925</v>
      </c>
      <c r="B19" s="32" t="s">
        <v>287</v>
      </c>
      <c r="C19" s="32" t="s">
        <v>257</v>
      </c>
      <c r="D19" s="65" t="s">
        <v>253</v>
      </c>
      <c r="E19" s="65" t="s">
        <v>254</v>
      </c>
      <c r="F19" s="65" t="s">
        <v>255</v>
      </c>
      <c r="G19" s="32">
        <v>0</v>
      </c>
      <c r="H19" s="32">
        <v>0</v>
      </c>
      <c r="I19" s="83">
        <v>725.70862</v>
      </c>
      <c r="J19" s="32">
        <v>9.641752473147891E-2</v>
      </c>
      <c r="K19" s="32">
        <v>3.886036296947437E-3</v>
      </c>
    </row>
    <row r="20" spans="1:11" x14ac:dyDescent="0.25">
      <c r="A20" s="16" t="s">
        <v>1936</v>
      </c>
      <c r="B20" s="32" t="s">
        <v>266</v>
      </c>
      <c r="C20" s="32" t="s">
        <v>267</v>
      </c>
      <c r="D20" s="65" t="s">
        <v>253</v>
      </c>
      <c r="E20" s="65" t="s">
        <v>254</v>
      </c>
      <c r="F20" s="65" t="s">
        <v>255</v>
      </c>
      <c r="G20" s="32">
        <v>0</v>
      </c>
      <c r="H20" s="32">
        <v>0</v>
      </c>
      <c r="I20" s="83">
        <v>2.1265800000000001</v>
      </c>
      <c r="J20" s="32">
        <v>2.8253705976851758E-4</v>
      </c>
      <c r="K20" s="32">
        <v>1.1387445099332679E-5</v>
      </c>
    </row>
    <row r="21" spans="1:11" x14ac:dyDescent="0.25">
      <c r="A21" s="16" t="s">
        <v>1944</v>
      </c>
      <c r="B21" s="32" t="s">
        <v>260</v>
      </c>
      <c r="C21" s="32" t="s">
        <v>261</v>
      </c>
      <c r="D21" s="65" t="s">
        <v>253</v>
      </c>
      <c r="E21" s="65" t="s">
        <v>254</v>
      </c>
      <c r="F21" s="65" t="s">
        <v>255</v>
      </c>
      <c r="G21" s="32">
        <v>0</v>
      </c>
      <c r="H21" s="32">
        <v>0</v>
      </c>
      <c r="I21" s="83">
        <v>305.86502909999996</v>
      </c>
      <c r="J21" s="32">
        <v>4.0637176126892036E-2</v>
      </c>
      <c r="K21" s="32">
        <v>1.6378510221491979E-3</v>
      </c>
    </row>
    <row r="22" spans="1:11" x14ac:dyDescent="0.25">
      <c r="A22" s="16" t="s">
        <v>1945</v>
      </c>
      <c r="B22" s="32" t="s">
        <v>268</v>
      </c>
      <c r="C22" s="32" t="s">
        <v>261</v>
      </c>
      <c r="D22" s="65" t="s">
        <v>253</v>
      </c>
      <c r="E22" s="65" t="s">
        <v>254</v>
      </c>
      <c r="F22" s="65" t="s">
        <v>255</v>
      </c>
      <c r="G22" s="32">
        <v>0</v>
      </c>
      <c r="H22" s="32">
        <v>0</v>
      </c>
      <c r="I22" s="83">
        <v>25.976900000000001</v>
      </c>
      <c r="J22" s="32">
        <v>3.4512865483079897E-3</v>
      </c>
      <c r="K22" s="32">
        <v>1.391015257365606E-4</v>
      </c>
    </row>
    <row r="23" spans="1:11" x14ac:dyDescent="0.25">
      <c r="A23" s="16" t="s">
        <v>1944</v>
      </c>
      <c r="B23" s="32" t="s">
        <v>272</v>
      </c>
      <c r="C23" s="32" t="s">
        <v>261</v>
      </c>
      <c r="D23" s="65" t="s">
        <v>253</v>
      </c>
      <c r="E23" s="65" t="s">
        <v>254</v>
      </c>
      <c r="F23" s="65" t="s">
        <v>255</v>
      </c>
      <c r="G23" s="32">
        <v>0</v>
      </c>
      <c r="H23" s="32">
        <v>0</v>
      </c>
      <c r="I23" s="83">
        <v>1.4331199999999999</v>
      </c>
      <c r="J23" s="32">
        <v>1.9040408124568927E-4</v>
      </c>
      <c r="K23" s="32">
        <v>7.6740942361705871E-6</v>
      </c>
    </row>
    <row r="24" spans="1:11" x14ac:dyDescent="0.25">
      <c r="A24" s="16" t="s">
        <v>1944</v>
      </c>
      <c r="B24" s="32" t="s">
        <v>273</v>
      </c>
      <c r="C24" s="32" t="s">
        <v>261</v>
      </c>
      <c r="D24" s="65" t="s">
        <v>253</v>
      </c>
      <c r="E24" s="65" t="s">
        <v>254</v>
      </c>
      <c r="F24" s="65" t="s">
        <v>255</v>
      </c>
      <c r="G24" s="32">
        <v>0</v>
      </c>
      <c r="H24" s="32">
        <v>0</v>
      </c>
      <c r="I24" s="83">
        <v>3.9713600000000002</v>
      </c>
      <c r="J24" s="32">
        <v>5.2763421911345917E-4</v>
      </c>
      <c r="K24" s="32">
        <v>2.126590298492689E-5</v>
      </c>
    </row>
    <row r="25" spans="1:11" x14ac:dyDescent="0.25">
      <c r="A25" s="16" t="s">
        <v>1945</v>
      </c>
      <c r="B25" s="32" t="s">
        <v>275</v>
      </c>
      <c r="C25" s="32" t="s">
        <v>261</v>
      </c>
      <c r="D25" s="65" t="s">
        <v>253</v>
      </c>
      <c r="E25" s="65" t="s">
        <v>254</v>
      </c>
      <c r="F25" s="65" t="s">
        <v>255</v>
      </c>
      <c r="G25" s="32">
        <v>0</v>
      </c>
      <c r="H25" s="32">
        <v>0</v>
      </c>
      <c r="I25" s="83">
        <v>41.06147</v>
      </c>
      <c r="J25" s="32">
        <v>5.4554199717730782E-3</v>
      </c>
      <c r="K25" s="32">
        <v>2.1987662600179433E-4</v>
      </c>
    </row>
    <row r="26" spans="1:11" x14ac:dyDescent="0.25">
      <c r="A26" s="16" t="s">
        <v>1945</v>
      </c>
      <c r="B26" s="32" t="s">
        <v>276</v>
      </c>
      <c r="C26" s="32" t="s">
        <v>261</v>
      </c>
      <c r="D26" s="65" t="s">
        <v>253</v>
      </c>
      <c r="E26" s="65" t="s">
        <v>254</v>
      </c>
      <c r="F26" s="65" t="s">
        <v>255</v>
      </c>
      <c r="G26" s="32">
        <v>0</v>
      </c>
      <c r="H26" s="32">
        <v>0</v>
      </c>
      <c r="I26" s="83">
        <v>0.37962000000000001</v>
      </c>
      <c r="J26" s="32">
        <v>5.0436249108580277E-5</v>
      </c>
      <c r="K26" s="32">
        <v>2.0327953374002724E-6</v>
      </c>
    </row>
    <row r="27" spans="1:11" x14ac:dyDescent="0.25">
      <c r="A27" s="16" t="s">
        <v>1944</v>
      </c>
      <c r="B27" s="32" t="s">
        <v>286</v>
      </c>
      <c r="C27" s="32" t="s">
        <v>261</v>
      </c>
      <c r="D27" s="65" t="s">
        <v>253</v>
      </c>
      <c r="E27" s="65" t="s">
        <v>254</v>
      </c>
      <c r="F27" s="65" t="s">
        <v>255</v>
      </c>
      <c r="G27" s="32">
        <v>0</v>
      </c>
      <c r="H27" s="32">
        <v>0</v>
      </c>
      <c r="I27" s="83">
        <v>8.7479899999999997</v>
      </c>
      <c r="J27" s="32">
        <v>1.1622564744728128E-3</v>
      </c>
      <c r="K27" s="32">
        <v>4.6843878835741551E-5</v>
      </c>
    </row>
    <row r="28" spans="1:11" x14ac:dyDescent="0.25">
      <c r="A28" s="16" t="s">
        <v>1945</v>
      </c>
      <c r="B28" s="32" t="s">
        <v>288</v>
      </c>
      <c r="C28" s="32" t="s">
        <v>261</v>
      </c>
      <c r="D28" s="65" t="s">
        <v>253</v>
      </c>
      <c r="E28" s="65" t="s">
        <v>254</v>
      </c>
      <c r="F28" s="65" t="s">
        <v>255</v>
      </c>
      <c r="G28" s="32">
        <v>0</v>
      </c>
      <c r="H28" s="32">
        <v>0</v>
      </c>
      <c r="I28" s="83">
        <v>0.90064999999999995</v>
      </c>
      <c r="J28" s="32">
        <v>1.1966020694284502E-4</v>
      </c>
      <c r="K28" s="32">
        <v>4.8228152379473029E-6</v>
      </c>
    </row>
    <row r="29" spans="1:11" x14ac:dyDescent="0.25">
      <c r="A29" s="16" t="s">
        <v>1937</v>
      </c>
      <c r="B29" s="32" t="s">
        <v>258</v>
      </c>
      <c r="C29" s="32" t="s">
        <v>259</v>
      </c>
      <c r="D29" s="65" t="s">
        <v>253</v>
      </c>
      <c r="E29" s="65" t="s">
        <v>254</v>
      </c>
      <c r="F29" s="65" t="s">
        <v>255</v>
      </c>
      <c r="G29" s="32">
        <v>0</v>
      </c>
      <c r="H29" s="32">
        <v>0</v>
      </c>
      <c r="I29" s="83">
        <v>2.7159499999999999</v>
      </c>
      <c r="J29" s="32">
        <v>3.608406584649086E-4</v>
      </c>
      <c r="K29" s="32">
        <v>1.4543413141068093E-5</v>
      </c>
    </row>
    <row r="30" spans="1:11" x14ac:dyDescent="0.25">
      <c r="A30" s="16" t="s">
        <v>1937</v>
      </c>
      <c r="B30" s="32" t="s">
        <v>281</v>
      </c>
      <c r="C30" s="32" t="s">
        <v>259</v>
      </c>
      <c r="D30" s="65" t="s">
        <v>253</v>
      </c>
      <c r="E30" s="65" t="s">
        <v>254</v>
      </c>
      <c r="F30" s="65" t="s">
        <v>255</v>
      </c>
      <c r="G30" s="32">
        <v>0</v>
      </c>
      <c r="H30" s="32">
        <v>0</v>
      </c>
      <c r="I30" s="83">
        <v>0.21543999999999999</v>
      </c>
      <c r="J30" s="32">
        <v>2.8623322027165415E-5</v>
      </c>
      <c r="K30" s="32">
        <v>1.1536416086863565E-6</v>
      </c>
    </row>
    <row r="31" spans="1:11" x14ac:dyDescent="0.25">
      <c r="A31" s="16" t="s">
        <v>1926</v>
      </c>
      <c r="B31" s="32" t="s">
        <v>262</v>
      </c>
      <c r="C31" s="32" t="s">
        <v>263</v>
      </c>
      <c r="D31" s="65" t="s">
        <v>264</v>
      </c>
      <c r="E31" s="65" t="s">
        <v>265</v>
      </c>
      <c r="F31" s="65" t="s">
        <v>255</v>
      </c>
      <c r="G31" s="32">
        <v>0</v>
      </c>
      <c r="H31" s="32">
        <v>0</v>
      </c>
      <c r="I31" s="83">
        <v>8.04922</v>
      </c>
      <c r="J31" s="32">
        <v>1.0694180102464742E-3</v>
      </c>
      <c r="K31" s="32">
        <v>4.3102093898395815E-5</v>
      </c>
    </row>
    <row r="32" spans="1:11" x14ac:dyDescent="0.25">
      <c r="A32" s="16" t="s">
        <v>1926</v>
      </c>
      <c r="B32" s="32" t="s">
        <v>282</v>
      </c>
      <c r="C32" s="32" t="s">
        <v>263</v>
      </c>
      <c r="D32" s="65" t="s">
        <v>264</v>
      </c>
      <c r="E32" s="65" t="s">
        <v>265</v>
      </c>
      <c r="F32" s="65" t="s">
        <v>255</v>
      </c>
      <c r="G32" s="32">
        <v>0</v>
      </c>
      <c r="H32" s="32">
        <v>0</v>
      </c>
      <c r="I32" s="83">
        <v>0.85832000000000008</v>
      </c>
      <c r="J32" s="32">
        <v>1.1403625028943846E-4</v>
      </c>
      <c r="K32" s="32">
        <v>4.5961458669127069E-6</v>
      </c>
    </row>
    <row r="33" spans="1:11" x14ac:dyDescent="0.25">
      <c r="A33" s="16" t="s">
        <v>1926</v>
      </c>
      <c r="B33" s="32" t="s">
        <v>283</v>
      </c>
      <c r="C33" s="32" t="s">
        <v>263</v>
      </c>
      <c r="D33" s="65" t="s">
        <v>264</v>
      </c>
      <c r="E33" s="65" t="s">
        <v>265</v>
      </c>
      <c r="F33" s="65" t="s">
        <v>255</v>
      </c>
      <c r="G33" s="32">
        <v>0</v>
      </c>
      <c r="H33" s="32">
        <v>0</v>
      </c>
      <c r="I33" s="83">
        <v>9.3030000000000002E-2</v>
      </c>
      <c r="J33" s="32">
        <v>1.2359950093702185E-5</v>
      </c>
      <c r="K33" s="32">
        <v>4.981585539179899E-7</v>
      </c>
    </row>
    <row r="34" spans="1:11" x14ac:dyDescent="0.25">
      <c r="A34" s="16" t="s">
        <v>1926</v>
      </c>
      <c r="B34" s="32" t="s">
        <v>284</v>
      </c>
      <c r="C34" s="32" t="s">
        <v>263</v>
      </c>
      <c r="D34" s="65" t="s">
        <v>264</v>
      </c>
      <c r="E34" s="65" t="s">
        <v>265</v>
      </c>
      <c r="F34" s="65" t="s">
        <v>255</v>
      </c>
      <c r="G34" s="32">
        <v>0</v>
      </c>
      <c r="H34" s="32">
        <v>0</v>
      </c>
      <c r="I34" s="83">
        <v>0</v>
      </c>
      <c r="J34" s="32">
        <v>0</v>
      </c>
      <c r="K34" s="32">
        <v>0</v>
      </c>
    </row>
    <row r="35" spans="1:11" x14ac:dyDescent="0.25">
      <c r="A35" s="16" t="s">
        <v>1927</v>
      </c>
      <c r="B35" s="32" t="s">
        <v>285</v>
      </c>
      <c r="C35" s="32" t="s">
        <v>263</v>
      </c>
      <c r="D35" s="65" t="s">
        <v>264</v>
      </c>
      <c r="E35" s="65" t="s">
        <v>265</v>
      </c>
      <c r="F35" s="65" t="s">
        <v>255</v>
      </c>
      <c r="G35" s="32">
        <v>0</v>
      </c>
      <c r="H35" s="32">
        <v>0</v>
      </c>
      <c r="I35" s="83">
        <v>0.34326999999999996</v>
      </c>
      <c r="J35" s="32">
        <v>4.5606794245567545E-5</v>
      </c>
      <c r="K35" s="32">
        <v>1.838147767423717E-6</v>
      </c>
    </row>
    <row r="36" spans="1:11" s="117" customFormat="1" x14ac:dyDescent="0.25">
      <c r="A36" s="91" t="s">
        <v>289</v>
      </c>
      <c r="B36" s="119" t="s">
        <v>249</v>
      </c>
      <c r="C36" s="119" t="s">
        <v>249</v>
      </c>
      <c r="D36" s="120" t="s">
        <v>249</v>
      </c>
      <c r="E36" s="120" t="s">
        <v>249</v>
      </c>
      <c r="F36" s="120" t="s">
        <v>249</v>
      </c>
      <c r="G36" s="119" t="s">
        <v>249</v>
      </c>
      <c r="H36" s="119" t="s">
        <v>249</v>
      </c>
      <c r="I36" s="122">
        <v>1265.2551601</v>
      </c>
      <c r="J36" s="119">
        <v>0.16810158695727365</v>
      </c>
      <c r="K36" s="119">
        <v>6.7752088669535719E-3</v>
      </c>
    </row>
    <row r="37" spans="1:11" x14ac:dyDescent="0.25">
      <c r="A37" s="16" t="s">
        <v>1928</v>
      </c>
      <c r="B37" s="32" t="s">
        <v>290</v>
      </c>
      <c r="C37" s="32" t="s">
        <v>252</v>
      </c>
      <c r="D37" s="65" t="s">
        <v>253</v>
      </c>
      <c r="E37" s="65" t="s">
        <v>254</v>
      </c>
      <c r="F37" s="65" t="s">
        <v>125</v>
      </c>
      <c r="G37" s="32">
        <v>0</v>
      </c>
      <c r="H37" s="32">
        <v>0</v>
      </c>
      <c r="I37" s="83">
        <v>11.851719999999998</v>
      </c>
      <c r="J37" s="32">
        <v>1.574617518268645E-3</v>
      </c>
      <c r="K37" s="32">
        <v>6.3463782614650317E-5</v>
      </c>
    </row>
    <row r="38" spans="1:11" x14ac:dyDescent="0.25">
      <c r="A38" s="16" t="s">
        <v>1928</v>
      </c>
      <c r="B38" s="32" t="s">
        <v>309</v>
      </c>
      <c r="C38" s="32" t="s">
        <v>252</v>
      </c>
      <c r="D38" s="65" t="s">
        <v>253</v>
      </c>
      <c r="E38" s="65" t="s">
        <v>254</v>
      </c>
      <c r="F38" s="65" t="s">
        <v>125</v>
      </c>
      <c r="G38" s="32">
        <v>0</v>
      </c>
      <c r="H38" s="32">
        <v>0</v>
      </c>
      <c r="I38" s="83">
        <v>2.8574799999999998</v>
      </c>
      <c r="J38" s="32">
        <v>3.7964431037033344E-4</v>
      </c>
      <c r="K38" s="32">
        <v>1.5301280282162505E-5</v>
      </c>
    </row>
    <row r="39" spans="1:11" x14ac:dyDescent="0.25">
      <c r="A39" s="16" t="s">
        <v>1928</v>
      </c>
      <c r="B39" s="32" t="s">
        <v>312</v>
      </c>
      <c r="C39" s="32" t="s">
        <v>252</v>
      </c>
      <c r="D39" s="65" t="s">
        <v>253</v>
      </c>
      <c r="E39" s="65" t="s">
        <v>254</v>
      </c>
      <c r="F39" s="65" t="s">
        <v>125</v>
      </c>
      <c r="G39" s="32">
        <v>0</v>
      </c>
      <c r="H39" s="32">
        <v>0</v>
      </c>
      <c r="I39" s="83">
        <v>0.54715999999999998</v>
      </c>
      <c r="J39" s="32">
        <v>7.2695585222724781E-5</v>
      </c>
      <c r="K39" s="32">
        <v>2.9299412486484721E-6</v>
      </c>
    </row>
    <row r="40" spans="1:11" x14ac:dyDescent="0.25">
      <c r="A40" s="16" t="s">
        <v>1946</v>
      </c>
      <c r="B40" s="32" t="s">
        <v>320</v>
      </c>
      <c r="C40" s="32" t="s">
        <v>252</v>
      </c>
      <c r="D40" s="65" t="s">
        <v>253</v>
      </c>
      <c r="E40" s="65" t="s">
        <v>254</v>
      </c>
      <c r="F40" s="65" t="s">
        <v>125</v>
      </c>
      <c r="G40" s="32">
        <v>0</v>
      </c>
      <c r="H40" s="32">
        <v>0</v>
      </c>
      <c r="I40" s="83">
        <v>-51.320860000000003</v>
      </c>
      <c r="J40" s="32">
        <v>-6.8184807950755315E-3</v>
      </c>
      <c r="K40" s="32">
        <v>-2.7481377408822543E-4</v>
      </c>
    </row>
    <row r="41" spans="1:11" x14ac:dyDescent="0.25">
      <c r="A41" s="16" t="s">
        <v>1929</v>
      </c>
      <c r="B41" s="32" t="s">
        <v>291</v>
      </c>
      <c r="C41" s="32" t="s">
        <v>257</v>
      </c>
      <c r="D41" s="65" t="s">
        <v>253</v>
      </c>
      <c r="E41" s="65" t="s">
        <v>254</v>
      </c>
      <c r="F41" s="65" t="s">
        <v>125</v>
      </c>
      <c r="G41" s="32">
        <v>0</v>
      </c>
      <c r="H41" s="32">
        <v>0</v>
      </c>
      <c r="I41" s="83">
        <v>6.2463500000000005</v>
      </c>
      <c r="J41" s="32">
        <v>8.2988900642584802E-4</v>
      </c>
      <c r="K41" s="32">
        <v>3.3448056361019417E-5</v>
      </c>
    </row>
    <row r="42" spans="1:11" x14ac:dyDescent="0.25">
      <c r="A42" s="16" t="s">
        <v>1938</v>
      </c>
      <c r="B42" s="32" t="s">
        <v>295</v>
      </c>
      <c r="C42" s="32" t="s">
        <v>257</v>
      </c>
      <c r="D42" s="65" t="s">
        <v>253</v>
      </c>
      <c r="E42" s="65" t="s">
        <v>254</v>
      </c>
      <c r="F42" s="65" t="s">
        <v>126</v>
      </c>
      <c r="G42" s="32">
        <v>0</v>
      </c>
      <c r="H42" s="32">
        <v>0</v>
      </c>
      <c r="I42" s="83">
        <v>4.0399999999999998E-2</v>
      </c>
      <c r="J42" s="32">
        <v>5.3675371792493633E-6</v>
      </c>
      <c r="K42" s="32">
        <v>2.1633457570984405E-7</v>
      </c>
    </row>
    <row r="43" spans="1:11" x14ac:dyDescent="0.25">
      <c r="A43" s="16" t="s">
        <v>1939</v>
      </c>
      <c r="B43" s="32" t="s">
        <v>297</v>
      </c>
      <c r="C43" s="32" t="s">
        <v>257</v>
      </c>
      <c r="D43" s="65" t="s">
        <v>253</v>
      </c>
      <c r="E43" s="65" t="s">
        <v>254</v>
      </c>
      <c r="F43" s="65" t="s">
        <v>126</v>
      </c>
      <c r="G43" s="32">
        <v>0</v>
      </c>
      <c r="H43" s="32">
        <v>0</v>
      </c>
      <c r="I43" s="83">
        <v>32.858809999999998</v>
      </c>
      <c r="J43" s="32">
        <v>4.3656159490319492E-3</v>
      </c>
      <c r="K43" s="32">
        <v>1.7595288910099953E-4</v>
      </c>
    </row>
    <row r="44" spans="1:11" x14ac:dyDescent="0.25">
      <c r="A44" s="16" t="s">
        <v>1955</v>
      </c>
      <c r="B44" s="32" t="s">
        <v>299</v>
      </c>
      <c r="C44" s="32" t="s">
        <v>257</v>
      </c>
      <c r="D44" s="65" t="s">
        <v>253</v>
      </c>
      <c r="E44" s="65" t="s">
        <v>254</v>
      </c>
      <c r="F44" s="65" t="s">
        <v>126</v>
      </c>
      <c r="G44" s="32">
        <v>0</v>
      </c>
      <c r="H44" s="32">
        <v>0</v>
      </c>
      <c r="I44" s="83">
        <v>71.916880000000006</v>
      </c>
      <c r="J44" s="32">
        <v>9.5548645350399738E-3</v>
      </c>
      <c r="K44" s="32">
        <v>3.8510167626672702E-4</v>
      </c>
    </row>
    <row r="45" spans="1:11" x14ac:dyDescent="0.25">
      <c r="A45" s="16" t="s">
        <v>1929</v>
      </c>
      <c r="B45" s="32" t="s">
        <v>303</v>
      </c>
      <c r="C45" s="32" t="s">
        <v>257</v>
      </c>
      <c r="D45" s="65" t="s">
        <v>253</v>
      </c>
      <c r="E45" s="65" t="s">
        <v>254</v>
      </c>
      <c r="F45" s="65" t="s">
        <v>125</v>
      </c>
      <c r="G45" s="32">
        <v>0</v>
      </c>
      <c r="H45" s="32">
        <v>0</v>
      </c>
      <c r="I45" s="83">
        <v>1.8207100000000001</v>
      </c>
      <c r="J45" s="32">
        <v>2.418992232086908E-4</v>
      </c>
      <c r="K45" s="32">
        <v>9.7495674589274792E-6</v>
      </c>
    </row>
    <row r="46" spans="1:11" x14ac:dyDescent="0.25">
      <c r="A46" s="16" t="s">
        <v>1940</v>
      </c>
      <c r="B46" s="32" t="s">
        <v>307</v>
      </c>
      <c r="C46" s="32" t="s">
        <v>257</v>
      </c>
      <c r="D46" s="65" t="s">
        <v>253</v>
      </c>
      <c r="E46" s="65" t="s">
        <v>254</v>
      </c>
      <c r="F46" s="65" t="s">
        <v>125</v>
      </c>
      <c r="G46" s="32">
        <v>0</v>
      </c>
      <c r="H46" s="32">
        <v>0</v>
      </c>
      <c r="I46" s="83">
        <v>43.701769999999996</v>
      </c>
      <c r="J46" s="32">
        <v>5.8062097840100102E-3</v>
      </c>
      <c r="K46" s="32">
        <v>2.3401494729502947E-4</v>
      </c>
    </row>
    <row r="47" spans="1:11" x14ac:dyDescent="0.25">
      <c r="A47" s="16" t="s">
        <v>1947</v>
      </c>
      <c r="B47" s="32" t="s">
        <v>310</v>
      </c>
      <c r="C47" s="32" t="s">
        <v>257</v>
      </c>
      <c r="D47" s="65" t="s">
        <v>253</v>
      </c>
      <c r="E47" s="65" t="s">
        <v>254</v>
      </c>
      <c r="F47" s="65" t="s">
        <v>125</v>
      </c>
      <c r="G47" s="32">
        <v>0</v>
      </c>
      <c r="H47" s="32">
        <v>0</v>
      </c>
      <c r="I47" s="83">
        <v>0.55262</v>
      </c>
      <c r="J47" s="32">
        <v>7.3420999900910468E-5</v>
      </c>
      <c r="K47" s="32">
        <v>2.9591785452666836E-6</v>
      </c>
    </row>
    <row r="48" spans="1:11" x14ac:dyDescent="0.25">
      <c r="A48" s="16" t="s">
        <v>1947</v>
      </c>
      <c r="B48" s="32" t="s">
        <v>311</v>
      </c>
      <c r="C48" s="32" t="s">
        <v>257</v>
      </c>
      <c r="D48" s="65" t="s">
        <v>253</v>
      </c>
      <c r="E48" s="65" t="s">
        <v>254</v>
      </c>
      <c r="F48" s="65" t="s">
        <v>125</v>
      </c>
      <c r="G48" s="32">
        <v>0</v>
      </c>
      <c r="H48" s="32">
        <v>0</v>
      </c>
      <c r="I48" s="83">
        <v>12.425190000000001</v>
      </c>
      <c r="J48" s="32">
        <v>1.6508086456494405E-3</v>
      </c>
      <c r="K48" s="32">
        <v>6.6534609078321724E-5</v>
      </c>
    </row>
    <row r="49" spans="1:11" x14ac:dyDescent="0.25">
      <c r="A49" s="16" t="s">
        <v>1929</v>
      </c>
      <c r="B49" s="32" t="s">
        <v>322</v>
      </c>
      <c r="C49" s="32" t="s">
        <v>257</v>
      </c>
      <c r="D49" s="65" t="s">
        <v>253</v>
      </c>
      <c r="E49" s="65" t="s">
        <v>254</v>
      </c>
      <c r="F49" s="65" t="s">
        <v>125</v>
      </c>
      <c r="G49" s="32">
        <v>0</v>
      </c>
      <c r="H49" s="32">
        <v>0</v>
      </c>
      <c r="I49" s="83">
        <v>361.36437000000001</v>
      </c>
      <c r="J49" s="32">
        <v>4.8010809188886713E-2</v>
      </c>
      <c r="K49" s="32">
        <v>1.9350397935793341E-3</v>
      </c>
    </row>
    <row r="50" spans="1:11" x14ac:dyDescent="0.25">
      <c r="A50" s="16" t="s">
        <v>1948</v>
      </c>
      <c r="B50" s="32" t="s">
        <v>293</v>
      </c>
      <c r="C50" s="32" t="s">
        <v>261</v>
      </c>
      <c r="D50" s="65" t="s">
        <v>253</v>
      </c>
      <c r="E50" s="65" t="s">
        <v>254</v>
      </c>
      <c r="F50" s="65" t="s">
        <v>125</v>
      </c>
      <c r="G50" s="32">
        <v>0</v>
      </c>
      <c r="H50" s="32">
        <v>0</v>
      </c>
      <c r="I50" s="83">
        <v>162.03278</v>
      </c>
      <c r="J50" s="32">
        <v>2.1527647794731007E-2</v>
      </c>
      <c r="K50" s="32">
        <v>8.6765576020758682E-4</v>
      </c>
    </row>
    <row r="51" spans="1:11" x14ac:dyDescent="0.25">
      <c r="A51" s="16" t="s">
        <v>1956</v>
      </c>
      <c r="B51" s="32" t="s">
        <v>296</v>
      </c>
      <c r="C51" s="32" t="s">
        <v>261</v>
      </c>
      <c r="D51" s="65" t="s">
        <v>253</v>
      </c>
      <c r="E51" s="65" t="s">
        <v>254</v>
      </c>
      <c r="F51" s="65" t="s">
        <v>126</v>
      </c>
      <c r="G51" s="32">
        <v>0</v>
      </c>
      <c r="H51" s="32">
        <v>0</v>
      </c>
      <c r="I51" s="83">
        <v>204.99970999999999</v>
      </c>
      <c r="J51" s="32">
        <v>2.7236226860404392E-2</v>
      </c>
      <c r="K51" s="32">
        <v>1.0977357743438385E-3</v>
      </c>
    </row>
    <row r="52" spans="1:11" x14ac:dyDescent="0.25">
      <c r="A52" s="16" t="s">
        <v>1957</v>
      </c>
      <c r="B52" s="32" t="s">
        <v>300</v>
      </c>
      <c r="C52" s="32" t="s">
        <v>261</v>
      </c>
      <c r="D52" s="65" t="s">
        <v>253</v>
      </c>
      <c r="E52" s="65" t="s">
        <v>254</v>
      </c>
      <c r="F52" s="65" t="s">
        <v>131</v>
      </c>
      <c r="G52" s="32">
        <v>0</v>
      </c>
      <c r="H52" s="32">
        <v>0</v>
      </c>
      <c r="I52" s="83">
        <v>2.4253</v>
      </c>
      <c r="J52" s="32">
        <v>3.2222494853548223E-4</v>
      </c>
      <c r="K52" s="32">
        <v>1.2987035803690217E-5</v>
      </c>
    </row>
    <row r="53" spans="1:11" x14ac:dyDescent="0.25">
      <c r="A53" s="16" t="s">
        <v>1948</v>
      </c>
      <c r="B53" s="32" t="s">
        <v>302</v>
      </c>
      <c r="C53" s="32" t="s">
        <v>261</v>
      </c>
      <c r="D53" s="65" t="s">
        <v>253</v>
      </c>
      <c r="E53" s="65" t="s">
        <v>254</v>
      </c>
      <c r="F53" s="65" t="s">
        <v>125</v>
      </c>
      <c r="G53" s="32">
        <v>0</v>
      </c>
      <c r="H53" s="32">
        <v>0</v>
      </c>
      <c r="I53" s="83">
        <v>0.29658000000000001</v>
      </c>
      <c r="J53" s="32">
        <v>3.9403568728261787E-5</v>
      </c>
      <c r="K53" s="32">
        <v>1.5881313976243949E-6</v>
      </c>
    </row>
    <row r="54" spans="1:11" x14ac:dyDescent="0.25">
      <c r="A54" s="16" t="s">
        <v>1948</v>
      </c>
      <c r="B54" s="32" t="s">
        <v>304</v>
      </c>
      <c r="C54" s="32" t="s">
        <v>261</v>
      </c>
      <c r="D54" s="65" t="s">
        <v>253</v>
      </c>
      <c r="E54" s="65" t="s">
        <v>254</v>
      </c>
      <c r="F54" s="65" t="s">
        <v>125</v>
      </c>
      <c r="G54" s="32">
        <v>0</v>
      </c>
      <c r="H54" s="32">
        <v>0</v>
      </c>
      <c r="I54" s="83">
        <v>1.9057200000000001</v>
      </c>
      <c r="J54" s="32">
        <v>2.5319363745641326E-4</v>
      </c>
      <c r="K54" s="32">
        <v>1.0204780386677328E-5</v>
      </c>
    </row>
    <row r="55" spans="1:11" x14ac:dyDescent="0.25">
      <c r="A55" s="16" t="s">
        <v>1949</v>
      </c>
      <c r="B55" s="32" t="s">
        <v>305</v>
      </c>
      <c r="C55" s="32" t="s">
        <v>261</v>
      </c>
      <c r="D55" s="65" t="s">
        <v>253</v>
      </c>
      <c r="E55" s="65" t="s">
        <v>254</v>
      </c>
      <c r="F55" s="65" t="s">
        <v>125</v>
      </c>
      <c r="G55" s="32">
        <v>0</v>
      </c>
      <c r="H55" s="32">
        <v>0</v>
      </c>
      <c r="I55" s="83">
        <v>6.7300000000000007E-3</v>
      </c>
      <c r="J55" s="32">
        <v>8.9414666377099545E-7</v>
      </c>
      <c r="K55" s="32">
        <v>3.6037913230872545E-8</v>
      </c>
    </row>
    <row r="56" spans="1:11" x14ac:dyDescent="0.25">
      <c r="A56" s="16" t="s">
        <v>1949</v>
      </c>
      <c r="B56" s="32" t="s">
        <v>306</v>
      </c>
      <c r="C56" s="32" t="s">
        <v>261</v>
      </c>
      <c r="D56" s="65" t="s">
        <v>253</v>
      </c>
      <c r="E56" s="65" t="s">
        <v>254</v>
      </c>
      <c r="F56" s="65" t="s">
        <v>125</v>
      </c>
      <c r="G56" s="32">
        <v>0</v>
      </c>
      <c r="H56" s="32">
        <v>0</v>
      </c>
      <c r="I56" s="83">
        <v>-2.3799999999999997E-3</v>
      </c>
      <c r="J56" s="32">
        <v>-3.1620639818350207E-7</v>
      </c>
      <c r="K56" s="32">
        <v>-1.2744462628451208E-8</v>
      </c>
    </row>
    <row r="57" spans="1:11" x14ac:dyDescent="0.25">
      <c r="A57" s="16" t="s">
        <v>1948</v>
      </c>
      <c r="B57" s="32" t="s">
        <v>308</v>
      </c>
      <c r="C57" s="32" t="s">
        <v>261</v>
      </c>
      <c r="D57" s="65" t="s">
        <v>253</v>
      </c>
      <c r="E57" s="65" t="s">
        <v>254</v>
      </c>
      <c r="F57" s="65" t="s">
        <v>125</v>
      </c>
      <c r="G57" s="32">
        <v>0</v>
      </c>
      <c r="H57" s="32">
        <v>0</v>
      </c>
      <c r="I57" s="83">
        <v>3.1675</v>
      </c>
      <c r="J57" s="32">
        <v>4.208335152295138E-4</v>
      </c>
      <c r="K57" s="32">
        <v>1.6961380409924036E-5</v>
      </c>
    </row>
    <row r="58" spans="1:11" x14ac:dyDescent="0.25">
      <c r="A58" s="16" t="s">
        <v>1949</v>
      </c>
      <c r="B58" s="32" t="s">
        <v>314</v>
      </c>
      <c r="C58" s="32" t="s">
        <v>261</v>
      </c>
      <c r="D58" s="65" t="s">
        <v>253</v>
      </c>
      <c r="E58" s="65" t="s">
        <v>254</v>
      </c>
      <c r="F58" s="65" t="s">
        <v>125</v>
      </c>
      <c r="G58" s="32">
        <v>0</v>
      </c>
      <c r="H58" s="32">
        <v>0</v>
      </c>
      <c r="I58" s="83">
        <v>0.45283999999999996</v>
      </c>
      <c r="J58" s="32">
        <v>6.0164245946813902E-5</v>
      </c>
      <c r="K58" s="32">
        <v>2.4248749817932121E-6</v>
      </c>
    </row>
    <row r="59" spans="1:11" x14ac:dyDescent="0.25">
      <c r="A59" s="16" t="s">
        <v>1948</v>
      </c>
      <c r="B59" s="32" t="s">
        <v>321</v>
      </c>
      <c r="C59" s="32" t="s">
        <v>261</v>
      </c>
      <c r="D59" s="65" t="s">
        <v>253</v>
      </c>
      <c r="E59" s="65" t="s">
        <v>254</v>
      </c>
      <c r="F59" s="65" t="s">
        <v>125</v>
      </c>
      <c r="G59" s="32">
        <v>0</v>
      </c>
      <c r="H59" s="32">
        <v>0</v>
      </c>
      <c r="I59" s="83">
        <v>276.13597999999996</v>
      </c>
      <c r="J59" s="32">
        <v>3.6687379682635107E-2</v>
      </c>
      <c r="K59" s="32">
        <v>1.4786574275129202E-3</v>
      </c>
    </row>
    <row r="60" spans="1:11" x14ac:dyDescent="0.25">
      <c r="A60" s="16" t="s">
        <v>1949</v>
      </c>
      <c r="B60" s="32" t="s">
        <v>324</v>
      </c>
      <c r="C60" s="32" t="s">
        <v>261</v>
      </c>
      <c r="D60" s="65" t="s">
        <v>253</v>
      </c>
      <c r="E60" s="65" t="s">
        <v>254</v>
      </c>
      <c r="F60" s="65" t="s">
        <v>125</v>
      </c>
      <c r="G60" s="32">
        <v>0</v>
      </c>
      <c r="H60" s="32">
        <v>0</v>
      </c>
      <c r="I60" s="83">
        <v>0.17130000000000001</v>
      </c>
      <c r="J60" s="32">
        <v>2.2758889079341979E-5</v>
      </c>
      <c r="K60" s="32">
        <v>9.1728002027466064E-7</v>
      </c>
    </row>
    <row r="61" spans="1:11" x14ac:dyDescent="0.25">
      <c r="A61" s="16" t="s">
        <v>1941</v>
      </c>
      <c r="B61" s="32" t="s">
        <v>292</v>
      </c>
      <c r="C61" s="32" t="s">
        <v>259</v>
      </c>
      <c r="D61" s="65" t="s">
        <v>253</v>
      </c>
      <c r="E61" s="65" t="s">
        <v>254</v>
      </c>
      <c r="F61" s="65" t="s">
        <v>125</v>
      </c>
      <c r="G61" s="32">
        <v>0</v>
      </c>
      <c r="H61" s="32">
        <v>0</v>
      </c>
      <c r="I61" s="83">
        <v>5.3380000000000004E-2</v>
      </c>
      <c r="J61" s="32">
        <v>7.0920577878299759E-6</v>
      </c>
      <c r="K61" s="32">
        <v>2.8584009038097714E-7</v>
      </c>
    </row>
    <row r="62" spans="1:11" x14ac:dyDescent="0.25">
      <c r="A62" s="16" t="s">
        <v>1941</v>
      </c>
      <c r="B62" s="32" t="s">
        <v>313</v>
      </c>
      <c r="C62" s="32" t="s">
        <v>259</v>
      </c>
      <c r="D62" s="65" t="s">
        <v>253</v>
      </c>
      <c r="E62" s="65" t="s">
        <v>254</v>
      </c>
      <c r="F62" s="65" t="s">
        <v>125</v>
      </c>
      <c r="G62" s="32">
        <v>0</v>
      </c>
      <c r="H62" s="32">
        <v>0</v>
      </c>
      <c r="I62" s="83">
        <v>1.7592399999999999</v>
      </c>
      <c r="J62" s="32">
        <v>2.3373232938669926E-4</v>
      </c>
      <c r="K62" s="32">
        <v>9.420406905242229E-6</v>
      </c>
    </row>
    <row r="63" spans="1:11" x14ac:dyDescent="0.25">
      <c r="A63" s="16" t="s">
        <v>1930</v>
      </c>
      <c r="B63" s="32" t="s">
        <v>294</v>
      </c>
      <c r="C63" s="32" t="s">
        <v>263</v>
      </c>
      <c r="D63" s="65" t="s">
        <v>264</v>
      </c>
      <c r="E63" s="65" t="s">
        <v>265</v>
      </c>
      <c r="F63" s="65" t="s">
        <v>125</v>
      </c>
      <c r="G63" s="32">
        <v>0</v>
      </c>
      <c r="H63" s="32">
        <v>0</v>
      </c>
      <c r="I63" s="83">
        <v>29.786849999999998</v>
      </c>
      <c r="J63" s="32">
        <v>3.9574758620723738E-3</v>
      </c>
      <c r="K63" s="32">
        <v>1.5950310783373187E-4</v>
      </c>
    </row>
    <row r="64" spans="1:11" x14ac:dyDescent="0.25">
      <c r="A64" s="16" t="s">
        <v>1931</v>
      </c>
      <c r="B64" s="32" t="s">
        <v>298</v>
      </c>
      <c r="C64" s="32" t="s">
        <v>263</v>
      </c>
      <c r="D64" s="65" t="s">
        <v>264</v>
      </c>
      <c r="E64" s="65" t="s">
        <v>265</v>
      </c>
      <c r="F64" s="65" t="s">
        <v>126</v>
      </c>
      <c r="G64" s="32">
        <v>0</v>
      </c>
      <c r="H64" s="32">
        <v>0</v>
      </c>
      <c r="I64" s="83">
        <v>17.57545</v>
      </c>
      <c r="J64" s="32">
        <v>2.3350713197286691E-3</v>
      </c>
      <c r="K64" s="32">
        <v>9.4113304917316302E-5</v>
      </c>
    </row>
    <row r="65" spans="1:11" x14ac:dyDescent="0.25">
      <c r="A65" s="16" t="s">
        <v>1932</v>
      </c>
      <c r="B65" s="32" t="s">
        <v>301</v>
      </c>
      <c r="C65" s="32" t="s">
        <v>263</v>
      </c>
      <c r="D65" s="65" t="s">
        <v>264</v>
      </c>
      <c r="E65" s="65" t="s">
        <v>265</v>
      </c>
      <c r="F65" s="65" t="s">
        <v>126</v>
      </c>
      <c r="G65" s="32">
        <v>0</v>
      </c>
      <c r="H65" s="32">
        <v>0</v>
      </c>
      <c r="I65" s="83">
        <v>0.28061999999999998</v>
      </c>
      <c r="J65" s="32">
        <v>3.728312582279595E-5</v>
      </c>
      <c r="K65" s="32">
        <v>1.5026685305865453E-6</v>
      </c>
    </row>
    <row r="66" spans="1:11" x14ac:dyDescent="0.25">
      <c r="A66" s="16" t="s">
        <v>1933</v>
      </c>
      <c r="B66" s="32" t="s">
        <v>315</v>
      </c>
      <c r="C66" s="32" t="s">
        <v>263</v>
      </c>
      <c r="D66" s="65" t="s">
        <v>264</v>
      </c>
      <c r="E66" s="65" t="s">
        <v>265</v>
      </c>
      <c r="F66" s="65" t="s">
        <v>125</v>
      </c>
      <c r="G66" s="32">
        <v>0</v>
      </c>
      <c r="H66" s="32">
        <v>0</v>
      </c>
      <c r="I66" s="83">
        <v>-4.0099999999999997E-3</v>
      </c>
      <c r="J66" s="32">
        <v>-5.3276792298985012E-7</v>
      </c>
      <c r="K66" s="32">
        <v>-2.1472813084071153E-8</v>
      </c>
    </row>
    <row r="67" spans="1:11" x14ac:dyDescent="0.25">
      <c r="A67" s="16" t="s">
        <v>1930</v>
      </c>
      <c r="B67" s="32" t="s">
        <v>316</v>
      </c>
      <c r="C67" s="32" t="s">
        <v>263</v>
      </c>
      <c r="D67" s="65" t="s">
        <v>264</v>
      </c>
      <c r="E67" s="65" t="s">
        <v>265</v>
      </c>
      <c r="F67" s="65" t="s">
        <v>125</v>
      </c>
      <c r="G67" s="32">
        <v>0</v>
      </c>
      <c r="H67" s="32">
        <v>0</v>
      </c>
      <c r="I67" s="83">
        <v>2.0032399999999999</v>
      </c>
      <c r="J67" s="32">
        <v>2.6615012819206671E-4</v>
      </c>
      <c r="K67" s="32">
        <v>1.072698206547E-5</v>
      </c>
    </row>
    <row r="68" spans="1:11" x14ac:dyDescent="0.25">
      <c r="A68" s="16" t="s">
        <v>1930</v>
      </c>
      <c r="B68" s="32" t="s">
        <v>317</v>
      </c>
      <c r="C68" s="32" t="s">
        <v>263</v>
      </c>
      <c r="D68" s="65" t="s">
        <v>264</v>
      </c>
      <c r="E68" s="65" t="s">
        <v>265</v>
      </c>
      <c r="F68" s="65" t="s">
        <v>125</v>
      </c>
      <c r="G68" s="32">
        <v>0</v>
      </c>
      <c r="H68" s="32">
        <v>0</v>
      </c>
      <c r="I68" s="83">
        <v>5.9880000000000003E-2</v>
      </c>
      <c r="J68" s="32">
        <v>7.9556466904319778E-6</v>
      </c>
      <c r="K68" s="32">
        <v>3.2064639587884809E-7</v>
      </c>
    </row>
    <row r="69" spans="1:11" x14ac:dyDescent="0.25">
      <c r="A69" s="16" t="s">
        <v>1930</v>
      </c>
      <c r="B69" s="32" t="s">
        <v>318</v>
      </c>
      <c r="C69" s="32" t="s">
        <v>263</v>
      </c>
      <c r="D69" s="65" t="s">
        <v>264</v>
      </c>
      <c r="E69" s="65" t="s">
        <v>265</v>
      </c>
      <c r="F69" s="65" t="s">
        <v>125</v>
      </c>
      <c r="G69" s="32">
        <v>0</v>
      </c>
      <c r="H69" s="32">
        <v>0</v>
      </c>
      <c r="I69" s="83">
        <v>0.72365000000000002</v>
      </c>
      <c r="J69" s="32">
        <v>9.614401682583667E-5</v>
      </c>
      <c r="K69" s="32">
        <v>3.8750127651591251E-6</v>
      </c>
    </row>
    <row r="70" spans="1:11" x14ac:dyDescent="0.25">
      <c r="A70" s="16" t="s">
        <v>1933</v>
      </c>
      <c r="B70" s="32" t="s">
        <v>319</v>
      </c>
      <c r="C70" s="32" t="s">
        <v>263</v>
      </c>
      <c r="D70" s="65" t="s">
        <v>264</v>
      </c>
      <c r="E70" s="65" t="s">
        <v>265</v>
      </c>
      <c r="F70" s="65" t="s">
        <v>125</v>
      </c>
      <c r="G70" s="32">
        <v>0</v>
      </c>
      <c r="H70" s="32">
        <v>0</v>
      </c>
      <c r="I70" s="83">
        <v>66.57929</v>
      </c>
      <c r="J70" s="32">
        <v>8.8457132287877542E-3</v>
      </c>
      <c r="K70" s="32">
        <v>3.5651986270328378E-4</v>
      </c>
    </row>
    <row r="71" spans="1:11" x14ac:dyDescent="0.25">
      <c r="A71" s="16" t="s">
        <v>1933</v>
      </c>
      <c r="B71" s="32" t="s">
        <v>323</v>
      </c>
      <c r="C71" s="32" t="s">
        <v>263</v>
      </c>
      <c r="D71" s="65" t="s">
        <v>264</v>
      </c>
      <c r="E71" s="65" t="s">
        <v>265</v>
      </c>
      <c r="F71" s="65" t="s">
        <v>125</v>
      </c>
      <c r="G71" s="32">
        <v>0</v>
      </c>
      <c r="H71" s="32">
        <v>0</v>
      </c>
      <c r="I71" s="83">
        <v>-1.7090000000000001E-2</v>
      </c>
      <c r="J71" s="32">
        <v>-2.2705745146874164E-6</v>
      </c>
      <c r="K71" s="32">
        <v>-9.1513809378248389E-8</v>
      </c>
    </row>
    <row r="72" spans="1:11" s="117" customFormat="1" x14ac:dyDescent="0.25">
      <c r="A72" s="91" t="s">
        <v>325</v>
      </c>
      <c r="B72" s="119" t="s">
        <v>249</v>
      </c>
      <c r="C72" s="119" t="s">
        <v>249</v>
      </c>
      <c r="D72" s="120" t="s">
        <v>249</v>
      </c>
      <c r="E72" s="120" t="s">
        <v>249</v>
      </c>
      <c r="F72" s="120" t="s">
        <v>249</v>
      </c>
      <c r="G72" s="119" t="s">
        <v>249</v>
      </c>
      <c r="H72" s="119" t="s">
        <v>249</v>
      </c>
      <c r="I72" s="122">
        <v>0</v>
      </c>
      <c r="J72" s="119">
        <v>0</v>
      </c>
      <c r="K72" s="119">
        <v>0</v>
      </c>
    </row>
    <row r="73" spans="1:11" s="117" customFormat="1" x14ac:dyDescent="0.25">
      <c r="A73" s="91" t="s">
        <v>326</v>
      </c>
      <c r="B73" s="119" t="s">
        <v>249</v>
      </c>
      <c r="C73" s="119" t="s">
        <v>249</v>
      </c>
      <c r="D73" s="120" t="s">
        <v>249</v>
      </c>
      <c r="E73" s="120" t="s">
        <v>249</v>
      </c>
      <c r="F73" s="120" t="s">
        <v>249</v>
      </c>
      <c r="G73" s="119" t="s">
        <v>249</v>
      </c>
      <c r="H73" s="119" t="s">
        <v>249</v>
      </c>
      <c r="I73" s="122">
        <v>0</v>
      </c>
      <c r="J73" s="119">
        <v>0</v>
      </c>
      <c r="K73" s="119">
        <v>0</v>
      </c>
    </row>
    <row r="74" spans="1:11" s="117" customFormat="1" x14ac:dyDescent="0.25">
      <c r="A74" s="91" t="s">
        <v>327</v>
      </c>
      <c r="B74" s="119" t="s">
        <v>249</v>
      </c>
      <c r="C74" s="119" t="s">
        <v>249</v>
      </c>
      <c r="D74" s="120" t="s">
        <v>249</v>
      </c>
      <c r="E74" s="120" t="s">
        <v>249</v>
      </c>
      <c r="F74" s="120" t="s">
        <v>249</v>
      </c>
      <c r="G74" s="119" t="s">
        <v>249</v>
      </c>
      <c r="H74" s="119" t="s">
        <v>249</v>
      </c>
      <c r="I74" s="122">
        <v>0</v>
      </c>
      <c r="J74" s="119">
        <v>0</v>
      </c>
      <c r="K74" s="119">
        <v>0</v>
      </c>
    </row>
    <row r="75" spans="1:11" s="117" customFormat="1" x14ac:dyDescent="0.25">
      <c r="A75" s="91" t="s">
        <v>328</v>
      </c>
      <c r="B75" s="119" t="s">
        <v>249</v>
      </c>
      <c r="C75" s="119" t="s">
        <v>249</v>
      </c>
      <c r="D75" s="120" t="s">
        <v>249</v>
      </c>
      <c r="E75" s="120" t="s">
        <v>249</v>
      </c>
      <c r="F75" s="120" t="s">
        <v>249</v>
      </c>
      <c r="G75" s="119" t="s">
        <v>249</v>
      </c>
      <c r="H75" s="119" t="s">
        <v>249</v>
      </c>
      <c r="I75" s="122">
        <v>2163.0757001000006</v>
      </c>
      <c r="J75" s="119">
        <v>0.28738587232221779</v>
      </c>
      <c r="K75" s="119">
        <v>1.1582872866569493E-2</v>
      </c>
    </row>
    <row r="76" spans="1:11" x14ac:dyDescent="0.25">
      <c r="A76" s="16" t="s">
        <v>334</v>
      </c>
      <c r="B76" s="32" t="s">
        <v>335</v>
      </c>
      <c r="C76" s="32" t="s">
        <v>252</v>
      </c>
      <c r="D76" s="65" t="s">
        <v>253</v>
      </c>
      <c r="E76" s="65" t="s">
        <v>254</v>
      </c>
      <c r="F76" s="65" t="s">
        <v>255</v>
      </c>
      <c r="G76" s="32">
        <v>8.0000000000000004E-4</v>
      </c>
      <c r="H76" s="32">
        <v>8.0000000000000004E-4</v>
      </c>
      <c r="I76" s="83">
        <v>7.553E-2</v>
      </c>
      <c r="J76" s="32">
        <v>1.0034903048235258E-5</v>
      </c>
      <c r="K76" s="32">
        <v>4.0444926988526044E-7</v>
      </c>
    </row>
    <row r="77" spans="1:11" x14ac:dyDescent="0.25">
      <c r="A77" s="16" t="s">
        <v>329</v>
      </c>
      <c r="B77" s="32" t="s">
        <v>330</v>
      </c>
      <c r="C77" s="32" t="s">
        <v>261</v>
      </c>
      <c r="D77" s="65" t="s">
        <v>253</v>
      </c>
      <c r="E77" s="65" t="s">
        <v>254</v>
      </c>
      <c r="F77" s="65" t="s">
        <v>255</v>
      </c>
      <c r="G77" s="32">
        <v>8.0000000000000004E-4</v>
      </c>
      <c r="H77" s="32">
        <v>8.0000000000000004E-4</v>
      </c>
      <c r="I77" s="83">
        <v>3.6220000000000002E-2</v>
      </c>
      <c r="J77" s="32">
        <v>4.8121830849606915E-6</v>
      </c>
      <c r="K77" s="32">
        <v>1.9395144386659783E-7</v>
      </c>
    </row>
    <row r="78" spans="1:11" x14ac:dyDescent="0.25">
      <c r="A78" s="16" t="s">
        <v>343</v>
      </c>
      <c r="B78" s="32" t="s">
        <v>344</v>
      </c>
      <c r="C78" s="32" t="s">
        <v>261</v>
      </c>
      <c r="D78" s="65" t="s">
        <v>253</v>
      </c>
      <c r="E78" s="65" t="s">
        <v>254</v>
      </c>
      <c r="F78" s="65" t="s">
        <v>255</v>
      </c>
      <c r="G78" s="32">
        <v>0</v>
      </c>
      <c r="H78" s="32">
        <v>0</v>
      </c>
      <c r="I78" s="83">
        <v>0</v>
      </c>
      <c r="J78" s="32">
        <v>0</v>
      </c>
      <c r="K78" s="32">
        <v>0</v>
      </c>
    </row>
    <row r="79" spans="1:11" x14ac:dyDescent="0.25">
      <c r="A79" s="16" t="s">
        <v>339</v>
      </c>
      <c r="B79" s="32" t="s">
        <v>340</v>
      </c>
      <c r="C79" s="32" t="s">
        <v>259</v>
      </c>
      <c r="D79" s="65" t="s">
        <v>253</v>
      </c>
      <c r="E79" s="65" t="s">
        <v>254</v>
      </c>
      <c r="F79" s="65" t="s">
        <v>255</v>
      </c>
      <c r="G79" s="32">
        <v>8.0000000000000004E-4</v>
      </c>
      <c r="H79" s="32">
        <v>8.0000000000000004E-4</v>
      </c>
      <c r="I79" s="83">
        <v>0.19209000000000001</v>
      </c>
      <c r="J79" s="32">
        <v>2.5521044969356687E-5</v>
      </c>
      <c r="K79" s="32">
        <v>1.0286066497055434E-6</v>
      </c>
    </row>
    <row r="80" spans="1:11" x14ac:dyDescent="0.25">
      <c r="A80" s="16" t="s">
        <v>341</v>
      </c>
      <c r="B80" s="32" t="s">
        <v>342</v>
      </c>
      <c r="C80" s="32" t="s">
        <v>259</v>
      </c>
      <c r="D80" s="65" t="s">
        <v>253</v>
      </c>
      <c r="E80" s="65" t="s">
        <v>254</v>
      </c>
      <c r="F80" s="65" t="s">
        <v>255</v>
      </c>
      <c r="G80" s="32">
        <v>0</v>
      </c>
      <c r="H80" s="32">
        <v>0</v>
      </c>
      <c r="I80" s="83">
        <v>2162.2772200000004</v>
      </c>
      <c r="J80" s="32">
        <v>0.28727978639093948</v>
      </c>
      <c r="K80" s="32">
        <v>1.1578597152370328E-2</v>
      </c>
    </row>
    <row r="81" spans="1:11" x14ac:dyDescent="0.25">
      <c r="A81" s="16" t="s">
        <v>336</v>
      </c>
      <c r="B81" s="32" t="s">
        <v>337</v>
      </c>
      <c r="C81" s="32" t="s">
        <v>338</v>
      </c>
      <c r="D81" s="65" t="s">
        <v>253</v>
      </c>
      <c r="E81" s="65" t="s">
        <v>254</v>
      </c>
      <c r="F81" s="65" t="s">
        <v>255</v>
      </c>
      <c r="G81" s="32">
        <v>8.0000000000000004E-4</v>
      </c>
      <c r="H81" s="32">
        <v>8.0000000000000004E-4</v>
      </c>
      <c r="I81" s="83">
        <v>0.10125000000000001</v>
      </c>
      <c r="J81" s="32">
        <v>1.3452057905915793E-5</v>
      </c>
      <c r="K81" s="32">
        <v>5.4217514333222063E-7</v>
      </c>
    </row>
    <row r="82" spans="1:11" x14ac:dyDescent="0.25">
      <c r="A82" s="16" t="s">
        <v>331</v>
      </c>
      <c r="B82" s="32" t="s">
        <v>332</v>
      </c>
      <c r="C82" s="32" t="s">
        <v>333</v>
      </c>
      <c r="D82" s="65" t="s">
        <v>253</v>
      </c>
      <c r="E82" s="65" t="s">
        <v>254</v>
      </c>
      <c r="F82" s="65" t="s">
        <v>255</v>
      </c>
      <c r="G82" s="32">
        <v>8.0000000000000004E-4</v>
      </c>
      <c r="H82" s="32">
        <v>8.0000000000000004E-4</v>
      </c>
      <c r="I82" s="83">
        <v>0.39379000000000003</v>
      </c>
      <c r="J82" s="32">
        <v>5.2318872916252644E-5</v>
      </c>
      <c r="K82" s="32">
        <v>2.1086730833856313E-6</v>
      </c>
    </row>
    <row r="83" spans="1:11" s="117" customFormat="1" x14ac:dyDescent="0.25">
      <c r="A83" s="91" t="s">
        <v>345</v>
      </c>
      <c r="B83" s="119" t="s">
        <v>249</v>
      </c>
      <c r="C83" s="119" t="s">
        <v>249</v>
      </c>
      <c r="D83" s="120" t="s">
        <v>249</v>
      </c>
      <c r="E83" s="120" t="s">
        <v>249</v>
      </c>
      <c r="F83" s="120" t="s">
        <v>249</v>
      </c>
      <c r="G83" s="119" t="s">
        <v>249</v>
      </c>
      <c r="H83" s="119" t="s">
        <v>249</v>
      </c>
      <c r="I83" s="122">
        <v>1311.3877201</v>
      </c>
      <c r="J83" s="119">
        <v>0.17423075109029226</v>
      </c>
      <c r="K83" s="119">
        <v>7.0222402479933974E-3</v>
      </c>
    </row>
    <row r="84" spans="1:11" x14ac:dyDescent="0.25">
      <c r="A84" s="16" t="s">
        <v>1950</v>
      </c>
      <c r="B84" s="32" t="s">
        <v>350</v>
      </c>
      <c r="C84" s="32" t="s">
        <v>252</v>
      </c>
      <c r="D84" s="65" t="s">
        <v>253</v>
      </c>
      <c r="E84" s="65" t="s">
        <v>254</v>
      </c>
      <c r="F84" s="65" t="s">
        <v>125</v>
      </c>
      <c r="G84" s="32">
        <v>0</v>
      </c>
      <c r="H84" s="32">
        <v>0</v>
      </c>
      <c r="I84" s="83">
        <v>250.51542000000001</v>
      </c>
      <c r="J84" s="32">
        <v>3.3283436406566079E-2</v>
      </c>
      <c r="K84" s="32">
        <v>1.3414640369919155E-3</v>
      </c>
    </row>
    <row r="85" spans="1:11" x14ac:dyDescent="0.25">
      <c r="A85" s="16" t="s">
        <v>1934</v>
      </c>
      <c r="B85" s="32" t="s">
        <v>347</v>
      </c>
      <c r="C85" s="32" t="s">
        <v>257</v>
      </c>
      <c r="D85" s="65" t="s">
        <v>253</v>
      </c>
      <c r="E85" s="65" t="s">
        <v>254</v>
      </c>
      <c r="F85" s="65" t="s">
        <v>125</v>
      </c>
      <c r="G85" s="32">
        <v>0</v>
      </c>
      <c r="H85" s="32">
        <v>0</v>
      </c>
      <c r="I85" s="83">
        <v>344.16</v>
      </c>
      <c r="J85" s="32">
        <v>4.5725039495308435E-2</v>
      </c>
      <c r="K85" s="32">
        <v>1.8429135538688103E-3</v>
      </c>
    </row>
    <row r="86" spans="1:11" x14ac:dyDescent="0.25">
      <c r="A86" s="16" t="s">
        <v>1934</v>
      </c>
      <c r="B86" s="32" t="s">
        <v>351</v>
      </c>
      <c r="C86" s="32" t="s">
        <v>257</v>
      </c>
      <c r="D86" s="65" t="s">
        <v>253</v>
      </c>
      <c r="E86" s="65" t="s">
        <v>254</v>
      </c>
      <c r="F86" s="65" t="s">
        <v>125</v>
      </c>
      <c r="G86" s="32">
        <v>0</v>
      </c>
      <c r="H86" s="32">
        <v>0</v>
      </c>
      <c r="I86" s="83">
        <v>20.583080000000002</v>
      </c>
      <c r="J86" s="32">
        <v>2.7346645337491086E-3</v>
      </c>
      <c r="K86" s="32">
        <v>1.1021861085647964E-4</v>
      </c>
    </row>
    <row r="87" spans="1:11" x14ac:dyDescent="0.25">
      <c r="A87" s="16" t="s">
        <v>1934</v>
      </c>
      <c r="B87" s="32" t="s">
        <v>352</v>
      </c>
      <c r="C87" s="32" t="s">
        <v>257</v>
      </c>
      <c r="D87" s="65" t="s">
        <v>253</v>
      </c>
      <c r="E87" s="65" t="s">
        <v>254</v>
      </c>
      <c r="F87" s="65" t="s">
        <v>125</v>
      </c>
      <c r="G87" s="32">
        <v>0</v>
      </c>
      <c r="H87" s="32">
        <v>0</v>
      </c>
      <c r="I87" s="83">
        <v>-0.55855999999999995</v>
      </c>
      <c r="J87" s="32">
        <v>-7.4210187298057525E-5</v>
      </c>
      <c r="K87" s="32">
        <v>-2.990986153675507E-6</v>
      </c>
    </row>
    <row r="88" spans="1:11" x14ac:dyDescent="0.25">
      <c r="A88" s="16" t="s">
        <v>1934</v>
      </c>
      <c r="B88" s="32" t="s">
        <v>353</v>
      </c>
      <c r="C88" s="32" t="s">
        <v>257</v>
      </c>
      <c r="D88" s="65" t="s">
        <v>253</v>
      </c>
      <c r="E88" s="65" t="s">
        <v>254</v>
      </c>
      <c r="F88" s="65" t="s">
        <v>125</v>
      </c>
      <c r="G88" s="32">
        <v>0</v>
      </c>
      <c r="H88" s="32">
        <v>0</v>
      </c>
      <c r="I88" s="83">
        <v>314.28460999999999</v>
      </c>
      <c r="J88" s="32">
        <v>4.1755800223784313E-2</v>
      </c>
      <c r="K88" s="32">
        <v>1.6829363306060348E-3</v>
      </c>
    </row>
    <row r="89" spans="1:11" x14ac:dyDescent="0.25">
      <c r="A89" s="16" t="s">
        <v>1958</v>
      </c>
      <c r="B89" s="32" t="s">
        <v>346</v>
      </c>
      <c r="C89" s="32" t="s">
        <v>261</v>
      </c>
      <c r="D89" s="65" t="s">
        <v>253</v>
      </c>
      <c r="E89" s="65" t="s">
        <v>254</v>
      </c>
      <c r="F89" s="65" t="s">
        <v>125</v>
      </c>
      <c r="G89" s="32">
        <v>0</v>
      </c>
      <c r="H89" s="32">
        <v>0</v>
      </c>
      <c r="I89" s="83">
        <v>325.18056999999999</v>
      </c>
      <c r="J89" s="32">
        <v>4.3203435629814359E-2</v>
      </c>
      <c r="K89" s="32">
        <v>1.7412821940602783E-3</v>
      </c>
    </row>
    <row r="90" spans="1:11" x14ac:dyDescent="0.25">
      <c r="A90" s="16" t="s">
        <v>1951</v>
      </c>
      <c r="B90" s="32" t="s">
        <v>348</v>
      </c>
      <c r="C90" s="32" t="s">
        <v>261</v>
      </c>
      <c r="D90" s="65" t="s">
        <v>253</v>
      </c>
      <c r="E90" s="65" t="s">
        <v>254</v>
      </c>
      <c r="F90" s="65" t="s">
        <v>125</v>
      </c>
      <c r="G90" s="32">
        <v>0</v>
      </c>
      <c r="H90" s="32">
        <v>0</v>
      </c>
      <c r="I90" s="83">
        <v>11.962809999999999</v>
      </c>
      <c r="J90" s="32">
        <v>1.589376916913269E-3</v>
      </c>
      <c r="K90" s="32">
        <v>6.4058649149690086E-5</v>
      </c>
    </row>
    <row r="91" spans="1:11" x14ac:dyDescent="0.25">
      <c r="A91" s="16" t="s">
        <v>1951</v>
      </c>
      <c r="B91" s="32" t="s">
        <v>349</v>
      </c>
      <c r="C91" s="32" t="s">
        <v>261</v>
      </c>
      <c r="D91" s="65" t="s">
        <v>253</v>
      </c>
      <c r="E91" s="65" t="s">
        <v>254</v>
      </c>
      <c r="F91" s="65" t="s">
        <v>125</v>
      </c>
      <c r="G91" s="32">
        <v>0</v>
      </c>
      <c r="H91" s="32">
        <v>0</v>
      </c>
      <c r="I91" s="83">
        <v>-0.50700000000000001</v>
      </c>
      <c r="J91" s="32">
        <v>-6.7359934402956123E-5</v>
      </c>
      <c r="K91" s="32">
        <v>-2.7148918288339341E-6</v>
      </c>
    </row>
    <row r="92" spans="1:11" x14ac:dyDescent="0.25">
      <c r="A92" s="16" t="s">
        <v>1951</v>
      </c>
      <c r="B92" s="32" t="s">
        <v>354</v>
      </c>
      <c r="C92" s="32" t="s">
        <v>261</v>
      </c>
      <c r="D92" s="65" t="s">
        <v>253</v>
      </c>
      <c r="E92" s="65" t="s">
        <v>254</v>
      </c>
      <c r="F92" s="65" t="s">
        <v>125</v>
      </c>
      <c r="G92" s="32">
        <v>0</v>
      </c>
      <c r="H92" s="32">
        <v>0</v>
      </c>
      <c r="I92" s="83">
        <v>45.76679</v>
      </c>
      <c r="J92" s="32">
        <v>6.0805679925717317E-3</v>
      </c>
      <c r="K92" s="32">
        <v>2.4507274990721617E-4</v>
      </c>
    </row>
    <row r="93" spans="1:11" s="117" customFormat="1" x14ac:dyDescent="0.25">
      <c r="A93" s="91" t="s">
        <v>355</v>
      </c>
      <c r="B93" s="119" t="s">
        <v>249</v>
      </c>
      <c r="C93" s="119" t="s">
        <v>249</v>
      </c>
      <c r="D93" s="120" t="s">
        <v>249</v>
      </c>
      <c r="E93" s="120" t="s">
        <v>249</v>
      </c>
      <c r="F93" s="120" t="s">
        <v>249</v>
      </c>
      <c r="G93" s="119" t="s">
        <v>249</v>
      </c>
      <c r="H93" s="119" t="s">
        <v>249</v>
      </c>
      <c r="I93" s="122">
        <v>134.47216020000008</v>
      </c>
      <c r="J93" s="119">
        <v>1.786594850117517E-2</v>
      </c>
      <c r="K93" s="119">
        <v>7.2007370598151479E-4</v>
      </c>
    </row>
    <row r="94" spans="1:11" s="117" customFormat="1" x14ac:dyDescent="0.25">
      <c r="A94" s="91" t="s">
        <v>289</v>
      </c>
      <c r="B94" s="119" t="s">
        <v>249</v>
      </c>
      <c r="C94" s="119" t="s">
        <v>249</v>
      </c>
      <c r="D94" s="120" t="s">
        <v>249</v>
      </c>
      <c r="E94" s="120" t="s">
        <v>249</v>
      </c>
      <c r="F94" s="120" t="s">
        <v>249</v>
      </c>
      <c r="G94" s="119" t="s">
        <v>249</v>
      </c>
      <c r="H94" s="119" t="s">
        <v>249</v>
      </c>
      <c r="I94" s="122">
        <v>133.50155010000003</v>
      </c>
      <c r="J94" s="119">
        <v>1.7736993407157713E-2</v>
      </c>
      <c r="K94" s="119">
        <v>7.1487626726460393E-4</v>
      </c>
    </row>
    <row r="95" spans="1:11" x14ac:dyDescent="0.25">
      <c r="A95" s="16" t="s">
        <v>1952</v>
      </c>
      <c r="B95" s="32" t="s">
        <v>356</v>
      </c>
      <c r="C95" s="32" t="s">
        <v>357</v>
      </c>
      <c r="D95" s="65" t="s">
        <v>358</v>
      </c>
      <c r="E95" s="65" t="s">
        <v>265</v>
      </c>
      <c r="F95" s="65" t="s">
        <v>125</v>
      </c>
      <c r="G95" s="32">
        <v>0</v>
      </c>
      <c r="H95" s="32">
        <v>0</v>
      </c>
      <c r="I95" s="83">
        <v>140.30939999999998</v>
      </c>
      <c r="J95" s="32">
        <v>1.864148319549927E-2</v>
      </c>
      <c r="K95" s="32">
        <v>7.5133105240353436E-4</v>
      </c>
    </row>
    <row r="96" spans="1:11" x14ac:dyDescent="0.25">
      <c r="A96" s="16" t="s">
        <v>1959</v>
      </c>
      <c r="B96" s="32" t="s">
        <v>359</v>
      </c>
      <c r="C96" s="32" t="s">
        <v>357</v>
      </c>
      <c r="D96" s="65" t="s">
        <v>358</v>
      </c>
      <c r="E96" s="65" t="s">
        <v>265</v>
      </c>
      <c r="F96" s="65" t="s">
        <v>125</v>
      </c>
      <c r="G96" s="32">
        <v>0</v>
      </c>
      <c r="H96" s="32">
        <v>0</v>
      </c>
      <c r="I96" s="83">
        <v>-4.75021</v>
      </c>
      <c r="J96" s="32">
        <v>-6.3111209861985444E-4</v>
      </c>
      <c r="K96" s="32">
        <v>-2.5436501606006394E-5</v>
      </c>
    </row>
    <row r="97" spans="1:11" x14ac:dyDescent="0.25">
      <c r="A97" s="16" t="s">
        <v>1952</v>
      </c>
      <c r="B97" s="32" t="s">
        <v>360</v>
      </c>
      <c r="C97" s="32" t="s">
        <v>357</v>
      </c>
      <c r="D97" s="65" t="s">
        <v>358</v>
      </c>
      <c r="E97" s="65" t="s">
        <v>265</v>
      </c>
      <c r="F97" s="65" t="s">
        <v>125</v>
      </c>
      <c r="G97" s="32">
        <v>0</v>
      </c>
      <c r="H97" s="32">
        <v>0</v>
      </c>
      <c r="I97" s="83">
        <v>1.329E-2</v>
      </c>
      <c r="J97" s="32">
        <v>1.7657071562431692E-6</v>
      </c>
      <c r="K97" s="32">
        <v>7.1165507702569984E-8</v>
      </c>
    </row>
    <row r="98" spans="1:11" x14ac:dyDescent="0.25">
      <c r="A98" s="16" t="s">
        <v>1953</v>
      </c>
      <c r="B98" s="32" t="s">
        <v>361</v>
      </c>
      <c r="C98" s="32" t="s">
        <v>357</v>
      </c>
      <c r="D98" s="65" t="s">
        <v>358</v>
      </c>
      <c r="E98" s="65" t="s">
        <v>265</v>
      </c>
      <c r="F98" s="65" t="s">
        <v>125</v>
      </c>
      <c r="G98" s="32">
        <v>0</v>
      </c>
      <c r="H98" s="32">
        <v>0</v>
      </c>
      <c r="I98" s="83">
        <v>-2.26159</v>
      </c>
      <c r="J98" s="32">
        <v>-3.0047446557471703E-4</v>
      </c>
      <c r="K98" s="32">
        <v>-1.211039883860461E-5</v>
      </c>
    </row>
    <row r="99" spans="1:11" x14ac:dyDescent="0.25">
      <c r="A99" s="16" t="s">
        <v>1960</v>
      </c>
      <c r="B99" s="32" t="s">
        <v>362</v>
      </c>
      <c r="C99" s="32" t="s">
        <v>363</v>
      </c>
      <c r="D99" s="65" t="s">
        <v>364</v>
      </c>
      <c r="E99" s="65" t="s">
        <v>265</v>
      </c>
      <c r="F99" s="65" t="s">
        <v>125</v>
      </c>
      <c r="G99" s="32">
        <v>0</v>
      </c>
      <c r="H99" s="32">
        <v>0</v>
      </c>
      <c r="I99" s="83">
        <v>0.19066</v>
      </c>
      <c r="J99" s="32">
        <v>2.5331055410784246E-5</v>
      </c>
      <c r="K99" s="32">
        <v>1.0209492624960115E-6</v>
      </c>
    </row>
    <row r="100" spans="1:11" s="117" customFormat="1" x14ac:dyDescent="0.25">
      <c r="A100" s="91" t="s">
        <v>345</v>
      </c>
      <c r="B100" s="119" t="s">
        <v>249</v>
      </c>
      <c r="C100" s="119" t="s">
        <v>249</v>
      </c>
      <c r="D100" s="120" t="s">
        <v>249</v>
      </c>
      <c r="E100" s="120" t="s">
        <v>249</v>
      </c>
      <c r="F100" s="120" t="s">
        <v>249</v>
      </c>
      <c r="G100" s="119" t="s">
        <v>249</v>
      </c>
      <c r="H100" s="119" t="s">
        <v>249</v>
      </c>
      <c r="I100" s="122">
        <v>0.97061009999999803</v>
      </c>
      <c r="J100" s="119">
        <v>1.2895509401744882E-4</v>
      </c>
      <c r="K100" s="119">
        <v>5.1974387169106161E-6</v>
      </c>
    </row>
    <row r="101" spans="1:11" x14ac:dyDescent="0.25">
      <c r="A101" s="16" t="s">
        <v>1954</v>
      </c>
      <c r="B101" s="32" t="s">
        <v>365</v>
      </c>
      <c r="C101" s="32" t="s">
        <v>357</v>
      </c>
      <c r="D101" s="65" t="s">
        <v>358</v>
      </c>
      <c r="E101" s="65" t="s">
        <v>265</v>
      </c>
      <c r="F101" s="65" t="s">
        <v>125</v>
      </c>
      <c r="G101" s="32">
        <v>0</v>
      </c>
      <c r="H101" s="32">
        <v>0</v>
      </c>
      <c r="I101" s="83">
        <v>-37.315160000000006</v>
      </c>
      <c r="J101" s="32">
        <v>-4.957685857664324E-3</v>
      </c>
      <c r="K101" s="32">
        <v>-1.9981582440952835E-4</v>
      </c>
    </row>
    <row r="102" spans="1:11" x14ac:dyDescent="0.25">
      <c r="A102" s="16" t="s">
        <v>1961</v>
      </c>
      <c r="B102" s="32" t="s">
        <v>366</v>
      </c>
      <c r="C102" s="32" t="s">
        <v>363</v>
      </c>
      <c r="D102" s="65" t="s">
        <v>364</v>
      </c>
      <c r="E102" s="65" t="s">
        <v>265</v>
      </c>
      <c r="F102" s="65" t="s">
        <v>125</v>
      </c>
      <c r="G102" s="32">
        <v>0</v>
      </c>
      <c r="H102" s="32">
        <v>0</v>
      </c>
      <c r="I102" s="83">
        <v>55.125709999999998</v>
      </c>
      <c r="J102" s="32">
        <v>7.3239925237009503E-3</v>
      </c>
      <c r="K102" s="32">
        <v>2.9518804662262145E-4</v>
      </c>
    </row>
    <row r="103" spans="1:11" x14ac:dyDescent="0.25">
      <c r="A103" s="16" t="s">
        <v>1935</v>
      </c>
      <c r="B103" s="32" t="s">
        <v>367</v>
      </c>
      <c r="C103" s="32" t="s">
        <v>263</v>
      </c>
      <c r="D103" s="65" t="s">
        <v>264</v>
      </c>
      <c r="E103" s="65" t="s">
        <v>265</v>
      </c>
      <c r="F103" s="65" t="s">
        <v>125</v>
      </c>
      <c r="G103" s="32">
        <v>0</v>
      </c>
      <c r="H103" s="32">
        <v>0</v>
      </c>
      <c r="I103" s="83">
        <v>-1.315E-2</v>
      </c>
      <c r="J103" s="32">
        <v>-1.7471067798794338E-6</v>
      </c>
      <c r="K103" s="32">
        <v>-7.0415833430308159E-8</v>
      </c>
    </row>
    <row r="104" spans="1:11" x14ac:dyDescent="0.25">
      <c r="A104" s="16" t="s">
        <v>1962</v>
      </c>
      <c r="B104" s="32" t="s">
        <v>368</v>
      </c>
      <c r="C104" s="32" t="s">
        <v>369</v>
      </c>
      <c r="D104" s="65" t="s">
        <v>370</v>
      </c>
      <c r="E104" s="65" t="s">
        <v>371</v>
      </c>
      <c r="F104" s="65" t="s">
        <v>125</v>
      </c>
      <c r="G104" s="32">
        <v>0</v>
      </c>
      <c r="H104" s="32">
        <v>0</v>
      </c>
      <c r="I104" s="83">
        <v>33.343830000000004</v>
      </c>
      <c r="J104" s="32">
        <v>4.4300556243457995E-3</v>
      </c>
      <c r="K104" s="32">
        <v>1.7855008206908837E-4</v>
      </c>
    </row>
    <row r="105" spans="1:11" x14ac:dyDescent="0.25">
      <c r="A105" s="16" t="s">
        <v>1963</v>
      </c>
      <c r="B105" s="32" t="s">
        <v>372</v>
      </c>
      <c r="C105" s="32" t="s">
        <v>369</v>
      </c>
      <c r="D105" s="65" t="s">
        <v>370</v>
      </c>
      <c r="E105" s="65" t="s">
        <v>371</v>
      </c>
      <c r="F105" s="65" t="s">
        <v>125</v>
      </c>
      <c r="G105" s="32">
        <v>0</v>
      </c>
      <c r="H105" s="32">
        <v>0</v>
      </c>
      <c r="I105" s="83">
        <v>-9.3054299999999994</v>
      </c>
      <c r="J105" s="32">
        <v>-1.2363178587599605E-3</v>
      </c>
      <c r="K105" s="32">
        <v>-4.9828867595238963E-5</v>
      </c>
    </row>
    <row r="106" spans="1:11" x14ac:dyDescent="0.25">
      <c r="A106" s="16" t="s">
        <v>1964</v>
      </c>
      <c r="B106" s="32" t="s">
        <v>373</v>
      </c>
      <c r="C106" s="32" t="s">
        <v>369</v>
      </c>
      <c r="D106" s="65" t="s">
        <v>370</v>
      </c>
      <c r="E106" s="65" t="s">
        <v>371</v>
      </c>
      <c r="F106" s="65" t="s">
        <v>255</v>
      </c>
      <c r="G106" s="32">
        <v>0</v>
      </c>
      <c r="H106" s="32">
        <v>0</v>
      </c>
      <c r="I106" s="83">
        <v>-40.875360000000001</v>
      </c>
      <c r="J106" s="32">
        <v>-5.4306934285941154E-3</v>
      </c>
      <c r="K106" s="32">
        <v>-2.1888004115314683E-4</v>
      </c>
    </row>
    <row r="107" spans="1:11" x14ac:dyDescent="0.25">
      <c r="A107" s="16" t="s">
        <v>1942</v>
      </c>
      <c r="B107" s="32" t="s">
        <v>374</v>
      </c>
      <c r="C107" s="32" t="s">
        <v>369</v>
      </c>
      <c r="D107" s="65" t="s">
        <v>370</v>
      </c>
      <c r="E107" s="65" t="s">
        <v>371</v>
      </c>
      <c r="F107" s="65" t="s">
        <v>125</v>
      </c>
      <c r="G107" s="32">
        <v>0</v>
      </c>
      <c r="H107" s="32">
        <v>0</v>
      </c>
      <c r="I107" s="83">
        <v>1.017E-2</v>
      </c>
      <c r="J107" s="32">
        <v>1.3511844829942084E-6</v>
      </c>
      <c r="K107" s="32">
        <v>5.4458481063591933E-8</v>
      </c>
    </row>
    <row r="108" spans="1:11" s="117" customFormat="1" x14ac:dyDescent="0.25">
      <c r="A108" s="77" t="s">
        <v>241</v>
      </c>
      <c r="B108" s="123"/>
      <c r="C108" s="123"/>
      <c r="D108" s="123"/>
      <c r="E108" s="124"/>
      <c r="F108" s="125"/>
      <c r="G108" s="126"/>
      <c r="H108" s="127"/>
      <c r="I108" s="126"/>
      <c r="J108" s="128"/>
    </row>
    <row r="109" spans="1:11" s="117" customFormat="1" x14ac:dyDescent="0.25">
      <c r="A109" s="77" t="s">
        <v>242</v>
      </c>
      <c r="B109" s="123"/>
      <c r="C109" s="123"/>
      <c r="D109" s="123"/>
      <c r="E109" s="124"/>
      <c r="F109" s="125"/>
      <c r="G109" s="126"/>
      <c r="H109" s="127"/>
      <c r="I109" s="126"/>
      <c r="J109" s="128"/>
    </row>
    <row r="110" spans="1:11" s="117" customFormat="1" x14ac:dyDescent="0.25">
      <c r="A110" s="77" t="s">
        <v>243</v>
      </c>
      <c r="B110" s="123"/>
      <c r="C110" s="123"/>
      <c r="D110" s="123"/>
      <c r="E110" s="124"/>
      <c r="F110" s="125"/>
      <c r="G110" s="126"/>
      <c r="H110" s="127"/>
      <c r="I110" s="126"/>
      <c r="J110" s="128"/>
    </row>
    <row r="111" spans="1:11" s="117" customFormat="1" x14ac:dyDescent="0.25">
      <c r="A111" s="77" t="s">
        <v>244</v>
      </c>
      <c r="B111" s="123"/>
      <c r="C111" s="123"/>
      <c r="D111" s="123"/>
      <c r="E111" s="124"/>
      <c r="F111" s="125"/>
      <c r="G111" s="126"/>
      <c r="H111" s="127"/>
      <c r="I111" s="126"/>
      <c r="J111" s="128"/>
    </row>
    <row r="112" spans="1:11" s="117" customFormat="1" x14ac:dyDescent="0.25">
      <c r="A112" s="77" t="s">
        <v>245</v>
      </c>
      <c r="B112" s="123"/>
      <c r="C112" s="123"/>
      <c r="D112" s="123"/>
      <c r="E112" s="124"/>
      <c r="F112" s="125"/>
      <c r="G112" s="126"/>
      <c r="H112" s="127"/>
      <c r="I112" s="126"/>
      <c r="J112" s="128"/>
    </row>
  </sheetData>
  <mergeCells count="1">
    <mergeCell ref="A4:K4"/>
  </mergeCells>
  <phoneticPr fontId="3" type="noConversion"/>
  <conditionalFormatting sqref="A9:A107 I9:K107">
    <cfRule type="expression" dxfId="129" priority="43" stopIfTrue="1">
      <formula>OR(LEFT(#REF!,3)="TIR",LEFT(#REF!,2)="IR")</formula>
    </cfRule>
  </conditionalFormatting>
  <conditionalFormatting sqref="B9:F107 J9:K107">
    <cfRule type="expression" dxfId="128" priority="39" stopIfTrue="1">
      <formula>LEFT(#REF!,3)="TIR"</formula>
    </cfRule>
  </conditionalFormatting>
  <conditionalFormatting sqref="G1:G3 G9:H107 G108:G55642">
    <cfRule type="expression" dxfId="127" priority="35" stopIfTrue="1">
      <formula>LEFT(#REF!,3)="TIR"</formula>
    </cfRule>
  </conditionalFormatting>
  <conditionalFormatting sqref="G5">
    <cfRule type="expression" dxfId="126" priority="38" stopIfTrue="1">
      <formula>LEFT(#REF!,3)="TIR"</formula>
    </cfRule>
  </conditionalFormatting>
  <conditionalFormatting sqref="I9:J107 A9:A107">
    <cfRule type="expression" dxfId="125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47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5.10937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3.5546875" style="63" bestFit="1" customWidth="1"/>
    <col min="12" max="12" width="8.88671875" style="63" bestFit="1" customWidth="1"/>
    <col min="13" max="13" width="16.5546875" style="63" customWidth="1"/>
    <col min="14" max="14" width="11.33203125" style="61" bestFit="1" customWidth="1"/>
    <col min="15" max="15" width="22" style="61" customWidth="1"/>
    <col min="16" max="16" width="25.44140625" style="61" customWidth="1"/>
    <col min="17" max="17" width="20.6640625" style="6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4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4"/>
    </row>
    <row r="4" spans="1:17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3"/>
    </row>
    <row r="5" spans="1:17" s="7" customFormat="1" x14ac:dyDescent="0.25">
      <c r="A5" s="224" t="s">
        <v>12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6"/>
    </row>
    <row r="6" spans="1:17" s="7" customFormat="1" ht="28.5" customHeight="1" x14ac:dyDescent="0.25">
      <c r="A6" s="206" t="s">
        <v>157</v>
      </c>
      <c r="B6" s="204" t="s">
        <v>69</v>
      </c>
      <c r="C6" s="204" t="s">
        <v>76</v>
      </c>
      <c r="D6" s="204" t="s">
        <v>70</v>
      </c>
      <c r="E6" s="204" t="s">
        <v>5</v>
      </c>
      <c r="F6" s="204" t="s">
        <v>13</v>
      </c>
      <c r="G6" s="204" t="s">
        <v>14</v>
      </c>
      <c r="H6" s="204" t="s">
        <v>6</v>
      </c>
      <c r="I6" s="205" t="s">
        <v>66</v>
      </c>
      <c r="J6" s="205" t="s">
        <v>71</v>
      </c>
      <c r="K6" s="205" t="s">
        <v>67</v>
      </c>
      <c r="L6" s="205" t="s">
        <v>68</v>
      </c>
      <c r="M6" s="205" t="s">
        <v>134</v>
      </c>
      <c r="N6" s="205" t="s">
        <v>7</v>
      </c>
      <c r="O6" s="88" t="s">
        <v>17</v>
      </c>
      <c r="P6" s="88" t="s">
        <v>75</v>
      </c>
      <c r="Q6" s="89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7" customFormat="1" ht="12.75" customHeight="1" thickBot="1" x14ac:dyDescent="0.3">
      <c r="A9" s="98" t="s">
        <v>52</v>
      </c>
      <c r="B9" s="66"/>
      <c r="C9" s="66"/>
      <c r="D9" s="99"/>
      <c r="E9" s="99"/>
      <c r="F9" s="99"/>
      <c r="G9" s="99"/>
      <c r="H9" s="99"/>
      <c r="I9" s="66"/>
      <c r="J9" s="66"/>
      <c r="K9" s="102"/>
      <c r="L9" s="99"/>
      <c r="M9" s="99" t="s">
        <v>249</v>
      </c>
      <c r="N9" s="103">
        <v>88499.996470699989</v>
      </c>
      <c r="O9" s="66"/>
      <c r="P9" s="66">
        <v>1</v>
      </c>
      <c r="Q9" s="80">
        <v>0.47390121749533609</v>
      </c>
    </row>
    <row r="10" spans="1:17" s="117" customFormat="1" x14ac:dyDescent="0.25">
      <c r="A10" s="90" t="s">
        <v>137</v>
      </c>
      <c r="B10" s="129" t="s">
        <v>249</v>
      </c>
      <c r="C10" s="129" t="s">
        <v>249</v>
      </c>
      <c r="D10" s="129" t="s">
        <v>249</v>
      </c>
      <c r="E10" s="129" t="s">
        <v>249</v>
      </c>
      <c r="F10" s="129" t="s">
        <v>249</v>
      </c>
      <c r="G10" s="130" t="s">
        <v>249</v>
      </c>
      <c r="H10" s="129" t="s">
        <v>249</v>
      </c>
      <c r="I10" s="129" t="s">
        <v>249</v>
      </c>
      <c r="J10" s="129" t="s">
        <v>249</v>
      </c>
      <c r="K10" s="131" t="s">
        <v>249</v>
      </c>
      <c r="L10" s="120" t="s">
        <v>249</v>
      </c>
      <c r="M10" s="120" t="s">
        <v>249</v>
      </c>
      <c r="N10" s="132">
        <v>77666.713660499998</v>
      </c>
      <c r="O10" s="119" t="s">
        <v>249</v>
      </c>
      <c r="P10" s="119">
        <v>0.87759001986190355</v>
      </c>
      <c r="Q10" s="119">
        <v>0.41589097887431231</v>
      </c>
    </row>
    <row r="11" spans="1:17" s="117" customFormat="1" x14ac:dyDescent="0.25">
      <c r="A11" s="91" t="s">
        <v>375</v>
      </c>
      <c r="B11" s="129" t="s">
        <v>249</v>
      </c>
      <c r="C11" s="129" t="s">
        <v>249</v>
      </c>
      <c r="D11" s="129" t="s">
        <v>249</v>
      </c>
      <c r="E11" s="129" t="s">
        <v>249</v>
      </c>
      <c r="F11" s="129" t="s">
        <v>249</v>
      </c>
      <c r="G11" s="130" t="s">
        <v>249</v>
      </c>
      <c r="H11" s="129" t="s">
        <v>249</v>
      </c>
      <c r="I11" s="129" t="s">
        <v>249</v>
      </c>
      <c r="J11" s="129" t="s">
        <v>249</v>
      </c>
      <c r="K11" s="133" t="s">
        <v>249</v>
      </c>
      <c r="L11" s="134" t="s">
        <v>249</v>
      </c>
      <c r="M11" s="134" t="s">
        <v>249</v>
      </c>
      <c r="N11" s="122">
        <v>0</v>
      </c>
      <c r="O11" s="135"/>
      <c r="P11" s="119">
        <v>0</v>
      </c>
      <c r="Q11" s="119">
        <v>0</v>
      </c>
    </row>
    <row r="12" spans="1:17" s="117" customFormat="1" x14ac:dyDescent="0.25">
      <c r="A12" s="91" t="s">
        <v>139</v>
      </c>
      <c r="B12" s="129" t="s">
        <v>249</v>
      </c>
      <c r="C12" s="129" t="s">
        <v>249</v>
      </c>
      <c r="D12" s="129" t="s">
        <v>249</v>
      </c>
      <c r="E12" s="129" t="s">
        <v>249</v>
      </c>
      <c r="F12" s="129" t="s">
        <v>249</v>
      </c>
      <c r="G12" s="130" t="s">
        <v>249</v>
      </c>
      <c r="H12" s="129" t="s">
        <v>249</v>
      </c>
      <c r="I12" s="129" t="s">
        <v>249</v>
      </c>
      <c r="J12" s="129" t="s">
        <v>249</v>
      </c>
      <c r="K12" s="133" t="s">
        <v>249</v>
      </c>
      <c r="L12" s="134" t="s">
        <v>249</v>
      </c>
      <c r="M12" s="133" t="s">
        <v>249</v>
      </c>
      <c r="N12" s="122">
        <v>77666.713660299996</v>
      </c>
      <c r="O12" s="135"/>
      <c r="P12" s="119">
        <v>0.87759001985964369</v>
      </c>
      <c r="Q12" s="119">
        <v>0.41589097887324133</v>
      </c>
    </row>
    <row r="13" spans="1:17" s="117" customFormat="1" x14ac:dyDescent="0.25">
      <c r="A13" s="91" t="s">
        <v>376</v>
      </c>
      <c r="B13" s="129" t="s">
        <v>249</v>
      </c>
      <c r="C13" s="129" t="s">
        <v>249</v>
      </c>
      <c r="D13" s="129" t="s">
        <v>249</v>
      </c>
      <c r="E13" s="129" t="s">
        <v>249</v>
      </c>
      <c r="F13" s="129" t="s">
        <v>249</v>
      </c>
      <c r="G13" s="130" t="s">
        <v>249</v>
      </c>
      <c r="H13" s="129" t="s">
        <v>249</v>
      </c>
      <c r="I13" s="129" t="s">
        <v>249</v>
      </c>
      <c r="J13" s="129" t="s">
        <v>249</v>
      </c>
      <c r="K13" s="133" t="s">
        <v>249</v>
      </c>
      <c r="L13" s="134" t="s">
        <v>249</v>
      </c>
      <c r="M13" s="134" t="s">
        <v>249</v>
      </c>
      <c r="N13" s="122">
        <v>14827.449400099998</v>
      </c>
      <c r="O13" s="135"/>
      <c r="P13" s="119">
        <v>0.16754180781248929</v>
      </c>
      <c r="Q13" s="119">
        <v>7.9398266703708295E-2</v>
      </c>
    </row>
    <row r="14" spans="1:17" x14ac:dyDescent="0.25">
      <c r="A14" s="16" t="s">
        <v>377</v>
      </c>
      <c r="B14" s="115" t="s">
        <v>378</v>
      </c>
      <c r="C14" s="115" t="s">
        <v>379</v>
      </c>
      <c r="D14" s="115" t="s">
        <v>380</v>
      </c>
      <c r="E14" s="115" t="s">
        <v>218</v>
      </c>
      <c r="F14" s="115" t="s">
        <v>381</v>
      </c>
      <c r="G14" s="116">
        <v>0.26</v>
      </c>
      <c r="H14" s="115" t="s">
        <v>255</v>
      </c>
      <c r="I14" s="115">
        <v>0</v>
      </c>
      <c r="J14" s="115">
        <v>4.7800000000000002E-2</v>
      </c>
      <c r="K14" s="68">
        <v>1474047.0323380842</v>
      </c>
      <c r="L14" s="60">
        <v>98.78</v>
      </c>
      <c r="M14" s="60">
        <v>0</v>
      </c>
      <c r="N14" s="83">
        <v>1456.06366</v>
      </c>
      <c r="O14" s="24">
        <v>4.3354324480531886E-5</v>
      </c>
      <c r="P14" s="32">
        <v>1.6452697379282542E-2</v>
      </c>
      <c r="Q14" s="32">
        <v>7.796953319124323E-3</v>
      </c>
    </row>
    <row r="15" spans="1:17" x14ac:dyDescent="0.25">
      <c r="A15" s="16" t="s">
        <v>382</v>
      </c>
      <c r="B15" s="115" t="s">
        <v>383</v>
      </c>
      <c r="C15" s="115" t="s">
        <v>379</v>
      </c>
      <c r="D15" s="115" t="s">
        <v>380</v>
      </c>
      <c r="E15" s="115" t="s">
        <v>218</v>
      </c>
      <c r="F15" s="115" t="s">
        <v>384</v>
      </c>
      <c r="G15" s="116">
        <v>0.44</v>
      </c>
      <c r="H15" s="115" t="s">
        <v>255</v>
      </c>
      <c r="I15" s="115">
        <v>0</v>
      </c>
      <c r="J15" s="115">
        <v>4.82E-2</v>
      </c>
      <c r="K15" s="68">
        <v>913631.97286241793</v>
      </c>
      <c r="L15" s="60">
        <v>97.97</v>
      </c>
      <c r="M15" s="60">
        <v>0</v>
      </c>
      <c r="N15" s="83">
        <v>895.08524</v>
      </c>
      <c r="O15" s="24">
        <v>2.9471999124594127E-5</v>
      </c>
      <c r="P15" s="32">
        <v>1.0113957917459794E-2</v>
      </c>
      <c r="Q15" s="32">
        <v>4.7930169707807906E-3</v>
      </c>
    </row>
    <row r="16" spans="1:17" x14ac:dyDescent="0.25">
      <c r="A16" s="16" t="s">
        <v>385</v>
      </c>
      <c r="B16" s="115" t="s">
        <v>386</v>
      </c>
      <c r="C16" s="115" t="s">
        <v>379</v>
      </c>
      <c r="D16" s="115" t="s">
        <v>380</v>
      </c>
      <c r="E16" s="115" t="s">
        <v>218</v>
      </c>
      <c r="F16" s="115" t="s">
        <v>387</v>
      </c>
      <c r="G16" s="116">
        <v>0.51</v>
      </c>
      <c r="H16" s="115" t="s">
        <v>255</v>
      </c>
      <c r="I16" s="115">
        <v>0</v>
      </c>
      <c r="J16" s="115">
        <v>4.7699999999999992E-2</v>
      </c>
      <c r="K16" s="68">
        <v>5853649.5957654901</v>
      </c>
      <c r="L16" s="60">
        <v>97.64</v>
      </c>
      <c r="M16" s="60">
        <v>0</v>
      </c>
      <c r="N16" s="83">
        <v>5715.5034699999997</v>
      </c>
      <c r="O16" s="24">
        <v>2.9268247978827449E-4</v>
      </c>
      <c r="P16" s="32">
        <v>6.4581962688464639E-2</v>
      </c>
      <c r="Q16" s="32">
        <v>3.0605470746301766E-2</v>
      </c>
    </row>
    <row r="17" spans="1:17" x14ac:dyDescent="0.25">
      <c r="A17" s="16" t="s">
        <v>388</v>
      </c>
      <c r="B17" s="115" t="s">
        <v>389</v>
      </c>
      <c r="C17" s="115" t="s">
        <v>379</v>
      </c>
      <c r="D17" s="115" t="s">
        <v>380</v>
      </c>
      <c r="E17" s="115" t="s">
        <v>218</v>
      </c>
      <c r="F17" s="115" t="s">
        <v>390</v>
      </c>
      <c r="G17" s="116">
        <v>0.61</v>
      </c>
      <c r="H17" s="115" t="s">
        <v>255</v>
      </c>
      <c r="I17" s="115">
        <v>0</v>
      </c>
      <c r="J17" s="115">
        <v>4.7800000000000002E-2</v>
      </c>
      <c r="K17" s="68">
        <v>4999500</v>
      </c>
      <c r="L17" s="60">
        <v>97.2</v>
      </c>
      <c r="M17" s="60">
        <v>0</v>
      </c>
      <c r="N17" s="83">
        <v>4859.5140000000001</v>
      </c>
      <c r="O17" s="24">
        <v>2.7775E-4</v>
      </c>
      <c r="P17" s="32">
        <v>5.4909764901616198E-2</v>
      </c>
      <c r="Q17" s="32">
        <v>2.6021804439258594E-2</v>
      </c>
    </row>
    <row r="18" spans="1:17" x14ac:dyDescent="0.25">
      <c r="A18" s="16" t="s">
        <v>391</v>
      </c>
      <c r="B18" s="115" t="s">
        <v>392</v>
      </c>
      <c r="C18" s="115" t="s">
        <v>379</v>
      </c>
      <c r="D18" s="115" t="s">
        <v>380</v>
      </c>
      <c r="E18" s="115" t="s">
        <v>218</v>
      </c>
      <c r="F18" s="115" t="s">
        <v>393</v>
      </c>
      <c r="G18" s="116">
        <v>0.93</v>
      </c>
      <c r="H18" s="115" t="s">
        <v>255</v>
      </c>
      <c r="I18" s="115">
        <v>0</v>
      </c>
      <c r="J18" s="115">
        <v>4.7899999999999998E-2</v>
      </c>
      <c r="K18" s="68">
        <v>1288144.5985645161</v>
      </c>
      <c r="L18" s="60">
        <v>95.72</v>
      </c>
      <c r="M18" s="60">
        <v>0</v>
      </c>
      <c r="N18" s="83">
        <v>1233.0120099999999</v>
      </c>
      <c r="O18" s="24">
        <v>7.1563588809139784E-5</v>
      </c>
      <c r="P18" s="32">
        <v>1.3932339651654309E-2</v>
      </c>
      <c r="Q18" s="32">
        <v>6.6025527234775247E-3</v>
      </c>
    </row>
    <row r="19" spans="1:17" x14ac:dyDescent="0.25">
      <c r="A19" s="16" t="s">
        <v>394</v>
      </c>
      <c r="B19" s="115" t="s">
        <v>395</v>
      </c>
      <c r="C19" s="115" t="s">
        <v>379</v>
      </c>
      <c r="D19" s="115" t="s">
        <v>380</v>
      </c>
      <c r="E19" s="115" t="s">
        <v>218</v>
      </c>
      <c r="F19" s="115" t="s">
        <v>396</v>
      </c>
      <c r="G19" s="116">
        <v>0.68</v>
      </c>
      <c r="H19" s="115" t="s">
        <v>255</v>
      </c>
      <c r="I19" s="115">
        <v>0</v>
      </c>
      <c r="J19" s="115">
        <v>4.8000000000000001E-2</v>
      </c>
      <c r="K19" s="68">
        <v>690077.46351670497</v>
      </c>
      <c r="L19" s="60">
        <v>96.84</v>
      </c>
      <c r="M19" s="60">
        <v>0</v>
      </c>
      <c r="N19" s="83">
        <v>668.27102000000002</v>
      </c>
      <c r="O19" s="24">
        <v>3.8337636862039168E-5</v>
      </c>
      <c r="P19" s="32">
        <v>7.5510852728818681E-3</v>
      </c>
      <c r="Q19" s="32">
        <v>3.5784685042298198E-3</v>
      </c>
    </row>
    <row r="20" spans="1:17" s="117" customFormat="1" x14ac:dyDescent="0.25">
      <c r="A20" s="91" t="s">
        <v>397</v>
      </c>
      <c r="B20" s="129" t="s">
        <v>249</v>
      </c>
      <c r="C20" s="129" t="s">
        <v>249</v>
      </c>
      <c r="D20" s="129" t="s">
        <v>249</v>
      </c>
      <c r="E20" s="129" t="s">
        <v>249</v>
      </c>
      <c r="F20" s="129" t="s">
        <v>249</v>
      </c>
      <c r="G20" s="130" t="s">
        <v>249</v>
      </c>
      <c r="H20" s="129" t="s">
        <v>249</v>
      </c>
      <c r="I20" s="129" t="s">
        <v>249</v>
      </c>
      <c r="J20" s="129" t="s">
        <v>249</v>
      </c>
      <c r="K20" s="133" t="s">
        <v>249</v>
      </c>
      <c r="L20" s="134" t="s">
        <v>249</v>
      </c>
      <c r="M20" s="134" t="s">
        <v>249</v>
      </c>
      <c r="N20" s="122">
        <v>58007.277920099987</v>
      </c>
      <c r="O20" s="135"/>
      <c r="P20" s="119">
        <v>0.65544949416246201</v>
      </c>
      <c r="Q20" s="119">
        <v>0.31061831329029299</v>
      </c>
    </row>
    <row r="21" spans="1:17" x14ac:dyDescent="0.25">
      <c r="A21" s="16" t="s">
        <v>422</v>
      </c>
      <c r="B21" s="115" t="s">
        <v>423</v>
      </c>
      <c r="C21" s="115" t="s">
        <v>379</v>
      </c>
      <c r="D21" s="115" t="s">
        <v>370</v>
      </c>
      <c r="E21" s="115" t="s">
        <v>371</v>
      </c>
      <c r="F21" s="115" t="s">
        <v>424</v>
      </c>
      <c r="G21" s="116">
        <v>0</v>
      </c>
      <c r="H21" s="115" t="s">
        <v>255</v>
      </c>
      <c r="I21" s="115">
        <v>0</v>
      </c>
      <c r="J21" s="115">
        <v>0</v>
      </c>
      <c r="K21" s="68">
        <v>-1150129.1058611751</v>
      </c>
      <c r="L21" s="60">
        <v>96.460400000000007</v>
      </c>
      <c r="M21" s="60">
        <v>0</v>
      </c>
      <c r="N21" s="83">
        <v>-1109.41914</v>
      </c>
      <c r="O21" s="24">
        <v>0</v>
      </c>
      <c r="P21" s="32">
        <v>-1.2535809991442194E-2</v>
      </c>
      <c r="Q21" s="32">
        <v>-5.9407356172346557E-3</v>
      </c>
    </row>
    <row r="22" spans="1:17" x14ac:dyDescent="0.25">
      <c r="A22" s="16" t="s">
        <v>425</v>
      </c>
      <c r="B22" s="115" t="s">
        <v>426</v>
      </c>
      <c r="C22" s="115" t="s">
        <v>379</v>
      </c>
      <c r="D22" s="115" t="s">
        <v>370</v>
      </c>
      <c r="E22" s="115" t="s">
        <v>371</v>
      </c>
      <c r="F22" s="115" t="s">
        <v>427</v>
      </c>
      <c r="G22" s="116">
        <v>0</v>
      </c>
      <c r="H22" s="115" t="s">
        <v>255</v>
      </c>
      <c r="I22" s="115">
        <v>0</v>
      </c>
      <c r="J22" s="115">
        <v>0</v>
      </c>
      <c r="K22" s="68">
        <v>-1150129.1058611751</v>
      </c>
      <c r="L22" s="60">
        <v>90.984300000000005</v>
      </c>
      <c r="M22" s="60">
        <v>0</v>
      </c>
      <c r="N22" s="83">
        <v>-1046.4369200000001</v>
      </c>
      <c r="O22" s="24">
        <v>0</v>
      </c>
      <c r="P22" s="32">
        <v>-1.1824146460236839E-2</v>
      </c>
      <c r="Q22" s="32">
        <v>-5.6034774033494076E-3</v>
      </c>
    </row>
    <row r="23" spans="1:17" x14ac:dyDescent="0.25">
      <c r="A23" s="16" t="s">
        <v>428</v>
      </c>
      <c r="B23" s="115" t="s">
        <v>429</v>
      </c>
      <c r="C23" s="115" t="s">
        <v>379</v>
      </c>
      <c r="D23" s="115" t="s">
        <v>370</v>
      </c>
      <c r="E23" s="115" t="s">
        <v>371</v>
      </c>
      <c r="F23" s="115" t="s">
        <v>430</v>
      </c>
      <c r="G23" s="116">
        <v>0</v>
      </c>
      <c r="H23" s="115" t="s">
        <v>255</v>
      </c>
      <c r="I23" s="115">
        <v>0</v>
      </c>
      <c r="J23" s="115">
        <v>0</v>
      </c>
      <c r="K23" s="68">
        <v>-1150129.1058611751</v>
      </c>
      <c r="L23" s="60">
        <v>93.680499999999995</v>
      </c>
      <c r="M23" s="60">
        <v>0</v>
      </c>
      <c r="N23" s="83">
        <v>-1077.4467</v>
      </c>
      <c r="O23" s="24">
        <v>0</v>
      </c>
      <c r="P23" s="32">
        <v>-1.2174539468560477E-2</v>
      </c>
      <c r="Q23" s="32">
        <v>-5.7695290765958328E-3</v>
      </c>
    </row>
    <row r="24" spans="1:17" x14ac:dyDescent="0.25">
      <c r="A24" s="16" t="s">
        <v>398</v>
      </c>
      <c r="B24" s="115" t="s">
        <v>399</v>
      </c>
      <c r="C24" s="115" t="s">
        <v>379</v>
      </c>
      <c r="D24" s="115" t="s">
        <v>380</v>
      </c>
      <c r="E24" s="115" t="s">
        <v>218</v>
      </c>
      <c r="F24" s="115" t="s">
        <v>400</v>
      </c>
      <c r="G24" s="116">
        <v>3.38</v>
      </c>
      <c r="H24" s="115" t="s">
        <v>255</v>
      </c>
      <c r="I24" s="115">
        <v>2.0099999999999996E-2</v>
      </c>
      <c r="J24" s="115">
        <v>4.3200000000000002E-2</v>
      </c>
      <c r="K24" s="68">
        <v>351863.79569473892</v>
      </c>
      <c r="L24" s="60">
        <v>93.59</v>
      </c>
      <c r="M24" s="60">
        <v>0</v>
      </c>
      <c r="N24" s="83">
        <v>329.30932999999999</v>
      </c>
      <c r="O24" s="24">
        <v>1.7502157440940025E-5</v>
      </c>
      <c r="P24" s="32">
        <v>3.7210095269215701E-3</v>
      </c>
      <c r="Q24" s="32">
        <v>1.7633909451198768E-3</v>
      </c>
    </row>
    <row r="25" spans="1:17" x14ac:dyDescent="0.25">
      <c r="A25" s="16" t="s">
        <v>401</v>
      </c>
      <c r="B25" s="115" t="s">
        <v>402</v>
      </c>
      <c r="C25" s="115" t="s">
        <v>379</v>
      </c>
      <c r="D25" s="115" t="s">
        <v>380</v>
      </c>
      <c r="E25" s="115" t="s">
        <v>218</v>
      </c>
      <c r="F25" s="115" t="s">
        <v>403</v>
      </c>
      <c r="G25" s="116">
        <v>15.25</v>
      </c>
      <c r="H25" s="115" t="s">
        <v>255</v>
      </c>
      <c r="I25" s="115">
        <v>3.7499999999999999E-2</v>
      </c>
      <c r="J25" s="115">
        <v>4.4800000000000006E-2</v>
      </c>
      <c r="K25" s="68">
        <v>4980585.8381150533</v>
      </c>
      <c r="L25" s="60">
        <v>91.42</v>
      </c>
      <c r="M25" s="60">
        <v>0</v>
      </c>
      <c r="N25" s="83">
        <v>4553.2515700000004</v>
      </c>
      <c r="O25" s="24">
        <v>2.0036751601162724E-4</v>
      </c>
      <c r="P25" s="32">
        <v>5.1449172334232365E-2</v>
      </c>
      <c r="Q25" s="32">
        <v>2.4381825408320085E-2</v>
      </c>
    </row>
    <row r="26" spans="1:17" x14ac:dyDescent="0.25">
      <c r="A26" s="16" t="s">
        <v>404</v>
      </c>
      <c r="B26" s="115" t="s">
        <v>405</v>
      </c>
      <c r="C26" s="115" t="s">
        <v>379</v>
      </c>
      <c r="D26" s="115" t="s">
        <v>380</v>
      </c>
      <c r="E26" s="115" t="s">
        <v>218</v>
      </c>
      <c r="F26" s="115" t="s">
        <v>406</v>
      </c>
      <c r="G26" s="116">
        <v>4.78</v>
      </c>
      <c r="H26" s="115" t="s">
        <v>255</v>
      </c>
      <c r="I26" s="115">
        <v>2.2499999999999999E-2</v>
      </c>
      <c r="J26" s="115">
        <v>4.2500000000000003E-2</v>
      </c>
      <c r="K26" s="68">
        <v>37891303.520083696</v>
      </c>
      <c r="L26" s="60">
        <v>91.16</v>
      </c>
      <c r="M26" s="60">
        <v>0</v>
      </c>
      <c r="N26" s="83">
        <v>34541.71228</v>
      </c>
      <c r="O26" s="24">
        <v>2.0025995120084819E-3</v>
      </c>
      <c r="P26" s="32">
        <v>0.39030184923720135</v>
      </c>
      <c r="Q26" s="32">
        <v>0.18496452154419085</v>
      </c>
    </row>
    <row r="27" spans="1:17" x14ac:dyDescent="0.25">
      <c r="A27" s="16" t="s">
        <v>407</v>
      </c>
      <c r="B27" s="115" t="s">
        <v>408</v>
      </c>
      <c r="C27" s="115" t="s">
        <v>379</v>
      </c>
      <c r="D27" s="115" t="s">
        <v>380</v>
      </c>
      <c r="E27" s="115" t="s">
        <v>218</v>
      </c>
      <c r="F27" s="115" t="s">
        <v>409</v>
      </c>
      <c r="G27" s="116">
        <v>6.27</v>
      </c>
      <c r="H27" s="115" t="s">
        <v>255</v>
      </c>
      <c r="I27" s="115">
        <v>0.01</v>
      </c>
      <c r="J27" s="115">
        <v>4.24E-2</v>
      </c>
      <c r="K27" s="68">
        <v>92010.328468894004</v>
      </c>
      <c r="L27" s="60">
        <v>82.4</v>
      </c>
      <c r="M27" s="60">
        <v>0</v>
      </c>
      <c r="N27" s="83">
        <v>75.816509999999994</v>
      </c>
      <c r="O27" s="24">
        <v>3.7608592725039578E-6</v>
      </c>
      <c r="P27" s="32">
        <v>8.5668376297733334E-4</v>
      </c>
      <c r="Q27" s="32">
        <v>4.0598347828344427E-4</v>
      </c>
    </row>
    <row r="28" spans="1:17" x14ac:dyDescent="0.25">
      <c r="A28" s="16" t="s">
        <v>410</v>
      </c>
      <c r="B28" s="115" t="s">
        <v>411</v>
      </c>
      <c r="C28" s="115" t="s">
        <v>379</v>
      </c>
      <c r="D28" s="115" t="s">
        <v>380</v>
      </c>
      <c r="E28" s="115" t="s">
        <v>218</v>
      </c>
      <c r="F28" s="115" t="s">
        <v>412</v>
      </c>
      <c r="G28" s="116">
        <v>12.1</v>
      </c>
      <c r="H28" s="115" t="s">
        <v>255</v>
      </c>
      <c r="I28" s="115">
        <v>1.4999999999999999E-2</v>
      </c>
      <c r="J28" s="115">
        <v>4.3499999999999997E-2</v>
      </c>
      <c r="K28" s="68">
        <v>17528256.545562413</v>
      </c>
      <c r="L28" s="60">
        <v>71.599999999999994</v>
      </c>
      <c r="M28" s="60">
        <v>0</v>
      </c>
      <c r="N28" s="83">
        <v>12550.231689999999</v>
      </c>
      <c r="O28" s="24">
        <v>9.8532830888996823E-4</v>
      </c>
      <c r="P28" s="32">
        <v>0.14181053322589734</v>
      </c>
      <c r="Q28" s="32">
        <v>6.7204184349415566E-2</v>
      </c>
    </row>
    <row r="29" spans="1:17" x14ac:dyDescent="0.25">
      <c r="A29" s="16" t="s">
        <v>413</v>
      </c>
      <c r="B29" s="115" t="s">
        <v>414</v>
      </c>
      <c r="C29" s="115" t="s">
        <v>379</v>
      </c>
      <c r="D29" s="115" t="s">
        <v>380</v>
      </c>
      <c r="E29" s="115" t="s">
        <v>218</v>
      </c>
      <c r="F29" s="115" t="s">
        <v>415</v>
      </c>
      <c r="G29" s="116">
        <v>8.07</v>
      </c>
      <c r="H29" s="115" t="s">
        <v>255</v>
      </c>
      <c r="I29" s="115">
        <v>1.3000000000000001E-2</v>
      </c>
      <c r="J29" s="115">
        <v>4.24E-2</v>
      </c>
      <c r="K29" s="68">
        <v>5476988.2585566482</v>
      </c>
      <c r="L29" s="60">
        <v>79.739999999999995</v>
      </c>
      <c r="M29" s="60">
        <v>0</v>
      </c>
      <c r="N29" s="83">
        <v>4367.3504400000002</v>
      </c>
      <c r="O29" s="24">
        <v>9.578543628998527E-4</v>
      </c>
      <c r="P29" s="32">
        <v>4.934859451035023E-2</v>
      </c>
      <c r="Q29" s="32">
        <v>2.3386359020138633E-2</v>
      </c>
    </row>
    <row r="30" spans="1:17" x14ac:dyDescent="0.25">
      <c r="A30" s="16" t="s">
        <v>416</v>
      </c>
      <c r="B30" s="115" t="s">
        <v>417</v>
      </c>
      <c r="C30" s="115" t="s">
        <v>379</v>
      </c>
      <c r="D30" s="115" t="s">
        <v>380</v>
      </c>
      <c r="E30" s="115" t="s">
        <v>218</v>
      </c>
      <c r="F30" s="115" t="s">
        <v>418</v>
      </c>
      <c r="G30" s="116">
        <v>17.95</v>
      </c>
      <c r="H30" s="115" t="s">
        <v>255</v>
      </c>
      <c r="I30" s="115">
        <v>2.7999999999999997E-2</v>
      </c>
      <c r="J30" s="115">
        <v>4.5499999999999999E-2</v>
      </c>
      <c r="K30" s="68">
        <v>3245909.539665089</v>
      </c>
      <c r="L30" s="60">
        <v>74.349999999999994</v>
      </c>
      <c r="M30" s="60">
        <v>0</v>
      </c>
      <c r="N30" s="83">
        <v>2413.33374</v>
      </c>
      <c r="O30" s="24">
        <v>5.2627048814084482E-4</v>
      </c>
      <c r="P30" s="32">
        <v>2.7269308884085561E-2</v>
      </c>
      <c r="Q30" s="32">
        <v>1.2922958680424533E-2</v>
      </c>
    </row>
    <row r="31" spans="1:17" x14ac:dyDescent="0.25">
      <c r="A31" s="16" t="s">
        <v>419</v>
      </c>
      <c r="B31" s="115" t="s">
        <v>420</v>
      </c>
      <c r="C31" s="115" t="s">
        <v>379</v>
      </c>
      <c r="D31" s="115" t="s">
        <v>380</v>
      </c>
      <c r="E31" s="115" t="s">
        <v>218</v>
      </c>
      <c r="F31" s="115" t="s">
        <v>421</v>
      </c>
      <c r="G31" s="116">
        <v>4.92</v>
      </c>
      <c r="H31" s="115" t="s">
        <v>255</v>
      </c>
      <c r="I31" s="115">
        <v>3.7499999999999999E-2</v>
      </c>
      <c r="J31" s="115">
        <v>4.2300000000000004E-2</v>
      </c>
      <c r="K31" s="68">
        <v>2424119.8430071329</v>
      </c>
      <c r="L31" s="60">
        <v>99.4</v>
      </c>
      <c r="M31" s="60">
        <v>0</v>
      </c>
      <c r="N31" s="83">
        <v>2409.57512</v>
      </c>
      <c r="O31" s="24">
        <v>2.9401157419369829E-4</v>
      </c>
      <c r="P31" s="32">
        <v>2.7226838599906007E-2</v>
      </c>
      <c r="Q31" s="32">
        <v>1.290283196104447E-2</v>
      </c>
    </row>
    <row r="32" spans="1:17" s="117" customFormat="1" x14ac:dyDescent="0.25">
      <c r="A32" s="91" t="s">
        <v>431</v>
      </c>
      <c r="B32" s="129" t="s">
        <v>249</v>
      </c>
      <c r="C32" s="129" t="s">
        <v>249</v>
      </c>
      <c r="D32" s="129" t="s">
        <v>249</v>
      </c>
      <c r="E32" s="129" t="s">
        <v>249</v>
      </c>
      <c r="F32" s="129" t="s">
        <v>249</v>
      </c>
      <c r="G32" s="130" t="s">
        <v>249</v>
      </c>
      <c r="H32" s="129" t="s">
        <v>249</v>
      </c>
      <c r="I32" s="129" t="s">
        <v>249</v>
      </c>
      <c r="J32" s="129" t="s">
        <v>249</v>
      </c>
      <c r="K32" s="133" t="s">
        <v>249</v>
      </c>
      <c r="L32" s="134" t="s">
        <v>249</v>
      </c>
      <c r="M32" s="134" t="s">
        <v>249</v>
      </c>
      <c r="N32" s="122">
        <v>4831.9863400999993</v>
      </c>
      <c r="O32" s="135"/>
      <c r="P32" s="119">
        <v>5.4598717884692144E-2</v>
      </c>
      <c r="Q32" s="119">
        <v>2.587439887923999E-2</v>
      </c>
    </row>
    <row r="33" spans="1:17" x14ac:dyDescent="0.25">
      <c r="A33" s="16" t="s">
        <v>432</v>
      </c>
      <c r="B33" s="115" t="s">
        <v>433</v>
      </c>
      <c r="C33" s="115" t="s">
        <v>379</v>
      </c>
      <c r="D33" s="115" t="s">
        <v>380</v>
      </c>
      <c r="E33" s="115" t="s">
        <v>218</v>
      </c>
      <c r="F33" s="115" t="s">
        <v>434</v>
      </c>
      <c r="G33" s="116">
        <v>2.5099999999999998</v>
      </c>
      <c r="H33" s="115" t="s">
        <v>255</v>
      </c>
      <c r="I33" s="115">
        <v>2.2200000000000001E-2</v>
      </c>
      <c r="J33" s="115">
        <v>5.1900000000000002E-2</v>
      </c>
      <c r="K33" s="68">
        <v>3494092.2236062498</v>
      </c>
      <c r="L33" s="60">
        <v>99.62</v>
      </c>
      <c r="M33" s="60">
        <v>0</v>
      </c>
      <c r="N33" s="83">
        <v>3480.8146699999998</v>
      </c>
      <c r="O33" s="24">
        <v>1.6542152726844379E-4</v>
      </c>
      <c r="P33" s="32">
        <v>3.9331240777533881E-2</v>
      </c>
      <c r="Q33" s="32">
        <v>1.8639122890075514E-2</v>
      </c>
    </row>
    <row r="34" spans="1:17" x14ac:dyDescent="0.25">
      <c r="A34" s="16" t="s">
        <v>435</v>
      </c>
      <c r="B34" s="115" t="s">
        <v>436</v>
      </c>
      <c r="C34" s="115" t="s">
        <v>379</v>
      </c>
      <c r="D34" s="115" t="s">
        <v>380</v>
      </c>
      <c r="E34" s="115" t="s">
        <v>218</v>
      </c>
      <c r="F34" s="115" t="s">
        <v>437</v>
      </c>
      <c r="G34" s="116">
        <v>6.07</v>
      </c>
      <c r="H34" s="115" t="s">
        <v>255</v>
      </c>
      <c r="I34" s="115">
        <v>2.2200000000000001E-2</v>
      </c>
      <c r="J34" s="115">
        <v>5.3099999999999994E-2</v>
      </c>
      <c r="K34" s="68">
        <v>1380154.9270334099</v>
      </c>
      <c r="L34" s="60">
        <v>97.9</v>
      </c>
      <c r="M34" s="60">
        <v>0</v>
      </c>
      <c r="N34" s="83">
        <v>1351.1716699999999</v>
      </c>
      <c r="O34" s="24">
        <v>8.3043191754171729E-5</v>
      </c>
      <c r="P34" s="32">
        <v>1.5267477106028327E-2</v>
      </c>
      <c r="Q34" s="32">
        <v>7.2352759886289957E-3</v>
      </c>
    </row>
    <row r="35" spans="1:17" s="117" customFormat="1" x14ac:dyDescent="0.25">
      <c r="A35" s="91" t="s">
        <v>438</v>
      </c>
      <c r="B35" s="129" t="s">
        <v>249</v>
      </c>
      <c r="C35" s="129" t="s">
        <v>249</v>
      </c>
      <c r="D35" s="129" t="s">
        <v>249</v>
      </c>
      <c r="E35" s="129" t="s">
        <v>249</v>
      </c>
      <c r="F35" s="129" t="s">
        <v>249</v>
      </c>
      <c r="G35" s="130" t="s">
        <v>249</v>
      </c>
      <c r="H35" s="129" t="s">
        <v>249</v>
      </c>
      <c r="I35" s="129" t="s">
        <v>249</v>
      </c>
      <c r="J35" s="129" t="s">
        <v>249</v>
      </c>
      <c r="K35" s="133" t="s">
        <v>249</v>
      </c>
      <c r="L35" s="134" t="s">
        <v>249</v>
      </c>
      <c r="M35" s="134" t="s">
        <v>249</v>
      </c>
      <c r="N35" s="122">
        <v>0</v>
      </c>
      <c r="O35" s="135"/>
      <c r="P35" s="119">
        <v>0</v>
      </c>
      <c r="Q35" s="119">
        <v>0</v>
      </c>
    </row>
    <row r="36" spans="1:17" s="117" customFormat="1" x14ac:dyDescent="0.25">
      <c r="A36" s="91" t="s">
        <v>439</v>
      </c>
      <c r="B36" s="129" t="s">
        <v>249</v>
      </c>
      <c r="C36" s="129" t="s">
        <v>249</v>
      </c>
      <c r="D36" s="129" t="s">
        <v>249</v>
      </c>
      <c r="E36" s="129" t="s">
        <v>249</v>
      </c>
      <c r="F36" s="129" t="s">
        <v>249</v>
      </c>
      <c r="G36" s="130" t="s">
        <v>249</v>
      </c>
      <c r="H36" s="129" t="s">
        <v>249</v>
      </c>
      <c r="I36" s="129" t="s">
        <v>249</v>
      </c>
      <c r="J36" s="129" t="s">
        <v>249</v>
      </c>
      <c r="K36" s="133" t="s">
        <v>249</v>
      </c>
      <c r="L36" s="134" t="s">
        <v>249</v>
      </c>
      <c r="M36" s="134" t="s">
        <v>249</v>
      </c>
      <c r="N36" s="122">
        <v>10833.2828102</v>
      </c>
      <c r="O36" s="135"/>
      <c r="P36" s="119">
        <v>0.12240998013809654</v>
      </c>
      <c r="Q36" s="119">
        <v>5.8010238621023863E-2</v>
      </c>
    </row>
    <row r="37" spans="1:17" s="117" customFormat="1" x14ac:dyDescent="0.25">
      <c r="A37" s="91" t="s">
        <v>440</v>
      </c>
      <c r="B37" s="129" t="s">
        <v>249</v>
      </c>
      <c r="C37" s="129" t="s">
        <v>249</v>
      </c>
      <c r="D37" s="129" t="s">
        <v>249</v>
      </c>
      <c r="E37" s="129" t="s">
        <v>249</v>
      </c>
      <c r="F37" s="129" t="s">
        <v>249</v>
      </c>
      <c r="G37" s="130" t="s">
        <v>249</v>
      </c>
      <c r="H37" s="129" t="s">
        <v>249</v>
      </c>
      <c r="I37" s="129" t="s">
        <v>249</v>
      </c>
      <c r="J37" s="129" t="s">
        <v>249</v>
      </c>
      <c r="K37" s="133" t="s">
        <v>249</v>
      </c>
      <c r="L37" s="134" t="s">
        <v>249</v>
      </c>
      <c r="M37" s="134" t="s">
        <v>249</v>
      </c>
      <c r="N37" s="122">
        <v>36.109470099999996</v>
      </c>
      <c r="O37" s="135"/>
      <c r="P37" s="119">
        <v>4.0801662757076931E-4</v>
      </c>
      <c r="Q37" s="119">
        <v>1.9335957656412871E-4</v>
      </c>
    </row>
    <row r="38" spans="1:17" x14ac:dyDescent="0.25">
      <c r="A38" s="16" t="s">
        <v>441</v>
      </c>
      <c r="B38" s="115" t="s">
        <v>442</v>
      </c>
      <c r="C38" s="115" t="s">
        <v>218</v>
      </c>
      <c r="D38" s="115" t="s">
        <v>358</v>
      </c>
      <c r="E38" s="115" t="s">
        <v>265</v>
      </c>
      <c r="F38" s="115" t="s">
        <v>443</v>
      </c>
      <c r="G38" s="116">
        <v>4.9539999999999997</v>
      </c>
      <c r="H38" s="115" t="s">
        <v>126</v>
      </c>
      <c r="I38" s="115">
        <v>1.4999999999999999E-2</v>
      </c>
      <c r="J38" s="115">
        <v>3.9230000000000001E-2</v>
      </c>
      <c r="K38" s="68">
        <v>10000</v>
      </c>
      <c r="L38" s="60">
        <v>89.090999999999994</v>
      </c>
      <c r="M38" s="60">
        <v>0</v>
      </c>
      <c r="N38" s="83">
        <v>36.109470000000002</v>
      </c>
      <c r="O38" s="24">
        <v>6.060606060606061E-6</v>
      </c>
      <c r="P38" s="32">
        <v>4.0801662644082579E-4</v>
      </c>
      <c r="Q38" s="32">
        <v>1.9335957602864711E-4</v>
      </c>
    </row>
    <row r="39" spans="1:17" s="117" customFormat="1" x14ac:dyDescent="0.25">
      <c r="A39" s="91" t="s">
        <v>444</v>
      </c>
      <c r="B39" s="129" t="s">
        <v>249</v>
      </c>
      <c r="C39" s="129" t="s">
        <v>249</v>
      </c>
      <c r="D39" s="129" t="s">
        <v>249</v>
      </c>
      <c r="E39" s="129" t="s">
        <v>249</v>
      </c>
      <c r="F39" s="129" t="s">
        <v>249</v>
      </c>
      <c r="G39" s="130" t="s">
        <v>249</v>
      </c>
      <c r="H39" s="129" t="s">
        <v>249</v>
      </c>
      <c r="I39" s="129" t="s">
        <v>249</v>
      </c>
      <c r="J39" s="129" t="s">
        <v>249</v>
      </c>
      <c r="K39" s="133" t="s">
        <v>249</v>
      </c>
      <c r="L39" s="134" t="s">
        <v>249</v>
      </c>
      <c r="M39" s="134" t="s">
        <v>249</v>
      </c>
      <c r="N39" s="122">
        <v>10797.1733401</v>
      </c>
      <c r="O39" s="135"/>
      <c r="P39" s="119">
        <v>0.12200196351052577</v>
      </c>
      <c r="Q39" s="119">
        <v>5.7816879044459736E-2</v>
      </c>
    </row>
    <row r="40" spans="1:17" x14ac:dyDescent="0.25">
      <c r="A40" s="16" t="s">
        <v>445</v>
      </c>
      <c r="B40" s="115" t="s">
        <v>446</v>
      </c>
      <c r="C40" s="115" t="s">
        <v>218</v>
      </c>
      <c r="D40" s="115" t="s">
        <v>447</v>
      </c>
      <c r="E40" s="115" t="s">
        <v>265</v>
      </c>
      <c r="F40" s="115" t="s">
        <v>448</v>
      </c>
      <c r="G40" s="116">
        <v>7.3559999999999999</v>
      </c>
      <c r="H40" s="115" t="s">
        <v>125</v>
      </c>
      <c r="I40" s="115">
        <v>2.8799999999999999E-2</v>
      </c>
      <c r="J40" s="115">
        <v>4.6104459999999993E-2</v>
      </c>
      <c r="K40" s="68">
        <v>1472551.8284927418</v>
      </c>
      <c r="L40" s="60">
        <v>88.890625</v>
      </c>
      <c r="M40" s="60">
        <v>0</v>
      </c>
      <c r="N40" s="83">
        <v>5005.46504</v>
      </c>
      <c r="O40" s="24">
        <v>1.1043503712232111E-5</v>
      </c>
      <c r="P40" s="32">
        <v>5.6558929261168692E-2</v>
      </c>
      <c r="Q40" s="32">
        <v>2.6803345437100435E-2</v>
      </c>
    </row>
    <row r="41" spans="1:17" x14ac:dyDescent="0.25">
      <c r="A41" s="16" t="s">
        <v>449</v>
      </c>
      <c r="B41" s="115" t="s">
        <v>450</v>
      </c>
      <c r="C41" s="115" t="s">
        <v>218</v>
      </c>
      <c r="D41" s="115" t="s">
        <v>447</v>
      </c>
      <c r="E41" s="115" t="s">
        <v>265</v>
      </c>
      <c r="F41" s="115" t="s">
        <v>451</v>
      </c>
      <c r="G41" s="116">
        <v>7.37</v>
      </c>
      <c r="H41" s="115" t="s">
        <v>125</v>
      </c>
      <c r="I41" s="115">
        <v>4.1299999999999996E-2</v>
      </c>
      <c r="J41" s="115">
        <v>4.6090590000000001E-2</v>
      </c>
      <c r="K41" s="68">
        <v>1113324.9744736175</v>
      </c>
      <c r="L41" s="60">
        <v>98.022418000000002</v>
      </c>
      <c r="M41" s="60">
        <v>0</v>
      </c>
      <c r="N41" s="83">
        <v>4173.1620199999998</v>
      </c>
      <c r="O41" s="24">
        <v>1.0006965749616805E-5</v>
      </c>
      <c r="P41" s="32">
        <v>4.7154374987818479E-2</v>
      </c>
      <c r="Q41" s="32">
        <v>2.2346515716958806E-2</v>
      </c>
    </row>
    <row r="42" spans="1:17" x14ac:dyDescent="0.25">
      <c r="A42" s="16" t="s">
        <v>452</v>
      </c>
      <c r="B42" s="115" t="s">
        <v>453</v>
      </c>
      <c r="C42" s="115" t="s">
        <v>218</v>
      </c>
      <c r="D42" s="115" t="s">
        <v>447</v>
      </c>
      <c r="E42" s="115" t="s">
        <v>265</v>
      </c>
      <c r="F42" s="115" t="s">
        <v>393</v>
      </c>
      <c r="G42" s="116">
        <v>7.9169999999999998</v>
      </c>
      <c r="H42" s="115" t="s">
        <v>125</v>
      </c>
      <c r="I42" s="115">
        <v>3.3799999999999997E-2</v>
      </c>
      <c r="J42" s="115">
        <v>4.5816129999999997E-2</v>
      </c>
      <c r="K42" s="68">
        <v>460051.64234447002</v>
      </c>
      <c r="L42" s="60">
        <v>92.002717000000004</v>
      </c>
      <c r="M42" s="60">
        <v>0</v>
      </c>
      <c r="N42" s="83">
        <v>1618.54628</v>
      </c>
      <c r="O42" s="24">
        <v>4.2395211937932082E-6</v>
      </c>
      <c r="P42" s="32">
        <v>1.8288659260408648E-2</v>
      </c>
      <c r="Q42" s="32">
        <v>8.6670178898650124E-3</v>
      </c>
    </row>
    <row r="43" spans="1:17" s="117" customFormat="1" x14ac:dyDescent="0.25">
      <c r="A43" s="77" t="s">
        <v>241</v>
      </c>
      <c r="B43" s="123"/>
      <c r="C43" s="123"/>
      <c r="D43" s="123"/>
      <c r="E43" s="124"/>
      <c r="F43" s="124"/>
      <c r="G43" s="124"/>
      <c r="H43" s="125"/>
      <c r="I43" s="126"/>
      <c r="J43" s="127"/>
      <c r="K43" s="127"/>
      <c r="L43" s="127"/>
      <c r="M43" s="127"/>
      <c r="N43" s="126"/>
      <c r="O43" s="126"/>
      <c r="P43" s="126"/>
      <c r="Q43" s="136"/>
    </row>
    <row r="44" spans="1:17" s="117" customFormat="1" x14ac:dyDescent="0.25">
      <c r="A44" s="77" t="s">
        <v>242</v>
      </c>
      <c r="B44" s="123"/>
      <c r="C44" s="123"/>
      <c r="D44" s="123"/>
      <c r="E44" s="124"/>
      <c r="F44" s="124"/>
      <c r="G44" s="124"/>
      <c r="H44" s="125"/>
      <c r="I44" s="126"/>
      <c r="J44" s="127"/>
      <c r="K44" s="127"/>
      <c r="L44" s="127"/>
      <c r="M44" s="127"/>
      <c r="N44" s="126"/>
      <c r="O44" s="126"/>
      <c r="P44" s="126"/>
      <c r="Q44" s="136"/>
    </row>
    <row r="45" spans="1:17" s="117" customFormat="1" x14ac:dyDescent="0.25">
      <c r="A45" s="77" t="s">
        <v>243</v>
      </c>
      <c r="B45" s="123"/>
      <c r="C45" s="123"/>
      <c r="D45" s="123"/>
      <c r="E45" s="124"/>
      <c r="F45" s="124"/>
      <c r="G45" s="124"/>
      <c r="H45" s="125"/>
      <c r="I45" s="126"/>
      <c r="J45" s="127"/>
      <c r="K45" s="127"/>
      <c r="L45" s="127"/>
      <c r="M45" s="127"/>
      <c r="N45" s="126"/>
      <c r="O45" s="126"/>
      <c r="P45" s="126"/>
      <c r="Q45" s="136"/>
    </row>
    <row r="46" spans="1:17" s="117" customFormat="1" x14ac:dyDescent="0.25">
      <c r="A46" s="77" t="s">
        <v>244</v>
      </c>
      <c r="B46" s="123"/>
      <c r="C46" s="123"/>
      <c r="D46" s="123"/>
      <c r="E46" s="124"/>
      <c r="F46" s="124"/>
      <c r="G46" s="124"/>
      <c r="H46" s="125"/>
      <c r="I46" s="126"/>
      <c r="J46" s="127"/>
      <c r="K46" s="127"/>
      <c r="L46" s="127"/>
      <c r="M46" s="127"/>
      <c r="N46" s="126"/>
      <c r="O46" s="126"/>
      <c r="P46" s="126"/>
      <c r="Q46" s="136"/>
    </row>
    <row r="47" spans="1:17" s="117" customFormat="1" x14ac:dyDescent="0.25">
      <c r="A47" s="77" t="s">
        <v>245</v>
      </c>
      <c r="B47" s="123"/>
      <c r="C47" s="123"/>
      <c r="D47" s="123"/>
      <c r="E47" s="124"/>
      <c r="F47" s="124"/>
      <c r="G47" s="124"/>
      <c r="H47" s="125"/>
      <c r="I47" s="126"/>
      <c r="J47" s="127"/>
      <c r="K47" s="127"/>
      <c r="L47" s="127"/>
      <c r="M47" s="127"/>
      <c r="N47" s="126"/>
      <c r="O47" s="126"/>
      <c r="P47" s="126"/>
      <c r="Q47" s="136"/>
    </row>
  </sheetData>
  <mergeCells count="2">
    <mergeCell ref="A5:Q5"/>
    <mergeCell ref="A4:Q4"/>
  </mergeCells>
  <phoneticPr fontId="3" type="noConversion"/>
  <conditionalFormatting sqref="A9:A42 N9:N42">
    <cfRule type="expression" dxfId="124" priority="69" stopIfTrue="1">
      <formula>#REF!&gt;0</formula>
    </cfRule>
    <cfRule type="expression" dxfId="123" priority="70" stopIfTrue="1">
      <formula>LEFT(#REF!,3)="TIR"</formula>
    </cfRule>
  </conditionalFormatting>
  <conditionalFormatting sqref="B9:F9 H9 P9:Q42">
    <cfRule type="expression" dxfId="122" priority="66" stopIfTrue="1">
      <formula>OR(LEFT(#REF!,3)="TIR",LEFT(#REF!,2)="IR")</formula>
    </cfRule>
  </conditionalFormatting>
  <conditionalFormatting sqref="B10:J42">
    <cfRule type="expression" dxfId="121" priority="73" stopIfTrue="1">
      <formula>LEFT(#REF!,3)="TIR"</formula>
    </cfRule>
  </conditionalFormatting>
  <conditionalFormatting sqref="I1:I3 G9 I9:M9 O9:O42 K10:M42 I43:I55577">
    <cfRule type="expression" dxfId="120" priority="59" stopIfTrue="1">
      <formula>LEFT(#REF!,3)="TIR"</formula>
    </cfRule>
  </conditionalFormatting>
  <conditionalFormatting sqref="I6">
    <cfRule type="expression" dxfId="119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3"/>
    </row>
    <row r="5" spans="1:20" s="7" customFormat="1" x14ac:dyDescent="0.25">
      <c r="A5" s="224" t="s">
        <v>18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6"/>
    </row>
    <row r="6" spans="1:20" s="7" customFormat="1" x14ac:dyDescent="0.25">
      <c r="A6" s="85" t="s">
        <v>157</v>
      </c>
      <c r="B6" s="204" t="s">
        <v>69</v>
      </c>
      <c r="C6" s="204" t="s">
        <v>76</v>
      </c>
      <c r="D6" s="204" t="s">
        <v>77</v>
      </c>
      <c r="E6" s="204" t="s">
        <v>74</v>
      </c>
      <c r="F6" s="204" t="s">
        <v>19</v>
      </c>
      <c r="G6" s="204" t="s">
        <v>70</v>
      </c>
      <c r="H6" s="204" t="s">
        <v>5</v>
      </c>
      <c r="I6" s="204" t="s">
        <v>13</v>
      </c>
      <c r="J6" s="204" t="s">
        <v>14</v>
      </c>
      <c r="K6" s="204" t="s">
        <v>6</v>
      </c>
      <c r="L6" s="205" t="s">
        <v>66</v>
      </c>
      <c r="M6" s="205" t="s">
        <v>71</v>
      </c>
      <c r="N6" s="205" t="s">
        <v>67</v>
      </c>
      <c r="O6" s="205" t="s">
        <v>68</v>
      </c>
      <c r="P6" s="205" t="s">
        <v>134</v>
      </c>
      <c r="Q6" s="205" t="s">
        <v>7</v>
      </c>
      <c r="R6" s="88" t="s">
        <v>17</v>
      </c>
      <c r="S6" s="88" t="s">
        <v>75</v>
      </c>
      <c r="T6" s="89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7" customFormat="1" ht="12.75" customHeight="1" thickBot="1" x14ac:dyDescent="0.3">
      <c r="A9" s="98" t="s">
        <v>61</v>
      </c>
      <c r="B9" s="66" t="s">
        <v>249</v>
      </c>
      <c r="C9" s="66" t="s">
        <v>249</v>
      </c>
      <c r="D9" s="66" t="s">
        <v>249</v>
      </c>
      <c r="E9" s="66" t="s">
        <v>249</v>
      </c>
      <c r="F9" s="66" t="s">
        <v>249</v>
      </c>
      <c r="G9" s="137"/>
      <c r="H9" s="137" t="s">
        <v>249</v>
      </c>
      <c r="I9" s="137" t="s">
        <v>249</v>
      </c>
      <c r="J9" s="137" t="s">
        <v>249</v>
      </c>
      <c r="K9" s="137" t="s">
        <v>249</v>
      </c>
      <c r="L9" s="138" t="s">
        <v>249</v>
      </c>
      <c r="M9" s="138" t="s">
        <v>249</v>
      </c>
      <c r="N9" s="139" t="s">
        <v>249</v>
      </c>
      <c r="O9" s="137"/>
      <c r="P9" s="137" t="s">
        <v>249</v>
      </c>
      <c r="Q9" s="101">
        <v>4.9999999999999998E-7</v>
      </c>
      <c r="R9" s="66" t="s">
        <v>249</v>
      </c>
      <c r="S9" s="66">
        <v>1</v>
      </c>
      <c r="T9" s="80">
        <v>0</v>
      </c>
    </row>
    <row r="10" spans="1:20" s="117" customFormat="1" x14ac:dyDescent="0.25">
      <c r="A10" s="90" t="s">
        <v>137</v>
      </c>
      <c r="B10" s="129" t="s">
        <v>249</v>
      </c>
      <c r="C10" s="129" t="s">
        <v>249</v>
      </c>
      <c r="D10" s="129" t="s">
        <v>249</v>
      </c>
      <c r="E10" s="129" t="s">
        <v>249</v>
      </c>
      <c r="F10" s="129" t="s">
        <v>249</v>
      </c>
      <c r="G10" s="129" t="s">
        <v>249</v>
      </c>
      <c r="H10" s="129" t="s">
        <v>249</v>
      </c>
      <c r="I10" s="129" t="s">
        <v>249</v>
      </c>
      <c r="J10" s="130" t="s">
        <v>249</v>
      </c>
      <c r="K10" s="129" t="s">
        <v>249</v>
      </c>
      <c r="L10" s="129" t="s">
        <v>249</v>
      </c>
      <c r="M10" s="129" t="s">
        <v>249</v>
      </c>
      <c r="N10" s="140" t="s">
        <v>249</v>
      </c>
      <c r="O10" s="141" t="s">
        <v>249</v>
      </c>
      <c r="P10" s="141" t="s">
        <v>249</v>
      </c>
      <c r="Q10" s="121">
        <v>0</v>
      </c>
      <c r="R10" s="119" t="s">
        <v>249</v>
      </c>
      <c r="S10" s="119">
        <v>0</v>
      </c>
      <c r="T10" s="119">
        <v>0</v>
      </c>
    </row>
    <row r="11" spans="1:20" s="117" customFormat="1" x14ac:dyDescent="0.25">
      <c r="A11" s="91" t="s">
        <v>138</v>
      </c>
      <c r="B11" s="129" t="s">
        <v>249</v>
      </c>
      <c r="C11" s="129" t="s">
        <v>249</v>
      </c>
      <c r="D11" s="129" t="s">
        <v>249</v>
      </c>
      <c r="E11" s="129" t="s">
        <v>249</v>
      </c>
      <c r="F11" s="129" t="s">
        <v>249</v>
      </c>
      <c r="G11" s="129" t="s">
        <v>249</v>
      </c>
      <c r="H11" s="129" t="s">
        <v>249</v>
      </c>
      <c r="I11" s="129" t="s">
        <v>249</v>
      </c>
      <c r="J11" s="130" t="s">
        <v>249</v>
      </c>
      <c r="K11" s="129" t="s">
        <v>249</v>
      </c>
      <c r="L11" s="129" t="s">
        <v>249</v>
      </c>
      <c r="M11" s="129" t="s">
        <v>249</v>
      </c>
      <c r="N11" s="142" t="s">
        <v>249</v>
      </c>
      <c r="O11" s="143" t="s">
        <v>249</v>
      </c>
      <c r="P11" s="143" t="s">
        <v>249</v>
      </c>
      <c r="Q11" s="122">
        <v>0</v>
      </c>
      <c r="R11" s="135"/>
      <c r="S11" s="135">
        <v>0</v>
      </c>
      <c r="T11" s="119">
        <v>0</v>
      </c>
    </row>
    <row r="12" spans="1:20" s="117" customFormat="1" x14ac:dyDescent="0.25">
      <c r="A12" s="91" t="s">
        <v>139</v>
      </c>
      <c r="B12" s="129" t="s">
        <v>249</v>
      </c>
      <c r="C12" s="129" t="s">
        <v>249</v>
      </c>
      <c r="D12" s="129" t="s">
        <v>249</v>
      </c>
      <c r="E12" s="129" t="s">
        <v>249</v>
      </c>
      <c r="F12" s="129" t="s">
        <v>249</v>
      </c>
      <c r="G12" s="129" t="s">
        <v>249</v>
      </c>
      <c r="H12" s="129" t="s">
        <v>249</v>
      </c>
      <c r="I12" s="129" t="s">
        <v>249</v>
      </c>
      <c r="J12" s="130" t="s">
        <v>249</v>
      </c>
      <c r="K12" s="129" t="s">
        <v>249</v>
      </c>
      <c r="L12" s="129" t="s">
        <v>249</v>
      </c>
      <c r="M12" s="129" t="s">
        <v>249</v>
      </c>
      <c r="N12" s="142" t="s">
        <v>249</v>
      </c>
      <c r="O12" s="143" t="s">
        <v>249</v>
      </c>
      <c r="P12" s="143" t="s">
        <v>249</v>
      </c>
      <c r="Q12" s="122">
        <v>0</v>
      </c>
      <c r="R12" s="135"/>
      <c r="S12" s="135">
        <v>0</v>
      </c>
      <c r="T12" s="119">
        <v>0</v>
      </c>
    </row>
    <row r="13" spans="1:20" s="117" customFormat="1" x14ac:dyDescent="0.25">
      <c r="A13" s="91" t="s">
        <v>454</v>
      </c>
      <c r="B13" s="129" t="s">
        <v>249</v>
      </c>
      <c r="C13" s="129" t="s">
        <v>249</v>
      </c>
      <c r="D13" s="129" t="s">
        <v>249</v>
      </c>
      <c r="E13" s="129" t="s">
        <v>249</v>
      </c>
      <c r="F13" s="129" t="s">
        <v>249</v>
      </c>
      <c r="G13" s="129" t="s">
        <v>249</v>
      </c>
      <c r="H13" s="129" t="s">
        <v>249</v>
      </c>
      <c r="I13" s="129" t="s">
        <v>249</v>
      </c>
      <c r="J13" s="130" t="s">
        <v>249</v>
      </c>
      <c r="K13" s="129" t="s">
        <v>249</v>
      </c>
      <c r="L13" s="129" t="s">
        <v>249</v>
      </c>
      <c r="M13" s="129" t="s">
        <v>249</v>
      </c>
      <c r="N13" s="142" t="s">
        <v>249</v>
      </c>
      <c r="O13" s="143" t="s">
        <v>249</v>
      </c>
      <c r="P13" s="143" t="s">
        <v>249</v>
      </c>
      <c r="Q13" s="122">
        <v>0</v>
      </c>
      <c r="R13" s="135"/>
      <c r="S13" s="135">
        <v>0</v>
      </c>
      <c r="T13" s="119">
        <v>0</v>
      </c>
    </row>
    <row r="14" spans="1:20" s="117" customFormat="1" x14ac:dyDescent="0.25">
      <c r="A14" s="91" t="s">
        <v>455</v>
      </c>
      <c r="B14" s="129" t="s">
        <v>249</v>
      </c>
      <c r="C14" s="129" t="s">
        <v>249</v>
      </c>
      <c r="D14" s="129" t="s">
        <v>249</v>
      </c>
      <c r="E14" s="129" t="s">
        <v>249</v>
      </c>
      <c r="F14" s="129" t="s">
        <v>249</v>
      </c>
      <c r="G14" s="129" t="s">
        <v>249</v>
      </c>
      <c r="H14" s="129" t="s">
        <v>249</v>
      </c>
      <c r="I14" s="129" t="s">
        <v>249</v>
      </c>
      <c r="J14" s="130" t="s">
        <v>249</v>
      </c>
      <c r="K14" s="129" t="s">
        <v>249</v>
      </c>
      <c r="L14" s="129" t="s">
        <v>249</v>
      </c>
      <c r="M14" s="129" t="s">
        <v>249</v>
      </c>
      <c r="N14" s="142" t="s">
        <v>249</v>
      </c>
      <c r="O14" s="143" t="s">
        <v>249</v>
      </c>
      <c r="P14" s="143" t="s">
        <v>249</v>
      </c>
      <c r="Q14" s="122">
        <v>0</v>
      </c>
      <c r="R14" s="135"/>
      <c r="S14" s="135">
        <v>0</v>
      </c>
      <c r="T14" s="119">
        <v>0</v>
      </c>
    </row>
    <row r="15" spans="1:20" s="117" customFormat="1" x14ac:dyDescent="0.25">
      <c r="A15" s="91" t="s">
        <v>143</v>
      </c>
      <c r="B15" s="129" t="s">
        <v>249</v>
      </c>
      <c r="C15" s="129" t="s">
        <v>249</v>
      </c>
      <c r="D15" s="129" t="s">
        <v>249</v>
      </c>
      <c r="E15" s="129" t="s">
        <v>249</v>
      </c>
      <c r="F15" s="129" t="s">
        <v>249</v>
      </c>
      <c r="G15" s="129" t="s">
        <v>249</v>
      </c>
      <c r="H15" s="129" t="s">
        <v>249</v>
      </c>
      <c r="I15" s="129" t="s">
        <v>249</v>
      </c>
      <c r="J15" s="130" t="s">
        <v>249</v>
      </c>
      <c r="K15" s="129" t="s">
        <v>249</v>
      </c>
      <c r="L15" s="129" t="s">
        <v>249</v>
      </c>
      <c r="M15" s="129" t="s">
        <v>249</v>
      </c>
      <c r="N15" s="142" t="s">
        <v>249</v>
      </c>
      <c r="O15" s="143" t="s">
        <v>249</v>
      </c>
      <c r="P15" s="143" t="s">
        <v>249</v>
      </c>
      <c r="Q15" s="122">
        <v>0</v>
      </c>
      <c r="R15" s="135"/>
      <c r="S15" s="135">
        <v>0</v>
      </c>
      <c r="T15" s="119">
        <v>0</v>
      </c>
    </row>
    <row r="16" spans="1:20" s="117" customFormat="1" x14ac:dyDescent="0.25">
      <c r="A16" s="91" t="s">
        <v>144</v>
      </c>
      <c r="B16" s="129" t="s">
        <v>249</v>
      </c>
      <c r="C16" s="129" t="s">
        <v>249</v>
      </c>
      <c r="D16" s="129" t="s">
        <v>249</v>
      </c>
      <c r="E16" s="129" t="s">
        <v>249</v>
      </c>
      <c r="F16" s="129" t="s">
        <v>249</v>
      </c>
      <c r="G16" s="129" t="s">
        <v>249</v>
      </c>
      <c r="H16" s="129" t="s">
        <v>249</v>
      </c>
      <c r="I16" s="129" t="s">
        <v>249</v>
      </c>
      <c r="J16" s="130" t="s">
        <v>249</v>
      </c>
      <c r="K16" s="129" t="s">
        <v>249</v>
      </c>
      <c r="L16" s="129" t="s">
        <v>249</v>
      </c>
      <c r="M16" s="129" t="s">
        <v>249</v>
      </c>
      <c r="N16" s="142" t="s">
        <v>249</v>
      </c>
      <c r="O16" s="143" t="s">
        <v>249</v>
      </c>
      <c r="P16" s="143" t="s">
        <v>249</v>
      </c>
      <c r="Q16" s="122">
        <v>0</v>
      </c>
      <c r="R16" s="135"/>
      <c r="S16" s="135">
        <v>0</v>
      </c>
      <c r="T16" s="119">
        <v>0</v>
      </c>
    </row>
    <row r="17" spans="1:17" s="117" customFormat="1" x14ac:dyDescent="0.25">
      <c r="A17" s="77" t="s">
        <v>241</v>
      </c>
      <c r="B17" s="123"/>
      <c r="C17" s="123"/>
      <c r="D17" s="123"/>
      <c r="E17" s="123"/>
      <c r="F17" s="77"/>
      <c r="G17" s="144"/>
      <c r="H17" s="144"/>
      <c r="I17" s="144"/>
      <c r="J17" s="145"/>
      <c r="K17" s="128"/>
      <c r="L17" s="146"/>
      <c r="M17" s="146"/>
      <c r="N17" s="146"/>
      <c r="O17" s="128"/>
      <c r="P17" s="128"/>
      <c r="Q17" s="128"/>
    </row>
    <row r="18" spans="1:17" s="117" customFormat="1" x14ac:dyDescent="0.25">
      <c r="A18" s="77" t="s">
        <v>242</v>
      </c>
      <c r="B18" s="123"/>
      <c r="C18" s="123"/>
      <c r="D18" s="123"/>
      <c r="E18" s="123"/>
      <c r="F18" s="77"/>
      <c r="G18" s="144"/>
      <c r="H18" s="144"/>
      <c r="I18" s="144"/>
      <c r="J18" s="145"/>
      <c r="K18" s="128"/>
      <c r="L18" s="146"/>
      <c r="M18" s="146"/>
      <c r="N18" s="146"/>
      <c r="O18" s="128"/>
      <c r="P18" s="128"/>
      <c r="Q18" s="128"/>
    </row>
    <row r="19" spans="1:17" s="117" customFormat="1" x14ac:dyDescent="0.25">
      <c r="A19" s="77" t="s">
        <v>243</v>
      </c>
      <c r="B19" s="123"/>
      <c r="C19" s="123"/>
      <c r="D19" s="123"/>
      <c r="E19" s="123"/>
      <c r="F19" s="77"/>
      <c r="G19" s="144"/>
      <c r="H19" s="144"/>
      <c r="I19" s="144"/>
      <c r="J19" s="145"/>
      <c r="K19" s="128"/>
      <c r="L19" s="146"/>
      <c r="M19" s="146"/>
      <c r="N19" s="146"/>
      <c r="O19" s="128"/>
      <c r="P19" s="128"/>
      <c r="Q19" s="128"/>
    </row>
    <row r="20" spans="1:17" s="117" customFormat="1" x14ac:dyDescent="0.25">
      <c r="A20" s="77" t="s">
        <v>244</v>
      </c>
      <c r="B20" s="123"/>
      <c r="C20" s="123"/>
      <c r="D20" s="123"/>
      <c r="E20" s="123"/>
      <c r="F20" s="77"/>
      <c r="G20" s="144"/>
      <c r="H20" s="144"/>
      <c r="I20" s="144"/>
      <c r="J20" s="145"/>
      <c r="K20" s="128"/>
      <c r="L20" s="146"/>
      <c r="M20" s="146"/>
      <c r="N20" s="146"/>
      <c r="O20" s="128"/>
      <c r="P20" s="128"/>
      <c r="Q20" s="128"/>
    </row>
    <row r="21" spans="1:17" s="117" customFormat="1" x14ac:dyDescent="0.25">
      <c r="A21" s="77" t="s">
        <v>245</v>
      </c>
      <c r="B21" s="123"/>
      <c r="C21" s="123"/>
      <c r="D21" s="123"/>
      <c r="E21" s="123"/>
      <c r="F21" s="77"/>
      <c r="G21" s="144"/>
      <c r="H21" s="144"/>
      <c r="I21" s="144"/>
      <c r="J21" s="145"/>
      <c r="K21" s="128"/>
      <c r="L21" s="146"/>
      <c r="M21" s="146"/>
      <c r="N21" s="146"/>
      <c r="O21" s="128"/>
      <c r="P21" s="128"/>
      <c r="Q21" s="128"/>
    </row>
  </sheetData>
  <mergeCells count="2">
    <mergeCell ref="A5:T5"/>
    <mergeCell ref="A4:T4"/>
  </mergeCells>
  <phoneticPr fontId="3" type="noConversion"/>
  <conditionalFormatting sqref="A9:A16 Q9:Q16">
    <cfRule type="expression" dxfId="118" priority="99" stopIfTrue="1">
      <formula>#REF!&gt;0</formula>
    </cfRule>
    <cfRule type="expression" dxfId="117" priority="100" stopIfTrue="1">
      <formula>LEFT(#REF!,3)="TIR"</formula>
    </cfRule>
  </conditionalFormatting>
  <conditionalFormatting sqref="B9:I9 K9 B10:M16">
    <cfRule type="expression" dxfId="116" priority="96" stopIfTrue="1">
      <formula>LEFT(#REF!,3)="TIR"</formula>
    </cfRule>
  </conditionalFormatting>
  <conditionalFormatting sqref="K1:K3 J9 L9:P9 R9:R16 N10:P16 K17:K55551">
    <cfRule type="expression" dxfId="115" priority="89" stopIfTrue="1">
      <formula>LEFT(#REF!,3)="TIR"</formula>
    </cfRule>
  </conditionalFormatting>
  <conditionalFormatting sqref="L6">
    <cfRule type="expression" dxfId="114" priority="95" stopIfTrue="1">
      <formula>LEFT(#REF!,3)="TIR"</formula>
    </cfRule>
  </conditionalFormatting>
  <conditionalFormatting sqref="S9:T16">
    <cfRule type="expression" dxfId="113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22"/>
  <sheetViews>
    <sheetView rightToLeft="1" zoomScale="80" zoomScaleNormal="80" workbookViewId="0"/>
  </sheetViews>
  <sheetFormatPr defaultColWidth="9.109375" defaultRowHeight="13.2" x14ac:dyDescent="0.25"/>
  <cols>
    <col min="1" max="1" width="28.441406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2.44140625" style="63" bestFit="1" customWidth="1"/>
    <col min="15" max="15" width="8.88671875" style="61" bestFit="1" customWidth="1"/>
    <col min="16" max="16" width="16.5546875" style="61" customWidth="1"/>
    <col min="17" max="17" width="11.33203125" style="61" bestFit="1" customWidth="1"/>
    <col min="18" max="18" width="22" style="64" customWidth="1"/>
    <col min="19" max="19" width="25.44140625" style="64" customWidth="1"/>
    <col min="20" max="20" width="20.6640625" style="6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4"/>
      <c r="S1" s="64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4"/>
      <c r="S2" s="64"/>
      <c r="T2" s="43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4"/>
      <c r="S3" s="64"/>
      <c r="T3" s="43"/>
    </row>
    <row r="4" spans="1:20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3"/>
    </row>
    <row r="5" spans="1:20" s="7" customFormat="1" x14ac:dyDescent="0.25">
      <c r="A5" s="224" t="s">
        <v>88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6"/>
    </row>
    <row r="6" spans="1:20" s="7" customFormat="1" x14ac:dyDescent="0.25">
      <c r="A6" s="85" t="s">
        <v>157</v>
      </c>
      <c r="B6" s="204" t="s">
        <v>69</v>
      </c>
      <c r="C6" s="204" t="s">
        <v>76</v>
      </c>
      <c r="D6" s="204" t="s">
        <v>77</v>
      </c>
      <c r="E6" s="204" t="s">
        <v>74</v>
      </c>
      <c r="F6" s="204" t="s">
        <v>19</v>
      </c>
      <c r="G6" s="204" t="s">
        <v>70</v>
      </c>
      <c r="H6" s="204" t="s">
        <v>5</v>
      </c>
      <c r="I6" s="204" t="s">
        <v>13</v>
      </c>
      <c r="J6" s="204" t="s">
        <v>14</v>
      </c>
      <c r="K6" s="204" t="s">
        <v>6</v>
      </c>
      <c r="L6" s="205" t="s">
        <v>66</v>
      </c>
      <c r="M6" s="205" t="s">
        <v>71</v>
      </c>
      <c r="N6" s="205" t="s">
        <v>67</v>
      </c>
      <c r="O6" s="205" t="s">
        <v>68</v>
      </c>
      <c r="P6" s="205" t="s">
        <v>134</v>
      </c>
      <c r="Q6" s="205" t="s">
        <v>7</v>
      </c>
      <c r="R6" s="88" t="s">
        <v>17</v>
      </c>
      <c r="S6" s="88" t="s">
        <v>75</v>
      </c>
      <c r="T6" s="89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7" customFormat="1" ht="12.75" customHeight="1" thickBot="1" x14ac:dyDescent="0.3">
      <c r="A9" s="98" t="s">
        <v>53</v>
      </c>
      <c r="B9" s="66"/>
      <c r="C9" s="66"/>
      <c r="D9" s="66"/>
      <c r="E9" s="66"/>
      <c r="F9" s="66"/>
      <c r="G9" s="99"/>
      <c r="H9" s="99"/>
      <c r="I9" s="99"/>
      <c r="J9" s="99"/>
      <c r="K9" s="99"/>
      <c r="L9" s="66"/>
      <c r="M9" s="66"/>
      <c r="N9" s="102"/>
      <c r="O9" s="99"/>
      <c r="P9" s="101" t="s">
        <v>249</v>
      </c>
      <c r="Q9" s="103">
        <v>64749.847300600057</v>
      </c>
      <c r="R9" s="66" t="s">
        <v>249</v>
      </c>
      <c r="S9" s="66">
        <v>1</v>
      </c>
      <c r="T9" s="80">
        <v>0.34672353324387389</v>
      </c>
    </row>
    <row r="10" spans="1:20" s="117" customFormat="1" x14ac:dyDescent="0.25">
      <c r="A10" s="90" t="s">
        <v>137</v>
      </c>
      <c r="B10" s="129" t="s">
        <v>249</v>
      </c>
      <c r="C10" s="129" t="s">
        <v>249</v>
      </c>
      <c r="D10" s="129" t="s">
        <v>249</v>
      </c>
      <c r="E10" s="129" t="s">
        <v>249</v>
      </c>
      <c r="F10" s="129" t="s">
        <v>249</v>
      </c>
      <c r="G10" s="129" t="s">
        <v>249</v>
      </c>
      <c r="H10" s="129" t="s">
        <v>249</v>
      </c>
      <c r="I10" s="129" t="s">
        <v>249</v>
      </c>
      <c r="J10" s="130" t="s">
        <v>249</v>
      </c>
      <c r="K10" s="130" t="s">
        <v>249</v>
      </c>
      <c r="L10" s="129" t="s">
        <v>249</v>
      </c>
      <c r="M10" s="129" t="s">
        <v>249</v>
      </c>
      <c r="N10" s="131" t="s">
        <v>249</v>
      </c>
      <c r="O10" s="120" t="s">
        <v>249</v>
      </c>
      <c r="P10" s="121" t="s">
        <v>249</v>
      </c>
      <c r="Q10" s="132">
        <v>47312.098410400009</v>
      </c>
      <c r="R10" s="119" t="s">
        <v>249</v>
      </c>
      <c r="S10" s="119">
        <v>0.73069050172048133</v>
      </c>
      <c r="T10" s="119">
        <v>0.25334759246426419</v>
      </c>
    </row>
    <row r="11" spans="1:20" s="117" customFormat="1" x14ac:dyDescent="0.25">
      <c r="A11" s="91" t="s">
        <v>138</v>
      </c>
      <c r="B11" s="129" t="s">
        <v>249</v>
      </c>
      <c r="C11" s="129" t="s">
        <v>249</v>
      </c>
      <c r="D11" s="129" t="s">
        <v>249</v>
      </c>
      <c r="E11" s="129" t="s">
        <v>249</v>
      </c>
      <c r="F11" s="129" t="s">
        <v>249</v>
      </c>
      <c r="G11" s="129" t="s">
        <v>249</v>
      </c>
      <c r="H11" s="129" t="s">
        <v>249</v>
      </c>
      <c r="I11" s="129" t="s">
        <v>249</v>
      </c>
      <c r="J11" s="130" t="s">
        <v>249</v>
      </c>
      <c r="K11" s="130" t="s">
        <v>249</v>
      </c>
      <c r="L11" s="129" t="s">
        <v>249</v>
      </c>
      <c r="M11" s="129" t="s">
        <v>249</v>
      </c>
      <c r="N11" s="133" t="s">
        <v>249</v>
      </c>
      <c r="O11" s="134" t="s">
        <v>249</v>
      </c>
      <c r="P11" s="122" t="s">
        <v>249</v>
      </c>
      <c r="Q11" s="122">
        <v>2482.0189301</v>
      </c>
      <c r="R11" s="135"/>
      <c r="S11" s="135">
        <v>3.8332429087859769E-2</v>
      </c>
      <c r="T11" s="135">
        <v>1.3290755251162986E-2</v>
      </c>
    </row>
    <row r="12" spans="1:20" x14ac:dyDescent="0.25">
      <c r="A12" s="16" t="s">
        <v>467</v>
      </c>
      <c r="B12" s="115" t="s">
        <v>468</v>
      </c>
      <c r="C12" s="115" t="s">
        <v>379</v>
      </c>
      <c r="D12" s="115" t="s">
        <v>249</v>
      </c>
      <c r="E12" s="115" t="s">
        <v>469</v>
      </c>
      <c r="F12" s="115" t="s">
        <v>225</v>
      </c>
      <c r="G12" s="115" t="s">
        <v>464</v>
      </c>
      <c r="H12" s="115" t="s">
        <v>465</v>
      </c>
      <c r="I12" s="115" t="s">
        <v>470</v>
      </c>
      <c r="J12" s="116">
        <v>1.86</v>
      </c>
      <c r="K12" s="116" t="s">
        <v>255</v>
      </c>
      <c r="L12" s="115">
        <v>4.4999999999999998E-2</v>
      </c>
      <c r="M12" s="115">
        <v>2.63E-2</v>
      </c>
      <c r="N12" s="68">
        <v>248671</v>
      </c>
      <c r="O12" s="60">
        <v>117.23000000000002</v>
      </c>
      <c r="P12" s="83">
        <v>0</v>
      </c>
      <c r="Q12" s="83">
        <v>291.51701000000003</v>
      </c>
      <c r="R12" s="24">
        <v>8.413541875981241E-5</v>
      </c>
      <c r="S12" s="24">
        <v>4.5022038221439699E-3</v>
      </c>
      <c r="T12" s="24">
        <v>1.561020016597831E-3</v>
      </c>
    </row>
    <row r="13" spans="1:20" x14ac:dyDescent="0.25">
      <c r="A13" s="16" t="s">
        <v>461</v>
      </c>
      <c r="B13" s="115" t="s">
        <v>462</v>
      </c>
      <c r="C13" s="115" t="s">
        <v>379</v>
      </c>
      <c r="D13" s="115" t="s">
        <v>249</v>
      </c>
      <c r="E13" s="115" t="s">
        <v>463</v>
      </c>
      <c r="F13" s="115" t="s">
        <v>223</v>
      </c>
      <c r="G13" s="115" t="s">
        <v>464</v>
      </c>
      <c r="H13" s="115" t="s">
        <v>465</v>
      </c>
      <c r="I13" s="115" t="s">
        <v>466</v>
      </c>
      <c r="J13" s="116">
        <v>3.35</v>
      </c>
      <c r="K13" s="116" t="s">
        <v>255</v>
      </c>
      <c r="L13" s="115">
        <v>1.34E-2</v>
      </c>
      <c r="M13" s="115">
        <v>0.03</v>
      </c>
      <c r="N13" s="68">
        <v>226240</v>
      </c>
      <c r="O13" s="60">
        <v>107.07</v>
      </c>
      <c r="P13" s="83">
        <v>0</v>
      </c>
      <c r="Q13" s="83">
        <v>242.23516000000001</v>
      </c>
      <c r="R13" s="24">
        <v>7.3159010250234101E-5</v>
      </c>
      <c r="S13" s="24">
        <v>3.7410923747113627E-3</v>
      </c>
      <c r="T13" s="24">
        <v>1.2971247663516384E-3</v>
      </c>
    </row>
    <row r="14" spans="1:20" x14ac:dyDescent="0.25">
      <c r="A14" s="16" t="s">
        <v>485</v>
      </c>
      <c r="B14" s="115" t="s">
        <v>486</v>
      </c>
      <c r="C14" s="115" t="s">
        <v>379</v>
      </c>
      <c r="D14" s="115" t="s">
        <v>249</v>
      </c>
      <c r="E14" s="115" t="s">
        <v>487</v>
      </c>
      <c r="F14" s="115" t="s">
        <v>223</v>
      </c>
      <c r="G14" s="115" t="s">
        <v>459</v>
      </c>
      <c r="H14" s="115" t="s">
        <v>254</v>
      </c>
      <c r="I14" s="115" t="s">
        <v>488</v>
      </c>
      <c r="J14" s="116">
        <v>4.37</v>
      </c>
      <c r="K14" s="116" t="s">
        <v>255</v>
      </c>
      <c r="L14" s="115">
        <v>6.8999999999999999E-3</v>
      </c>
      <c r="M14" s="115">
        <v>2.92E-2</v>
      </c>
      <c r="N14" s="68">
        <v>15766.96</v>
      </c>
      <c r="O14" s="60">
        <v>101.2</v>
      </c>
      <c r="P14" s="83">
        <v>0</v>
      </c>
      <c r="Q14" s="83">
        <v>15.956160000000001</v>
      </c>
      <c r="R14" s="24">
        <v>8.1440909090909084E-5</v>
      </c>
      <c r="S14" s="24">
        <v>2.4642776261577578E-4</v>
      </c>
      <c r="T14" s="24">
        <v>8.5442304543524391E-5</v>
      </c>
    </row>
    <row r="15" spans="1:20" x14ac:dyDescent="0.25">
      <c r="A15" s="16" t="s">
        <v>480</v>
      </c>
      <c r="B15" s="115" t="s">
        <v>481</v>
      </c>
      <c r="C15" s="115" t="s">
        <v>379</v>
      </c>
      <c r="D15" s="115" t="s">
        <v>249</v>
      </c>
      <c r="E15" s="115" t="s">
        <v>482</v>
      </c>
      <c r="F15" s="115" t="s">
        <v>201</v>
      </c>
      <c r="G15" s="115" t="s">
        <v>483</v>
      </c>
      <c r="H15" s="115" t="s">
        <v>465</v>
      </c>
      <c r="I15" s="115" t="s">
        <v>484</v>
      </c>
      <c r="J15" s="116">
        <v>5.28</v>
      </c>
      <c r="K15" s="116" t="s">
        <v>255</v>
      </c>
      <c r="L15" s="115">
        <v>4.4000000000000003E-3</v>
      </c>
      <c r="M15" s="115">
        <v>2.7400000000000001E-2</v>
      </c>
      <c r="N15" s="68">
        <v>411240</v>
      </c>
      <c r="O15" s="60">
        <v>98.69</v>
      </c>
      <c r="P15" s="83">
        <v>0</v>
      </c>
      <c r="Q15" s="83">
        <v>405.85275000000001</v>
      </c>
      <c r="R15" s="24">
        <v>5.4338840965894176E-4</v>
      </c>
      <c r="S15" s="24">
        <v>6.268010920795466E-3</v>
      </c>
      <c r="T15" s="24">
        <v>2.1732668928693914E-3</v>
      </c>
    </row>
    <row r="16" spans="1:20" x14ac:dyDescent="0.25">
      <c r="A16" s="16" t="s">
        <v>471</v>
      </c>
      <c r="B16" s="115" t="s">
        <v>472</v>
      </c>
      <c r="C16" s="115" t="s">
        <v>379</v>
      </c>
      <c r="D16" s="115" t="s">
        <v>249</v>
      </c>
      <c r="E16" s="115" t="s">
        <v>473</v>
      </c>
      <c r="F16" s="115" t="s">
        <v>223</v>
      </c>
      <c r="G16" s="115" t="s">
        <v>459</v>
      </c>
      <c r="H16" s="115" t="s">
        <v>254</v>
      </c>
      <c r="I16" s="115" t="s">
        <v>474</v>
      </c>
      <c r="J16" s="116">
        <v>3.27</v>
      </c>
      <c r="K16" s="116" t="s">
        <v>255</v>
      </c>
      <c r="L16" s="115">
        <v>2.35E-2</v>
      </c>
      <c r="M16" s="115">
        <v>2.8500000000000001E-2</v>
      </c>
      <c r="N16" s="68">
        <v>150510</v>
      </c>
      <c r="O16" s="60">
        <v>110.9</v>
      </c>
      <c r="P16" s="83">
        <v>3.9408400000000001</v>
      </c>
      <c r="Q16" s="83">
        <v>168.93785999999997</v>
      </c>
      <c r="R16" s="24">
        <v>1.584030924021912E-4</v>
      </c>
      <c r="S16" s="24">
        <v>2.6090850719030865E-3</v>
      </c>
      <c r="T16" s="24">
        <v>9.0463119466408491E-4</v>
      </c>
    </row>
    <row r="17" spans="1:20" x14ac:dyDescent="0.25">
      <c r="A17" s="16" t="s">
        <v>456</v>
      </c>
      <c r="B17" s="115" t="s">
        <v>457</v>
      </c>
      <c r="C17" s="115" t="s">
        <v>379</v>
      </c>
      <c r="D17" s="115" t="s">
        <v>249</v>
      </c>
      <c r="E17" s="115" t="s">
        <v>458</v>
      </c>
      <c r="F17" s="115" t="s">
        <v>223</v>
      </c>
      <c r="G17" s="115" t="s">
        <v>459</v>
      </c>
      <c r="H17" s="115" t="s">
        <v>254</v>
      </c>
      <c r="I17" s="115" t="s">
        <v>460</v>
      </c>
      <c r="J17" s="116">
        <v>0.97</v>
      </c>
      <c r="K17" s="116" t="s">
        <v>255</v>
      </c>
      <c r="L17" s="115">
        <v>0.04</v>
      </c>
      <c r="M17" s="115">
        <v>3.0099999999999998E-2</v>
      </c>
      <c r="N17" s="68">
        <v>24090.14</v>
      </c>
      <c r="O17" s="60">
        <v>112.25</v>
      </c>
      <c r="P17" s="83">
        <v>0</v>
      </c>
      <c r="Q17" s="83">
        <v>27.041180000000001</v>
      </c>
      <c r="R17" s="24">
        <v>2.9590799091139058E-4</v>
      </c>
      <c r="S17" s="24">
        <v>4.1762538642696381E-4</v>
      </c>
      <c r="T17" s="24">
        <v>1.4480054955429508E-4</v>
      </c>
    </row>
    <row r="18" spans="1:20" x14ac:dyDescent="0.25">
      <c r="A18" s="16" t="s">
        <v>498</v>
      </c>
      <c r="B18" s="115" t="s">
        <v>499</v>
      </c>
      <c r="C18" s="115" t="s">
        <v>379</v>
      </c>
      <c r="D18" s="115" t="s">
        <v>249</v>
      </c>
      <c r="E18" s="115" t="s">
        <v>500</v>
      </c>
      <c r="F18" s="115" t="s">
        <v>223</v>
      </c>
      <c r="G18" s="115" t="s">
        <v>491</v>
      </c>
      <c r="H18" s="115" t="s">
        <v>465</v>
      </c>
      <c r="I18" s="115" t="s">
        <v>501</v>
      </c>
      <c r="J18" s="116">
        <v>7.73</v>
      </c>
      <c r="K18" s="116" t="s">
        <v>255</v>
      </c>
      <c r="L18" s="115">
        <v>2.5600000000000001E-2</v>
      </c>
      <c r="M18" s="115">
        <v>4.0500000000000001E-2</v>
      </c>
      <c r="N18" s="68">
        <v>530241.27805133944</v>
      </c>
      <c r="O18" s="60">
        <v>94.1</v>
      </c>
      <c r="P18" s="83">
        <v>0</v>
      </c>
      <c r="Q18" s="83">
        <v>498.95704000000001</v>
      </c>
      <c r="R18" s="24">
        <v>7.933859892707304E-4</v>
      </c>
      <c r="S18" s="24">
        <v>7.7059184044651168E-3</v>
      </c>
      <c r="T18" s="24">
        <v>2.6718232560851408E-3</v>
      </c>
    </row>
    <row r="19" spans="1:20" x14ac:dyDescent="0.25">
      <c r="A19" s="16" t="s">
        <v>489</v>
      </c>
      <c r="B19" s="115" t="s">
        <v>490</v>
      </c>
      <c r="C19" s="115" t="s">
        <v>379</v>
      </c>
      <c r="D19" s="115" t="s">
        <v>249</v>
      </c>
      <c r="E19" s="115" t="s">
        <v>487</v>
      </c>
      <c r="F19" s="115" t="s">
        <v>223</v>
      </c>
      <c r="G19" s="115" t="s">
        <v>491</v>
      </c>
      <c r="H19" s="115" t="s">
        <v>465</v>
      </c>
      <c r="I19" s="115" t="s">
        <v>492</v>
      </c>
      <c r="J19" s="116">
        <v>5.16</v>
      </c>
      <c r="K19" s="116" t="s">
        <v>255</v>
      </c>
      <c r="L19" s="115">
        <v>1.3300000000000001E-2</v>
      </c>
      <c r="M19" s="115">
        <v>3.9199999999999999E-2</v>
      </c>
      <c r="N19" s="68">
        <v>298300</v>
      </c>
      <c r="O19" s="60">
        <v>97.5</v>
      </c>
      <c r="P19" s="83">
        <v>2.2057800000000003</v>
      </c>
      <c r="Q19" s="83">
        <v>293.04828000000003</v>
      </c>
      <c r="R19" s="24">
        <v>2.5119999999999998E-4</v>
      </c>
      <c r="S19" s="24">
        <v>4.5258528354442037E-3</v>
      </c>
      <c r="T19" s="24">
        <v>1.5692196860470195E-3</v>
      </c>
    </row>
    <row r="20" spans="1:20" x14ac:dyDescent="0.25">
      <c r="A20" s="16" t="s">
        <v>475</v>
      </c>
      <c r="B20" s="115" t="s">
        <v>476</v>
      </c>
      <c r="C20" s="115" t="s">
        <v>379</v>
      </c>
      <c r="D20" s="115" t="s">
        <v>249</v>
      </c>
      <c r="E20" s="115" t="s">
        <v>477</v>
      </c>
      <c r="F20" s="115" t="s">
        <v>225</v>
      </c>
      <c r="G20" s="115" t="s">
        <v>478</v>
      </c>
      <c r="H20" s="115" t="s">
        <v>254</v>
      </c>
      <c r="I20" s="115" t="s">
        <v>479</v>
      </c>
      <c r="J20" s="116">
        <v>3.52</v>
      </c>
      <c r="K20" s="116" t="s">
        <v>255</v>
      </c>
      <c r="L20" s="115">
        <v>1.23E-2</v>
      </c>
      <c r="M20" s="115">
        <v>2.9300000000000003E-2</v>
      </c>
      <c r="N20" s="68">
        <v>255500</v>
      </c>
      <c r="O20" s="60">
        <v>105.97000000000001</v>
      </c>
      <c r="P20" s="83">
        <v>0</v>
      </c>
      <c r="Q20" s="83">
        <v>270.75334999999995</v>
      </c>
      <c r="R20" s="24">
        <v>2.0091652361875451E-4</v>
      </c>
      <c r="S20" s="24">
        <v>4.1815287801843324E-3</v>
      </c>
      <c r="T20" s="24">
        <v>1.4498344330264579E-3</v>
      </c>
    </row>
    <row r="21" spans="1:20" x14ac:dyDescent="0.25">
      <c r="A21" s="16" t="s">
        <v>493</v>
      </c>
      <c r="B21" s="115" t="s">
        <v>494</v>
      </c>
      <c r="C21" s="115" t="s">
        <v>379</v>
      </c>
      <c r="D21" s="115" t="s">
        <v>249</v>
      </c>
      <c r="E21" s="115" t="s">
        <v>495</v>
      </c>
      <c r="F21" s="115" t="s">
        <v>225</v>
      </c>
      <c r="G21" s="115" t="s">
        <v>496</v>
      </c>
      <c r="H21" s="115" t="s">
        <v>465</v>
      </c>
      <c r="I21" s="115" t="s">
        <v>497</v>
      </c>
      <c r="J21" s="116">
        <v>4.1900000000000004</v>
      </c>
      <c r="K21" s="116" t="s">
        <v>255</v>
      </c>
      <c r="L21" s="115">
        <v>1.8000000000000002E-2</v>
      </c>
      <c r="M21" s="115">
        <v>3.8699999999999998E-2</v>
      </c>
      <c r="N21" s="68">
        <v>258390</v>
      </c>
      <c r="O21" s="60">
        <v>102.19</v>
      </c>
      <c r="P21" s="83">
        <v>15.811579999999999</v>
      </c>
      <c r="Q21" s="83">
        <v>267.72014000000001</v>
      </c>
      <c r="R21" s="24">
        <v>2.4718444727052168E-4</v>
      </c>
      <c r="S21" s="24">
        <v>4.1346837276250836E-3</v>
      </c>
      <c r="T21" s="24">
        <v>1.4335921508881202E-3</v>
      </c>
    </row>
    <row r="22" spans="1:20" s="117" customFormat="1" x14ac:dyDescent="0.25">
      <c r="A22" s="91" t="s">
        <v>139</v>
      </c>
      <c r="B22" s="129" t="s">
        <v>249</v>
      </c>
      <c r="C22" s="129" t="s">
        <v>249</v>
      </c>
      <c r="D22" s="129" t="s">
        <v>249</v>
      </c>
      <c r="E22" s="129" t="s">
        <v>249</v>
      </c>
      <c r="F22" s="129" t="s">
        <v>249</v>
      </c>
      <c r="G22" s="129" t="s">
        <v>249</v>
      </c>
      <c r="H22" s="129" t="s">
        <v>249</v>
      </c>
      <c r="I22" s="129" t="s">
        <v>249</v>
      </c>
      <c r="J22" s="130" t="s">
        <v>249</v>
      </c>
      <c r="K22" s="130" t="s">
        <v>249</v>
      </c>
      <c r="L22" s="129" t="s">
        <v>249</v>
      </c>
      <c r="M22" s="129" t="s">
        <v>249</v>
      </c>
      <c r="N22" s="133" t="s">
        <v>249</v>
      </c>
      <c r="O22" s="134" t="s">
        <v>249</v>
      </c>
      <c r="P22" s="122" t="s">
        <v>249</v>
      </c>
      <c r="Q22" s="122">
        <v>43614.412900100004</v>
      </c>
      <c r="R22" s="135"/>
      <c r="S22" s="135">
        <v>0.67358325491673876</v>
      </c>
      <c r="T22" s="135">
        <v>0.23354716607864068</v>
      </c>
    </row>
    <row r="23" spans="1:20" x14ac:dyDescent="0.25">
      <c r="A23" s="16" t="s">
        <v>850</v>
      </c>
      <c r="B23" s="115" t="s">
        <v>851</v>
      </c>
      <c r="C23" s="115" t="s">
        <v>379</v>
      </c>
      <c r="D23" s="115" t="s">
        <v>249</v>
      </c>
      <c r="E23" s="115" t="s">
        <v>852</v>
      </c>
      <c r="F23" s="115" t="s">
        <v>226</v>
      </c>
      <c r="G23" s="115" t="s">
        <v>496</v>
      </c>
      <c r="H23" s="115" t="s">
        <v>465</v>
      </c>
      <c r="I23" s="115" t="s">
        <v>853</v>
      </c>
      <c r="J23" s="116">
        <v>0</v>
      </c>
      <c r="K23" s="116" t="s">
        <v>255</v>
      </c>
      <c r="L23" s="115">
        <v>4.7500000000000001E-2</v>
      </c>
      <c r="M23" s="115">
        <v>5.8899999999999994E-2</v>
      </c>
      <c r="N23" s="68">
        <v>333294.51763227046</v>
      </c>
      <c r="O23" s="60">
        <v>100.25</v>
      </c>
      <c r="P23" s="83">
        <v>0</v>
      </c>
      <c r="Q23" s="83">
        <v>334.12774999999999</v>
      </c>
      <c r="R23" s="24">
        <v>1.514975080146684E-3</v>
      </c>
      <c r="S23" s="24">
        <v>5.1602863007354696E-3</v>
      </c>
      <c r="T23" s="24">
        <v>1.7891926987409616E-3</v>
      </c>
    </row>
    <row r="24" spans="1:20" x14ac:dyDescent="0.25">
      <c r="A24" s="16" t="s">
        <v>665</v>
      </c>
      <c r="B24" s="115" t="s">
        <v>666</v>
      </c>
      <c r="C24" s="115" t="s">
        <v>379</v>
      </c>
      <c r="D24" s="115" t="s">
        <v>249</v>
      </c>
      <c r="E24" s="115" t="s">
        <v>667</v>
      </c>
      <c r="F24" s="115" t="s">
        <v>226</v>
      </c>
      <c r="G24" s="115" t="s">
        <v>551</v>
      </c>
      <c r="H24" s="115" t="s">
        <v>465</v>
      </c>
      <c r="I24" s="115" t="s">
        <v>668</v>
      </c>
      <c r="J24" s="116">
        <v>3.18</v>
      </c>
      <c r="K24" s="116" t="s">
        <v>255</v>
      </c>
      <c r="L24" s="115">
        <v>2.5499999999999998E-2</v>
      </c>
      <c r="M24" s="115">
        <v>6.2300000000000001E-2</v>
      </c>
      <c r="N24" s="68">
        <v>670626.44385313184</v>
      </c>
      <c r="O24" s="60">
        <v>89.91</v>
      </c>
      <c r="P24" s="83">
        <v>0</v>
      </c>
      <c r="Q24" s="83">
        <v>602.96024</v>
      </c>
      <c r="R24" s="24">
        <v>1.1517052394049905E-3</v>
      </c>
      <c r="S24" s="24">
        <v>9.3121492194532512E-3</v>
      </c>
      <c r="T24" s="24">
        <v>3.2287412794630133E-3</v>
      </c>
    </row>
    <row r="25" spans="1:20" x14ac:dyDescent="0.25">
      <c r="A25" s="16" t="s">
        <v>889</v>
      </c>
      <c r="B25" s="115" t="s">
        <v>890</v>
      </c>
      <c r="C25" s="115" t="s">
        <v>379</v>
      </c>
      <c r="D25" s="115" t="s">
        <v>249</v>
      </c>
      <c r="E25" s="115" t="s">
        <v>891</v>
      </c>
      <c r="F25" s="115" t="s">
        <v>201</v>
      </c>
      <c r="G25" s="115" t="s">
        <v>551</v>
      </c>
      <c r="H25" s="115" t="s">
        <v>465</v>
      </c>
      <c r="I25" s="115" t="s">
        <v>892</v>
      </c>
      <c r="J25" s="116">
        <v>2.0499999999999998</v>
      </c>
      <c r="K25" s="116" t="s">
        <v>255</v>
      </c>
      <c r="L25" s="115">
        <v>3.27E-2</v>
      </c>
      <c r="M25" s="115">
        <v>5.6600000000000004E-2</v>
      </c>
      <c r="N25" s="68">
        <v>152269.26661999672</v>
      </c>
      <c r="O25" s="60">
        <v>96.6</v>
      </c>
      <c r="P25" s="83">
        <v>0</v>
      </c>
      <c r="Q25" s="83">
        <v>147.09210999999999</v>
      </c>
      <c r="R25" s="24">
        <v>4.824861977927163E-4</v>
      </c>
      <c r="S25" s="24">
        <v>2.2716981758602053E-3</v>
      </c>
      <c r="T25" s="24">
        <v>7.8765121799791356E-4</v>
      </c>
    </row>
    <row r="26" spans="1:20" x14ac:dyDescent="0.25">
      <c r="A26" s="16" t="s">
        <v>610</v>
      </c>
      <c r="B26" s="115" t="s">
        <v>611</v>
      </c>
      <c r="C26" s="115" t="s">
        <v>379</v>
      </c>
      <c r="D26" s="115" t="s">
        <v>249</v>
      </c>
      <c r="E26" s="115" t="s">
        <v>612</v>
      </c>
      <c r="F26" s="115" t="s">
        <v>212</v>
      </c>
      <c r="G26" s="115" t="s">
        <v>459</v>
      </c>
      <c r="H26" s="115" t="s">
        <v>254</v>
      </c>
      <c r="I26" s="115" t="s">
        <v>613</v>
      </c>
      <c r="J26" s="116">
        <v>8.17</v>
      </c>
      <c r="K26" s="116" t="s">
        <v>255</v>
      </c>
      <c r="L26" s="115">
        <v>2.4E-2</v>
      </c>
      <c r="M26" s="115">
        <v>5.3800000000000001E-2</v>
      </c>
      <c r="N26" s="68">
        <v>312346.04821403418</v>
      </c>
      <c r="O26" s="60">
        <v>79.239999999999995</v>
      </c>
      <c r="P26" s="83">
        <v>0</v>
      </c>
      <c r="Q26" s="83">
        <v>247.50301000000002</v>
      </c>
      <c r="R26" s="24">
        <v>4.1588326443005254E-4</v>
      </c>
      <c r="S26" s="24">
        <v>3.822449323331552E-3</v>
      </c>
      <c r="T26" s="24">
        <v>1.3253331350311706E-3</v>
      </c>
    </row>
    <row r="27" spans="1:20" x14ac:dyDescent="0.25">
      <c r="A27" s="16" t="s">
        <v>828</v>
      </c>
      <c r="B27" s="115" t="s">
        <v>829</v>
      </c>
      <c r="C27" s="115" t="s">
        <v>379</v>
      </c>
      <c r="D27" s="115" t="s">
        <v>249</v>
      </c>
      <c r="E27" s="115" t="s">
        <v>830</v>
      </c>
      <c r="F27" s="115" t="s">
        <v>201</v>
      </c>
      <c r="G27" s="115" t="s">
        <v>803</v>
      </c>
      <c r="H27" s="115" t="s">
        <v>465</v>
      </c>
      <c r="I27" s="115" t="s">
        <v>831</v>
      </c>
      <c r="J27" s="116">
        <v>1.32</v>
      </c>
      <c r="K27" s="116" t="s">
        <v>255</v>
      </c>
      <c r="L27" s="115">
        <v>3.1800000000000002E-2</v>
      </c>
      <c r="M27" s="115">
        <v>6.8199999999999997E-2</v>
      </c>
      <c r="N27" s="68">
        <v>143475.7149652917</v>
      </c>
      <c r="O27" s="60">
        <v>96.05</v>
      </c>
      <c r="P27" s="83">
        <v>0</v>
      </c>
      <c r="Q27" s="83">
        <v>137.80842000000001</v>
      </c>
      <c r="R27" s="24">
        <v>1.3043246815026518E-3</v>
      </c>
      <c r="S27" s="24">
        <v>2.1283203859960749E-3</v>
      </c>
      <c r="T27" s="24">
        <v>7.3793876410752448E-4</v>
      </c>
    </row>
    <row r="28" spans="1:20" x14ac:dyDescent="0.25">
      <c r="A28" s="16" t="s">
        <v>832</v>
      </c>
      <c r="B28" s="115" t="s">
        <v>833</v>
      </c>
      <c r="C28" s="115" t="s">
        <v>379</v>
      </c>
      <c r="D28" s="115" t="s">
        <v>249</v>
      </c>
      <c r="E28" s="115" t="s">
        <v>830</v>
      </c>
      <c r="F28" s="115" t="s">
        <v>201</v>
      </c>
      <c r="G28" s="115" t="s">
        <v>803</v>
      </c>
      <c r="H28" s="115" t="s">
        <v>465</v>
      </c>
      <c r="I28" s="115" t="s">
        <v>831</v>
      </c>
      <c r="J28" s="116">
        <v>2.72</v>
      </c>
      <c r="K28" s="116" t="s">
        <v>255</v>
      </c>
      <c r="L28" s="115">
        <v>3.2000000000000001E-2</v>
      </c>
      <c r="M28" s="115">
        <v>7.22E-2</v>
      </c>
      <c r="N28" s="68">
        <v>102677.43605694151</v>
      </c>
      <c r="O28" s="60">
        <v>90.65</v>
      </c>
      <c r="P28" s="83">
        <v>0</v>
      </c>
      <c r="Q28" s="83">
        <v>93.077100000000002</v>
      </c>
      <c r="R28" s="24">
        <v>6.8451624037961013E-4</v>
      </c>
      <c r="S28" s="24">
        <v>1.437487559899426E-3</v>
      </c>
      <c r="T28" s="24">
        <v>4.9841076576244371E-4</v>
      </c>
    </row>
    <row r="29" spans="1:20" x14ac:dyDescent="0.25">
      <c r="A29" s="16" t="s">
        <v>834</v>
      </c>
      <c r="B29" s="115" t="s">
        <v>835</v>
      </c>
      <c r="C29" s="115" t="s">
        <v>379</v>
      </c>
      <c r="D29" s="115" t="s">
        <v>249</v>
      </c>
      <c r="E29" s="115" t="s">
        <v>830</v>
      </c>
      <c r="F29" s="115" t="s">
        <v>201</v>
      </c>
      <c r="G29" s="115" t="s">
        <v>803</v>
      </c>
      <c r="H29" s="115" t="s">
        <v>465</v>
      </c>
      <c r="I29" s="115" t="s">
        <v>831</v>
      </c>
      <c r="J29" s="116">
        <v>0</v>
      </c>
      <c r="K29" s="116" t="s">
        <v>255</v>
      </c>
      <c r="L29" s="115">
        <v>3.2000000000000001E-2</v>
      </c>
      <c r="M29" s="115">
        <v>7.2300000000000003E-2</v>
      </c>
      <c r="N29" s="68">
        <v>107184.48692037789</v>
      </c>
      <c r="O29" s="60">
        <v>90.619410000000002</v>
      </c>
      <c r="P29" s="83">
        <v>0</v>
      </c>
      <c r="Q29" s="83">
        <v>97.129949999999994</v>
      </c>
      <c r="R29" s="24">
        <v>7.1456324613585268E-4</v>
      </c>
      <c r="S29" s="24">
        <v>1.5000799855029135E-3</v>
      </c>
      <c r="T29" s="24">
        <v>5.2011303272198929E-4</v>
      </c>
    </row>
    <row r="30" spans="1:20" x14ac:dyDescent="0.25">
      <c r="A30" s="16" t="s">
        <v>684</v>
      </c>
      <c r="B30" s="115" t="s">
        <v>685</v>
      </c>
      <c r="C30" s="115" t="s">
        <v>379</v>
      </c>
      <c r="D30" s="115" t="s">
        <v>249</v>
      </c>
      <c r="E30" s="115" t="s">
        <v>686</v>
      </c>
      <c r="F30" s="115" t="s">
        <v>204</v>
      </c>
      <c r="G30" s="115" t="s">
        <v>478</v>
      </c>
      <c r="H30" s="115" t="s">
        <v>254</v>
      </c>
      <c r="I30" s="115" t="s">
        <v>687</v>
      </c>
      <c r="J30" s="116">
        <v>1.65</v>
      </c>
      <c r="K30" s="116" t="s">
        <v>255</v>
      </c>
      <c r="L30" s="115">
        <v>2.7999999999999997E-2</v>
      </c>
      <c r="M30" s="115">
        <v>6.2300000000000001E-2</v>
      </c>
      <c r="N30" s="68">
        <v>481471.79618670512</v>
      </c>
      <c r="O30" s="60">
        <v>95.33</v>
      </c>
      <c r="P30" s="83">
        <v>0</v>
      </c>
      <c r="Q30" s="83">
        <v>458.98705999999999</v>
      </c>
      <c r="R30" s="24">
        <v>1.3847792882874927E-3</v>
      </c>
      <c r="S30" s="24">
        <v>7.0886199602782137E-3</v>
      </c>
      <c r="T30" s="24">
        <v>2.4577913584507114E-3</v>
      </c>
    </row>
    <row r="31" spans="1:20" x14ac:dyDescent="0.25">
      <c r="A31" s="16" t="s">
        <v>796</v>
      </c>
      <c r="B31" s="115" t="s">
        <v>797</v>
      </c>
      <c r="C31" s="115" t="s">
        <v>379</v>
      </c>
      <c r="D31" s="115" t="s">
        <v>249</v>
      </c>
      <c r="E31" s="115" t="s">
        <v>686</v>
      </c>
      <c r="F31" s="115" t="s">
        <v>204</v>
      </c>
      <c r="G31" s="115" t="s">
        <v>478</v>
      </c>
      <c r="H31" s="115" t="s">
        <v>254</v>
      </c>
      <c r="I31" s="115" t="s">
        <v>798</v>
      </c>
      <c r="J31" s="116">
        <v>3.43</v>
      </c>
      <c r="K31" s="116" t="s">
        <v>255</v>
      </c>
      <c r="L31" s="115">
        <v>5.6500000000000002E-2</v>
      </c>
      <c r="M31" s="115">
        <v>6.6100000000000006E-2</v>
      </c>
      <c r="N31" s="68">
        <v>455129.54076570529</v>
      </c>
      <c r="O31" s="60">
        <v>97.13</v>
      </c>
      <c r="P31" s="83">
        <v>27.871418620000004</v>
      </c>
      <c r="Q31" s="83">
        <v>460.97487000000001</v>
      </c>
      <c r="R31" s="24">
        <v>1.077835821436399E-3</v>
      </c>
      <c r="S31" s="24">
        <v>7.1193198010171673E-3</v>
      </c>
      <c r="T31" s="24">
        <v>2.4684357157017459E-3</v>
      </c>
    </row>
    <row r="32" spans="1:20" x14ac:dyDescent="0.25">
      <c r="A32" s="16" t="s">
        <v>838</v>
      </c>
      <c r="B32" s="115" t="s">
        <v>839</v>
      </c>
      <c r="C32" s="115" t="s">
        <v>379</v>
      </c>
      <c r="D32" s="115" t="s">
        <v>249</v>
      </c>
      <c r="E32" s="115" t="s">
        <v>840</v>
      </c>
      <c r="F32" s="115" t="s">
        <v>228</v>
      </c>
      <c r="G32" s="115" t="s">
        <v>478</v>
      </c>
      <c r="H32" s="115" t="s">
        <v>254</v>
      </c>
      <c r="I32" s="115" t="s">
        <v>841</v>
      </c>
      <c r="J32" s="116">
        <v>4.54</v>
      </c>
      <c r="K32" s="116" t="s">
        <v>255</v>
      </c>
      <c r="L32" s="115">
        <v>5.5E-2</v>
      </c>
      <c r="M32" s="115">
        <v>6.7599999999999993E-2</v>
      </c>
      <c r="N32" s="68">
        <v>151497.50801466839</v>
      </c>
      <c r="O32" s="60">
        <v>96.34</v>
      </c>
      <c r="P32" s="83">
        <v>0</v>
      </c>
      <c r="Q32" s="83">
        <v>145.95270000000002</v>
      </c>
      <c r="R32" s="24">
        <v>6.2239895819245954E-4</v>
      </c>
      <c r="S32" s="24">
        <v>2.2541010687240248E-3</v>
      </c>
      <c r="T32" s="24">
        <v>7.8154988683678617E-4</v>
      </c>
    </row>
    <row r="33" spans="1:20" x14ac:dyDescent="0.25">
      <c r="A33" s="16" t="s">
        <v>769</v>
      </c>
      <c r="B33" s="115" t="s">
        <v>770</v>
      </c>
      <c r="C33" s="115" t="s">
        <v>379</v>
      </c>
      <c r="D33" s="115" t="s">
        <v>249</v>
      </c>
      <c r="E33" s="115" t="s">
        <v>771</v>
      </c>
      <c r="F33" s="115" t="s">
        <v>235</v>
      </c>
      <c r="G33" s="115" t="s">
        <v>584</v>
      </c>
      <c r="H33" s="115" t="s">
        <v>254</v>
      </c>
      <c r="I33" s="115" t="s">
        <v>772</v>
      </c>
      <c r="J33" s="116">
        <v>3.25</v>
      </c>
      <c r="K33" s="116" t="s">
        <v>255</v>
      </c>
      <c r="L33" s="115">
        <v>2.1000000000000001E-2</v>
      </c>
      <c r="M33" s="115">
        <v>5.6100000000000004E-2</v>
      </c>
      <c r="N33" s="68">
        <v>55435.377292446203</v>
      </c>
      <c r="O33" s="60">
        <v>89.88</v>
      </c>
      <c r="P33" s="83">
        <v>0</v>
      </c>
      <c r="Q33" s="83">
        <v>49.825319999999998</v>
      </c>
      <c r="R33" s="24">
        <v>1.2948409294585974E-4</v>
      </c>
      <c r="S33" s="24">
        <v>7.6950482630000353E-4</v>
      </c>
      <c r="T33" s="24">
        <v>2.6680543222295069E-4</v>
      </c>
    </row>
    <row r="34" spans="1:20" x14ac:dyDescent="0.25">
      <c r="A34" s="16" t="s">
        <v>773</v>
      </c>
      <c r="B34" s="115" t="s">
        <v>774</v>
      </c>
      <c r="C34" s="115" t="s">
        <v>379</v>
      </c>
      <c r="D34" s="115" t="s">
        <v>249</v>
      </c>
      <c r="E34" s="115" t="s">
        <v>771</v>
      </c>
      <c r="F34" s="115" t="s">
        <v>235</v>
      </c>
      <c r="G34" s="115" t="s">
        <v>584</v>
      </c>
      <c r="H34" s="115" t="s">
        <v>254</v>
      </c>
      <c r="I34" s="115" t="s">
        <v>775</v>
      </c>
      <c r="J34" s="116">
        <v>0</v>
      </c>
      <c r="K34" s="116" t="s">
        <v>255</v>
      </c>
      <c r="L34" s="115">
        <v>2.1000000000000001E-2</v>
      </c>
      <c r="M34" s="115">
        <v>5.5599999999999997E-2</v>
      </c>
      <c r="N34" s="68">
        <v>502383.04516693112</v>
      </c>
      <c r="O34" s="60">
        <v>89.042298000000002</v>
      </c>
      <c r="P34" s="83">
        <v>0</v>
      </c>
      <c r="Q34" s="83">
        <v>447.33340999999996</v>
      </c>
      <c r="R34" s="24">
        <v>1.1734494485650946E-3</v>
      </c>
      <c r="S34" s="24">
        <v>6.9086403852546907E-3</v>
      </c>
      <c r="T34" s="24">
        <v>2.3953882042868245E-3</v>
      </c>
    </row>
    <row r="35" spans="1:20" x14ac:dyDescent="0.25">
      <c r="A35" s="16" t="s">
        <v>879</v>
      </c>
      <c r="B35" s="115" t="s">
        <v>880</v>
      </c>
      <c r="C35" s="115" t="s">
        <v>379</v>
      </c>
      <c r="D35" s="115" t="s">
        <v>249</v>
      </c>
      <c r="E35" s="115" t="s">
        <v>881</v>
      </c>
      <c r="F35" s="115" t="s">
        <v>224</v>
      </c>
      <c r="G35" s="115" t="s">
        <v>496</v>
      </c>
      <c r="H35" s="115" t="s">
        <v>465</v>
      </c>
      <c r="I35" s="115" t="s">
        <v>882</v>
      </c>
      <c r="J35" s="116">
        <v>3.06</v>
      </c>
      <c r="K35" s="116" t="s">
        <v>255</v>
      </c>
      <c r="L35" s="115">
        <v>2.8500000000000001E-2</v>
      </c>
      <c r="M35" s="115">
        <v>6.54E-2</v>
      </c>
      <c r="N35" s="68">
        <v>415760.8908163617</v>
      </c>
      <c r="O35" s="60">
        <v>90.45</v>
      </c>
      <c r="P35" s="83">
        <v>0</v>
      </c>
      <c r="Q35" s="83">
        <v>376.05572999999998</v>
      </c>
      <c r="R35" s="24">
        <v>7.5395995886089065E-4</v>
      </c>
      <c r="S35" s="24">
        <v>5.8078241984752133E-3</v>
      </c>
      <c r="T35" s="24">
        <v>2.0137093265545957E-3</v>
      </c>
    </row>
    <row r="36" spans="1:20" x14ac:dyDescent="0.25">
      <c r="A36" s="16" t="s">
        <v>636</v>
      </c>
      <c r="B36" s="115" t="s">
        <v>637</v>
      </c>
      <c r="C36" s="115" t="s">
        <v>379</v>
      </c>
      <c r="D36" s="115" t="s">
        <v>249</v>
      </c>
      <c r="E36" s="115" t="s">
        <v>638</v>
      </c>
      <c r="F36" s="115" t="s">
        <v>225</v>
      </c>
      <c r="G36" s="115" t="s">
        <v>623</v>
      </c>
      <c r="H36" s="115" t="s">
        <v>465</v>
      </c>
      <c r="I36" s="115" t="s">
        <v>639</v>
      </c>
      <c r="J36" s="116">
        <v>3.53</v>
      </c>
      <c r="K36" s="116" t="s">
        <v>255</v>
      </c>
      <c r="L36" s="115">
        <v>1.7000000000000001E-2</v>
      </c>
      <c r="M36" s="115">
        <v>5.9299999999999999E-2</v>
      </c>
      <c r="N36" s="68">
        <v>297525.59292622929</v>
      </c>
      <c r="O36" s="60">
        <v>87.52</v>
      </c>
      <c r="P36" s="83">
        <v>0</v>
      </c>
      <c r="Q36" s="83">
        <v>260.39440000000002</v>
      </c>
      <c r="R36" s="24">
        <v>1.289888116388751E-3</v>
      </c>
      <c r="S36" s="24">
        <v>4.0215446191112E-3</v>
      </c>
      <c r="T36" s="24">
        <v>1.3943641594361244E-3</v>
      </c>
    </row>
    <row r="37" spans="1:20" x14ac:dyDescent="0.25">
      <c r="A37" s="16" t="s">
        <v>725</v>
      </c>
      <c r="B37" s="115" t="s">
        <v>726</v>
      </c>
      <c r="C37" s="115" t="s">
        <v>379</v>
      </c>
      <c r="D37" s="115" t="s">
        <v>249</v>
      </c>
      <c r="E37" s="115" t="s">
        <v>638</v>
      </c>
      <c r="F37" s="115" t="s">
        <v>225</v>
      </c>
      <c r="G37" s="115" t="s">
        <v>623</v>
      </c>
      <c r="H37" s="115" t="s">
        <v>465</v>
      </c>
      <c r="I37" s="115" t="s">
        <v>727</v>
      </c>
      <c r="J37" s="116">
        <v>4.5999999999999996</v>
      </c>
      <c r="K37" s="116" t="s">
        <v>255</v>
      </c>
      <c r="L37" s="115">
        <v>1.9900000000000001E-2</v>
      </c>
      <c r="M37" s="115">
        <v>5.9900000000000002E-2</v>
      </c>
      <c r="N37" s="68">
        <v>162670.44923075021</v>
      </c>
      <c r="O37" s="60">
        <v>83.72</v>
      </c>
      <c r="P37" s="83">
        <v>0</v>
      </c>
      <c r="Q37" s="83">
        <v>136.18770000000001</v>
      </c>
      <c r="R37" s="24">
        <v>7.394111328670464E-4</v>
      </c>
      <c r="S37" s="24">
        <v>2.1032899022564631E-3</v>
      </c>
      <c r="T37" s="24">
        <v>7.2926010634652308E-4</v>
      </c>
    </row>
    <row r="38" spans="1:20" x14ac:dyDescent="0.25">
      <c r="A38" s="16" t="s">
        <v>515</v>
      </c>
      <c r="B38" s="115" t="s">
        <v>516</v>
      </c>
      <c r="C38" s="115" t="s">
        <v>379</v>
      </c>
      <c r="D38" s="115" t="s">
        <v>249</v>
      </c>
      <c r="E38" s="115" t="s">
        <v>517</v>
      </c>
      <c r="F38" s="115" t="s">
        <v>223</v>
      </c>
      <c r="G38" s="115" t="s">
        <v>459</v>
      </c>
      <c r="H38" s="115" t="s">
        <v>254</v>
      </c>
      <c r="I38" s="115" t="s">
        <v>518</v>
      </c>
      <c r="J38" s="116">
        <v>1.21</v>
      </c>
      <c r="K38" s="116" t="s">
        <v>255</v>
      </c>
      <c r="L38" s="115">
        <v>3.39E-2</v>
      </c>
      <c r="M38" s="115">
        <v>5.6500000000000002E-2</v>
      </c>
      <c r="N38" s="68">
        <v>158751.12658676138</v>
      </c>
      <c r="O38" s="60">
        <v>99.8</v>
      </c>
      <c r="P38" s="83">
        <v>0</v>
      </c>
      <c r="Q38" s="83">
        <v>158.43361999999999</v>
      </c>
      <c r="R38" s="24">
        <v>2.4380949671528568E-4</v>
      </c>
      <c r="S38" s="24">
        <v>2.4468570445344007E-3</v>
      </c>
      <c r="T38" s="24">
        <v>8.483829198236302E-4</v>
      </c>
    </row>
    <row r="39" spans="1:20" x14ac:dyDescent="0.25">
      <c r="A39" s="16" t="s">
        <v>617</v>
      </c>
      <c r="B39" s="115" t="s">
        <v>618</v>
      </c>
      <c r="C39" s="115" t="s">
        <v>379</v>
      </c>
      <c r="D39" s="115" t="s">
        <v>249</v>
      </c>
      <c r="E39" s="115" t="s">
        <v>517</v>
      </c>
      <c r="F39" s="115" t="s">
        <v>223</v>
      </c>
      <c r="G39" s="115" t="s">
        <v>459</v>
      </c>
      <c r="H39" s="115" t="s">
        <v>254</v>
      </c>
      <c r="I39" s="115" t="s">
        <v>619</v>
      </c>
      <c r="J39" s="116">
        <v>6.1</v>
      </c>
      <c r="K39" s="116" t="s">
        <v>255</v>
      </c>
      <c r="L39" s="115">
        <v>2.4399999999999998E-2</v>
      </c>
      <c r="M39" s="115">
        <v>5.5599999999999997E-2</v>
      </c>
      <c r="N39" s="68">
        <v>867981.88394982112</v>
      </c>
      <c r="O39" s="60">
        <v>84.62</v>
      </c>
      <c r="P39" s="83">
        <v>0</v>
      </c>
      <c r="Q39" s="83">
        <v>734.48626999999999</v>
      </c>
      <c r="R39" s="24">
        <v>7.9012458736049283E-4</v>
      </c>
      <c r="S39" s="24">
        <v>1.1343444048449412E-2</v>
      </c>
      <c r="T39" s="24">
        <v>3.9330389996325736E-3</v>
      </c>
    </row>
    <row r="40" spans="1:20" x14ac:dyDescent="0.25">
      <c r="A40" s="16" t="s">
        <v>711</v>
      </c>
      <c r="B40" s="115" t="s">
        <v>712</v>
      </c>
      <c r="C40" s="115" t="s">
        <v>379</v>
      </c>
      <c r="D40" s="115" t="s">
        <v>249</v>
      </c>
      <c r="E40" s="115" t="s">
        <v>713</v>
      </c>
      <c r="F40" s="115" t="s">
        <v>231</v>
      </c>
      <c r="G40" s="115" t="s">
        <v>551</v>
      </c>
      <c r="H40" s="115" t="s">
        <v>465</v>
      </c>
      <c r="I40" s="115" t="s">
        <v>714</v>
      </c>
      <c r="J40" s="116">
        <v>4.6900000000000004</v>
      </c>
      <c r="K40" s="116" t="s">
        <v>255</v>
      </c>
      <c r="L40" s="115">
        <v>1.4999999999999999E-2</v>
      </c>
      <c r="M40" s="115">
        <v>6.0400000000000002E-2</v>
      </c>
      <c r="N40" s="68">
        <v>226132.86138635039</v>
      </c>
      <c r="O40" s="60">
        <v>81.430000000000007</v>
      </c>
      <c r="P40" s="83">
        <v>0</v>
      </c>
      <c r="Q40" s="83">
        <v>184.13998999999998</v>
      </c>
      <c r="R40" s="24">
        <v>5.8588196332966388E-4</v>
      </c>
      <c r="S40" s="24">
        <v>2.8438675560906457E-3</v>
      </c>
      <c r="T40" s="24">
        <v>9.8603580712536948E-4</v>
      </c>
    </row>
    <row r="41" spans="1:20" x14ac:dyDescent="0.25">
      <c r="A41" s="16" t="s">
        <v>606</v>
      </c>
      <c r="B41" s="115" t="s">
        <v>607</v>
      </c>
      <c r="C41" s="115" t="s">
        <v>379</v>
      </c>
      <c r="D41" s="115" t="s">
        <v>249</v>
      </c>
      <c r="E41" s="115" t="s">
        <v>608</v>
      </c>
      <c r="F41" s="115" t="s">
        <v>224</v>
      </c>
      <c r="G41" s="115" t="s">
        <v>551</v>
      </c>
      <c r="H41" s="115" t="s">
        <v>465</v>
      </c>
      <c r="I41" s="115" t="s">
        <v>609</v>
      </c>
      <c r="J41" s="116">
        <v>3.23</v>
      </c>
      <c r="K41" s="116" t="s">
        <v>255</v>
      </c>
      <c r="L41" s="115">
        <v>3.2500000000000001E-2</v>
      </c>
      <c r="M41" s="115">
        <v>6.6500000000000004E-2</v>
      </c>
      <c r="N41" s="68">
        <v>82643.41317195716</v>
      </c>
      <c r="O41" s="60">
        <v>89.97</v>
      </c>
      <c r="P41" s="83">
        <v>1.342955492</v>
      </c>
      <c r="Q41" s="83">
        <v>75.69722999999999</v>
      </c>
      <c r="R41" s="24">
        <v>2.4076249915357052E-4</v>
      </c>
      <c r="S41" s="24">
        <v>1.1690719462020798E-3</v>
      </c>
      <c r="T41" s="24">
        <v>4.0534475580347718E-4</v>
      </c>
    </row>
    <row r="42" spans="1:20" x14ac:dyDescent="0.25">
      <c r="A42" s="16" t="s">
        <v>690</v>
      </c>
      <c r="B42" s="115" t="s">
        <v>691</v>
      </c>
      <c r="C42" s="115" t="s">
        <v>379</v>
      </c>
      <c r="D42" s="115" t="s">
        <v>249</v>
      </c>
      <c r="E42" s="115" t="s">
        <v>608</v>
      </c>
      <c r="F42" s="115" t="s">
        <v>224</v>
      </c>
      <c r="G42" s="115" t="s">
        <v>551</v>
      </c>
      <c r="H42" s="115" t="s">
        <v>465</v>
      </c>
      <c r="I42" s="115" t="s">
        <v>692</v>
      </c>
      <c r="J42" s="116">
        <v>3.42</v>
      </c>
      <c r="K42" s="116" t="s">
        <v>255</v>
      </c>
      <c r="L42" s="115">
        <v>2.3E-2</v>
      </c>
      <c r="M42" s="115">
        <v>5.7699999999999994E-2</v>
      </c>
      <c r="N42" s="68">
        <v>232925.98775433822</v>
      </c>
      <c r="O42" s="60">
        <v>89.28</v>
      </c>
      <c r="P42" s="83">
        <v>0</v>
      </c>
      <c r="Q42" s="83">
        <v>207.95632000000001</v>
      </c>
      <c r="R42" s="24">
        <v>4.1227175687483708E-4</v>
      </c>
      <c r="S42" s="24">
        <v>3.2116881918588373E-3</v>
      </c>
      <c r="T42" s="24">
        <v>1.1135678775589248E-3</v>
      </c>
    </row>
    <row r="43" spans="1:20" x14ac:dyDescent="0.25">
      <c r="A43" s="16" t="s">
        <v>644</v>
      </c>
      <c r="B43" s="115" t="s">
        <v>645</v>
      </c>
      <c r="C43" s="115" t="s">
        <v>379</v>
      </c>
      <c r="D43" s="115" t="s">
        <v>249</v>
      </c>
      <c r="E43" s="115" t="s">
        <v>646</v>
      </c>
      <c r="F43" s="115" t="s">
        <v>226</v>
      </c>
      <c r="G43" s="115" t="s">
        <v>551</v>
      </c>
      <c r="H43" s="115" t="s">
        <v>465</v>
      </c>
      <c r="I43" s="115" t="s">
        <v>647</v>
      </c>
      <c r="J43" s="116">
        <v>2.61</v>
      </c>
      <c r="K43" s="116" t="s">
        <v>255</v>
      </c>
      <c r="L43" s="115">
        <v>2.4E-2</v>
      </c>
      <c r="M43" s="115">
        <v>6.0700000000000004E-2</v>
      </c>
      <c r="N43" s="68">
        <v>220297.36796149044</v>
      </c>
      <c r="O43" s="60">
        <v>91.2</v>
      </c>
      <c r="P43" s="83">
        <v>2.6435684159999999</v>
      </c>
      <c r="Q43" s="83">
        <v>203.55476999999999</v>
      </c>
      <c r="R43" s="24">
        <v>8.4532211632159019E-4</v>
      </c>
      <c r="S43" s="24">
        <v>3.143710425369815E-3</v>
      </c>
      <c r="T43" s="24">
        <v>1.089998386179824E-3</v>
      </c>
    </row>
    <row r="44" spans="1:20" x14ac:dyDescent="0.25">
      <c r="A44" s="16" t="s">
        <v>842</v>
      </c>
      <c r="B44" s="115" t="s">
        <v>843</v>
      </c>
      <c r="C44" s="115" t="s">
        <v>379</v>
      </c>
      <c r="D44" s="115" t="s">
        <v>249</v>
      </c>
      <c r="E44" s="115" t="s">
        <v>844</v>
      </c>
      <c r="F44" s="115" t="s">
        <v>228</v>
      </c>
      <c r="G44" s="115" t="s">
        <v>459</v>
      </c>
      <c r="H44" s="115" t="s">
        <v>254</v>
      </c>
      <c r="I44" s="115" t="s">
        <v>845</v>
      </c>
      <c r="J44" s="116">
        <v>6.96</v>
      </c>
      <c r="K44" s="116" t="s">
        <v>255</v>
      </c>
      <c r="L44" s="115">
        <v>5.3099999999999994E-2</v>
      </c>
      <c r="M44" s="115">
        <v>5.6900000000000006E-2</v>
      </c>
      <c r="N44" s="68">
        <v>226655.4217407454</v>
      </c>
      <c r="O44" s="60">
        <v>99.18</v>
      </c>
      <c r="P44" s="83">
        <v>0</v>
      </c>
      <c r="Q44" s="83">
        <v>224.79685000000001</v>
      </c>
      <c r="R44" s="24">
        <v>1.4007071145489935E-3</v>
      </c>
      <c r="S44" s="24">
        <v>3.4717742106229917E-3</v>
      </c>
      <c r="T44" s="24">
        <v>1.2037458209321649E-3</v>
      </c>
    </row>
    <row r="45" spans="1:20" x14ac:dyDescent="0.25">
      <c r="A45" s="16" t="s">
        <v>660</v>
      </c>
      <c r="B45" s="115" t="s">
        <v>661</v>
      </c>
      <c r="C45" s="115" t="s">
        <v>379</v>
      </c>
      <c r="D45" s="115" t="s">
        <v>249</v>
      </c>
      <c r="E45" s="115" t="s">
        <v>662</v>
      </c>
      <c r="F45" s="115" t="s">
        <v>226</v>
      </c>
      <c r="G45" s="115" t="s">
        <v>663</v>
      </c>
      <c r="H45" s="115" t="s">
        <v>663</v>
      </c>
      <c r="I45" s="115" t="s">
        <v>664</v>
      </c>
      <c r="J45" s="116">
        <v>0.98</v>
      </c>
      <c r="K45" s="116" t="s">
        <v>255</v>
      </c>
      <c r="L45" s="115">
        <v>4.2000000000000003E-2</v>
      </c>
      <c r="M45" s="115">
        <v>6.4100000000000004E-2</v>
      </c>
      <c r="N45" s="68">
        <v>79839.18672373025</v>
      </c>
      <c r="O45" s="60">
        <v>99</v>
      </c>
      <c r="P45" s="83">
        <v>0</v>
      </c>
      <c r="Q45" s="83">
        <v>79.040789999999987</v>
      </c>
      <c r="R45" s="24">
        <v>9.2836263632244478E-4</v>
      </c>
      <c r="S45" s="24">
        <v>1.2207100602578177E-3</v>
      </c>
      <c r="T45" s="24">
        <v>4.2324890515893271E-4</v>
      </c>
    </row>
    <row r="46" spans="1:20" x14ac:dyDescent="0.25">
      <c r="A46" s="16" t="s">
        <v>701</v>
      </c>
      <c r="B46" s="115" t="s">
        <v>702</v>
      </c>
      <c r="C46" s="115" t="s">
        <v>379</v>
      </c>
      <c r="D46" s="115" t="s">
        <v>249</v>
      </c>
      <c r="E46" s="115" t="s">
        <v>662</v>
      </c>
      <c r="F46" s="115" t="s">
        <v>226</v>
      </c>
      <c r="G46" s="115" t="s">
        <v>663</v>
      </c>
      <c r="H46" s="115" t="s">
        <v>663</v>
      </c>
      <c r="I46" s="115" t="s">
        <v>703</v>
      </c>
      <c r="J46" s="116">
        <v>1.04</v>
      </c>
      <c r="K46" s="116" t="s">
        <v>255</v>
      </c>
      <c r="L46" s="115">
        <v>3.0499999999999999E-2</v>
      </c>
      <c r="M46" s="115">
        <v>8.0399999999999985E-2</v>
      </c>
      <c r="N46" s="68">
        <v>116160.714270247</v>
      </c>
      <c r="O46" s="60">
        <v>95.88</v>
      </c>
      <c r="P46" s="83">
        <v>0</v>
      </c>
      <c r="Q46" s="83">
        <v>111.37488999999999</v>
      </c>
      <c r="R46" s="24">
        <v>1.1062925168594953E-3</v>
      </c>
      <c r="S46" s="24">
        <v>1.720079577685241E-3</v>
      </c>
      <c r="T46" s="24">
        <v>5.9639206863565722E-4</v>
      </c>
    </row>
    <row r="47" spans="1:20" x14ac:dyDescent="0.25">
      <c r="A47" s="16" t="s">
        <v>525</v>
      </c>
      <c r="B47" s="115" t="s">
        <v>526</v>
      </c>
      <c r="C47" s="115" t="s">
        <v>379</v>
      </c>
      <c r="D47" s="115" t="s">
        <v>249</v>
      </c>
      <c r="E47" s="115" t="s">
        <v>527</v>
      </c>
      <c r="F47" s="115" t="s">
        <v>206</v>
      </c>
      <c r="G47" s="115" t="s">
        <v>491</v>
      </c>
      <c r="H47" s="115" t="s">
        <v>465</v>
      </c>
      <c r="I47" s="115" t="s">
        <v>528</v>
      </c>
      <c r="J47" s="116">
        <v>1.1299999999999999</v>
      </c>
      <c r="K47" s="116" t="s">
        <v>255</v>
      </c>
      <c r="L47" s="115">
        <v>3.6499999999999998E-2</v>
      </c>
      <c r="M47" s="115">
        <v>5.3200000000000004E-2</v>
      </c>
      <c r="N47" s="68">
        <v>1259389.038518494</v>
      </c>
      <c r="O47" s="60">
        <v>99.41</v>
      </c>
      <c r="P47" s="83">
        <v>0</v>
      </c>
      <c r="Q47" s="83">
        <v>1251.9586399999998</v>
      </c>
      <c r="R47" s="24">
        <v>7.8836408312011469E-4</v>
      </c>
      <c r="S47" s="24">
        <v>1.9335314169743188E-2</v>
      </c>
      <c r="T47" s="24">
        <v>6.7040084453136974E-3</v>
      </c>
    </row>
    <row r="48" spans="1:20" x14ac:dyDescent="0.25">
      <c r="A48" s="16" t="s">
        <v>625</v>
      </c>
      <c r="B48" s="115" t="s">
        <v>626</v>
      </c>
      <c r="C48" s="115" t="s">
        <v>379</v>
      </c>
      <c r="D48" s="115" t="s">
        <v>249</v>
      </c>
      <c r="E48" s="115" t="s">
        <v>527</v>
      </c>
      <c r="F48" s="115" t="s">
        <v>206</v>
      </c>
      <c r="G48" s="115" t="s">
        <v>491</v>
      </c>
      <c r="H48" s="115" t="s">
        <v>465</v>
      </c>
      <c r="I48" s="115" t="s">
        <v>627</v>
      </c>
      <c r="J48" s="116">
        <v>4.26</v>
      </c>
      <c r="K48" s="116" t="s">
        <v>255</v>
      </c>
      <c r="L48" s="115">
        <v>3.6000000000000004E-2</v>
      </c>
      <c r="M48" s="115">
        <v>5.1200000000000002E-2</v>
      </c>
      <c r="N48" s="68">
        <v>405728.86218338757</v>
      </c>
      <c r="O48" s="60">
        <v>93.46</v>
      </c>
      <c r="P48" s="83">
        <v>0</v>
      </c>
      <c r="Q48" s="83">
        <v>379.19418999999999</v>
      </c>
      <c r="R48" s="24">
        <v>4.8603903630884294E-4</v>
      </c>
      <c r="S48" s="24">
        <v>5.856294737493317E-3</v>
      </c>
      <c r="T48" s="24">
        <v>2.0305152031011879E-3</v>
      </c>
    </row>
    <row r="49" spans="1:20" x14ac:dyDescent="0.25">
      <c r="A49" s="16" t="s">
        <v>739</v>
      </c>
      <c r="B49" s="115" t="s">
        <v>740</v>
      </c>
      <c r="C49" s="115" t="s">
        <v>379</v>
      </c>
      <c r="D49" s="115" t="s">
        <v>249</v>
      </c>
      <c r="E49" s="115" t="s">
        <v>527</v>
      </c>
      <c r="F49" s="115" t="s">
        <v>206</v>
      </c>
      <c r="G49" s="115" t="s">
        <v>491</v>
      </c>
      <c r="H49" s="115" t="s">
        <v>465</v>
      </c>
      <c r="I49" s="115" t="s">
        <v>738</v>
      </c>
      <c r="J49" s="116">
        <v>8.59</v>
      </c>
      <c r="K49" s="116" t="s">
        <v>255</v>
      </c>
      <c r="L49" s="115">
        <v>2.7900000000000001E-2</v>
      </c>
      <c r="M49" s="115">
        <v>5.4900000000000004E-2</v>
      </c>
      <c r="N49" s="68">
        <v>705751.89857387287</v>
      </c>
      <c r="O49" s="60">
        <v>80.599999999999994</v>
      </c>
      <c r="P49" s="83">
        <v>0</v>
      </c>
      <c r="Q49" s="83">
        <v>568.83603000000005</v>
      </c>
      <c r="R49" s="24">
        <v>1.6411308217232649E-3</v>
      </c>
      <c r="S49" s="24">
        <v>8.7851331503407022E-3</v>
      </c>
      <c r="T49" s="24">
        <v>3.0460124059040134E-3</v>
      </c>
    </row>
    <row r="50" spans="1:20" x14ac:dyDescent="0.25">
      <c r="A50" s="16" t="s">
        <v>846</v>
      </c>
      <c r="B50" s="115" t="s">
        <v>847</v>
      </c>
      <c r="C50" s="115" t="s">
        <v>379</v>
      </c>
      <c r="D50" s="115" t="s">
        <v>249</v>
      </c>
      <c r="E50" s="115" t="s">
        <v>848</v>
      </c>
      <c r="F50" s="115" t="s">
        <v>206</v>
      </c>
      <c r="G50" s="115" t="s">
        <v>496</v>
      </c>
      <c r="H50" s="115" t="s">
        <v>465</v>
      </c>
      <c r="I50" s="115" t="s">
        <v>849</v>
      </c>
      <c r="J50" s="116">
        <v>2.98</v>
      </c>
      <c r="K50" s="116" t="s">
        <v>255</v>
      </c>
      <c r="L50" s="115">
        <v>3.6499999999999998E-2</v>
      </c>
      <c r="M50" s="115">
        <v>5.91E-2</v>
      </c>
      <c r="N50" s="68">
        <v>368035.52250508411</v>
      </c>
      <c r="O50" s="60">
        <v>94.97</v>
      </c>
      <c r="P50" s="83">
        <v>0</v>
      </c>
      <c r="Q50" s="83">
        <v>349.52334000000002</v>
      </c>
      <c r="R50" s="24">
        <v>1.8312351036876455E-4</v>
      </c>
      <c r="S50" s="24">
        <v>5.3980565911969473E-3</v>
      </c>
      <c r="T50" s="24">
        <v>1.8716332539501874E-3</v>
      </c>
    </row>
    <row r="51" spans="1:20" x14ac:dyDescent="0.25">
      <c r="A51" s="16" t="s">
        <v>718</v>
      </c>
      <c r="B51" s="115" t="s">
        <v>719</v>
      </c>
      <c r="C51" s="115" t="s">
        <v>379</v>
      </c>
      <c r="D51" s="115" t="s">
        <v>249</v>
      </c>
      <c r="E51" s="115" t="s">
        <v>487</v>
      </c>
      <c r="F51" s="115" t="s">
        <v>223</v>
      </c>
      <c r="G51" s="115" t="s">
        <v>584</v>
      </c>
      <c r="H51" s="115" t="s">
        <v>254</v>
      </c>
      <c r="I51" s="115" t="s">
        <v>720</v>
      </c>
      <c r="J51" s="116">
        <v>4.92</v>
      </c>
      <c r="K51" s="116" t="s">
        <v>255</v>
      </c>
      <c r="L51" s="115">
        <v>2.0899999999999998E-2</v>
      </c>
      <c r="M51" s="115">
        <v>5.6500000000000002E-2</v>
      </c>
      <c r="N51" s="68">
        <v>5828.4121283403229</v>
      </c>
      <c r="O51" s="60">
        <v>85.06</v>
      </c>
      <c r="P51" s="83">
        <v>0</v>
      </c>
      <c r="Q51" s="83">
        <v>4.9576499999999992</v>
      </c>
      <c r="R51" s="24">
        <v>2.961591528628213E-5</v>
      </c>
      <c r="S51" s="24">
        <v>7.6566203731480537E-5</v>
      </c>
      <c r="T51" s="24">
        <v>2.6547304684849214E-5</v>
      </c>
    </row>
    <row r="52" spans="1:20" x14ac:dyDescent="0.25">
      <c r="A52" s="16" t="s">
        <v>886</v>
      </c>
      <c r="B52" s="115" t="s">
        <v>887</v>
      </c>
      <c r="C52" s="115" t="s">
        <v>379</v>
      </c>
      <c r="D52" s="115" t="s">
        <v>249</v>
      </c>
      <c r="E52" s="115" t="s">
        <v>888</v>
      </c>
      <c r="F52" s="115" t="s">
        <v>225</v>
      </c>
      <c r="G52" s="115" t="s">
        <v>496</v>
      </c>
      <c r="H52" s="115" t="s">
        <v>465</v>
      </c>
      <c r="I52" s="115" t="s">
        <v>393</v>
      </c>
      <c r="J52" s="116">
        <v>3.38</v>
      </c>
      <c r="K52" s="116" t="s">
        <v>255</v>
      </c>
      <c r="L52" s="115">
        <v>7.2499999999999995E-2</v>
      </c>
      <c r="M52" s="115">
        <v>6.5500000000000003E-2</v>
      </c>
      <c r="N52" s="68">
        <v>601480.33756372239</v>
      </c>
      <c r="O52" s="60">
        <v>107.80000000000001</v>
      </c>
      <c r="P52" s="83">
        <v>0</v>
      </c>
      <c r="Q52" s="83">
        <v>648.39580000000001</v>
      </c>
      <c r="R52" s="24">
        <v>1.0370350647650386E-3</v>
      </c>
      <c r="S52" s="24">
        <v>1.0013858364635728E-2</v>
      </c>
      <c r="T52" s="24">
        <v>3.4720403535902205E-3</v>
      </c>
    </row>
    <row r="53" spans="1:20" x14ac:dyDescent="0.25">
      <c r="A53" s="16" t="s">
        <v>728</v>
      </c>
      <c r="B53" s="115" t="s">
        <v>729</v>
      </c>
      <c r="C53" s="115" t="s">
        <v>379</v>
      </c>
      <c r="D53" s="115" t="s">
        <v>249</v>
      </c>
      <c r="E53" s="115" t="s">
        <v>730</v>
      </c>
      <c r="F53" s="115" t="s">
        <v>200</v>
      </c>
      <c r="G53" s="115" t="s">
        <v>564</v>
      </c>
      <c r="H53" s="115" t="s">
        <v>465</v>
      </c>
      <c r="I53" s="115" t="s">
        <v>731</v>
      </c>
      <c r="J53" s="116">
        <v>3.73</v>
      </c>
      <c r="K53" s="116" t="s">
        <v>255</v>
      </c>
      <c r="L53" s="115">
        <v>2.5000000000000001E-2</v>
      </c>
      <c r="M53" s="115">
        <v>4.9800000000000004E-2</v>
      </c>
      <c r="N53" s="68">
        <v>2744894.7671248405</v>
      </c>
      <c r="O53" s="60">
        <v>93.11</v>
      </c>
      <c r="P53" s="83">
        <v>0</v>
      </c>
      <c r="Q53" s="83">
        <v>2555.7715200000002</v>
      </c>
      <c r="R53" s="24">
        <v>9.2513885943998017E-4</v>
      </c>
      <c r="S53" s="24">
        <v>3.9471467911497526E-2</v>
      </c>
      <c r="T53" s="24">
        <v>1.3685686816596616E-2</v>
      </c>
    </row>
    <row r="54" spans="1:20" x14ac:dyDescent="0.25">
      <c r="A54" s="16" t="s">
        <v>593</v>
      </c>
      <c r="B54" s="115" t="s">
        <v>594</v>
      </c>
      <c r="C54" s="115" t="s">
        <v>379</v>
      </c>
      <c r="D54" s="115" t="s">
        <v>249</v>
      </c>
      <c r="E54" s="115" t="s">
        <v>595</v>
      </c>
      <c r="F54" s="115" t="s">
        <v>200</v>
      </c>
      <c r="G54" s="115" t="s">
        <v>253</v>
      </c>
      <c r="H54" s="115" t="s">
        <v>254</v>
      </c>
      <c r="I54" s="115" t="s">
        <v>596</v>
      </c>
      <c r="J54" s="116">
        <v>1.4</v>
      </c>
      <c r="K54" s="116" t="s">
        <v>255</v>
      </c>
      <c r="L54" s="115">
        <v>2.0199999999999999E-2</v>
      </c>
      <c r="M54" s="115">
        <v>4.9000000000000002E-2</v>
      </c>
      <c r="N54" s="68">
        <v>261450.16876380341</v>
      </c>
      <c r="O54" s="60">
        <v>97.31</v>
      </c>
      <c r="P54" s="83">
        <v>0</v>
      </c>
      <c r="Q54" s="83">
        <v>254.41716</v>
      </c>
      <c r="R54" s="24">
        <v>3.0946763051613226E-4</v>
      </c>
      <c r="S54" s="24">
        <v>3.9292318145380742E-3</v>
      </c>
      <c r="T54" s="24">
        <v>1.3623571376708788E-3</v>
      </c>
    </row>
    <row r="55" spans="1:20" x14ac:dyDescent="0.25">
      <c r="A55" s="16" t="s">
        <v>752</v>
      </c>
      <c r="B55" s="115" t="s">
        <v>753</v>
      </c>
      <c r="C55" s="115" t="s">
        <v>379</v>
      </c>
      <c r="D55" s="115" t="s">
        <v>249</v>
      </c>
      <c r="E55" s="115" t="s">
        <v>595</v>
      </c>
      <c r="F55" s="115" t="s">
        <v>200</v>
      </c>
      <c r="G55" s="115" t="s">
        <v>564</v>
      </c>
      <c r="H55" s="115" t="s">
        <v>465</v>
      </c>
      <c r="I55" s="115" t="s">
        <v>754</v>
      </c>
      <c r="J55" s="116">
        <v>4.01</v>
      </c>
      <c r="K55" s="116" t="s">
        <v>255</v>
      </c>
      <c r="L55" s="115">
        <v>2.76E-2</v>
      </c>
      <c r="M55" s="115">
        <v>4.8399999999999999E-2</v>
      </c>
      <c r="N55" s="68">
        <v>1234415.4058279935</v>
      </c>
      <c r="O55" s="60">
        <v>93.32</v>
      </c>
      <c r="P55" s="83">
        <v>0</v>
      </c>
      <c r="Q55" s="83">
        <v>1151.9564599999999</v>
      </c>
      <c r="R55" s="24">
        <v>9.2375481427700741E-4</v>
      </c>
      <c r="S55" s="24">
        <v>1.7790875315150348E-2</v>
      </c>
      <c r="T55" s="24">
        <v>6.1685151487701467E-3</v>
      </c>
    </row>
    <row r="56" spans="1:20" x14ac:dyDescent="0.25">
      <c r="A56" s="16" t="s">
        <v>511</v>
      </c>
      <c r="B56" s="115" t="s">
        <v>512</v>
      </c>
      <c r="C56" s="115" t="s">
        <v>379</v>
      </c>
      <c r="D56" s="115" t="s">
        <v>249</v>
      </c>
      <c r="E56" s="115" t="s">
        <v>513</v>
      </c>
      <c r="F56" s="115" t="s">
        <v>225</v>
      </c>
      <c r="G56" s="115" t="s">
        <v>478</v>
      </c>
      <c r="H56" s="115" t="s">
        <v>254</v>
      </c>
      <c r="I56" s="115" t="s">
        <v>514</v>
      </c>
      <c r="J56" s="116">
        <v>0.74</v>
      </c>
      <c r="K56" s="116" t="s">
        <v>255</v>
      </c>
      <c r="L56" s="115">
        <v>5.9000000000000004E-2</v>
      </c>
      <c r="M56" s="115">
        <v>5.7500000000000002E-2</v>
      </c>
      <c r="N56" s="68">
        <v>15293.569431041524</v>
      </c>
      <c r="O56" s="60">
        <v>101.61</v>
      </c>
      <c r="P56" s="83">
        <v>0</v>
      </c>
      <c r="Q56" s="83">
        <v>15.5398</v>
      </c>
      <c r="R56" s="24">
        <v>5.8122448593112008E-5</v>
      </c>
      <c r="S56" s="24">
        <v>2.3999747718101547E-4</v>
      </c>
      <c r="T56" s="24">
        <v>8.3212773257817683E-5</v>
      </c>
    </row>
    <row r="57" spans="1:20" x14ac:dyDescent="0.25">
      <c r="A57" s="16" t="s">
        <v>669</v>
      </c>
      <c r="B57" s="115" t="s">
        <v>670</v>
      </c>
      <c r="C57" s="115" t="s">
        <v>379</v>
      </c>
      <c r="D57" s="115" t="s">
        <v>249</v>
      </c>
      <c r="E57" s="115" t="s">
        <v>513</v>
      </c>
      <c r="F57" s="115" t="s">
        <v>225</v>
      </c>
      <c r="G57" s="115" t="s">
        <v>478</v>
      </c>
      <c r="H57" s="115" t="s">
        <v>254</v>
      </c>
      <c r="I57" s="115" t="s">
        <v>671</v>
      </c>
      <c r="J57" s="116">
        <v>4.0199999999999996</v>
      </c>
      <c r="K57" s="116" t="s">
        <v>255</v>
      </c>
      <c r="L57" s="115">
        <v>0.05</v>
      </c>
      <c r="M57" s="115">
        <v>6.1200000000000004E-2</v>
      </c>
      <c r="N57" s="68">
        <v>305616.15773912799</v>
      </c>
      <c r="O57" s="60">
        <v>96.07</v>
      </c>
      <c r="P57" s="83">
        <v>0</v>
      </c>
      <c r="Q57" s="83">
        <v>293.60543999999999</v>
      </c>
      <c r="R57" s="24">
        <v>2.9530305640160627E-4</v>
      </c>
      <c r="S57" s="24">
        <v>4.53445764338164E-3</v>
      </c>
      <c r="T57" s="24">
        <v>1.572203175457972E-3</v>
      </c>
    </row>
    <row r="58" spans="1:20" x14ac:dyDescent="0.25">
      <c r="A58" s="16" t="s">
        <v>861</v>
      </c>
      <c r="B58" s="115" t="s">
        <v>862</v>
      </c>
      <c r="C58" s="115" t="s">
        <v>379</v>
      </c>
      <c r="D58" s="115" t="s">
        <v>249</v>
      </c>
      <c r="E58" s="115" t="s">
        <v>863</v>
      </c>
      <c r="F58" s="115" t="s">
        <v>226</v>
      </c>
      <c r="G58" s="115" t="s">
        <v>496</v>
      </c>
      <c r="H58" s="115" t="s">
        <v>465</v>
      </c>
      <c r="I58" s="115" t="s">
        <v>860</v>
      </c>
      <c r="J58" s="116">
        <v>1.65</v>
      </c>
      <c r="K58" s="116" t="s">
        <v>255</v>
      </c>
      <c r="L58" s="115">
        <v>3.4700000000000002E-2</v>
      </c>
      <c r="M58" s="115">
        <v>6.2E-2</v>
      </c>
      <c r="N58" s="68">
        <v>60602.033156027654</v>
      </c>
      <c r="O58" s="60">
        <v>96.6</v>
      </c>
      <c r="P58" s="83">
        <v>0</v>
      </c>
      <c r="Q58" s="83">
        <v>58.541559999999997</v>
      </c>
      <c r="R58" s="24">
        <v>5.0503209392971501E-4</v>
      </c>
      <c r="S58" s="24">
        <v>9.0411888893300097E-4</v>
      </c>
      <c r="T58" s="24">
        <v>3.1347929564337569E-4</v>
      </c>
    </row>
    <row r="59" spans="1:20" x14ac:dyDescent="0.25">
      <c r="A59" s="16" t="s">
        <v>548</v>
      </c>
      <c r="B59" s="115" t="s">
        <v>549</v>
      </c>
      <c r="C59" s="115" t="s">
        <v>379</v>
      </c>
      <c r="D59" s="115" t="s">
        <v>249</v>
      </c>
      <c r="E59" s="115" t="s">
        <v>550</v>
      </c>
      <c r="F59" s="115" t="s">
        <v>225</v>
      </c>
      <c r="G59" s="115" t="s">
        <v>551</v>
      </c>
      <c r="H59" s="115" t="s">
        <v>465</v>
      </c>
      <c r="I59" s="115" t="s">
        <v>552</v>
      </c>
      <c r="J59" s="116">
        <v>1.1399999999999999</v>
      </c>
      <c r="K59" s="116" t="s">
        <v>255</v>
      </c>
      <c r="L59" s="115">
        <v>2.9500000000000002E-2</v>
      </c>
      <c r="M59" s="115">
        <v>5.3600000000000002E-2</v>
      </c>
      <c r="N59" s="68">
        <v>140186.26957144027</v>
      </c>
      <c r="O59" s="60">
        <v>98.35</v>
      </c>
      <c r="P59" s="83">
        <v>0</v>
      </c>
      <c r="Q59" s="83">
        <v>137.87320000000003</v>
      </c>
      <c r="R59" s="24">
        <v>1.1694671536072979E-3</v>
      </c>
      <c r="S59" s="24">
        <v>2.1293208516759282E-3</v>
      </c>
      <c r="T59" s="24">
        <v>7.3828564910293263E-4</v>
      </c>
    </row>
    <row r="60" spans="1:20" x14ac:dyDescent="0.25">
      <c r="A60" s="16" t="s">
        <v>586</v>
      </c>
      <c r="B60" s="115" t="s">
        <v>587</v>
      </c>
      <c r="C60" s="115" t="s">
        <v>379</v>
      </c>
      <c r="D60" s="115" t="s">
        <v>249</v>
      </c>
      <c r="E60" s="115" t="s">
        <v>588</v>
      </c>
      <c r="F60" s="115" t="s">
        <v>200</v>
      </c>
      <c r="G60" s="115" t="s">
        <v>564</v>
      </c>
      <c r="H60" s="115" t="s">
        <v>465</v>
      </c>
      <c r="I60" s="115" t="s">
        <v>585</v>
      </c>
      <c r="J60" s="116">
        <v>3.31</v>
      </c>
      <c r="K60" s="116" t="s">
        <v>255</v>
      </c>
      <c r="L60" s="115">
        <v>2.6800000000000001E-2</v>
      </c>
      <c r="M60" s="115">
        <v>4.99E-2</v>
      </c>
      <c r="N60" s="68">
        <v>2670169.7330610678</v>
      </c>
      <c r="O60" s="60">
        <v>94.81</v>
      </c>
      <c r="P60" s="83">
        <v>0</v>
      </c>
      <c r="Q60" s="83">
        <v>2531.5879199999999</v>
      </c>
      <c r="R60" s="24">
        <v>1.0232292562218069E-3</v>
      </c>
      <c r="S60" s="24">
        <v>3.9097975138800659E-2</v>
      </c>
      <c r="T60" s="24">
        <v>1.3556188082806104E-2</v>
      </c>
    </row>
    <row r="61" spans="1:20" x14ac:dyDescent="0.25">
      <c r="A61" s="16" t="s">
        <v>540</v>
      </c>
      <c r="B61" s="115" t="s">
        <v>541</v>
      </c>
      <c r="C61" s="115" t="s">
        <v>379</v>
      </c>
      <c r="D61" s="115" t="s">
        <v>249</v>
      </c>
      <c r="E61" s="115" t="s">
        <v>542</v>
      </c>
      <c r="F61" s="115" t="s">
        <v>201</v>
      </c>
      <c r="G61" s="115" t="s">
        <v>491</v>
      </c>
      <c r="H61" s="115" t="s">
        <v>465</v>
      </c>
      <c r="I61" s="115" t="s">
        <v>543</v>
      </c>
      <c r="J61" s="116">
        <v>1.79</v>
      </c>
      <c r="K61" s="116" t="s">
        <v>255</v>
      </c>
      <c r="L61" s="115">
        <v>3.61E-2</v>
      </c>
      <c r="M61" s="115">
        <v>5.21E-2</v>
      </c>
      <c r="N61" s="68">
        <v>410218.00604137662</v>
      </c>
      <c r="O61" s="60">
        <v>97.92</v>
      </c>
      <c r="P61" s="83">
        <v>0</v>
      </c>
      <c r="Q61" s="83">
        <v>401.68546999999995</v>
      </c>
      <c r="R61" s="24">
        <v>5.3448600135684251E-4</v>
      </c>
      <c r="S61" s="24">
        <v>6.2036512323369979E-3</v>
      </c>
      <c r="T61" s="24">
        <v>2.1509518742885963E-3</v>
      </c>
    </row>
    <row r="62" spans="1:20" x14ac:dyDescent="0.25">
      <c r="A62" s="16" t="s">
        <v>578</v>
      </c>
      <c r="B62" s="115" t="s">
        <v>579</v>
      </c>
      <c r="C62" s="115" t="s">
        <v>379</v>
      </c>
      <c r="D62" s="115" t="s">
        <v>249</v>
      </c>
      <c r="E62" s="115" t="s">
        <v>542</v>
      </c>
      <c r="F62" s="115" t="s">
        <v>201</v>
      </c>
      <c r="G62" s="115" t="s">
        <v>491</v>
      </c>
      <c r="H62" s="115" t="s">
        <v>465</v>
      </c>
      <c r="I62" s="115" t="s">
        <v>580</v>
      </c>
      <c r="J62" s="116">
        <v>2.8</v>
      </c>
      <c r="K62" s="116" t="s">
        <v>255</v>
      </c>
      <c r="L62" s="115">
        <v>3.3000000000000002E-2</v>
      </c>
      <c r="M62" s="115">
        <v>4.8799999999999996E-2</v>
      </c>
      <c r="N62" s="68">
        <v>451736.49652795313</v>
      </c>
      <c r="O62" s="60">
        <v>96.15000000000002</v>
      </c>
      <c r="P62" s="83">
        <v>0</v>
      </c>
      <c r="Q62" s="83">
        <v>434.34464000000003</v>
      </c>
      <c r="R62" s="24">
        <v>1.4650359062996095E-3</v>
      </c>
      <c r="S62" s="24">
        <v>6.708041147704371E-3</v>
      </c>
      <c r="T62" s="24">
        <v>2.3258357278773509E-3</v>
      </c>
    </row>
    <row r="63" spans="1:20" x14ac:dyDescent="0.25">
      <c r="A63" s="16" t="s">
        <v>600</v>
      </c>
      <c r="B63" s="115" t="s">
        <v>601</v>
      </c>
      <c r="C63" s="115" t="s">
        <v>379</v>
      </c>
      <c r="D63" s="115" t="s">
        <v>249</v>
      </c>
      <c r="E63" s="115" t="s">
        <v>542</v>
      </c>
      <c r="F63" s="115" t="s">
        <v>201</v>
      </c>
      <c r="G63" s="115" t="s">
        <v>491</v>
      </c>
      <c r="H63" s="115" t="s">
        <v>465</v>
      </c>
      <c r="I63" s="115" t="s">
        <v>602</v>
      </c>
      <c r="J63" s="116">
        <v>5.14</v>
      </c>
      <c r="K63" s="116" t="s">
        <v>255</v>
      </c>
      <c r="L63" s="115">
        <v>2.6200000000000001E-2</v>
      </c>
      <c r="M63" s="115">
        <v>5.2600000000000001E-2</v>
      </c>
      <c r="N63" s="68">
        <v>810798.99805217655</v>
      </c>
      <c r="O63" s="60">
        <v>88.74</v>
      </c>
      <c r="P63" s="83">
        <v>0</v>
      </c>
      <c r="Q63" s="83">
        <v>719.50303000000008</v>
      </c>
      <c r="R63" s="24">
        <v>6.2689303145229878E-4</v>
      </c>
      <c r="S63" s="24">
        <v>1.1112042112774714E-2</v>
      </c>
      <c r="T63" s="24">
        <v>3.8528065028959708E-3</v>
      </c>
    </row>
    <row r="64" spans="1:20" x14ac:dyDescent="0.25">
      <c r="A64" s="16" t="s">
        <v>896</v>
      </c>
      <c r="B64" s="115" t="s">
        <v>897</v>
      </c>
      <c r="C64" s="115" t="s">
        <v>379</v>
      </c>
      <c r="D64" s="115" t="s">
        <v>249</v>
      </c>
      <c r="E64" s="115" t="s">
        <v>542</v>
      </c>
      <c r="F64" s="115" t="s">
        <v>201</v>
      </c>
      <c r="G64" s="115" t="s">
        <v>491</v>
      </c>
      <c r="H64" s="115" t="s">
        <v>465</v>
      </c>
      <c r="I64" s="115" t="s">
        <v>580</v>
      </c>
      <c r="J64" s="116">
        <v>1.29</v>
      </c>
      <c r="K64" s="116" t="s">
        <v>255</v>
      </c>
      <c r="L64" s="115">
        <v>6.0900000333786009E-2</v>
      </c>
      <c r="M64" s="115">
        <v>5.45E-2</v>
      </c>
      <c r="N64" s="68">
        <v>51123.462794208113</v>
      </c>
      <c r="O64" s="60">
        <v>101.96000000000001</v>
      </c>
      <c r="P64" s="83">
        <v>0</v>
      </c>
      <c r="Q64" s="83">
        <v>52.125480000000003</v>
      </c>
      <c r="R64" s="24">
        <v>1.7427522437168054E-4</v>
      </c>
      <c r="S64" s="24">
        <v>8.0502861663917684E-4</v>
      </c>
      <c r="T64" s="24">
        <v>2.7912236632356342E-4</v>
      </c>
    </row>
    <row r="65" spans="1:20" x14ac:dyDescent="0.25">
      <c r="A65" s="16" t="s">
        <v>519</v>
      </c>
      <c r="B65" s="115" t="s">
        <v>520</v>
      </c>
      <c r="C65" s="115" t="s">
        <v>379</v>
      </c>
      <c r="D65" s="115" t="s">
        <v>249</v>
      </c>
      <c r="E65" s="115" t="s">
        <v>521</v>
      </c>
      <c r="F65" s="115" t="s">
        <v>201</v>
      </c>
      <c r="G65" s="115" t="s">
        <v>491</v>
      </c>
      <c r="H65" s="115" t="s">
        <v>465</v>
      </c>
      <c r="I65" s="115" t="s">
        <v>522</v>
      </c>
      <c r="J65" s="116">
        <v>4.74</v>
      </c>
      <c r="K65" s="116" t="s">
        <v>255</v>
      </c>
      <c r="L65" s="115">
        <v>3.95E-2</v>
      </c>
      <c r="M65" s="115">
        <v>5.1399999999999994E-2</v>
      </c>
      <c r="N65" s="68">
        <v>250639.15888180636</v>
      </c>
      <c r="O65" s="60">
        <v>95.79</v>
      </c>
      <c r="P65" s="83">
        <v>0</v>
      </c>
      <c r="Q65" s="83">
        <v>240.08725000000001</v>
      </c>
      <c r="R65" s="24">
        <v>1.0442864342216577E-3</v>
      </c>
      <c r="S65" s="24">
        <v>3.7079199412687266E-3</v>
      </c>
      <c r="T65" s="24">
        <v>1.2856231030221104E-3</v>
      </c>
    </row>
    <row r="66" spans="1:20" x14ac:dyDescent="0.25">
      <c r="A66" s="16" t="s">
        <v>523</v>
      </c>
      <c r="B66" s="115" t="s">
        <v>524</v>
      </c>
      <c r="C66" s="115" t="s">
        <v>379</v>
      </c>
      <c r="D66" s="115" t="s">
        <v>249</v>
      </c>
      <c r="E66" s="115" t="s">
        <v>521</v>
      </c>
      <c r="F66" s="115" t="s">
        <v>201</v>
      </c>
      <c r="G66" s="115" t="s">
        <v>491</v>
      </c>
      <c r="H66" s="115" t="s">
        <v>465</v>
      </c>
      <c r="I66" s="115" t="s">
        <v>522</v>
      </c>
      <c r="J66" s="116">
        <v>5.52</v>
      </c>
      <c r="K66" s="116" t="s">
        <v>255</v>
      </c>
      <c r="L66" s="115">
        <v>3.95E-2</v>
      </c>
      <c r="M66" s="115">
        <v>5.2300000000000006E-2</v>
      </c>
      <c r="N66" s="68">
        <v>179707.6468855686</v>
      </c>
      <c r="O66" s="60">
        <v>94.53</v>
      </c>
      <c r="P66" s="83">
        <v>0</v>
      </c>
      <c r="Q66" s="83">
        <v>169.87764000000001</v>
      </c>
      <c r="R66" s="24">
        <v>7.4875074830981544E-4</v>
      </c>
      <c r="S66" s="24">
        <v>2.6235990829653385E-3</v>
      </c>
      <c r="T66" s="24">
        <v>9.0966354386112964E-4</v>
      </c>
    </row>
    <row r="67" spans="1:20" x14ac:dyDescent="0.25">
      <c r="A67" s="16" t="s">
        <v>556</v>
      </c>
      <c r="B67" s="115" t="s">
        <v>557</v>
      </c>
      <c r="C67" s="115" t="s">
        <v>379</v>
      </c>
      <c r="D67" s="115" t="s">
        <v>249</v>
      </c>
      <c r="E67" s="115" t="s">
        <v>521</v>
      </c>
      <c r="F67" s="115" t="s">
        <v>201</v>
      </c>
      <c r="G67" s="115" t="s">
        <v>491</v>
      </c>
      <c r="H67" s="115" t="s">
        <v>465</v>
      </c>
      <c r="I67" s="115" t="s">
        <v>558</v>
      </c>
      <c r="J67" s="116">
        <v>6.44</v>
      </c>
      <c r="K67" s="116" t="s">
        <v>255</v>
      </c>
      <c r="L67" s="115">
        <v>3.0499999999999999E-2</v>
      </c>
      <c r="M67" s="115">
        <v>5.5199999999999999E-2</v>
      </c>
      <c r="N67" s="68">
        <v>663122.57533440494</v>
      </c>
      <c r="O67" s="60">
        <v>86.53</v>
      </c>
      <c r="P67" s="83">
        <v>0</v>
      </c>
      <c r="Q67" s="83">
        <v>573.79995999999994</v>
      </c>
      <c r="R67" s="24">
        <v>9.0979353059408266E-4</v>
      </c>
      <c r="S67" s="24">
        <v>8.8617963427178974E-3</v>
      </c>
      <c r="T67" s="24">
        <v>3.072593338834789E-3</v>
      </c>
    </row>
    <row r="68" spans="1:20" x14ac:dyDescent="0.25">
      <c r="A68" s="16" t="s">
        <v>559</v>
      </c>
      <c r="B68" s="115" t="s">
        <v>560</v>
      </c>
      <c r="C68" s="115" t="s">
        <v>379</v>
      </c>
      <c r="D68" s="115" t="s">
        <v>249</v>
      </c>
      <c r="E68" s="115" t="s">
        <v>521</v>
      </c>
      <c r="F68" s="115" t="s">
        <v>201</v>
      </c>
      <c r="G68" s="115" t="s">
        <v>491</v>
      </c>
      <c r="H68" s="115" t="s">
        <v>465</v>
      </c>
      <c r="I68" s="115" t="s">
        <v>558</v>
      </c>
      <c r="J68" s="116">
        <v>7.2</v>
      </c>
      <c r="K68" s="116" t="s">
        <v>255</v>
      </c>
      <c r="L68" s="115">
        <v>3.0499999999999999E-2</v>
      </c>
      <c r="M68" s="115">
        <v>5.5599999999999997E-2</v>
      </c>
      <c r="N68" s="68">
        <v>771640.92206409795</v>
      </c>
      <c r="O68" s="60">
        <v>84.73</v>
      </c>
      <c r="P68" s="83">
        <v>0</v>
      </c>
      <c r="Q68" s="83">
        <v>653.81134999999995</v>
      </c>
      <c r="R68" s="24">
        <v>1.130338625199821E-3</v>
      </c>
      <c r="S68" s="24">
        <v>1.0097496399716466E-2</v>
      </c>
      <c r="T68" s="24">
        <v>3.5010396286269886E-3</v>
      </c>
    </row>
    <row r="69" spans="1:20" x14ac:dyDescent="0.25">
      <c r="A69" s="16" t="s">
        <v>597</v>
      </c>
      <c r="B69" s="115" t="s">
        <v>598</v>
      </c>
      <c r="C69" s="115" t="s">
        <v>379</v>
      </c>
      <c r="D69" s="115" t="s">
        <v>249</v>
      </c>
      <c r="E69" s="115" t="s">
        <v>521</v>
      </c>
      <c r="F69" s="115" t="s">
        <v>201</v>
      </c>
      <c r="G69" s="115" t="s">
        <v>491</v>
      </c>
      <c r="H69" s="115" t="s">
        <v>465</v>
      </c>
      <c r="I69" s="115" t="s">
        <v>599</v>
      </c>
      <c r="J69" s="116">
        <v>2.64</v>
      </c>
      <c r="K69" s="116" t="s">
        <v>255</v>
      </c>
      <c r="L69" s="115">
        <v>2.9100000000000001E-2</v>
      </c>
      <c r="M69" s="115">
        <v>5.28E-2</v>
      </c>
      <c r="N69" s="68">
        <v>419726.33051377023</v>
      </c>
      <c r="O69" s="60">
        <v>94.88</v>
      </c>
      <c r="P69" s="83">
        <v>0</v>
      </c>
      <c r="Q69" s="83">
        <v>398.23634000000004</v>
      </c>
      <c r="R69" s="24">
        <v>6.9954388418961709E-4</v>
      </c>
      <c r="S69" s="24">
        <v>6.1503826897258097E-3</v>
      </c>
      <c r="T69" s="24">
        <v>2.1324824169836934E-3</v>
      </c>
    </row>
    <row r="70" spans="1:20" x14ac:dyDescent="0.25">
      <c r="A70" s="16" t="s">
        <v>732</v>
      </c>
      <c r="B70" s="115" t="s">
        <v>733</v>
      </c>
      <c r="C70" s="115" t="s">
        <v>379</v>
      </c>
      <c r="D70" s="115" t="s">
        <v>249</v>
      </c>
      <c r="E70" s="115" t="s">
        <v>521</v>
      </c>
      <c r="F70" s="115" t="s">
        <v>201</v>
      </c>
      <c r="G70" s="115" t="s">
        <v>491</v>
      </c>
      <c r="H70" s="115" t="s">
        <v>465</v>
      </c>
      <c r="I70" s="115" t="s">
        <v>734</v>
      </c>
      <c r="J70" s="116">
        <v>8.06</v>
      </c>
      <c r="K70" s="116" t="s">
        <v>255</v>
      </c>
      <c r="L70" s="115">
        <v>2.63E-2</v>
      </c>
      <c r="M70" s="115">
        <v>5.62E-2</v>
      </c>
      <c r="N70" s="68">
        <v>787167.31082024006</v>
      </c>
      <c r="O70" s="60">
        <v>79.77</v>
      </c>
      <c r="P70" s="83">
        <v>0</v>
      </c>
      <c r="Q70" s="83">
        <v>627.92336</v>
      </c>
      <c r="R70" s="24">
        <v>1.1347504523913207E-3</v>
      </c>
      <c r="S70" s="24">
        <v>9.6976809394603899E-3</v>
      </c>
      <c r="T70" s="24">
        <v>3.362414199601477E-3</v>
      </c>
    </row>
    <row r="71" spans="1:20" x14ac:dyDescent="0.25">
      <c r="A71" s="16" t="s">
        <v>799</v>
      </c>
      <c r="B71" s="115" t="s">
        <v>800</v>
      </c>
      <c r="C71" s="115" t="s">
        <v>379</v>
      </c>
      <c r="D71" s="115" t="s">
        <v>249</v>
      </c>
      <c r="E71" s="115" t="s">
        <v>521</v>
      </c>
      <c r="F71" s="115" t="s">
        <v>201</v>
      </c>
      <c r="G71" s="115" t="s">
        <v>584</v>
      </c>
      <c r="H71" s="115" t="s">
        <v>254</v>
      </c>
      <c r="I71" s="115" t="s">
        <v>801</v>
      </c>
      <c r="J71" s="116">
        <v>5.46</v>
      </c>
      <c r="K71" s="116" t="s">
        <v>255</v>
      </c>
      <c r="L71" s="115">
        <v>4.3799999999999999E-2</v>
      </c>
      <c r="M71" s="115">
        <v>5.3099999999999994E-2</v>
      </c>
      <c r="N71" s="68">
        <v>753260.7595997327</v>
      </c>
      <c r="O71" s="60">
        <v>96.52</v>
      </c>
      <c r="P71" s="83">
        <v>0</v>
      </c>
      <c r="Q71" s="83">
        <v>727.04729000000009</v>
      </c>
      <c r="R71" s="24">
        <v>1.5065215191994654E-3</v>
      </c>
      <c r="S71" s="24">
        <v>1.1228556055502268E-2</v>
      </c>
      <c r="T71" s="24">
        <v>3.8932046287906428E-3</v>
      </c>
    </row>
    <row r="72" spans="1:20" x14ac:dyDescent="0.25">
      <c r="A72" s="16" t="s">
        <v>854</v>
      </c>
      <c r="B72" s="115" t="s">
        <v>855</v>
      </c>
      <c r="C72" s="115" t="s">
        <v>379</v>
      </c>
      <c r="D72" s="115" t="s">
        <v>249</v>
      </c>
      <c r="E72" s="115" t="s">
        <v>521</v>
      </c>
      <c r="F72" s="115" t="s">
        <v>201</v>
      </c>
      <c r="G72" s="115" t="s">
        <v>491</v>
      </c>
      <c r="H72" s="115" t="s">
        <v>465</v>
      </c>
      <c r="I72" s="115" t="s">
        <v>856</v>
      </c>
      <c r="J72" s="116">
        <v>4.09</v>
      </c>
      <c r="K72" s="116" t="s">
        <v>255</v>
      </c>
      <c r="L72" s="115">
        <v>1.7899999999999999E-2</v>
      </c>
      <c r="M72" s="115">
        <v>5.0599999999999999E-2</v>
      </c>
      <c r="N72" s="68">
        <v>283361.2041112748</v>
      </c>
      <c r="O72" s="60">
        <v>88.26</v>
      </c>
      <c r="P72" s="83">
        <v>0</v>
      </c>
      <c r="Q72" s="83">
        <v>250.09460000000001</v>
      </c>
      <c r="R72" s="24">
        <v>8.0960344031792795E-4</v>
      </c>
      <c r="S72" s="24">
        <v>3.8624739737059162E-3</v>
      </c>
      <c r="T72" s="24">
        <v>1.339210623225821E-3</v>
      </c>
    </row>
    <row r="73" spans="1:20" x14ac:dyDescent="0.25">
      <c r="A73" s="16" t="s">
        <v>707</v>
      </c>
      <c r="B73" s="115" t="s">
        <v>708</v>
      </c>
      <c r="C73" s="115" t="s">
        <v>379</v>
      </c>
      <c r="D73" s="115" t="s">
        <v>249</v>
      </c>
      <c r="E73" s="115" t="s">
        <v>709</v>
      </c>
      <c r="F73" s="115" t="s">
        <v>201</v>
      </c>
      <c r="G73" s="115" t="s">
        <v>483</v>
      </c>
      <c r="H73" s="115" t="s">
        <v>465</v>
      </c>
      <c r="I73" s="115" t="s">
        <v>710</v>
      </c>
      <c r="J73" s="116">
        <v>5.37</v>
      </c>
      <c r="K73" s="116" t="s">
        <v>255</v>
      </c>
      <c r="L73" s="115">
        <v>1.95E-2</v>
      </c>
      <c r="M73" s="115">
        <v>5.2999999999999999E-2</v>
      </c>
      <c r="N73" s="68">
        <v>775542.20453632995</v>
      </c>
      <c r="O73" s="60">
        <v>83.94</v>
      </c>
      <c r="P73" s="83">
        <v>0</v>
      </c>
      <c r="Q73" s="83">
        <v>650.99013000000002</v>
      </c>
      <c r="R73" s="24">
        <v>6.8025058914988423E-4</v>
      </c>
      <c r="S73" s="24">
        <v>1.0053925331712205E-2</v>
      </c>
      <c r="T73" s="24">
        <v>3.4859325139813425E-3</v>
      </c>
    </row>
    <row r="74" spans="1:20" x14ac:dyDescent="0.25">
      <c r="A74" s="16" t="s">
        <v>821</v>
      </c>
      <c r="B74" s="115" t="s">
        <v>822</v>
      </c>
      <c r="C74" s="115" t="s">
        <v>379</v>
      </c>
      <c r="D74" s="115" t="s">
        <v>249</v>
      </c>
      <c r="E74" s="115" t="s">
        <v>823</v>
      </c>
      <c r="F74" s="115" t="s">
        <v>223</v>
      </c>
      <c r="G74" s="115" t="s">
        <v>505</v>
      </c>
      <c r="H74" s="115" t="s">
        <v>254</v>
      </c>
      <c r="I74" s="115" t="s">
        <v>824</v>
      </c>
      <c r="J74" s="116">
        <v>3.61</v>
      </c>
      <c r="K74" s="116" t="s">
        <v>255</v>
      </c>
      <c r="L74" s="115">
        <v>3.95E-2</v>
      </c>
      <c r="M74" s="115">
        <v>9.1499999999999998E-2</v>
      </c>
      <c r="N74" s="68">
        <v>1987331.635400407</v>
      </c>
      <c r="O74" s="60">
        <v>84.53</v>
      </c>
      <c r="P74" s="83">
        <v>0</v>
      </c>
      <c r="Q74" s="83">
        <v>1679.8914299999999</v>
      </c>
      <c r="R74" s="24">
        <v>1.2699993729412618E-3</v>
      </c>
      <c r="S74" s="24">
        <v>2.5944330373493123E-2</v>
      </c>
      <c r="T74" s="24">
        <v>8.9955098947438906E-3</v>
      </c>
    </row>
    <row r="75" spans="1:20" x14ac:dyDescent="0.25">
      <c r="A75" s="16" t="s">
        <v>566</v>
      </c>
      <c r="B75" s="115" t="s">
        <v>567</v>
      </c>
      <c r="C75" s="115" t="s">
        <v>379</v>
      </c>
      <c r="D75" s="115" t="s">
        <v>249</v>
      </c>
      <c r="E75" s="115" t="s">
        <v>568</v>
      </c>
      <c r="F75" s="115" t="s">
        <v>223</v>
      </c>
      <c r="G75" s="115" t="s">
        <v>459</v>
      </c>
      <c r="H75" s="115" t="s">
        <v>254</v>
      </c>
      <c r="I75" s="115" t="s">
        <v>569</v>
      </c>
      <c r="J75" s="116">
        <v>5.79</v>
      </c>
      <c r="K75" s="116" t="s">
        <v>255</v>
      </c>
      <c r="L75" s="115">
        <v>2.5499999999999998E-2</v>
      </c>
      <c r="M75" s="115">
        <v>5.5500000000000001E-2</v>
      </c>
      <c r="N75" s="68">
        <v>1174304.6082653725</v>
      </c>
      <c r="O75" s="60">
        <v>84.91</v>
      </c>
      <c r="P75" s="83">
        <v>0</v>
      </c>
      <c r="Q75" s="83">
        <v>997.10203999999999</v>
      </c>
      <c r="R75" s="24">
        <v>8.6163828000749133E-4</v>
      </c>
      <c r="S75" s="24">
        <v>1.5399295621053296E-2</v>
      </c>
      <c r="T75" s="24">
        <v>5.3392981871985138E-3</v>
      </c>
    </row>
    <row r="76" spans="1:20" x14ac:dyDescent="0.25">
      <c r="A76" s="16" t="s">
        <v>573</v>
      </c>
      <c r="B76" s="115" t="s">
        <v>574</v>
      </c>
      <c r="C76" s="115" t="s">
        <v>379</v>
      </c>
      <c r="D76" s="115" t="s">
        <v>249</v>
      </c>
      <c r="E76" s="115" t="s">
        <v>575</v>
      </c>
      <c r="F76" s="115" t="s">
        <v>228</v>
      </c>
      <c r="G76" s="115" t="s">
        <v>576</v>
      </c>
      <c r="H76" s="115" t="s">
        <v>254</v>
      </c>
      <c r="I76" s="115" t="s">
        <v>577</v>
      </c>
      <c r="J76" s="116">
        <v>1.55</v>
      </c>
      <c r="K76" s="116" t="s">
        <v>255</v>
      </c>
      <c r="L76" s="115">
        <v>4.8000000000000001E-2</v>
      </c>
      <c r="M76" s="115">
        <v>0.1401</v>
      </c>
      <c r="N76" s="68">
        <v>1038411.4628047536</v>
      </c>
      <c r="O76" s="60">
        <v>89.7</v>
      </c>
      <c r="P76" s="83">
        <v>0</v>
      </c>
      <c r="Q76" s="83">
        <v>931.45507999999995</v>
      </c>
      <c r="R76" s="24">
        <v>9.1561576013489475E-4</v>
      </c>
      <c r="S76" s="24">
        <v>1.4385440565994475E-2</v>
      </c>
      <c r="T76" s="24">
        <v>4.9877707803113579E-3</v>
      </c>
    </row>
    <row r="77" spans="1:20" x14ac:dyDescent="0.25">
      <c r="A77" s="16" t="s">
        <v>715</v>
      </c>
      <c r="B77" s="115" t="s">
        <v>716</v>
      </c>
      <c r="C77" s="115" t="s">
        <v>379</v>
      </c>
      <c r="D77" s="115" t="s">
        <v>249</v>
      </c>
      <c r="E77" s="115" t="s">
        <v>575</v>
      </c>
      <c r="F77" s="115" t="s">
        <v>228</v>
      </c>
      <c r="G77" s="115" t="s">
        <v>576</v>
      </c>
      <c r="H77" s="115" t="s">
        <v>254</v>
      </c>
      <c r="I77" s="115" t="s">
        <v>717</v>
      </c>
      <c r="J77" s="116">
        <v>2.81</v>
      </c>
      <c r="K77" s="116" t="s">
        <v>255</v>
      </c>
      <c r="L77" s="115">
        <v>3.4000000000000002E-2</v>
      </c>
      <c r="M77" s="115">
        <v>0.13880000000000001</v>
      </c>
      <c r="N77" s="68">
        <v>888885.867942799</v>
      </c>
      <c r="O77" s="60">
        <v>77.959999999999994</v>
      </c>
      <c r="P77" s="83">
        <v>0</v>
      </c>
      <c r="Q77" s="83">
        <v>692.97541999999999</v>
      </c>
      <c r="R77" s="24">
        <v>1.7777717358855979E-3</v>
      </c>
      <c r="S77" s="24">
        <v>1.0702348328064366E-2</v>
      </c>
      <c r="T77" s="24">
        <v>3.710756026313143E-3</v>
      </c>
    </row>
    <row r="78" spans="1:20" x14ac:dyDescent="0.25">
      <c r="A78" s="16" t="s">
        <v>589</v>
      </c>
      <c r="B78" s="115" t="s">
        <v>590</v>
      </c>
      <c r="C78" s="115" t="s">
        <v>379</v>
      </c>
      <c r="D78" s="115" t="s">
        <v>249</v>
      </c>
      <c r="E78" s="115" t="s">
        <v>591</v>
      </c>
      <c r="F78" s="115" t="s">
        <v>206</v>
      </c>
      <c r="G78" s="115" t="s">
        <v>478</v>
      </c>
      <c r="H78" s="115" t="s">
        <v>254</v>
      </c>
      <c r="I78" s="115" t="s">
        <v>592</v>
      </c>
      <c r="J78" s="116">
        <v>2.7</v>
      </c>
      <c r="K78" s="116" t="s">
        <v>255</v>
      </c>
      <c r="L78" s="115">
        <v>0.04</v>
      </c>
      <c r="M78" s="115">
        <v>5.3800000000000001E-2</v>
      </c>
      <c r="N78" s="68">
        <v>30707.546884739237</v>
      </c>
      <c r="O78" s="60">
        <v>97.49</v>
      </c>
      <c r="P78" s="83">
        <v>0</v>
      </c>
      <c r="Q78" s="83">
        <v>29.936790000000002</v>
      </c>
      <c r="R78" s="24">
        <v>4.5113860679765549E-5</v>
      </c>
      <c r="S78" s="24">
        <v>4.6234533744950727E-4</v>
      </c>
      <c r="T78" s="24">
        <v>1.6030600897932434E-4</v>
      </c>
    </row>
    <row r="79" spans="1:20" x14ac:dyDescent="0.25">
      <c r="A79" s="16" t="s">
        <v>676</v>
      </c>
      <c r="B79" s="115" t="s">
        <v>677</v>
      </c>
      <c r="C79" s="115" t="s">
        <v>379</v>
      </c>
      <c r="D79" s="115" t="s">
        <v>249</v>
      </c>
      <c r="E79" s="115" t="s">
        <v>678</v>
      </c>
      <c r="F79" s="115" t="s">
        <v>203</v>
      </c>
      <c r="G79" s="115" t="s">
        <v>584</v>
      </c>
      <c r="H79" s="115" t="s">
        <v>254</v>
      </c>
      <c r="I79" s="115" t="s">
        <v>679</v>
      </c>
      <c r="J79" s="116">
        <v>2.5499999999999998</v>
      </c>
      <c r="K79" s="116" t="s">
        <v>255</v>
      </c>
      <c r="L79" s="115">
        <v>2.18E-2</v>
      </c>
      <c r="M79" s="115">
        <v>5.62E-2</v>
      </c>
      <c r="N79" s="68">
        <v>189597.88241065017</v>
      </c>
      <c r="O79" s="60">
        <v>92.07</v>
      </c>
      <c r="P79" s="83">
        <v>0</v>
      </c>
      <c r="Q79" s="83">
        <v>174.56277</v>
      </c>
      <c r="R79" s="24">
        <v>4.5280026876635119E-4</v>
      </c>
      <c r="S79" s="24">
        <v>2.695956473682406E-3</v>
      </c>
      <c r="T79" s="24">
        <v>9.3475155402685884E-4</v>
      </c>
    </row>
    <row r="80" spans="1:20" x14ac:dyDescent="0.25">
      <c r="A80" s="16" t="s">
        <v>762</v>
      </c>
      <c r="B80" s="115" t="s">
        <v>763</v>
      </c>
      <c r="C80" s="115" t="s">
        <v>379</v>
      </c>
      <c r="D80" s="115" t="s">
        <v>249</v>
      </c>
      <c r="E80" s="115" t="s">
        <v>678</v>
      </c>
      <c r="F80" s="115" t="s">
        <v>203</v>
      </c>
      <c r="G80" s="115" t="s">
        <v>584</v>
      </c>
      <c r="H80" s="115" t="s">
        <v>254</v>
      </c>
      <c r="I80" s="115" t="s">
        <v>764</v>
      </c>
      <c r="J80" s="116">
        <v>3.11</v>
      </c>
      <c r="K80" s="116" t="s">
        <v>255</v>
      </c>
      <c r="L80" s="115">
        <v>2.18E-2</v>
      </c>
      <c r="M80" s="115">
        <v>5.5199999999999999E-2</v>
      </c>
      <c r="N80" s="68">
        <v>185163.62920551377</v>
      </c>
      <c r="O80" s="60">
        <v>91.407674</v>
      </c>
      <c r="P80" s="83">
        <v>0</v>
      </c>
      <c r="Q80" s="83">
        <v>169.25377</v>
      </c>
      <c r="R80" s="24">
        <v>4.4221032431372774E-4</v>
      </c>
      <c r="S80" s="24">
        <v>2.6139640023279476E-3</v>
      </c>
      <c r="T80" s="24">
        <v>9.0632283465944387E-4</v>
      </c>
    </row>
    <row r="81" spans="1:20" x14ac:dyDescent="0.25">
      <c r="A81" s="16" t="s">
        <v>672</v>
      </c>
      <c r="B81" s="115" t="s">
        <v>673</v>
      </c>
      <c r="C81" s="115" t="s">
        <v>379</v>
      </c>
      <c r="D81" s="115" t="s">
        <v>249</v>
      </c>
      <c r="E81" s="115" t="s">
        <v>674</v>
      </c>
      <c r="F81" s="115" t="s">
        <v>226</v>
      </c>
      <c r="G81" s="115" t="s">
        <v>663</v>
      </c>
      <c r="H81" s="115" t="s">
        <v>663</v>
      </c>
      <c r="I81" s="115" t="s">
        <v>675</v>
      </c>
      <c r="J81" s="116">
        <v>2.61</v>
      </c>
      <c r="K81" s="116" t="s">
        <v>255</v>
      </c>
      <c r="L81" s="115">
        <v>3.95E-2</v>
      </c>
      <c r="M81" s="115">
        <v>8.5199999999999998E-2</v>
      </c>
      <c r="N81" s="68">
        <v>281102.62623766431</v>
      </c>
      <c r="O81" s="60">
        <v>90.26</v>
      </c>
      <c r="P81" s="83">
        <v>0</v>
      </c>
      <c r="Q81" s="83">
        <v>253.72323</v>
      </c>
      <c r="R81" s="24">
        <v>3.3527742276246971E-4</v>
      </c>
      <c r="S81" s="24">
        <v>3.9185147236269801E-3</v>
      </c>
      <c r="T81" s="24">
        <v>1.3586412700440885E-3</v>
      </c>
    </row>
    <row r="82" spans="1:20" x14ac:dyDescent="0.25">
      <c r="A82" s="16" t="s">
        <v>656</v>
      </c>
      <c r="B82" s="115" t="s">
        <v>657</v>
      </c>
      <c r="C82" s="115" t="s">
        <v>379</v>
      </c>
      <c r="D82" s="115" t="s">
        <v>249</v>
      </c>
      <c r="E82" s="115" t="s">
        <v>658</v>
      </c>
      <c r="F82" s="115" t="s">
        <v>215</v>
      </c>
      <c r="G82" s="115" t="s">
        <v>459</v>
      </c>
      <c r="H82" s="115" t="s">
        <v>254</v>
      </c>
      <c r="I82" s="115" t="s">
        <v>659</v>
      </c>
      <c r="J82" s="116">
        <v>3.79</v>
      </c>
      <c r="K82" s="116" t="s">
        <v>255</v>
      </c>
      <c r="L82" s="115">
        <v>2.3E-2</v>
      </c>
      <c r="M82" s="115">
        <v>5.4600000000000003E-2</v>
      </c>
      <c r="N82" s="68">
        <v>944924.15017205069</v>
      </c>
      <c r="O82" s="60">
        <v>89.710000000000008</v>
      </c>
      <c r="P82" s="83">
        <v>0</v>
      </c>
      <c r="Q82" s="83">
        <v>847.69146000000001</v>
      </c>
      <c r="R82" s="24">
        <v>1.4717713406016907E-3</v>
      </c>
      <c r="S82" s="24">
        <v>1.3091790874264257E-2</v>
      </c>
      <c r="T82" s="24">
        <v>4.5392319884148078E-3</v>
      </c>
    </row>
    <row r="83" spans="1:20" x14ac:dyDescent="0.25">
      <c r="A83" s="16" t="s">
        <v>2127</v>
      </c>
      <c r="B83" s="115" t="s">
        <v>808</v>
      </c>
      <c r="C83" s="115" t="s">
        <v>379</v>
      </c>
      <c r="D83" s="115" t="s">
        <v>249</v>
      </c>
      <c r="E83" s="115" t="s">
        <v>809</v>
      </c>
      <c r="F83" s="115" t="s">
        <v>221</v>
      </c>
      <c r="G83" s="115" t="s">
        <v>478</v>
      </c>
      <c r="H83" s="115" t="s">
        <v>254</v>
      </c>
      <c r="I83" s="115" t="s">
        <v>810</v>
      </c>
      <c r="J83" s="116">
        <v>0</v>
      </c>
      <c r="K83" s="116" t="s">
        <v>255</v>
      </c>
      <c r="L83" s="115">
        <v>1.9E-2</v>
      </c>
      <c r="M83" s="115">
        <v>5.6500000000000002E-2</v>
      </c>
      <c r="N83" s="68">
        <v>484792.02564693888</v>
      </c>
      <c r="O83" s="60">
        <v>88.028604000000001</v>
      </c>
      <c r="P83" s="83">
        <v>0</v>
      </c>
      <c r="Q83" s="83">
        <v>426.75565999999998</v>
      </c>
      <c r="R83" s="24">
        <v>1.3930805334682152E-3</v>
      </c>
      <c r="S83" s="24">
        <v>6.5908365469773871E-3</v>
      </c>
      <c r="T83" s="24">
        <v>2.285198134600853E-3</v>
      </c>
    </row>
    <row r="84" spans="1:20" x14ac:dyDescent="0.25">
      <c r="A84" s="16" t="s">
        <v>741</v>
      </c>
      <c r="B84" s="115" t="s">
        <v>742</v>
      </c>
      <c r="C84" s="115" t="s">
        <v>379</v>
      </c>
      <c r="D84" s="115" t="s">
        <v>249</v>
      </c>
      <c r="E84" s="115" t="s">
        <v>743</v>
      </c>
      <c r="F84" s="115" t="s">
        <v>201</v>
      </c>
      <c r="G84" s="115" t="s">
        <v>623</v>
      </c>
      <c r="H84" s="115" t="s">
        <v>465</v>
      </c>
      <c r="I84" s="115" t="s">
        <v>744</v>
      </c>
      <c r="J84" s="116">
        <v>5.97</v>
      </c>
      <c r="K84" s="116" t="s">
        <v>255</v>
      </c>
      <c r="L84" s="115">
        <v>2.3799999999999998E-2</v>
      </c>
      <c r="M84" s="115">
        <v>5.7699999999999994E-2</v>
      </c>
      <c r="N84" s="68">
        <v>392859.11857803987</v>
      </c>
      <c r="O84" s="60">
        <v>83.2</v>
      </c>
      <c r="P84" s="83">
        <v>0</v>
      </c>
      <c r="Q84" s="83">
        <v>326.85879</v>
      </c>
      <c r="R84" s="24">
        <v>6.0424525863133184E-4</v>
      </c>
      <c r="S84" s="24">
        <v>5.0480241054865135E-3</v>
      </c>
      <c r="T84" s="24">
        <v>1.7502687537545303E-3</v>
      </c>
    </row>
    <row r="85" spans="1:20" x14ac:dyDescent="0.25">
      <c r="A85" s="16" t="s">
        <v>755</v>
      </c>
      <c r="B85" s="115" t="s">
        <v>756</v>
      </c>
      <c r="C85" s="115" t="s">
        <v>379</v>
      </c>
      <c r="D85" s="115" t="s">
        <v>249</v>
      </c>
      <c r="E85" s="115" t="s">
        <v>743</v>
      </c>
      <c r="F85" s="115" t="s">
        <v>201</v>
      </c>
      <c r="G85" s="115" t="s">
        <v>623</v>
      </c>
      <c r="H85" s="115" t="s">
        <v>465</v>
      </c>
      <c r="I85" s="115" t="s">
        <v>757</v>
      </c>
      <c r="J85" s="116">
        <v>4.18</v>
      </c>
      <c r="K85" s="116" t="s">
        <v>255</v>
      </c>
      <c r="L85" s="115">
        <v>3.2599999999999997E-2</v>
      </c>
      <c r="M85" s="115">
        <v>5.4900000000000004E-2</v>
      </c>
      <c r="N85" s="68">
        <v>368166.4336984735</v>
      </c>
      <c r="O85" s="60">
        <v>92.89</v>
      </c>
      <c r="P85" s="83">
        <v>0</v>
      </c>
      <c r="Q85" s="83">
        <v>341.9898</v>
      </c>
      <c r="R85" s="24">
        <v>3.7350342412580714E-4</v>
      </c>
      <c r="S85" s="24">
        <v>5.2817082087053919E-3</v>
      </c>
      <c r="T85" s="24">
        <v>1.8312925316855057E-3</v>
      </c>
    </row>
    <row r="86" spans="1:20" x14ac:dyDescent="0.25">
      <c r="A86" s="16" t="s">
        <v>793</v>
      </c>
      <c r="B86" s="115" t="s">
        <v>794</v>
      </c>
      <c r="C86" s="115" t="s">
        <v>379</v>
      </c>
      <c r="D86" s="115" t="s">
        <v>249</v>
      </c>
      <c r="E86" s="115" t="s">
        <v>743</v>
      </c>
      <c r="F86" s="115" t="s">
        <v>201</v>
      </c>
      <c r="G86" s="115" t="s">
        <v>623</v>
      </c>
      <c r="H86" s="115" t="s">
        <v>465</v>
      </c>
      <c r="I86" s="115" t="s">
        <v>795</v>
      </c>
      <c r="J86" s="116">
        <v>5.26</v>
      </c>
      <c r="K86" s="116" t="s">
        <v>255</v>
      </c>
      <c r="L86" s="115">
        <v>5.1699999999999996E-2</v>
      </c>
      <c r="M86" s="115">
        <v>5.6600000000000004E-2</v>
      </c>
      <c r="N86" s="68">
        <v>1113131.5457784669</v>
      </c>
      <c r="O86" s="60">
        <v>99.53</v>
      </c>
      <c r="P86" s="83">
        <v>0</v>
      </c>
      <c r="Q86" s="83">
        <v>1107.8998300000001</v>
      </c>
      <c r="R86" s="24">
        <v>1.8241658594828484E-3</v>
      </c>
      <c r="S86" s="24">
        <v>1.71104624364069E-2</v>
      </c>
      <c r="T86" s="24">
        <v>5.9325999913875833E-3</v>
      </c>
    </row>
    <row r="87" spans="1:20" x14ac:dyDescent="0.25">
      <c r="A87" s="16" t="s">
        <v>825</v>
      </c>
      <c r="B87" s="115" t="s">
        <v>826</v>
      </c>
      <c r="C87" s="115" t="s">
        <v>379</v>
      </c>
      <c r="D87" s="115" t="s">
        <v>249</v>
      </c>
      <c r="E87" s="115" t="s">
        <v>743</v>
      </c>
      <c r="F87" s="115" t="s">
        <v>201</v>
      </c>
      <c r="G87" s="115" t="s">
        <v>623</v>
      </c>
      <c r="H87" s="115" t="s">
        <v>465</v>
      </c>
      <c r="I87" s="115" t="s">
        <v>827</v>
      </c>
      <c r="J87" s="116">
        <v>2.1800000000000002</v>
      </c>
      <c r="K87" s="116" t="s">
        <v>255</v>
      </c>
      <c r="L87" s="115">
        <v>2.63E-2</v>
      </c>
      <c r="M87" s="115">
        <v>5.5500000000000001E-2</v>
      </c>
      <c r="N87" s="68">
        <v>7233.2030709079381</v>
      </c>
      <c r="O87" s="60">
        <v>95.9</v>
      </c>
      <c r="P87" s="83">
        <v>0</v>
      </c>
      <c r="Q87" s="83">
        <v>6.9366400000000006</v>
      </c>
      <c r="R87" s="24">
        <v>5.2446874690258168E-6</v>
      </c>
      <c r="S87" s="24">
        <v>1.0712982793297979E-4</v>
      </c>
      <c r="T87" s="24">
        <v>3.7144432456731011E-5</v>
      </c>
    </row>
    <row r="88" spans="1:20" x14ac:dyDescent="0.25">
      <c r="A88" s="16" t="s">
        <v>652</v>
      </c>
      <c r="B88" s="115" t="s">
        <v>653</v>
      </c>
      <c r="C88" s="115" t="s">
        <v>379</v>
      </c>
      <c r="D88" s="115" t="s">
        <v>249</v>
      </c>
      <c r="E88" s="115" t="s">
        <v>654</v>
      </c>
      <c r="F88" s="115" t="s">
        <v>223</v>
      </c>
      <c r="G88" s="115" t="s">
        <v>551</v>
      </c>
      <c r="H88" s="115" t="s">
        <v>465</v>
      </c>
      <c r="I88" s="115" t="s">
        <v>655</v>
      </c>
      <c r="J88" s="116">
        <v>4</v>
      </c>
      <c r="K88" s="116" t="s">
        <v>255</v>
      </c>
      <c r="L88" s="115">
        <v>3.04E-2</v>
      </c>
      <c r="M88" s="115">
        <v>5.5599999999999997E-2</v>
      </c>
      <c r="N88" s="68">
        <v>404345.00062155217</v>
      </c>
      <c r="O88" s="60">
        <v>91.49</v>
      </c>
      <c r="P88" s="83">
        <v>0</v>
      </c>
      <c r="Q88" s="83">
        <v>369.93523999999996</v>
      </c>
      <c r="R88" s="24">
        <v>7.4601964653432965E-4</v>
      </c>
      <c r="S88" s="24">
        <v>5.713299033472341E-3</v>
      </c>
      <c r="T88" s="24">
        <v>1.9809352273643397E-3</v>
      </c>
    </row>
    <row r="89" spans="1:20" x14ac:dyDescent="0.25">
      <c r="A89" s="16" t="s">
        <v>871</v>
      </c>
      <c r="B89" s="115" t="s">
        <v>872</v>
      </c>
      <c r="C89" s="115" t="s">
        <v>379</v>
      </c>
      <c r="D89" s="115" t="s">
        <v>249</v>
      </c>
      <c r="E89" s="115" t="s">
        <v>654</v>
      </c>
      <c r="F89" s="115" t="s">
        <v>223</v>
      </c>
      <c r="G89" s="115" t="s">
        <v>663</v>
      </c>
      <c r="H89" s="115" t="s">
        <v>663</v>
      </c>
      <c r="I89" s="115" t="s">
        <v>873</v>
      </c>
      <c r="J89" s="116">
        <v>6.07</v>
      </c>
      <c r="K89" s="116" t="s">
        <v>255</v>
      </c>
      <c r="L89" s="115">
        <v>5.4800000000000001E-2</v>
      </c>
      <c r="M89" s="115">
        <v>5.8799999999999998E-2</v>
      </c>
      <c r="N89" s="68">
        <v>68173.878606600774</v>
      </c>
      <c r="O89" s="60">
        <v>98.590000000000018</v>
      </c>
      <c r="P89" s="83">
        <v>0</v>
      </c>
      <c r="Q89" s="83">
        <v>67.212630000000004</v>
      </c>
      <c r="R89" s="24">
        <v>2.2724626202200258E-4</v>
      </c>
      <c r="S89" s="24">
        <v>1.0380353437432295E-3</v>
      </c>
      <c r="T89" s="24">
        <v>3.5991128201467168E-4</v>
      </c>
    </row>
    <row r="90" spans="1:20" x14ac:dyDescent="0.25">
      <c r="A90" s="16" t="s">
        <v>758</v>
      </c>
      <c r="B90" s="115" t="s">
        <v>759</v>
      </c>
      <c r="C90" s="115" t="s">
        <v>379</v>
      </c>
      <c r="D90" s="115" t="s">
        <v>249</v>
      </c>
      <c r="E90" s="115" t="s">
        <v>760</v>
      </c>
      <c r="F90" s="115" t="s">
        <v>200</v>
      </c>
      <c r="G90" s="115" t="s">
        <v>564</v>
      </c>
      <c r="H90" s="115" t="s">
        <v>465</v>
      </c>
      <c r="I90" s="115" t="s">
        <v>761</v>
      </c>
      <c r="J90" s="116">
        <v>3.66</v>
      </c>
      <c r="K90" s="116" t="s">
        <v>255</v>
      </c>
      <c r="L90" s="115">
        <v>2.7400000000000001E-2</v>
      </c>
      <c r="M90" s="115">
        <v>0.05</v>
      </c>
      <c r="N90" s="68">
        <v>1017553.3467275435</v>
      </c>
      <c r="O90" s="60">
        <v>93.39</v>
      </c>
      <c r="P90" s="83">
        <v>0</v>
      </c>
      <c r="Q90" s="83">
        <v>950.29306999999994</v>
      </c>
      <c r="R90" s="24">
        <v>5.9435321440265637E-4</v>
      </c>
      <c r="S90" s="24">
        <v>1.4676375460598086E-2</v>
      </c>
      <c r="T90" s="24">
        <v>5.0886447549122558E-3</v>
      </c>
    </row>
    <row r="91" spans="1:20" x14ac:dyDescent="0.25">
      <c r="A91" s="16" t="s">
        <v>620</v>
      </c>
      <c r="B91" s="115" t="s">
        <v>621</v>
      </c>
      <c r="C91" s="115" t="s">
        <v>379</v>
      </c>
      <c r="D91" s="115" t="s">
        <v>249</v>
      </c>
      <c r="E91" s="115" t="s">
        <v>622</v>
      </c>
      <c r="F91" s="115" t="s">
        <v>202</v>
      </c>
      <c r="G91" s="115" t="s">
        <v>623</v>
      </c>
      <c r="H91" s="115" t="s">
        <v>465</v>
      </c>
      <c r="I91" s="115" t="s">
        <v>624</v>
      </c>
      <c r="J91" s="116">
        <v>3.77</v>
      </c>
      <c r="K91" s="116" t="s">
        <v>255</v>
      </c>
      <c r="L91" s="115">
        <v>2.4900000000000002E-2</v>
      </c>
      <c r="M91" s="115">
        <v>5.57E-2</v>
      </c>
      <c r="N91" s="68">
        <v>93628.819258807795</v>
      </c>
      <c r="O91" s="60">
        <v>88.61</v>
      </c>
      <c r="P91" s="83">
        <v>0</v>
      </c>
      <c r="Q91" s="83">
        <v>82.964500000000001</v>
      </c>
      <c r="R91" s="24">
        <v>1.5626965815484852E-4</v>
      </c>
      <c r="S91" s="24">
        <v>1.2813080410033822E-3</v>
      </c>
      <c r="T91" s="24">
        <v>4.4425965115047915E-4</v>
      </c>
    </row>
    <row r="92" spans="1:20" x14ac:dyDescent="0.25">
      <c r="A92" s="16" t="s">
        <v>735</v>
      </c>
      <c r="B92" s="115" t="s">
        <v>736</v>
      </c>
      <c r="C92" s="115" t="s">
        <v>379</v>
      </c>
      <c r="D92" s="115" t="s">
        <v>249</v>
      </c>
      <c r="E92" s="115" t="s">
        <v>737</v>
      </c>
      <c r="F92" s="115" t="s">
        <v>207</v>
      </c>
      <c r="G92" s="115" t="s">
        <v>663</v>
      </c>
      <c r="H92" s="115" t="s">
        <v>663</v>
      </c>
      <c r="I92" s="115" t="s">
        <v>738</v>
      </c>
      <c r="J92" s="116">
        <v>0.25</v>
      </c>
      <c r="K92" s="116" t="s">
        <v>255</v>
      </c>
      <c r="L92" s="115">
        <v>0.01</v>
      </c>
      <c r="M92" s="115">
        <v>0.45</v>
      </c>
      <c r="N92" s="68">
        <v>1873.299788806876</v>
      </c>
      <c r="O92" s="60">
        <v>54.66</v>
      </c>
      <c r="P92" s="83">
        <v>0</v>
      </c>
      <c r="Q92" s="83">
        <v>1.0239500000000001</v>
      </c>
      <c r="R92" s="24">
        <v>3.0944198892987407E-5</v>
      </c>
      <c r="S92" s="24">
        <v>1.5813936907778789E-5</v>
      </c>
      <c r="T92" s="24">
        <v>5.4830640791607634E-6</v>
      </c>
    </row>
    <row r="93" spans="1:20" x14ac:dyDescent="0.25">
      <c r="A93" s="16" t="s">
        <v>533</v>
      </c>
      <c r="B93" s="115" t="s">
        <v>534</v>
      </c>
      <c r="C93" s="115" t="s">
        <v>379</v>
      </c>
      <c r="D93" s="115" t="s">
        <v>249</v>
      </c>
      <c r="E93" s="115" t="s">
        <v>473</v>
      </c>
      <c r="F93" s="115" t="s">
        <v>223</v>
      </c>
      <c r="G93" s="115" t="s">
        <v>459</v>
      </c>
      <c r="H93" s="115" t="s">
        <v>254</v>
      </c>
      <c r="I93" s="115" t="s">
        <v>535</v>
      </c>
      <c r="J93" s="116">
        <v>0.98</v>
      </c>
      <c r="K93" s="116" t="s">
        <v>255</v>
      </c>
      <c r="L93" s="115">
        <v>3.5000000000000003E-2</v>
      </c>
      <c r="M93" s="115">
        <v>5.7200000000000001E-2</v>
      </c>
      <c r="N93" s="68">
        <v>616300.83496783441</v>
      </c>
      <c r="O93" s="60">
        <v>98.8</v>
      </c>
      <c r="P93" s="83">
        <v>0</v>
      </c>
      <c r="Q93" s="83">
        <v>608.90521999999999</v>
      </c>
      <c r="R93" s="24">
        <v>6.7016094573236205E-4</v>
      </c>
      <c r="S93" s="24">
        <v>9.4039637989131904E-3</v>
      </c>
      <c r="T93" s="24">
        <v>3.2605755548566645E-3</v>
      </c>
    </row>
    <row r="94" spans="1:20" x14ac:dyDescent="0.25">
      <c r="A94" s="16" t="s">
        <v>628</v>
      </c>
      <c r="B94" s="115" t="s">
        <v>629</v>
      </c>
      <c r="C94" s="115" t="s">
        <v>379</v>
      </c>
      <c r="D94" s="115" t="s">
        <v>249</v>
      </c>
      <c r="E94" s="115" t="s">
        <v>630</v>
      </c>
      <c r="F94" s="115" t="s">
        <v>204</v>
      </c>
      <c r="G94" s="115" t="s">
        <v>478</v>
      </c>
      <c r="H94" s="115" t="s">
        <v>254</v>
      </c>
      <c r="I94" s="115" t="s">
        <v>631</v>
      </c>
      <c r="J94" s="116">
        <v>2.56</v>
      </c>
      <c r="K94" s="116" t="s">
        <v>255</v>
      </c>
      <c r="L94" s="115">
        <v>2.3900000000000001E-2</v>
      </c>
      <c r="M94" s="115">
        <v>5.8899999999999994E-2</v>
      </c>
      <c r="N94" s="68">
        <v>192167.62442466593</v>
      </c>
      <c r="O94" s="60">
        <v>92.2</v>
      </c>
      <c r="P94" s="83">
        <v>0</v>
      </c>
      <c r="Q94" s="83">
        <v>177.17855</v>
      </c>
      <c r="R94" s="24">
        <v>9.3959850266850072E-4</v>
      </c>
      <c r="S94" s="24">
        <v>2.7363547156713992E-3</v>
      </c>
      <c r="T94" s="24">
        <v>9.4875857522612353E-4</v>
      </c>
    </row>
    <row r="95" spans="1:20" x14ac:dyDescent="0.25">
      <c r="A95" s="16" t="s">
        <v>507</v>
      </c>
      <c r="B95" s="115" t="s">
        <v>508</v>
      </c>
      <c r="C95" s="115" t="s">
        <v>379</v>
      </c>
      <c r="D95" s="115" t="s">
        <v>249</v>
      </c>
      <c r="E95" s="115" t="s">
        <v>509</v>
      </c>
      <c r="F95" s="115" t="s">
        <v>201</v>
      </c>
      <c r="G95" s="115" t="s">
        <v>483</v>
      </c>
      <c r="H95" s="115" t="s">
        <v>465</v>
      </c>
      <c r="I95" s="115" t="s">
        <v>510</v>
      </c>
      <c r="J95" s="116">
        <v>0.75</v>
      </c>
      <c r="K95" s="116" t="s">
        <v>255</v>
      </c>
      <c r="L95" s="115">
        <v>4.0999999999999995E-2</v>
      </c>
      <c r="M95" s="115">
        <v>5.4900000000000004E-2</v>
      </c>
      <c r="N95" s="68">
        <v>161670.92169699722</v>
      </c>
      <c r="O95" s="60">
        <v>100.03</v>
      </c>
      <c r="P95" s="83">
        <v>0</v>
      </c>
      <c r="Q95" s="83">
        <v>161.71942000000001</v>
      </c>
      <c r="R95" s="24">
        <v>5.3890307232332406E-4</v>
      </c>
      <c r="S95" s="24">
        <v>2.4976031101543819E-3</v>
      </c>
      <c r="T95" s="24">
        <v>8.659777749936157E-4</v>
      </c>
    </row>
    <row r="96" spans="1:20" x14ac:dyDescent="0.25">
      <c r="A96" s="16" t="s">
        <v>603</v>
      </c>
      <c r="B96" s="115" t="s">
        <v>604</v>
      </c>
      <c r="C96" s="115" t="s">
        <v>379</v>
      </c>
      <c r="D96" s="115" t="s">
        <v>249</v>
      </c>
      <c r="E96" s="115" t="s">
        <v>509</v>
      </c>
      <c r="F96" s="115" t="s">
        <v>201</v>
      </c>
      <c r="G96" s="115" t="s">
        <v>491</v>
      </c>
      <c r="H96" s="115" t="s">
        <v>465</v>
      </c>
      <c r="I96" s="115" t="s">
        <v>605</v>
      </c>
      <c r="J96" s="116">
        <v>2.93</v>
      </c>
      <c r="K96" s="116" t="s">
        <v>255</v>
      </c>
      <c r="L96" s="115">
        <v>1.84E-2</v>
      </c>
      <c r="M96" s="115">
        <v>5.0199999999999995E-2</v>
      </c>
      <c r="N96" s="68">
        <v>338015.01333474874</v>
      </c>
      <c r="O96" s="60">
        <v>91.39</v>
      </c>
      <c r="P96" s="83">
        <v>3.1097381409999998</v>
      </c>
      <c r="Q96" s="83">
        <v>312.02166</v>
      </c>
      <c r="R96" s="24">
        <v>1.1267167111158292E-3</v>
      </c>
      <c r="S96" s="24">
        <v>4.8188787002298979E-3</v>
      </c>
      <c r="T96" s="24">
        <v>1.6708186492173569E-3</v>
      </c>
    </row>
    <row r="97" spans="1:20" x14ac:dyDescent="0.25">
      <c r="A97" s="16" t="s">
        <v>749</v>
      </c>
      <c r="B97" s="115" t="s">
        <v>750</v>
      </c>
      <c r="C97" s="115" t="s">
        <v>379</v>
      </c>
      <c r="D97" s="115" t="s">
        <v>249</v>
      </c>
      <c r="E97" s="115" t="s">
        <v>509</v>
      </c>
      <c r="F97" s="115" t="s">
        <v>201</v>
      </c>
      <c r="G97" s="115" t="s">
        <v>491</v>
      </c>
      <c r="H97" s="115" t="s">
        <v>465</v>
      </c>
      <c r="I97" s="115" t="s">
        <v>751</v>
      </c>
      <c r="J97" s="116">
        <v>6.46</v>
      </c>
      <c r="K97" s="116" t="s">
        <v>255</v>
      </c>
      <c r="L97" s="115">
        <v>2.98E-2</v>
      </c>
      <c r="M97" s="115">
        <v>5.4800000000000001E-2</v>
      </c>
      <c r="N97" s="68">
        <v>318497.82419835642</v>
      </c>
      <c r="O97" s="60">
        <v>86.29</v>
      </c>
      <c r="P97" s="83">
        <v>0</v>
      </c>
      <c r="Q97" s="83">
        <v>274.83177000000001</v>
      </c>
      <c r="R97" s="24">
        <v>8.1137224715401132E-4</v>
      </c>
      <c r="S97" s="24">
        <v>4.2445161101940243E-3</v>
      </c>
      <c r="T97" s="24">
        <v>1.4716736226370161E-3</v>
      </c>
    </row>
    <row r="98" spans="1:20" x14ac:dyDescent="0.25">
      <c r="A98" s="16" t="s">
        <v>787</v>
      </c>
      <c r="B98" s="115" t="s">
        <v>788</v>
      </c>
      <c r="C98" s="115" t="s">
        <v>379</v>
      </c>
      <c r="D98" s="115" t="s">
        <v>249</v>
      </c>
      <c r="E98" s="115" t="s">
        <v>509</v>
      </c>
      <c r="F98" s="115" t="s">
        <v>201</v>
      </c>
      <c r="G98" s="115" t="s">
        <v>491</v>
      </c>
      <c r="H98" s="115" t="s">
        <v>465</v>
      </c>
      <c r="I98" s="115" t="s">
        <v>789</v>
      </c>
      <c r="J98" s="116">
        <v>0</v>
      </c>
      <c r="K98" s="116" t="s">
        <v>255</v>
      </c>
      <c r="L98" s="115">
        <v>2.98E-2</v>
      </c>
      <c r="M98" s="115">
        <v>5.4199999999999998E-2</v>
      </c>
      <c r="N98" s="68">
        <v>340869.3930330039</v>
      </c>
      <c r="O98" s="60">
        <v>85.286278999999993</v>
      </c>
      <c r="P98" s="83">
        <v>0</v>
      </c>
      <c r="Q98" s="83">
        <v>290.71482000000003</v>
      </c>
      <c r="R98" s="24">
        <v>8.6836375132963775E-4</v>
      </c>
      <c r="S98" s="24">
        <v>4.4898147581779058E-3</v>
      </c>
      <c r="T98" s="24">
        <v>1.5567244365659331E-3</v>
      </c>
    </row>
    <row r="99" spans="1:20" x14ac:dyDescent="0.25">
      <c r="A99" s="16" t="s">
        <v>874</v>
      </c>
      <c r="B99" s="115" t="s">
        <v>875</v>
      </c>
      <c r="C99" s="115" t="s">
        <v>379</v>
      </c>
      <c r="D99" s="115" t="s">
        <v>249</v>
      </c>
      <c r="E99" s="115" t="s">
        <v>509</v>
      </c>
      <c r="F99" s="115" t="s">
        <v>201</v>
      </c>
      <c r="G99" s="115" t="s">
        <v>496</v>
      </c>
      <c r="H99" s="115" t="s">
        <v>465</v>
      </c>
      <c r="I99" s="115" t="s">
        <v>876</v>
      </c>
      <c r="J99" s="116">
        <v>7.71</v>
      </c>
      <c r="K99" s="116" t="s">
        <v>255</v>
      </c>
      <c r="L99" s="115">
        <v>5.28E-2</v>
      </c>
      <c r="M99" s="115">
        <v>5.5899999999999998E-2</v>
      </c>
      <c r="N99" s="68">
        <v>353436.11132282065</v>
      </c>
      <c r="O99" s="60">
        <v>98.56</v>
      </c>
      <c r="P99" s="83">
        <v>0</v>
      </c>
      <c r="Q99" s="83">
        <v>348.34663</v>
      </c>
      <c r="R99" s="24">
        <v>1.1781203710760689E-3</v>
      </c>
      <c r="S99" s="24">
        <v>5.3798834209261796E-3</v>
      </c>
      <c r="T99" s="24">
        <v>1.8653321881436642E-3</v>
      </c>
    </row>
    <row r="100" spans="1:20" x14ac:dyDescent="0.25">
      <c r="A100" s="16" t="s">
        <v>529</v>
      </c>
      <c r="B100" s="115" t="s">
        <v>530</v>
      </c>
      <c r="C100" s="115" t="s">
        <v>379</v>
      </c>
      <c r="D100" s="115" t="s">
        <v>249</v>
      </c>
      <c r="E100" s="115" t="s">
        <v>531</v>
      </c>
      <c r="F100" s="115" t="s">
        <v>201</v>
      </c>
      <c r="G100" s="115" t="s">
        <v>483</v>
      </c>
      <c r="H100" s="115" t="s">
        <v>465</v>
      </c>
      <c r="I100" s="115" t="s">
        <v>532</v>
      </c>
      <c r="J100" s="116">
        <v>1.96</v>
      </c>
      <c r="K100" s="116" t="s">
        <v>255</v>
      </c>
      <c r="L100" s="115">
        <v>2.9399999999999999E-2</v>
      </c>
      <c r="M100" s="115">
        <v>5.16E-2</v>
      </c>
      <c r="N100" s="68">
        <v>36919.038490298102</v>
      </c>
      <c r="O100" s="60">
        <v>95.88</v>
      </c>
      <c r="P100" s="83">
        <v>10.274874669000001</v>
      </c>
      <c r="Q100" s="83">
        <v>36.862000000000002</v>
      </c>
      <c r="R100" s="24">
        <v>2.3013664700772337E-4</v>
      </c>
      <c r="S100" s="24">
        <v>5.6929863986966321E-4</v>
      </c>
      <c r="T100" s="24">
        <v>1.9738923588654138E-4</v>
      </c>
    </row>
    <row r="101" spans="1:20" x14ac:dyDescent="0.25">
      <c r="A101" s="16" t="s">
        <v>780</v>
      </c>
      <c r="B101" s="115" t="s">
        <v>781</v>
      </c>
      <c r="C101" s="115" t="s">
        <v>379</v>
      </c>
      <c r="D101" s="115" t="s">
        <v>249</v>
      </c>
      <c r="E101" s="115" t="s">
        <v>782</v>
      </c>
      <c r="F101" s="115" t="s">
        <v>225</v>
      </c>
      <c r="G101" s="115" t="s">
        <v>663</v>
      </c>
      <c r="H101" s="115" t="s">
        <v>663</v>
      </c>
      <c r="I101" s="115" t="s">
        <v>783</v>
      </c>
      <c r="J101" s="116">
        <v>3.59</v>
      </c>
      <c r="K101" s="116" t="s">
        <v>255</v>
      </c>
      <c r="L101" s="115">
        <v>7.4999999999999997E-2</v>
      </c>
      <c r="M101" s="115">
        <v>6.6799999999999998E-2</v>
      </c>
      <c r="N101" s="68">
        <v>159151.78235036726</v>
      </c>
      <c r="O101" s="60">
        <v>106.86</v>
      </c>
      <c r="P101" s="83">
        <v>0</v>
      </c>
      <c r="Q101" s="83">
        <v>170.06959000000001</v>
      </c>
      <c r="R101" s="24">
        <v>5.7351174809665327E-4</v>
      </c>
      <c r="S101" s="24">
        <v>2.6265635687209399E-3</v>
      </c>
      <c r="T101" s="24">
        <v>9.1069140083656287E-4</v>
      </c>
    </row>
    <row r="102" spans="1:20" x14ac:dyDescent="0.25">
      <c r="A102" s="16" t="s">
        <v>784</v>
      </c>
      <c r="B102" s="115" t="s">
        <v>785</v>
      </c>
      <c r="C102" s="115" t="s">
        <v>379</v>
      </c>
      <c r="D102" s="115" t="s">
        <v>249</v>
      </c>
      <c r="E102" s="115" t="s">
        <v>782</v>
      </c>
      <c r="F102" s="115" t="s">
        <v>225</v>
      </c>
      <c r="G102" s="115" t="s">
        <v>663</v>
      </c>
      <c r="H102" s="115" t="s">
        <v>663</v>
      </c>
      <c r="I102" s="115" t="s">
        <v>786</v>
      </c>
      <c r="J102" s="116">
        <v>3.84</v>
      </c>
      <c r="K102" s="116" t="s">
        <v>255</v>
      </c>
      <c r="L102" s="115">
        <v>0.10539999999999999</v>
      </c>
      <c r="M102" s="115">
        <v>7.3399999999999993E-2</v>
      </c>
      <c r="N102" s="68">
        <v>156409.31726997645</v>
      </c>
      <c r="O102" s="60">
        <v>115.36</v>
      </c>
      <c r="P102" s="83">
        <v>0</v>
      </c>
      <c r="Q102" s="83">
        <v>180.43379000000002</v>
      </c>
      <c r="R102" s="24">
        <v>6.3840537661214879E-4</v>
      </c>
      <c r="S102" s="24">
        <v>2.7866288110663679E-3</v>
      </c>
      <c r="T102" s="24">
        <v>9.6618978721210659E-4</v>
      </c>
    </row>
    <row r="103" spans="1:20" x14ac:dyDescent="0.25">
      <c r="A103" s="16" t="s">
        <v>2128</v>
      </c>
      <c r="B103" s="115" t="s">
        <v>815</v>
      </c>
      <c r="C103" s="115" t="s">
        <v>379</v>
      </c>
      <c r="D103" s="115" t="s">
        <v>249</v>
      </c>
      <c r="E103" s="115" t="s">
        <v>816</v>
      </c>
      <c r="F103" s="115" t="s">
        <v>221</v>
      </c>
      <c r="G103" s="115" t="s">
        <v>478</v>
      </c>
      <c r="H103" s="115" t="s">
        <v>254</v>
      </c>
      <c r="I103" s="115" t="s">
        <v>817</v>
      </c>
      <c r="J103" s="116">
        <v>0</v>
      </c>
      <c r="K103" s="116" t="s">
        <v>255</v>
      </c>
      <c r="L103" s="115">
        <v>0.05</v>
      </c>
      <c r="M103" s="115">
        <v>6.0100000000000001E-2</v>
      </c>
      <c r="N103" s="68">
        <v>378743.77003667102</v>
      </c>
      <c r="O103" s="60">
        <v>96.151968999999994</v>
      </c>
      <c r="P103" s="83">
        <v>0</v>
      </c>
      <c r="Q103" s="83">
        <v>364.1696</v>
      </c>
      <c r="R103" s="24">
        <v>1.282442589769651E-3</v>
      </c>
      <c r="S103" s="24">
        <v>5.6242541902739758E-3</v>
      </c>
      <c r="T103" s="24">
        <v>1.950061284713456E-3</v>
      </c>
    </row>
    <row r="104" spans="1:20" x14ac:dyDescent="0.25">
      <c r="A104" s="16" t="s">
        <v>745</v>
      </c>
      <c r="B104" s="115" t="s">
        <v>746</v>
      </c>
      <c r="C104" s="115" t="s">
        <v>379</v>
      </c>
      <c r="D104" s="115" t="s">
        <v>249</v>
      </c>
      <c r="E104" s="115" t="s">
        <v>747</v>
      </c>
      <c r="F104" s="115" t="s">
        <v>224</v>
      </c>
      <c r="G104" s="115" t="s">
        <v>483</v>
      </c>
      <c r="H104" s="115" t="s">
        <v>465</v>
      </c>
      <c r="I104" s="115" t="s">
        <v>748</v>
      </c>
      <c r="J104" s="116">
        <v>6.57</v>
      </c>
      <c r="K104" s="116" t="s">
        <v>255</v>
      </c>
      <c r="L104" s="115">
        <v>2.7999999999999997E-2</v>
      </c>
      <c r="M104" s="115">
        <v>5.9699999999999996E-2</v>
      </c>
      <c r="N104" s="68">
        <v>510954.96642073872</v>
      </c>
      <c r="O104" s="60">
        <v>81.790000000000006</v>
      </c>
      <c r="P104" s="83">
        <v>17.581021825000001</v>
      </c>
      <c r="Q104" s="83">
        <v>426.96231</v>
      </c>
      <c r="R104" s="24">
        <v>9.220176533017801E-4</v>
      </c>
      <c r="S104" s="24">
        <v>6.5940280602954128E-3</v>
      </c>
      <c r="T104" s="24">
        <v>2.2863047073748738E-3</v>
      </c>
    </row>
    <row r="105" spans="1:20" x14ac:dyDescent="0.25">
      <c r="A105" s="16" t="s">
        <v>721</v>
      </c>
      <c r="B105" s="115" t="s">
        <v>722</v>
      </c>
      <c r="C105" s="115" t="s">
        <v>379</v>
      </c>
      <c r="D105" s="115" t="s">
        <v>249</v>
      </c>
      <c r="E105" s="115" t="s">
        <v>723</v>
      </c>
      <c r="F105" s="115" t="s">
        <v>224</v>
      </c>
      <c r="G105" s="115" t="s">
        <v>459</v>
      </c>
      <c r="H105" s="115" t="s">
        <v>254</v>
      </c>
      <c r="I105" s="115" t="s">
        <v>724</v>
      </c>
      <c r="J105" s="116">
        <v>3.04</v>
      </c>
      <c r="K105" s="116" t="s">
        <v>255</v>
      </c>
      <c r="L105" s="115">
        <v>3.49E-2</v>
      </c>
      <c r="M105" s="115">
        <v>7.17E-2</v>
      </c>
      <c r="N105" s="68">
        <v>851372.77280339983</v>
      </c>
      <c r="O105" s="60">
        <v>90.72</v>
      </c>
      <c r="P105" s="83">
        <v>0</v>
      </c>
      <c r="Q105" s="83">
        <v>772.36537999999996</v>
      </c>
      <c r="R105" s="24">
        <v>9.004449287883504E-4</v>
      </c>
      <c r="S105" s="24">
        <v>1.1928450987912094E-2</v>
      </c>
      <c r="T105" s="24">
        <v>4.1358746726552591E-3</v>
      </c>
    </row>
    <row r="106" spans="1:20" x14ac:dyDescent="0.25">
      <c r="A106" s="16" t="s">
        <v>2129</v>
      </c>
      <c r="B106" s="115" t="s">
        <v>836</v>
      </c>
      <c r="C106" s="115" t="s">
        <v>379</v>
      </c>
      <c r="D106" s="115" t="s">
        <v>249</v>
      </c>
      <c r="E106" s="115" t="s">
        <v>723</v>
      </c>
      <c r="F106" s="115" t="s">
        <v>224</v>
      </c>
      <c r="G106" s="115" t="s">
        <v>459</v>
      </c>
      <c r="H106" s="115" t="s">
        <v>254</v>
      </c>
      <c r="I106" s="115" t="s">
        <v>837</v>
      </c>
      <c r="J106" s="116">
        <v>0</v>
      </c>
      <c r="K106" s="116" t="s">
        <v>255</v>
      </c>
      <c r="L106" s="115">
        <v>3.49E-2</v>
      </c>
      <c r="M106" s="115">
        <v>7.1099999999999997E-2</v>
      </c>
      <c r="N106" s="68">
        <v>227246.2620220026</v>
      </c>
      <c r="O106" s="60">
        <v>88.403514999999999</v>
      </c>
      <c r="P106" s="83">
        <v>0</v>
      </c>
      <c r="Q106" s="83">
        <v>200.89367999999999</v>
      </c>
      <c r="R106" s="24">
        <v>2.4034447748433308E-4</v>
      </c>
      <c r="S106" s="24">
        <v>3.1026124133907919E-3</v>
      </c>
      <c r="T106" s="24">
        <v>1.0757487382571579E-3</v>
      </c>
    </row>
    <row r="107" spans="1:20" x14ac:dyDescent="0.25">
      <c r="A107" s="16" t="s">
        <v>776</v>
      </c>
      <c r="B107" s="115" t="s">
        <v>777</v>
      </c>
      <c r="C107" s="115" t="s">
        <v>379</v>
      </c>
      <c r="D107" s="115" t="s">
        <v>249</v>
      </c>
      <c r="E107" s="115" t="s">
        <v>778</v>
      </c>
      <c r="F107" s="115" t="s">
        <v>206</v>
      </c>
      <c r="G107" s="115" t="s">
        <v>478</v>
      </c>
      <c r="H107" s="115" t="s">
        <v>254</v>
      </c>
      <c r="I107" s="115" t="s">
        <v>779</v>
      </c>
      <c r="J107" s="116">
        <v>4.0599999999999996</v>
      </c>
      <c r="K107" s="116" t="s">
        <v>255</v>
      </c>
      <c r="L107" s="115">
        <v>4.7300000000000002E-2</v>
      </c>
      <c r="M107" s="115">
        <v>6.0199999999999997E-2</v>
      </c>
      <c r="N107" s="68">
        <v>317090.45779815258</v>
      </c>
      <c r="O107" s="60">
        <v>96.34</v>
      </c>
      <c r="P107" s="83">
        <v>0</v>
      </c>
      <c r="Q107" s="83">
        <v>305.48495000000003</v>
      </c>
      <c r="R107" s="24">
        <v>8.0293343579796307E-4</v>
      </c>
      <c r="S107" s="24">
        <v>4.7179254119595268E-3</v>
      </c>
      <c r="T107" s="24">
        <v>1.6358157684156667E-3</v>
      </c>
    </row>
    <row r="108" spans="1:20" x14ac:dyDescent="0.25">
      <c r="A108" s="16" t="s">
        <v>561</v>
      </c>
      <c r="B108" s="115" t="s">
        <v>562</v>
      </c>
      <c r="C108" s="115" t="s">
        <v>379</v>
      </c>
      <c r="D108" s="115" t="s">
        <v>249</v>
      </c>
      <c r="E108" s="115" t="s">
        <v>563</v>
      </c>
      <c r="F108" s="115" t="s">
        <v>223</v>
      </c>
      <c r="G108" s="115" t="s">
        <v>564</v>
      </c>
      <c r="H108" s="115" t="s">
        <v>465</v>
      </c>
      <c r="I108" s="115" t="s">
        <v>565</v>
      </c>
      <c r="J108" s="116">
        <v>2.4</v>
      </c>
      <c r="K108" s="116" t="s">
        <v>255</v>
      </c>
      <c r="L108" s="115">
        <v>1.44E-2</v>
      </c>
      <c r="M108" s="115">
        <v>5.1399999999999994E-2</v>
      </c>
      <c r="N108" s="68">
        <v>499417.88124946761</v>
      </c>
      <c r="O108" s="60">
        <v>91.68</v>
      </c>
      <c r="P108" s="83">
        <v>53.537596869999994</v>
      </c>
      <c r="Q108" s="83">
        <v>465.61728000000005</v>
      </c>
      <c r="R108" s="24">
        <v>1.1098175138877057E-3</v>
      </c>
      <c r="S108" s="24">
        <v>7.1910174218385373E-3</v>
      </c>
      <c r="T108" s="24">
        <v>2.4932949681181105E-3</v>
      </c>
    </row>
    <row r="109" spans="1:20" x14ac:dyDescent="0.25">
      <c r="A109" s="16" t="s">
        <v>614</v>
      </c>
      <c r="B109" s="115" t="s">
        <v>615</v>
      </c>
      <c r="C109" s="115" t="s">
        <v>379</v>
      </c>
      <c r="D109" s="115" t="s">
        <v>249</v>
      </c>
      <c r="E109" s="115" t="s">
        <v>477</v>
      </c>
      <c r="F109" s="115" t="s">
        <v>225</v>
      </c>
      <c r="G109" s="115" t="s">
        <v>478</v>
      </c>
      <c r="H109" s="115" t="s">
        <v>254</v>
      </c>
      <c r="I109" s="115" t="s">
        <v>616</v>
      </c>
      <c r="J109" s="116">
        <v>4.68</v>
      </c>
      <c r="K109" s="116" t="s">
        <v>255</v>
      </c>
      <c r="L109" s="115">
        <v>2.4300000000000002E-2</v>
      </c>
      <c r="M109" s="115">
        <v>5.5E-2</v>
      </c>
      <c r="N109" s="68">
        <v>540725.85246537952</v>
      </c>
      <c r="O109" s="60">
        <v>87.67</v>
      </c>
      <c r="P109" s="83">
        <v>0</v>
      </c>
      <c r="Q109" s="83">
        <v>474.05435</v>
      </c>
      <c r="R109" s="24">
        <v>3.6919316848822356E-4</v>
      </c>
      <c r="S109" s="24">
        <v>7.3213199685122155E-3</v>
      </c>
      <c r="T109" s="24">
        <v>2.5384739274914832E-3</v>
      </c>
    </row>
    <row r="110" spans="1:20" x14ac:dyDescent="0.25">
      <c r="A110" s="16" t="s">
        <v>893</v>
      </c>
      <c r="B110" s="115" t="s">
        <v>894</v>
      </c>
      <c r="C110" s="115" t="s">
        <v>379</v>
      </c>
      <c r="D110" s="115" t="s">
        <v>249</v>
      </c>
      <c r="E110" s="115" t="s">
        <v>477</v>
      </c>
      <c r="F110" s="115" t="s">
        <v>225</v>
      </c>
      <c r="G110" s="115" t="s">
        <v>478</v>
      </c>
      <c r="H110" s="115" t="s">
        <v>254</v>
      </c>
      <c r="I110" s="115" t="s">
        <v>895</v>
      </c>
      <c r="J110" s="116">
        <v>0.66</v>
      </c>
      <c r="K110" s="116" t="s">
        <v>255</v>
      </c>
      <c r="L110" s="115">
        <v>6.3999999761581425E-2</v>
      </c>
      <c r="M110" s="115">
        <v>5.8099999999999999E-2</v>
      </c>
      <c r="N110" s="68">
        <v>189451.71367598244</v>
      </c>
      <c r="O110" s="60">
        <v>100.97</v>
      </c>
      <c r="P110" s="83">
        <v>0</v>
      </c>
      <c r="Q110" s="83">
        <v>191.2894</v>
      </c>
      <c r="R110" s="24">
        <v>2.7275017052955558E-4</v>
      </c>
      <c r="S110" s="24">
        <v>2.954283414939069E-3</v>
      </c>
      <c r="T110" s="24">
        <v>1.0243195838314516E-3</v>
      </c>
    </row>
    <row r="111" spans="1:20" x14ac:dyDescent="0.25">
      <c r="A111" s="16" t="s">
        <v>648</v>
      </c>
      <c r="B111" s="115" t="s">
        <v>649</v>
      </c>
      <c r="C111" s="115" t="s">
        <v>379</v>
      </c>
      <c r="D111" s="115" t="s">
        <v>249</v>
      </c>
      <c r="E111" s="115" t="s">
        <v>650</v>
      </c>
      <c r="F111" s="115" t="s">
        <v>205</v>
      </c>
      <c r="G111" s="115" t="s">
        <v>496</v>
      </c>
      <c r="H111" s="115" t="s">
        <v>465</v>
      </c>
      <c r="I111" s="115" t="s">
        <v>651</v>
      </c>
      <c r="J111" s="116">
        <v>3.74</v>
      </c>
      <c r="K111" s="116" t="s">
        <v>255</v>
      </c>
      <c r="L111" s="115">
        <v>3.1600000000000003E-2</v>
      </c>
      <c r="M111" s="115">
        <v>6.83E-2</v>
      </c>
      <c r="N111" s="68">
        <v>629193.68830604968</v>
      </c>
      <c r="O111" s="60">
        <v>86.050000000000011</v>
      </c>
      <c r="P111" s="83">
        <v>0</v>
      </c>
      <c r="Q111" s="83">
        <v>541.42117000000007</v>
      </c>
      <c r="R111" s="24">
        <v>8.1164313957578509E-4</v>
      </c>
      <c r="S111" s="24">
        <v>8.3617366306126019E-3</v>
      </c>
      <c r="T111" s="24">
        <v>2.8992108686207267E-3</v>
      </c>
    </row>
    <row r="112" spans="1:20" x14ac:dyDescent="0.25">
      <c r="A112" s="16" t="s">
        <v>2130</v>
      </c>
      <c r="B112" s="115" t="s">
        <v>802</v>
      </c>
      <c r="C112" s="115" t="s">
        <v>379</v>
      </c>
      <c r="D112" s="115" t="s">
        <v>249</v>
      </c>
      <c r="E112" s="115" t="s">
        <v>650</v>
      </c>
      <c r="F112" s="115" t="s">
        <v>205</v>
      </c>
      <c r="G112" s="115" t="s">
        <v>803</v>
      </c>
      <c r="H112" s="115" t="s">
        <v>465</v>
      </c>
      <c r="I112" s="115" t="s">
        <v>804</v>
      </c>
      <c r="J112" s="116">
        <v>0</v>
      </c>
      <c r="K112" s="116" t="s">
        <v>255</v>
      </c>
      <c r="L112" s="115">
        <v>4.2500000000000003E-2</v>
      </c>
      <c r="M112" s="115">
        <v>6.1200000000000004E-2</v>
      </c>
      <c r="N112" s="68">
        <v>331423.87450376415</v>
      </c>
      <c r="O112" s="60">
        <v>95.776893999999999</v>
      </c>
      <c r="P112" s="83">
        <v>0</v>
      </c>
      <c r="Q112" s="83">
        <v>317.42750000000001</v>
      </c>
      <c r="R112" s="24">
        <v>7.8470574646536631E-4</v>
      </c>
      <c r="S112" s="24">
        <v>4.9023667735670212E-3</v>
      </c>
      <c r="T112" s="24">
        <v>1.6997659289885278E-3</v>
      </c>
    </row>
    <row r="113" spans="1:20" x14ac:dyDescent="0.25">
      <c r="A113" s="16" t="s">
        <v>640</v>
      </c>
      <c r="B113" s="115" t="s">
        <v>641</v>
      </c>
      <c r="C113" s="115" t="s">
        <v>379</v>
      </c>
      <c r="D113" s="115" t="s">
        <v>249</v>
      </c>
      <c r="E113" s="115" t="s">
        <v>642</v>
      </c>
      <c r="F113" s="115" t="s">
        <v>224</v>
      </c>
      <c r="G113" s="115" t="s">
        <v>551</v>
      </c>
      <c r="H113" s="115" t="s">
        <v>465</v>
      </c>
      <c r="I113" s="115" t="s">
        <v>643</v>
      </c>
      <c r="J113" s="116">
        <v>2.16</v>
      </c>
      <c r="K113" s="116" t="s">
        <v>255</v>
      </c>
      <c r="L113" s="115">
        <v>5.0499999999999996E-2</v>
      </c>
      <c r="M113" s="115">
        <v>5.9200000000000003E-2</v>
      </c>
      <c r="N113" s="68">
        <v>72305.805657205754</v>
      </c>
      <c r="O113" s="60">
        <v>98.22</v>
      </c>
      <c r="P113" s="83">
        <v>8.1839538609999991</v>
      </c>
      <c r="Q113" s="83">
        <v>72.936350000000004</v>
      </c>
      <c r="R113" s="24">
        <v>3.731912550049329E-4</v>
      </c>
      <c r="S113" s="24">
        <v>1.1264327722873885E-3</v>
      </c>
      <c r="T113" s="24">
        <v>3.9056075076917537E-4</v>
      </c>
    </row>
    <row r="114" spans="1:20" x14ac:dyDescent="0.25">
      <c r="A114" s="16" t="s">
        <v>790</v>
      </c>
      <c r="B114" s="115" t="s">
        <v>791</v>
      </c>
      <c r="C114" s="115" t="s">
        <v>379</v>
      </c>
      <c r="D114" s="115" t="s">
        <v>249</v>
      </c>
      <c r="E114" s="115" t="s">
        <v>642</v>
      </c>
      <c r="F114" s="115" t="s">
        <v>224</v>
      </c>
      <c r="G114" s="115" t="s">
        <v>551</v>
      </c>
      <c r="H114" s="115" t="s">
        <v>465</v>
      </c>
      <c r="I114" s="115" t="s">
        <v>792</v>
      </c>
      <c r="J114" s="116">
        <v>0</v>
      </c>
      <c r="K114" s="116" t="s">
        <v>255</v>
      </c>
      <c r="L114" s="115">
        <v>3.5000000000000003E-2</v>
      </c>
      <c r="M114" s="115">
        <v>6.59E-2</v>
      </c>
      <c r="N114" s="68">
        <v>176747.08561389608</v>
      </c>
      <c r="O114" s="60">
        <v>96.731955999999997</v>
      </c>
      <c r="P114" s="83">
        <v>0</v>
      </c>
      <c r="Q114" s="83">
        <v>170.97091</v>
      </c>
      <c r="R114" s="24">
        <v>6.1460145216599236E-4</v>
      </c>
      <c r="S114" s="24">
        <v>2.6404836015484403E-3</v>
      </c>
      <c r="T114" s="24">
        <v>9.1551780380138453E-4</v>
      </c>
    </row>
    <row r="115" spans="1:20" x14ac:dyDescent="0.25">
      <c r="A115" s="16" t="s">
        <v>864</v>
      </c>
      <c r="B115" s="115" t="s">
        <v>865</v>
      </c>
      <c r="C115" s="115" t="s">
        <v>379</v>
      </c>
      <c r="D115" s="115" t="s">
        <v>249</v>
      </c>
      <c r="E115" s="115" t="s">
        <v>642</v>
      </c>
      <c r="F115" s="115" t="s">
        <v>224</v>
      </c>
      <c r="G115" s="115" t="s">
        <v>551</v>
      </c>
      <c r="H115" s="115" t="s">
        <v>465</v>
      </c>
      <c r="I115" s="115" t="s">
        <v>866</v>
      </c>
      <c r="J115" s="116">
        <v>4.13</v>
      </c>
      <c r="K115" s="116" t="s">
        <v>255</v>
      </c>
      <c r="L115" s="115">
        <v>6.3700000000000007E-2</v>
      </c>
      <c r="M115" s="115">
        <v>6.83E-2</v>
      </c>
      <c r="N115" s="68">
        <v>340869.3930330039</v>
      </c>
      <c r="O115" s="60">
        <v>99.36</v>
      </c>
      <c r="P115" s="83">
        <v>0</v>
      </c>
      <c r="Q115" s="83">
        <v>338.68783000000002</v>
      </c>
      <c r="R115" s="24">
        <v>1.7316023867321841E-3</v>
      </c>
      <c r="S115" s="24">
        <v>5.2307124127667446E-3</v>
      </c>
      <c r="T115" s="24">
        <v>1.8136110891370742E-3</v>
      </c>
    </row>
    <row r="116" spans="1:20" x14ac:dyDescent="0.25">
      <c r="A116" s="16" t="s">
        <v>765</v>
      </c>
      <c r="B116" s="115" t="s">
        <v>766</v>
      </c>
      <c r="C116" s="115" t="s">
        <v>379</v>
      </c>
      <c r="D116" s="115" t="s">
        <v>249</v>
      </c>
      <c r="E116" s="115" t="s">
        <v>767</v>
      </c>
      <c r="F116" s="115" t="s">
        <v>226</v>
      </c>
      <c r="G116" s="115" t="s">
        <v>496</v>
      </c>
      <c r="H116" s="115" t="s">
        <v>465</v>
      </c>
      <c r="I116" s="115" t="s">
        <v>768</v>
      </c>
      <c r="J116" s="116">
        <v>3.12</v>
      </c>
      <c r="K116" s="116" t="s">
        <v>255</v>
      </c>
      <c r="L116" s="115">
        <v>4.6600000000000003E-2</v>
      </c>
      <c r="M116" s="115">
        <v>6.6699999999999995E-2</v>
      </c>
      <c r="N116" s="68">
        <v>219343.47784004683</v>
      </c>
      <c r="O116" s="60">
        <v>95.03</v>
      </c>
      <c r="P116" s="83">
        <v>0</v>
      </c>
      <c r="Q116" s="83">
        <v>208.44210999999999</v>
      </c>
      <c r="R116" s="24">
        <v>3.1334782548578119E-4</v>
      </c>
      <c r="S116" s="24">
        <v>3.2191907578146255E-3</v>
      </c>
      <c r="T116" s="24">
        <v>1.1161691937355109E-3</v>
      </c>
    </row>
    <row r="117" spans="1:20" x14ac:dyDescent="0.25">
      <c r="A117" s="16" t="s">
        <v>502</v>
      </c>
      <c r="B117" s="115" t="s">
        <v>503</v>
      </c>
      <c r="C117" s="115" t="s">
        <v>379</v>
      </c>
      <c r="D117" s="115" t="s">
        <v>249</v>
      </c>
      <c r="E117" s="115" t="s">
        <v>504</v>
      </c>
      <c r="F117" s="115" t="s">
        <v>226</v>
      </c>
      <c r="G117" s="115" t="s">
        <v>505</v>
      </c>
      <c r="H117" s="115" t="s">
        <v>254</v>
      </c>
      <c r="I117" s="115" t="s">
        <v>506</v>
      </c>
      <c r="J117" s="116">
        <v>1.08</v>
      </c>
      <c r="K117" s="116" t="s">
        <v>255</v>
      </c>
      <c r="L117" s="115">
        <v>4.2000000000000003E-2</v>
      </c>
      <c r="M117" s="115">
        <v>5.74E-2</v>
      </c>
      <c r="N117" s="68">
        <v>70762.888982670876</v>
      </c>
      <c r="O117" s="60">
        <v>100.05999999999999</v>
      </c>
      <c r="P117" s="83">
        <v>0</v>
      </c>
      <c r="Q117" s="83">
        <v>70.805350000000004</v>
      </c>
      <c r="R117" s="24">
        <v>2.9311792909897204E-4</v>
      </c>
      <c r="S117" s="24">
        <v>1.0935214977617997E-3</v>
      </c>
      <c r="T117" s="24">
        <v>3.7914963738210414E-4</v>
      </c>
    </row>
    <row r="118" spans="1:20" x14ac:dyDescent="0.25">
      <c r="A118" s="16" t="s">
        <v>818</v>
      </c>
      <c r="B118" s="115" t="s">
        <v>819</v>
      </c>
      <c r="C118" s="115" t="s">
        <v>379</v>
      </c>
      <c r="D118" s="115" t="s">
        <v>249</v>
      </c>
      <c r="E118" s="115" t="s">
        <v>504</v>
      </c>
      <c r="F118" s="115" t="s">
        <v>226</v>
      </c>
      <c r="G118" s="115" t="s">
        <v>505</v>
      </c>
      <c r="H118" s="115" t="s">
        <v>254</v>
      </c>
      <c r="I118" s="115" t="s">
        <v>820</v>
      </c>
      <c r="J118" s="116">
        <v>2.5499999999999998</v>
      </c>
      <c r="K118" s="116" t="s">
        <v>255</v>
      </c>
      <c r="L118" s="115">
        <v>4.2999999999999997E-2</v>
      </c>
      <c r="M118" s="115">
        <v>6.1100000000000002E-2</v>
      </c>
      <c r="N118" s="68">
        <v>513195.04440340423</v>
      </c>
      <c r="O118" s="60">
        <v>96.610000000000014</v>
      </c>
      <c r="P118" s="83">
        <v>0</v>
      </c>
      <c r="Q118" s="83">
        <v>495.79773</v>
      </c>
      <c r="R118" s="24">
        <v>4.6228153779907279E-4</v>
      </c>
      <c r="S118" s="24">
        <v>7.6571258569656155E-3</v>
      </c>
      <c r="T118" s="24">
        <v>2.6549057316201442E-3</v>
      </c>
    </row>
    <row r="119" spans="1:20" x14ac:dyDescent="0.25">
      <c r="A119" s="16" t="s">
        <v>805</v>
      </c>
      <c r="B119" s="115" t="s">
        <v>806</v>
      </c>
      <c r="C119" s="115" t="s">
        <v>379</v>
      </c>
      <c r="D119" s="115" t="s">
        <v>249</v>
      </c>
      <c r="E119" s="115" t="s">
        <v>807</v>
      </c>
      <c r="F119" s="115" t="s">
        <v>215</v>
      </c>
      <c r="G119" s="115" t="s">
        <v>803</v>
      </c>
      <c r="H119" s="115" t="s">
        <v>465</v>
      </c>
      <c r="I119" s="115" t="s">
        <v>387</v>
      </c>
      <c r="J119" s="116">
        <v>3.53</v>
      </c>
      <c r="K119" s="116" t="s">
        <v>255</v>
      </c>
      <c r="L119" s="115">
        <v>6.7599999999999993E-2</v>
      </c>
      <c r="M119" s="115">
        <v>6.4399999999999999E-2</v>
      </c>
      <c r="N119" s="68">
        <v>365230.02567450376</v>
      </c>
      <c r="O119" s="60">
        <v>102.47</v>
      </c>
      <c r="P119" s="83">
        <v>0</v>
      </c>
      <c r="Q119" s="83">
        <v>374.25121000000001</v>
      </c>
      <c r="R119" s="24">
        <v>2.0870287181400216E-4</v>
      </c>
      <c r="S119" s="24">
        <v>5.7799550980027056E-3</v>
      </c>
      <c r="T119" s="24">
        <v>2.0040464535704392E-3</v>
      </c>
    </row>
    <row r="120" spans="1:20" x14ac:dyDescent="0.25">
      <c r="A120" s="16" t="s">
        <v>877</v>
      </c>
      <c r="B120" s="115" t="s">
        <v>878</v>
      </c>
      <c r="C120" s="115" t="s">
        <v>379</v>
      </c>
      <c r="D120" s="115" t="s">
        <v>249</v>
      </c>
      <c r="E120" s="115" t="s">
        <v>807</v>
      </c>
      <c r="F120" s="115" t="s">
        <v>215</v>
      </c>
      <c r="G120" s="115" t="s">
        <v>496</v>
      </c>
      <c r="H120" s="115" t="s">
        <v>465</v>
      </c>
      <c r="I120" s="115" t="s">
        <v>876</v>
      </c>
      <c r="J120" s="116">
        <v>4.6399999999999997</v>
      </c>
      <c r="K120" s="116" t="s">
        <v>255</v>
      </c>
      <c r="L120" s="115">
        <v>6.5199999999999994E-2</v>
      </c>
      <c r="M120" s="115">
        <v>6.7599999999999993E-2</v>
      </c>
      <c r="N120" s="68">
        <v>648409.3343027808</v>
      </c>
      <c r="O120" s="60">
        <v>99.76</v>
      </c>
      <c r="P120" s="83">
        <v>0</v>
      </c>
      <c r="Q120" s="83">
        <v>646.85315000000003</v>
      </c>
      <c r="R120" s="24">
        <v>7.9375257445948215E-4</v>
      </c>
      <c r="S120" s="24">
        <v>9.9900335980252636E-3</v>
      </c>
      <c r="T120" s="24">
        <v>3.4637797463323299E-3</v>
      </c>
    </row>
    <row r="121" spans="1:20" x14ac:dyDescent="0.25">
      <c r="A121" s="16" t="s">
        <v>697</v>
      </c>
      <c r="B121" s="115" t="s">
        <v>698</v>
      </c>
      <c r="C121" s="115" t="s">
        <v>379</v>
      </c>
      <c r="D121" s="115" t="s">
        <v>249</v>
      </c>
      <c r="E121" s="115" t="s">
        <v>699</v>
      </c>
      <c r="F121" s="115" t="s">
        <v>234</v>
      </c>
      <c r="G121" s="115" t="s">
        <v>551</v>
      </c>
      <c r="H121" s="115" t="s">
        <v>465</v>
      </c>
      <c r="I121" s="115" t="s">
        <v>700</v>
      </c>
      <c r="J121" s="116">
        <v>0.39</v>
      </c>
      <c r="K121" s="116" t="s">
        <v>255</v>
      </c>
      <c r="L121" s="115">
        <v>0.02</v>
      </c>
      <c r="M121" s="115">
        <v>8.5900000000000004E-2</v>
      </c>
      <c r="N121" s="68">
        <v>144271.26360304735</v>
      </c>
      <c r="O121" s="60">
        <v>97.59</v>
      </c>
      <c r="P121" s="83">
        <v>48.811777473399999</v>
      </c>
      <c r="Q121" s="83">
        <v>142.67466000000002</v>
      </c>
      <c r="R121" s="24">
        <v>9.754596831449599E-4</v>
      </c>
      <c r="S121" s="24">
        <v>2.2034748489465207E-3</v>
      </c>
      <c r="T121" s="24">
        <v>7.639965850407491E-4</v>
      </c>
    </row>
    <row r="122" spans="1:20" x14ac:dyDescent="0.25">
      <c r="A122" s="16" t="s">
        <v>680</v>
      </c>
      <c r="B122" s="115" t="s">
        <v>681</v>
      </c>
      <c r="C122" s="115" t="s">
        <v>379</v>
      </c>
      <c r="D122" s="115" t="s">
        <v>249</v>
      </c>
      <c r="E122" s="115" t="s">
        <v>682</v>
      </c>
      <c r="F122" s="115" t="s">
        <v>226</v>
      </c>
      <c r="G122" s="115" t="s">
        <v>496</v>
      </c>
      <c r="H122" s="115" t="s">
        <v>465</v>
      </c>
      <c r="I122" s="115" t="s">
        <v>683</v>
      </c>
      <c r="J122" s="116">
        <v>3.16</v>
      </c>
      <c r="K122" s="116" t="s">
        <v>255</v>
      </c>
      <c r="L122" s="115">
        <v>2.5000000000000001E-2</v>
      </c>
      <c r="M122" s="115">
        <v>6.6199999999999995E-2</v>
      </c>
      <c r="N122" s="68">
        <v>222526.35738705186</v>
      </c>
      <c r="O122" s="60">
        <v>88.69</v>
      </c>
      <c r="P122" s="83">
        <v>0</v>
      </c>
      <c r="Q122" s="83">
        <v>197.35863000000001</v>
      </c>
      <c r="R122" s="24">
        <v>1.0551488597778517E-3</v>
      </c>
      <c r="S122" s="24">
        <v>3.0480169178433106E-3</v>
      </c>
      <c r="T122" s="24">
        <v>1.0568191951417351E-3</v>
      </c>
    </row>
    <row r="123" spans="1:20" x14ac:dyDescent="0.25">
      <c r="A123" s="16" t="s">
        <v>581</v>
      </c>
      <c r="B123" s="115" t="s">
        <v>582</v>
      </c>
      <c r="C123" s="115" t="s">
        <v>379</v>
      </c>
      <c r="D123" s="115" t="s">
        <v>249</v>
      </c>
      <c r="E123" s="115" t="s">
        <v>583</v>
      </c>
      <c r="F123" s="115" t="s">
        <v>203</v>
      </c>
      <c r="G123" s="115" t="s">
        <v>584</v>
      </c>
      <c r="H123" s="115" t="s">
        <v>254</v>
      </c>
      <c r="I123" s="115" t="s">
        <v>585</v>
      </c>
      <c r="J123" s="116">
        <v>2.5299999999999998</v>
      </c>
      <c r="K123" s="116" t="s">
        <v>255</v>
      </c>
      <c r="L123" s="115">
        <v>2.4E-2</v>
      </c>
      <c r="M123" s="115">
        <v>5.79E-2</v>
      </c>
      <c r="N123" s="68">
        <v>255468.49516621386</v>
      </c>
      <c r="O123" s="60">
        <v>91.98</v>
      </c>
      <c r="P123" s="83">
        <v>0</v>
      </c>
      <c r="Q123" s="83">
        <v>234.97992000000002</v>
      </c>
      <c r="R123" s="24">
        <v>3.042697451256358E-4</v>
      </c>
      <c r="S123" s="24">
        <v>3.6290420718540039E-3</v>
      </c>
      <c r="T123" s="24">
        <v>1.2582742894438888E-3</v>
      </c>
    </row>
    <row r="124" spans="1:20" x14ac:dyDescent="0.25">
      <c r="A124" s="16" t="s">
        <v>688</v>
      </c>
      <c r="B124" s="115" t="s">
        <v>689</v>
      </c>
      <c r="C124" s="115" t="s">
        <v>379</v>
      </c>
      <c r="D124" s="115" t="s">
        <v>249</v>
      </c>
      <c r="E124" s="115" t="s">
        <v>583</v>
      </c>
      <c r="F124" s="115" t="s">
        <v>203</v>
      </c>
      <c r="G124" s="115" t="s">
        <v>584</v>
      </c>
      <c r="H124" s="115" t="s">
        <v>254</v>
      </c>
      <c r="I124" s="115" t="s">
        <v>651</v>
      </c>
      <c r="J124" s="116">
        <v>2.48</v>
      </c>
      <c r="K124" s="116" t="s">
        <v>255</v>
      </c>
      <c r="L124" s="115">
        <v>2.1499999999999998E-2</v>
      </c>
      <c r="M124" s="115">
        <v>5.7599999999999998E-2</v>
      </c>
      <c r="N124" s="68">
        <v>247940.9889458039</v>
      </c>
      <c r="O124" s="60">
        <v>91.65</v>
      </c>
      <c r="P124" s="83">
        <v>13.122536965</v>
      </c>
      <c r="Q124" s="83">
        <v>229.55504999999999</v>
      </c>
      <c r="R124" s="24">
        <v>2.8537038034778193E-4</v>
      </c>
      <c r="S124" s="24">
        <v>3.5452600982098783E-3</v>
      </c>
      <c r="T124" s="24">
        <v>1.2292251075198524E-3</v>
      </c>
    </row>
    <row r="125" spans="1:20" x14ac:dyDescent="0.25">
      <c r="A125" s="16" t="s">
        <v>811</v>
      </c>
      <c r="B125" s="115" t="s">
        <v>812</v>
      </c>
      <c r="C125" s="115" t="s">
        <v>379</v>
      </c>
      <c r="D125" s="115" t="s">
        <v>249</v>
      </c>
      <c r="E125" s="115" t="s">
        <v>813</v>
      </c>
      <c r="F125" s="115" t="s">
        <v>226</v>
      </c>
      <c r="G125" s="115" t="s">
        <v>505</v>
      </c>
      <c r="H125" s="115" t="s">
        <v>254</v>
      </c>
      <c r="I125" s="115" t="s">
        <v>814</v>
      </c>
      <c r="J125" s="116">
        <v>3.67</v>
      </c>
      <c r="K125" s="116" t="s">
        <v>255</v>
      </c>
      <c r="L125" s="115">
        <v>5.3399999999999996E-2</v>
      </c>
      <c r="M125" s="115">
        <v>6.3200000000000006E-2</v>
      </c>
      <c r="N125" s="68">
        <v>241600.65090639243</v>
      </c>
      <c r="O125" s="60">
        <v>98.56</v>
      </c>
      <c r="P125" s="83">
        <v>0</v>
      </c>
      <c r="Q125" s="83">
        <v>238.1216</v>
      </c>
      <c r="R125" s="24">
        <v>6.0400162726598108E-4</v>
      </c>
      <c r="S125" s="24">
        <v>3.6775623407191149E-3</v>
      </c>
      <c r="T125" s="24">
        <v>1.2750974084987426E-3</v>
      </c>
    </row>
    <row r="126" spans="1:20" x14ac:dyDescent="0.25">
      <c r="A126" s="16" t="s">
        <v>553</v>
      </c>
      <c r="B126" s="115" t="s">
        <v>554</v>
      </c>
      <c r="C126" s="115" t="s">
        <v>379</v>
      </c>
      <c r="D126" s="115" t="s">
        <v>249</v>
      </c>
      <c r="E126" s="115" t="s">
        <v>555</v>
      </c>
      <c r="F126" s="115" t="s">
        <v>204</v>
      </c>
      <c r="G126" s="115" t="s">
        <v>459</v>
      </c>
      <c r="H126" s="115" t="s">
        <v>254</v>
      </c>
      <c r="I126" s="115" t="s">
        <v>403</v>
      </c>
      <c r="J126" s="116">
        <v>1.43</v>
      </c>
      <c r="K126" s="116" t="s">
        <v>255</v>
      </c>
      <c r="L126" s="115">
        <v>2.7000000000000003E-2</v>
      </c>
      <c r="M126" s="115">
        <v>5.7200000000000001E-2</v>
      </c>
      <c r="N126" s="68">
        <v>75073.838744777924</v>
      </c>
      <c r="O126" s="60">
        <v>96.02</v>
      </c>
      <c r="P126" s="83">
        <v>0</v>
      </c>
      <c r="Q126" s="83">
        <v>72.085899999999995</v>
      </c>
      <c r="R126" s="24">
        <v>4.3640979713660246E-4</v>
      </c>
      <c r="S126" s="24">
        <v>1.1132983783782907E-3</v>
      </c>
      <c r="T126" s="24">
        <v>3.8600674730599621E-4</v>
      </c>
    </row>
    <row r="127" spans="1:20" x14ac:dyDescent="0.25">
      <c r="A127" s="16" t="s">
        <v>536</v>
      </c>
      <c r="B127" s="115" t="s">
        <v>537</v>
      </c>
      <c r="C127" s="115" t="s">
        <v>379</v>
      </c>
      <c r="D127" s="115" t="s">
        <v>249</v>
      </c>
      <c r="E127" s="115" t="s">
        <v>538</v>
      </c>
      <c r="F127" s="115" t="s">
        <v>235</v>
      </c>
      <c r="G127" s="115" t="s">
        <v>459</v>
      </c>
      <c r="H127" s="115" t="s">
        <v>254</v>
      </c>
      <c r="I127" s="115" t="s">
        <v>539</v>
      </c>
      <c r="J127" s="116">
        <v>3.26</v>
      </c>
      <c r="K127" s="116" t="s">
        <v>255</v>
      </c>
      <c r="L127" s="115">
        <v>5.0900000000000001E-2</v>
      </c>
      <c r="M127" s="115">
        <v>4.9699999999999994E-2</v>
      </c>
      <c r="N127" s="68">
        <v>222438.10455897427</v>
      </c>
      <c r="O127" s="60">
        <v>100.22</v>
      </c>
      <c r="P127" s="83">
        <v>43.098971429999999</v>
      </c>
      <c r="Q127" s="83">
        <v>234.17966000000001</v>
      </c>
      <c r="R127" s="24">
        <v>3.5908463000915305E-4</v>
      </c>
      <c r="S127" s="24">
        <v>3.6166828149080403E-3</v>
      </c>
      <c r="T127" s="24">
        <v>1.2539890442073154E-3</v>
      </c>
    </row>
    <row r="128" spans="1:20" x14ac:dyDescent="0.25">
      <c r="A128" s="16" t="s">
        <v>632</v>
      </c>
      <c r="B128" s="115" t="s">
        <v>633</v>
      </c>
      <c r="C128" s="115" t="s">
        <v>379</v>
      </c>
      <c r="D128" s="115" t="s">
        <v>249</v>
      </c>
      <c r="E128" s="115" t="s">
        <v>634</v>
      </c>
      <c r="F128" s="115" t="s">
        <v>208</v>
      </c>
      <c r="G128" s="115" t="s">
        <v>464</v>
      </c>
      <c r="H128" s="115" t="s">
        <v>465</v>
      </c>
      <c r="I128" s="115" t="s">
        <v>635</v>
      </c>
      <c r="J128" s="116">
        <v>6.7</v>
      </c>
      <c r="K128" s="116" t="s">
        <v>255</v>
      </c>
      <c r="L128" s="115">
        <v>1.9E-2</v>
      </c>
      <c r="M128" s="115">
        <v>5.16E-2</v>
      </c>
      <c r="N128" s="68">
        <v>663125.79465645028</v>
      </c>
      <c r="O128" s="60">
        <v>80.8</v>
      </c>
      <c r="P128" s="83">
        <v>0</v>
      </c>
      <c r="Q128" s="83">
        <v>535.80564000000004</v>
      </c>
      <c r="R128" s="24">
        <v>6.1686120433158162E-4</v>
      </c>
      <c r="S128" s="24">
        <v>8.2750100940397822E-3</v>
      </c>
      <c r="T128" s="24">
        <v>2.8691407374341945E-3</v>
      </c>
    </row>
    <row r="129" spans="1:20" x14ac:dyDescent="0.25">
      <c r="A129" s="16" t="s">
        <v>883</v>
      </c>
      <c r="B129" s="115" t="s">
        <v>884</v>
      </c>
      <c r="C129" s="115" t="s">
        <v>379</v>
      </c>
      <c r="D129" s="115" t="s">
        <v>249</v>
      </c>
      <c r="E129" s="115" t="s">
        <v>885</v>
      </c>
      <c r="F129" s="115" t="s">
        <v>225</v>
      </c>
      <c r="G129" s="115" t="s">
        <v>496</v>
      </c>
      <c r="H129" s="115" t="s">
        <v>465</v>
      </c>
      <c r="I129" s="115" t="s">
        <v>882</v>
      </c>
      <c r="J129" s="116">
        <v>5</v>
      </c>
      <c r="K129" s="116" t="s">
        <v>255</v>
      </c>
      <c r="L129" s="115">
        <v>6.7699999999999996E-2</v>
      </c>
      <c r="M129" s="115">
        <v>6.6900000000000001E-2</v>
      </c>
      <c r="N129" s="68">
        <v>60462.526675772344</v>
      </c>
      <c r="O129" s="60">
        <v>101.88</v>
      </c>
      <c r="P129" s="83">
        <v>0</v>
      </c>
      <c r="Q129" s="83">
        <v>61.599220000000003</v>
      </c>
      <c r="R129" s="24">
        <v>8.0616702234363123E-5</v>
      </c>
      <c r="S129" s="24">
        <v>9.5134154856036453E-4</v>
      </c>
      <c r="T129" s="24">
        <v>3.2985250303854804E-4</v>
      </c>
    </row>
    <row r="130" spans="1:20" x14ac:dyDescent="0.25">
      <c r="A130" s="16" t="s">
        <v>693</v>
      </c>
      <c r="B130" s="115" t="s">
        <v>694</v>
      </c>
      <c r="C130" s="115" t="s">
        <v>379</v>
      </c>
      <c r="D130" s="115" t="s">
        <v>249</v>
      </c>
      <c r="E130" s="115" t="s">
        <v>695</v>
      </c>
      <c r="F130" s="115" t="s">
        <v>226</v>
      </c>
      <c r="G130" s="115" t="s">
        <v>551</v>
      </c>
      <c r="H130" s="115" t="s">
        <v>465</v>
      </c>
      <c r="I130" s="115" t="s">
        <v>696</v>
      </c>
      <c r="J130" s="116">
        <v>4.16</v>
      </c>
      <c r="K130" s="116" t="s">
        <v>255</v>
      </c>
      <c r="L130" s="115">
        <v>2.7999999999999997E-2</v>
      </c>
      <c r="M130" s="115">
        <v>7.0099999999999996E-2</v>
      </c>
      <c r="N130" s="68">
        <v>24215.937371595053</v>
      </c>
      <c r="O130" s="60">
        <v>85.5</v>
      </c>
      <c r="P130" s="83">
        <v>0</v>
      </c>
      <c r="Q130" s="83">
        <v>20.704630000000002</v>
      </c>
      <c r="R130" s="24">
        <v>3.1092353325392096E-5</v>
      </c>
      <c r="S130" s="24">
        <v>3.1976337957801061E-4</v>
      </c>
      <c r="T130" s="24">
        <v>1.1086948876928982E-4</v>
      </c>
    </row>
    <row r="131" spans="1:20" x14ac:dyDescent="0.25">
      <c r="A131" s="16" t="s">
        <v>857</v>
      </c>
      <c r="B131" s="115" t="s">
        <v>858</v>
      </c>
      <c r="C131" s="115" t="s">
        <v>379</v>
      </c>
      <c r="D131" s="115" t="s">
        <v>249</v>
      </c>
      <c r="E131" s="115" t="s">
        <v>859</v>
      </c>
      <c r="F131" s="115" t="s">
        <v>223</v>
      </c>
      <c r="G131" s="115" t="s">
        <v>496</v>
      </c>
      <c r="H131" s="115" t="s">
        <v>465</v>
      </c>
      <c r="I131" s="115" t="s">
        <v>860</v>
      </c>
      <c r="J131" s="116">
        <v>3.11</v>
      </c>
      <c r="K131" s="116" t="s">
        <v>255</v>
      </c>
      <c r="L131" s="115">
        <v>4.0999999999999995E-2</v>
      </c>
      <c r="M131" s="115">
        <v>6.7000000000000004E-2</v>
      </c>
      <c r="N131" s="68">
        <v>83189.74348535965</v>
      </c>
      <c r="O131" s="60">
        <v>94.16</v>
      </c>
      <c r="P131" s="83">
        <v>0</v>
      </c>
      <c r="Q131" s="83">
        <v>78.331460000000007</v>
      </c>
      <c r="R131" s="24">
        <v>1.6830321697642307E-4</v>
      </c>
      <c r="S131" s="24">
        <v>1.2097551309479934E-3</v>
      </c>
      <c r="T131" s="24">
        <v>4.1945057336219364E-4</v>
      </c>
    </row>
    <row r="132" spans="1:20" x14ac:dyDescent="0.25">
      <c r="A132" s="16" t="s">
        <v>544</v>
      </c>
      <c r="B132" s="115" t="s">
        <v>545</v>
      </c>
      <c r="C132" s="115" t="s">
        <v>379</v>
      </c>
      <c r="D132" s="115" t="s">
        <v>249</v>
      </c>
      <c r="E132" s="115" t="s">
        <v>546</v>
      </c>
      <c r="F132" s="115" t="s">
        <v>210</v>
      </c>
      <c r="G132" s="115" t="s">
        <v>478</v>
      </c>
      <c r="H132" s="115" t="s">
        <v>254</v>
      </c>
      <c r="I132" s="115" t="s">
        <v>547</v>
      </c>
      <c r="J132" s="116">
        <v>1.48</v>
      </c>
      <c r="K132" s="116" t="s">
        <v>255</v>
      </c>
      <c r="L132" s="115">
        <v>3.3500000000000002E-2</v>
      </c>
      <c r="M132" s="115">
        <v>5.3399999999999996E-2</v>
      </c>
      <c r="N132" s="68">
        <v>131437.7275233714</v>
      </c>
      <c r="O132" s="60">
        <v>97.220000000000013</v>
      </c>
      <c r="P132" s="83">
        <v>46.014157756000003</v>
      </c>
      <c r="Q132" s="83">
        <v>131.20332999999999</v>
      </c>
      <c r="R132" s="24">
        <v>9.5636701963534171E-4</v>
      </c>
      <c r="S132" s="24">
        <v>2.0263110334591333E-3</v>
      </c>
      <c r="T132" s="24">
        <v>7.0256972097199641E-4</v>
      </c>
    </row>
    <row r="133" spans="1:20" x14ac:dyDescent="0.25">
      <c r="A133" s="16" t="s">
        <v>570</v>
      </c>
      <c r="B133" s="115" t="s">
        <v>571</v>
      </c>
      <c r="C133" s="115" t="s">
        <v>379</v>
      </c>
      <c r="D133" s="115" t="s">
        <v>249</v>
      </c>
      <c r="E133" s="115" t="s">
        <v>546</v>
      </c>
      <c r="F133" s="115" t="s">
        <v>210</v>
      </c>
      <c r="G133" s="115" t="s">
        <v>478</v>
      </c>
      <c r="H133" s="115" t="s">
        <v>254</v>
      </c>
      <c r="I133" s="115" t="s">
        <v>572</v>
      </c>
      <c r="J133" s="116">
        <v>3.45</v>
      </c>
      <c r="K133" s="116" t="s">
        <v>255</v>
      </c>
      <c r="L133" s="115">
        <v>2.6200000000000001E-2</v>
      </c>
      <c r="M133" s="115">
        <v>5.5199999999999999E-2</v>
      </c>
      <c r="N133" s="68">
        <v>380456.32907575544</v>
      </c>
      <c r="O133" s="60">
        <v>91.29</v>
      </c>
      <c r="P133" s="83">
        <v>0</v>
      </c>
      <c r="Q133" s="83">
        <v>347.31858</v>
      </c>
      <c r="R133" s="24">
        <v>7.5988936226049507E-4</v>
      </c>
      <c r="S133" s="24">
        <v>5.3640061634057518E-3</v>
      </c>
      <c r="T133" s="24">
        <v>1.8598271693179586E-3</v>
      </c>
    </row>
    <row r="134" spans="1:20" x14ac:dyDescent="0.25">
      <c r="A134" s="16" t="s">
        <v>704</v>
      </c>
      <c r="B134" s="115" t="s">
        <v>705</v>
      </c>
      <c r="C134" s="115" t="s">
        <v>379</v>
      </c>
      <c r="D134" s="115" t="s">
        <v>249</v>
      </c>
      <c r="E134" s="115" t="s">
        <v>546</v>
      </c>
      <c r="F134" s="115" t="s">
        <v>210</v>
      </c>
      <c r="G134" s="115" t="s">
        <v>478</v>
      </c>
      <c r="H134" s="115" t="s">
        <v>254</v>
      </c>
      <c r="I134" s="115" t="s">
        <v>706</v>
      </c>
      <c r="J134" s="116">
        <v>5.84</v>
      </c>
      <c r="K134" s="116" t="s">
        <v>255</v>
      </c>
      <c r="L134" s="115">
        <v>2.3399999999999997E-2</v>
      </c>
      <c r="M134" s="115">
        <v>5.7300000000000004E-2</v>
      </c>
      <c r="N134" s="68">
        <v>493192.32620598847</v>
      </c>
      <c r="O134" s="60">
        <v>82.62</v>
      </c>
      <c r="P134" s="83">
        <v>0</v>
      </c>
      <c r="Q134" s="83">
        <v>407.47550000000001</v>
      </c>
      <c r="R134" s="24">
        <v>4.6692764611217842E-4</v>
      </c>
      <c r="S134" s="24">
        <v>6.2930727559603649E-3</v>
      </c>
      <c r="T134" s="24">
        <v>2.1819564209073408E-3</v>
      </c>
    </row>
    <row r="135" spans="1:20" x14ac:dyDescent="0.25">
      <c r="A135" s="16" t="s">
        <v>867</v>
      </c>
      <c r="B135" s="115" t="s">
        <v>868</v>
      </c>
      <c r="C135" s="115" t="s">
        <v>379</v>
      </c>
      <c r="D135" s="115" t="s">
        <v>249</v>
      </c>
      <c r="E135" s="115" t="s">
        <v>869</v>
      </c>
      <c r="F135" s="115" t="s">
        <v>215</v>
      </c>
      <c r="G135" s="115" t="s">
        <v>623</v>
      </c>
      <c r="H135" s="115" t="s">
        <v>465</v>
      </c>
      <c r="I135" s="115" t="s">
        <v>870</v>
      </c>
      <c r="J135" s="116">
        <v>3.69</v>
      </c>
      <c r="K135" s="116" t="s">
        <v>255</v>
      </c>
      <c r="L135" s="115">
        <v>4.6900000000000004E-2</v>
      </c>
      <c r="M135" s="115">
        <v>8.4199999999999997E-2</v>
      </c>
      <c r="N135" s="68">
        <v>151497.50801466839</v>
      </c>
      <c r="O135" s="60">
        <v>98</v>
      </c>
      <c r="P135" s="83">
        <v>0</v>
      </c>
      <c r="Q135" s="83">
        <v>148.46755999999999</v>
      </c>
      <c r="R135" s="24">
        <v>1.2239068028795531E-4</v>
      </c>
      <c r="S135" s="24">
        <v>2.292940696998742E-3</v>
      </c>
      <c r="T135" s="24">
        <v>7.9501649998207457E-4</v>
      </c>
    </row>
    <row r="136" spans="1:20" s="117" customFormat="1" x14ac:dyDescent="0.25">
      <c r="A136" s="91" t="s">
        <v>454</v>
      </c>
      <c r="B136" s="129" t="s">
        <v>249</v>
      </c>
      <c r="C136" s="129" t="s">
        <v>249</v>
      </c>
      <c r="D136" s="129" t="s">
        <v>249</v>
      </c>
      <c r="E136" s="129" t="s">
        <v>249</v>
      </c>
      <c r="F136" s="129" t="s">
        <v>249</v>
      </c>
      <c r="G136" s="129" t="s">
        <v>249</v>
      </c>
      <c r="H136" s="129" t="s">
        <v>249</v>
      </c>
      <c r="I136" s="129" t="s">
        <v>249</v>
      </c>
      <c r="J136" s="130" t="s">
        <v>249</v>
      </c>
      <c r="K136" s="130" t="s">
        <v>249</v>
      </c>
      <c r="L136" s="129" t="s">
        <v>249</v>
      </c>
      <c r="M136" s="129" t="s">
        <v>249</v>
      </c>
      <c r="N136" s="133" t="s">
        <v>249</v>
      </c>
      <c r="O136" s="134" t="s">
        <v>249</v>
      </c>
      <c r="P136" s="122" t="s">
        <v>249</v>
      </c>
      <c r="Q136" s="122">
        <v>1215.6665800999999</v>
      </c>
      <c r="R136" s="135"/>
      <c r="S136" s="135">
        <v>1.8774817714338206E-2</v>
      </c>
      <c r="T136" s="135">
        <v>6.5096711339250159E-3</v>
      </c>
    </row>
    <row r="137" spans="1:20" x14ac:dyDescent="0.25">
      <c r="A137" s="16" t="s">
        <v>898</v>
      </c>
      <c r="B137" s="115" t="s">
        <v>899</v>
      </c>
      <c r="C137" s="115" t="s">
        <v>379</v>
      </c>
      <c r="D137" s="115" t="s">
        <v>249</v>
      </c>
      <c r="E137" s="115" t="s">
        <v>658</v>
      </c>
      <c r="F137" s="115" t="s">
        <v>215</v>
      </c>
      <c r="G137" s="115" t="s">
        <v>459</v>
      </c>
      <c r="H137" s="115" t="s">
        <v>254</v>
      </c>
      <c r="I137" s="115" t="s">
        <v>900</v>
      </c>
      <c r="J137" s="116">
        <v>0.98</v>
      </c>
      <c r="K137" s="116" t="s">
        <v>255</v>
      </c>
      <c r="L137" s="115">
        <v>3.49E-2</v>
      </c>
      <c r="M137" s="115">
        <v>7.2800000000000004E-2</v>
      </c>
      <c r="N137" s="68">
        <v>459859.98038586584</v>
      </c>
      <c r="O137" s="60">
        <v>104.41</v>
      </c>
      <c r="P137" s="83">
        <v>0</v>
      </c>
      <c r="Q137" s="83">
        <v>480.13981000000001</v>
      </c>
      <c r="R137" s="24">
        <v>5.4773040316048564E-4</v>
      </c>
      <c r="S137" s="24">
        <v>7.4153041283782362E-3</v>
      </c>
      <c r="T137" s="24">
        <v>2.5710604474691867E-3</v>
      </c>
    </row>
    <row r="138" spans="1:20" x14ac:dyDescent="0.25">
      <c r="A138" s="16" t="s">
        <v>2131</v>
      </c>
      <c r="B138" s="115" t="s">
        <v>901</v>
      </c>
      <c r="C138" s="115" t="s">
        <v>379</v>
      </c>
      <c r="D138" s="115" t="s">
        <v>249</v>
      </c>
      <c r="E138" s="115" t="s">
        <v>902</v>
      </c>
      <c r="F138" s="115" t="s">
        <v>224</v>
      </c>
      <c r="G138" s="115" t="s">
        <v>491</v>
      </c>
      <c r="H138" s="115" t="s">
        <v>465</v>
      </c>
      <c r="I138" s="115" t="s">
        <v>903</v>
      </c>
      <c r="J138" s="116">
        <v>3.55</v>
      </c>
      <c r="K138" s="116" t="s">
        <v>255</v>
      </c>
      <c r="L138" s="115">
        <v>4.2999999999999997E-2</v>
      </c>
      <c r="M138" s="115">
        <v>7.4999999999999997E-2</v>
      </c>
      <c r="N138" s="68">
        <v>403990.28064459772</v>
      </c>
      <c r="O138" s="60">
        <v>89.3</v>
      </c>
      <c r="P138" s="83">
        <v>0</v>
      </c>
      <c r="Q138" s="83">
        <v>360.76332000000002</v>
      </c>
      <c r="R138" s="24">
        <v>3.4165529005654552E-4</v>
      </c>
      <c r="S138" s="24">
        <v>5.5716474252852279E-3</v>
      </c>
      <c r="T138" s="24">
        <v>1.9318212812840273E-3</v>
      </c>
    </row>
    <row r="139" spans="1:20" x14ac:dyDescent="0.25">
      <c r="A139" s="16" t="s">
        <v>904</v>
      </c>
      <c r="B139" s="115" t="s">
        <v>905</v>
      </c>
      <c r="C139" s="115" t="s">
        <v>379</v>
      </c>
      <c r="D139" s="115" t="s">
        <v>249</v>
      </c>
      <c r="E139" s="115" t="s">
        <v>906</v>
      </c>
      <c r="F139" s="115" t="s">
        <v>215</v>
      </c>
      <c r="G139" s="115" t="s">
        <v>663</v>
      </c>
      <c r="H139" s="115" t="s">
        <v>663</v>
      </c>
      <c r="I139" s="115" t="s">
        <v>907</v>
      </c>
      <c r="J139" s="116">
        <v>2.94</v>
      </c>
      <c r="K139" s="116" t="s">
        <v>255</v>
      </c>
      <c r="L139" s="115">
        <v>5.7000000000000002E-2</v>
      </c>
      <c r="M139" s="115">
        <v>7.0199999999999999E-2</v>
      </c>
      <c r="N139" s="68">
        <v>321795.85677395714</v>
      </c>
      <c r="O139" s="60">
        <v>116.45999999999998</v>
      </c>
      <c r="P139" s="83">
        <v>0</v>
      </c>
      <c r="Q139" s="83">
        <v>374.76345000000003</v>
      </c>
      <c r="R139" s="24">
        <v>1.0726528559131905E-3</v>
      </c>
      <c r="S139" s="24">
        <v>5.7878661591303391E-3</v>
      </c>
      <c r="T139" s="24">
        <v>2.0067894046363211E-3</v>
      </c>
    </row>
    <row r="140" spans="1:20" s="117" customFormat="1" x14ac:dyDescent="0.25">
      <c r="A140" s="91" t="s">
        <v>908</v>
      </c>
      <c r="B140" s="129" t="s">
        <v>249</v>
      </c>
      <c r="C140" s="129" t="s">
        <v>249</v>
      </c>
      <c r="D140" s="129" t="s">
        <v>249</v>
      </c>
      <c r="E140" s="129" t="s">
        <v>249</v>
      </c>
      <c r="F140" s="129" t="s">
        <v>249</v>
      </c>
      <c r="G140" s="129" t="s">
        <v>249</v>
      </c>
      <c r="H140" s="129" t="s">
        <v>249</v>
      </c>
      <c r="I140" s="129" t="s">
        <v>249</v>
      </c>
      <c r="J140" s="130" t="s">
        <v>249</v>
      </c>
      <c r="K140" s="130" t="s">
        <v>249</v>
      </c>
      <c r="L140" s="129" t="s">
        <v>249</v>
      </c>
      <c r="M140" s="129" t="s">
        <v>249</v>
      </c>
      <c r="N140" s="133" t="s">
        <v>249</v>
      </c>
      <c r="O140" s="134" t="s">
        <v>249</v>
      </c>
      <c r="P140" s="122" t="s">
        <v>249</v>
      </c>
      <c r="Q140" s="122">
        <v>0</v>
      </c>
      <c r="R140" s="135"/>
      <c r="S140" s="135">
        <v>0</v>
      </c>
      <c r="T140" s="135">
        <v>0</v>
      </c>
    </row>
    <row r="141" spans="1:20" s="117" customFormat="1" x14ac:dyDescent="0.25">
      <c r="A141" s="91" t="s">
        <v>439</v>
      </c>
      <c r="B141" s="129" t="s">
        <v>249</v>
      </c>
      <c r="C141" s="129" t="s">
        <v>249</v>
      </c>
      <c r="D141" s="129" t="s">
        <v>249</v>
      </c>
      <c r="E141" s="129" t="s">
        <v>249</v>
      </c>
      <c r="F141" s="129" t="s">
        <v>249</v>
      </c>
      <c r="G141" s="129" t="s">
        <v>249</v>
      </c>
      <c r="H141" s="129" t="s">
        <v>249</v>
      </c>
      <c r="I141" s="129" t="s">
        <v>249</v>
      </c>
      <c r="J141" s="130" t="s">
        <v>249</v>
      </c>
      <c r="K141" s="130" t="s">
        <v>249</v>
      </c>
      <c r="L141" s="129" t="s">
        <v>249</v>
      </c>
      <c r="M141" s="129" t="s">
        <v>249</v>
      </c>
      <c r="N141" s="133" t="s">
        <v>249</v>
      </c>
      <c r="O141" s="134" t="s">
        <v>249</v>
      </c>
      <c r="P141" s="122" t="s">
        <v>249</v>
      </c>
      <c r="Q141" s="122">
        <v>17437.7488902</v>
      </c>
      <c r="R141" s="135"/>
      <c r="S141" s="135">
        <v>0.26930949827951794</v>
      </c>
      <c r="T141" s="135">
        <v>9.3375940779609437E-2</v>
      </c>
    </row>
    <row r="142" spans="1:20" s="117" customFormat="1" x14ac:dyDescent="0.25">
      <c r="A142" s="91" t="s">
        <v>143</v>
      </c>
      <c r="B142" s="129" t="s">
        <v>249</v>
      </c>
      <c r="C142" s="129" t="s">
        <v>249</v>
      </c>
      <c r="D142" s="129" t="s">
        <v>249</v>
      </c>
      <c r="E142" s="129" t="s">
        <v>249</v>
      </c>
      <c r="F142" s="129" t="s">
        <v>249</v>
      </c>
      <c r="G142" s="129" t="s">
        <v>249</v>
      </c>
      <c r="H142" s="129" t="s">
        <v>249</v>
      </c>
      <c r="I142" s="129" t="s">
        <v>249</v>
      </c>
      <c r="J142" s="130" t="s">
        <v>249</v>
      </c>
      <c r="K142" s="130" t="s">
        <v>249</v>
      </c>
      <c r="L142" s="129" t="s">
        <v>249</v>
      </c>
      <c r="M142" s="129" t="s">
        <v>249</v>
      </c>
      <c r="N142" s="133" t="s">
        <v>249</v>
      </c>
      <c r="O142" s="134" t="s">
        <v>249</v>
      </c>
      <c r="P142" s="122" t="s">
        <v>249</v>
      </c>
      <c r="Q142" s="122">
        <v>11206.975930100001</v>
      </c>
      <c r="R142" s="135"/>
      <c r="S142" s="135">
        <v>0.17308111752096969</v>
      </c>
      <c r="T142" s="135">
        <v>6.0011296604668779E-2</v>
      </c>
    </row>
    <row r="143" spans="1:20" x14ac:dyDescent="0.25">
      <c r="A143" s="16" t="s">
        <v>933</v>
      </c>
      <c r="B143" s="115" t="s">
        <v>934</v>
      </c>
      <c r="C143" s="115" t="s">
        <v>218</v>
      </c>
      <c r="D143" s="115" t="s">
        <v>911</v>
      </c>
      <c r="E143" s="115" t="s">
        <v>730</v>
      </c>
      <c r="F143" s="115" t="s">
        <v>179</v>
      </c>
      <c r="G143" s="115" t="s">
        <v>935</v>
      </c>
      <c r="H143" s="115" t="s">
        <v>265</v>
      </c>
      <c r="I143" s="115" t="s">
        <v>936</v>
      </c>
      <c r="J143" s="116">
        <v>2.7709999999999999</v>
      </c>
      <c r="K143" s="116" t="s">
        <v>125</v>
      </c>
      <c r="L143" s="115">
        <v>3.2599999999999997E-2</v>
      </c>
      <c r="M143" s="115">
        <v>7.4279999999999999E-2</v>
      </c>
      <c r="N143" s="68">
        <v>53024.12780513394</v>
      </c>
      <c r="O143" s="60">
        <v>86.018000000000001</v>
      </c>
      <c r="P143" s="83">
        <v>0</v>
      </c>
      <c r="Q143" s="83">
        <v>174.41377</v>
      </c>
      <c r="R143" s="24">
        <v>5.3024127805133941E-5</v>
      </c>
      <c r="S143" s="24">
        <v>2.693655309954432E-3</v>
      </c>
      <c r="T143" s="24">
        <v>9.3395368640852296E-4</v>
      </c>
    </row>
    <row r="144" spans="1:20" x14ac:dyDescent="0.25">
      <c r="A144" s="16" t="s">
        <v>926</v>
      </c>
      <c r="B144" s="115" t="s">
        <v>927</v>
      </c>
      <c r="C144" s="115" t="s">
        <v>218</v>
      </c>
      <c r="D144" s="115" t="s">
        <v>911</v>
      </c>
      <c r="E144" s="115" t="s">
        <v>595</v>
      </c>
      <c r="F144" s="115" t="s">
        <v>179</v>
      </c>
      <c r="G144" s="115" t="s">
        <v>928</v>
      </c>
      <c r="H144" s="115" t="s">
        <v>371</v>
      </c>
      <c r="I144" s="115" t="s">
        <v>929</v>
      </c>
      <c r="J144" s="116">
        <v>3.9249999999999998</v>
      </c>
      <c r="K144" s="116" t="s">
        <v>125</v>
      </c>
      <c r="L144" s="115">
        <v>7.1300000000000002E-2</v>
      </c>
      <c r="M144" s="115">
        <v>7.7399999999999997E-2</v>
      </c>
      <c r="N144" s="68">
        <v>166647.25881613523</v>
      </c>
      <c r="O144" s="60">
        <v>99.435000000000002</v>
      </c>
      <c r="P144" s="83">
        <v>0</v>
      </c>
      <c r="Q144" s="83">
        <v>633.65859999999998</v>
      </c>
      <c r="R144" s="24">
        <v>3.3329451763227047E-4</v>
      </c>
      <c r="S144" s="24">
        <v>9.78625628348204E-3</v>
      </c>
      <c r="T144" s="24">
        <v>3.393125355838955E-3</v>
      </c>
    </row>
    <row r="145" spans="1:20" x14ac:dyDescent="0.25">
      <c r="A145" s="16" t="s">
        <v>909</v>
      </c>
      <c r="B145" s="115" t="s">
        <v>910</v>
      </c>
      <c r="C145" s="115" t="s">
        <v>218</v>
      </c>
      <c r="D145" s="115" t="s">
        <v>911</v>
      </c>
      <c r="E145" s="115" t="s">
        <v>612</v>
      </c>
      <c r="F145" s="115" t="s">
        <v>165</v>
      </c>
      <c r="G145" s="115" t="s">
        <v>912</v>
      </c>
      <c r="H145" s="115" t="s">
        <v>371</v>
      </c>
      <c r="I145" s="115" t="s">
        <v>913</v>
      </c>
      <c r="J145" s="116">
        <v>9.157</v>
      </c>
      <c r="K145" s="116" t="s">
        <v>125</v>
      </c>
      <c r="L145" s="115">
        <v>6.3799999999999996E-2</v>
      </c>
      <c r="M145" s="115">
        <v>6.6250000000000003E-2</v>
      </c>
      <c r="N145" s="68">
        <v>374956.3323363043</v>
      </c>
      <c r="O145" s="60">
        <v>99.224999999999994</v>
      </c>
      <c r="P145" s="83">
        <v>0</v>
      </c>
      <c r="Q145" s="83">
        <v>1422.72081</v>
      </c>
      <c r="R145" s="24">
        <v>5.4098446448752602E-4</v>
      </c>
      <c r="S145" s="24">
        <v>2.1972573979905204E-2</v>
      </c>
      <c r="T145" s="24">
        <v>7.6184084847751403E-3</v>
      </c>
    </row>
    <row r="146" spans="1:20" x14ac:dyDescent="0.25">
      <c r="A146" s="16" t="s">
        <v>930</v>
      </c>
      <c r="B146" s="115" t="s">
        <v>931</v>
      </c>
      <c r="C146" s="115" t="s">
        <v>218</v>
      </c>
      <c r="D146" s="115" t="s">
        <v>911</v>
      </c>
      <c r="E146" s="115" t="s">
        <v>760</v>
      </c>
      <c r="F146" s="115" t="s">
        <v>179</v>
      </c>
      <c r="G146" s="115" t="s">
        <v>912</v>
      </c>
      <c r="H146" s="115" t="s">
        <v>371</v>
      </c>
      <c r="I146" s="115" t="s">
        <v>932</v>
      </c>
      <c r="J146" s="116">
        <v>2.3260000000000001</v>
      </c>
      <c r="K146" s="116" t="s">
        <v>125</v>
      </c>
      <c r="L146" s="115">
        <v>3.0800000000000001E-2</v>
      </c>
      <c r="M146" s="115">
        <v>7.4870000000000006E-2</v>
      </c>
      <c r="N146" s="68">
        <v>73529.315514919304</v>
      </c>
      <c r="O146" s="60">
        <v>87.32</v>
      </c>
      <c r="P146" s="83">
        <v>0</v>
      </c>
      <c r="Q146" s="83">
        <v>245.52297000000002</v>
      </c>
      <c r="R146" s="24">
        <v>1.2254885919153218E-4</v>
      </c>
      <c r="S146" s="24">
        <v>3.7918694828755935E-3</v>
      </c>
      <c r="T146" s="24">
        <v>1.3147303847022469E-3</v>
      </c>
    </row>
    <row r="147" spans="1:20" x14ac:dyDescent="0.25">
      <c r="A147" s="16" t="s">
        <v>940</v>
      </c>
      <c r="B147" s="115" t="s">
        <v>941</v>
      </c>
      <c r="C147" s="115" t="s">
        <v>218</v>
      </c>
      <c r="D147" s="115" t="s">
        <v>911</v>
      </c>
      <c r="E147" s="115" t="s">
        <v>942</v>
      </c>
      <c r="F147" s="115" t="s">
        <v>182</v>
      </c>
      <c r="G147" s="115" t="s">
        <v>943</v>
      </c>
      <c r="H147" s="115" t="s">
        <v>265</v>
      </c>
      <c r="I147" s="115" t="s">
        <v>944</v>
      </c>
      <c r="J147" s="116">
        <v>2.1960000000000002</v>
      </c>
      <c r="K147" s="116" t="s">
        <v>126</v>
      </c>
      <c r="L147" s="115">
        <v>3.6299999999999999E-2</v>
      </c>
      <c r="M147" s="115">
        <v>0.16005</v>
      </c>
      <c r="N147" s="68">
        <v>218254.88492133204</v>
      </c>
      <c r="O147" s="60">
        <v>38.234000000000002</v>
      </c>
      <c r="P147" s="83">
        <v>0</v>
      </c>
      <c r="Q147" s="83">
        <v>338.22136</v>
      </c>
      <c r="R147" s="24">
        <v>6.2358538548952015E-4</v>
      </c>
      <c r="S147" s="24">
        <v>5.2235082258929987E-3</v>
      </c>
      <c r="T147" s="24">
        <v>1.8111132280100601E-3</v>
      </c>
    </row>
    <row r="148" spans="1:20" x14ac:dyDescent="0.25">
      <c r="A148" s="16" t="s">
        <v>914</v>
      </c>
      <c r="B148" s="115" t="s">
        <v>915</v>
      </c>
      <c r="C148" s="115" t="s">
        <v>218</v>
      </c>
      <c r="D148" s="115" t="s">
        <v>911</v>
      </c>
      <c r="E148" s="115" t="s">
        <v>916</v>
      </c>
      <c r="F148" s="115" t="s">
        <v>164</v>
      </c>
      <c r="G148" s="115" t="s">
        <v>917</v>
      </c>
      <c r="H148" s="115" t="s">
        <v>265</v>
      </c>
      <c r="I148" s="115" t="s">
        <v>918</v>
      </c>
      <c r="J148" s="116">
        <v>3.8679999999999999</v>
      </c>
      <c r="K148" s="116" t="s">
        <v>125</v>
      </c>
      <c r="L148" s="115">
        <v>5.3800000000000001E-2</v>
      </c>
      <c r="M148" s="115">
        <v>8.0489999999999992E-2</v>
      </c>
      <c r="N148" s="68">
        <v>146089.04697854473</v>
      </c>
      <c r="O148" s="60">
        <v>89.753</v>
      </c>
      <c r="P148" s="83">
        <v>15.01357136</v>
      </c>
      <c r="Q148" s="83">
        <v>516.41377999999997</v>
      </c>
      <c r="R148" s="24">
        <v>2.3374247516567157E-4</v>
      </c>
      <c r="S148" s="24">
        <v>7.9755212024293712E-3</v>
      </c>
      <c r="T148" s="24">
        <v>2.7653008907677413E-3</v>
      </c>
    </row>
    <row r="149" spans="1:20" x14ac:dyDescent="0.25">
      <c r="A149" s="16" t="s">
        <v>919</v>
      </c>
      <c r="B149" s="115" t="s">
        <v>920</v>
      </c>
      <c r="C149" s="115" t="s">
        <v>218</v>
      </c>
      <c r="D149" s="115" t="s">
        <v>911</v>
      </c>
      <c r="E149" s="115" t="s">
        <v>916</v>
      </c>
      <c r="F149" s="115" t="s">
        <v>164</v>
      </c>
      <c r="G149" s="115" t="s">
        <v>917</v>
      </c>
      <c r="H149" s="115" t="s">
        <v>265</v>
      </c>
      <c r="I149" s="115" t="s">
        <v>918</v>
      </c>
      <c r="J149" s="116">
        <v>5.8150000000000004</v>
      </c>
      <c r="K149" s="116" t="s">
        <v>125</v>
      </c>
      <c r="L149" s="115">
        <v>5.8799999999999998E-2</v>
      </c>
      <c r="M149" s="115">
        <v>8.2029999999999992E-2</v>
      </c>
      <c r="N149" s="68">
        <v>478679.101198547</v>
      </c>
      <c r="O149" s="60">
        <v>86.787999999999997</v>
      </c>
      <c r="P149" s="83">
        <v>53.770023510000001</v>
      </c>
      <c r="Q149" s="83">
        <v>1642.3973600000002</v>
      </c>
      <c r="R149" s="24">
        <v>7.6588656191767517E-4</v>
      </c>
      <c r="S149" s="24">
        <v>2.5365270011760775E-2</v>
      </c>
      <c r="T149" s="24">
        <v>8.7947360401625756E-3</v>
      </c>
    </row>
    <row r="150" spans="1:20" x14ac:dyDescent="0.25">
      <c r="A150" s="16" t="s">
        <v>937</v>
      </c>
      <c r="B150" s="115" t="s">
        <v>938</v>
      </c>
      <c r="C150" s="115" t="s">
        <v>218</v>
      </c>
      <c r="D150" s="115" t="s">
        <v>911</v>
      </c>
      <c r="E150" s="115" t="s">
        <v>916</v>
      </c>
      <c r="F150" s="115" t="s">
        <v>188</v>
      </c>
      <c r="G150" s="115" t="s">
        <v>917</v>
      </c>
      <c r="H150" s="115" t="s">
        <v>265</v>
      </c>
      <c r="I150" s="115" t="s">
        <v>939</v>
      </c>
      <c r="J150" s="116">
        <v>5.1120000000000001</v>
      </c>
      <c r="K150" s="116" t="s">
        <v>125</v>
      </c>
      <c r="L150" s="115">
        <v>8.5000000000000006E-2</v>
      </c>
      <c r="M150" s="115">
        <v>8.4620000000000001E-2</v>
      </c>
      <c r="N150" s="68">
        <v>373176.23661713192</v>
      </c>
      <c r="O150" s="60">
        <v>101.79500000000002</v>
      </c>
      <c r="P150" s="83">
        <v>0</v>
      </c>
      <c r="Q150" s="83">
        <v>1452.64104</v>
      </c>
      <c r="R150" s="24">
        <v>4.9756831548950918E-4</v>
      </c>
      <c r="S150" s="24">
        <v>2.2434663563855817E-2</v>
      </c>
      <c r="T150" s="24">
        <v>7.7786258179976886E-3</v>
      </c>
    </row>
    <row r="151" spans="1:20" x14ac:dyDescent="0.25">
      <c r="A151" s="16" t="s">
        <v>945</v>
      </c>
      <c r="B151" s="115" t="s">
        <v>946</v>
      </c>
      <c r="C151" s="115" t="s">
        <v>218</v>
      </c>
      <c r="D151" s="115" t="s">
        <v>911</v>
      </c>
      <c r="E151" s="115" t="s">
        <v>947</v>
      </c>
      <c r="F151" s="115" t="s">
        <v>178</v>
      </c>
      <c r="G151" s="115" t="s">
        <v>948</v>
      </c>
      <c r="H151" s="115" t="s">
        <v>371</v>
      </c>
      <c r="I151" s="115" t="s">
        <v>949</v>
      </c>
      <c r="J151" s="116">
        <v>5.42</v>
      </c>
      <c r="K151" s="116" t="s">
        <v>126</v>
      </c>
      <c r="L151" s="115">
        <v>4.3799999999999999E-2</v>
      </c>
      <c r="M151" s="115">
        <v>7.1410000000000001E-2</v>
      </c>
      <c r="N151" s="68">
        <v>579553.71691011393</v>
      </c>
      <c r="O151" s="60">
        <v>87.129000000000019</v>
      </c>
      <c r="P151" s="83">
        <v>0</v>
      </c>
      <c r="Q151" s="83">
        <v>2046.65077</v>
      </c>
      <c r="R151" s="24">
        <v>3.8636914460674261E-4</v>
      </c>
      <c r="S151" s="24">
        <v>3.1608580642645517E-2</v>
      </c>
      <c r="T151" s="24">
        <v>1.0959438761241971E-2</v>
      </c>
    </row>
    <row r="152" spans="1:20" x14ac:dyDescent="0.25">
      <c r="A152" s="16" t="s">
        <v>952</v>
      </c>
      <c r="B152" s="115" t="s">
        <v>953</v>
      </c>
      <c r="C152" s="115" t="s">
        <v>218</v>
      </c>
      <c r="D152" s="115" t="s">
        <v>911</v>
      </c>
      <c r="E152" s="115" t="s">
        <v>947</v>
      </c>
      <c r="F152" s="115" t="s">
        <v>178</v>
      </c>
      <c r="G152" s="115" t="s">
        <v>948</v>
      </c>
      <c r="H152" s="115" t="s">
        <v>371</v>
      </c>
      <c r="I152" s="115" t="s">
        <v>451</v>
      </c>
      <c r="J152" s="116">
        <v>4.5890000000000004</v>
      </c>
      <c r="K152" s="116" t="s">
        <v>126</v>
      </c>
      <c r="L152" s="115">
        <v>7.3800000000000004E-2</v>
      </c>
      <c r="M152" s="115">
        <v>6.9629999999999997E-2</v>
      </c>
      <c r="N152" s="68">
        <v>170434.69651650195</v>
      </c>
      <c r="O152" s="60">
        <v>101.926</v>
      </c>
      <c r="P152" s="83">
        <v>0</v>
      </c>
      <c r="Q152" s="83">
        <v>704.09345999999994</v>
      </c>
      <c r="R152" s="24">
        <v>2.1304337064562744E-4</v>
      </c>
      <c r="S152" s="24">
        <v>1.0874055914468155E-2</v>
      </c>
      <c r="T152" s="24">
        <v>3.7702910873558429E-3</v>
      </c>
    </row>
    <row r="153" spans="1:20" x14ac:dyDescent="0.25">
      <c r="A153" s="16" t="s">
        <v>950</v>
      </c>
      <c r="B153" s="115" t="s">
        <v>951</v>
      </c>
      <c r="C153" s="115" t="s">
        <v>218</v>
      </c>
      <c r="D153" s="115" t="s">
        <v>911</v>
      </c>
      <c r="E153" s="115" t="s">
        <v>947</v>
      </c>
      <c r="F153" s="115" t="s">
        <v>178</v>
      </c>
      <c r="G153" s="115" t="s">
        <v>948</v>
      </c>
      <c r="H153" s="115" t="s">
        <v>371</v>
      </c>
      <c r="I153" s="115" t="s">
        <v>451</v>
      </c>
      <c r="J153" s="116">
        <v>5.7270000000000003</v>
      </c>
      <c r="K153" s="116" t="s">
        <v>126</v>
      </c>
      <c r="L153" s="115">
        <v>7.8799999999999995E-2</v>
      </c>
      <c r="M153" s="115">
        <v>7.2239999999999999E-2</v>
      </c>
      <c r="N153" s="68">
        <v>276482.95212676981</v>
      </c>
      <c r="O153" s="60">
        <v>103.83</v>
      </c>
      <c r="P153" s="83">
        <v>0</v>
      </c>
      <c r="Q153" s="83">
        <v>1163.53253</v>
      </c>
      <c r="R153" s="24">
        <v>5.5296590425353966E-4</v>
      </c>
      <c r="S153" s="24">
        <v>1.7969656740630138E-2</v>
      </c>
      <c r="T153" s="24">
        <v>6.2305028762908764E-3</v>
      </c>
    </row>
    <row r="154" spans="1:20" x14ac:dyDescent="0.25">
      <c r="A154" s="16" t="s">
        <v>921</v>
      </c>
      <c r="B154" s="115" t="s">
        <v>922</v>
      </c>
      <c r="C154" s="115" t="s">
        <v>218</v>
      </c>
      <c r="D154" s="115" t="s">
        <v>911</v>
      </c>
      <c r="E154" s="115" t="s">
        <v>923</v>
      </c>
      <c r="F154" s="115" t="s">
        <v>164</v>
      </c>
      <c r="G154" s="115" t="s">
        <v>924</v>
      </c>
      <c r="H154" s="115" t="s">
        <v>265</v>
      </c>
      <c r="I154" s="115" t="s">
        <v>925</v>
      </c>
      <c r="J154" s="116">
        <v>2.9910000000000001</v>
      </c>
      <c r="K154" s="116" t="s">
        <v>125</v>
      </c>
      <c r="L154" s="115">
        <v>6.5000000000000002E-2</v>
      </c>
      <c r="M154" s="115">
        <v>9.5250000000000001E-2</v>
      </c>
      <c r="N154" s="68">
        <v>242396.01282346944</v>
      </c>
      <c r="O154" s="60">
        <v>93.504000000000005</v>
      </c>
      <c r="P154" s="83">
        <v>0</v>
      </c>
      <c r="Q154" s="83">
        <v>866.70947999999999</v>
      </c>
      <c r="R154" s="24">
        <v>5.3865780627437659E-4</v>
      </c>
      <c r="S154" s="24">
        <v>1.3385506161525231E-2</v>
      </c>
      <c r="T154" s="24">
        <v>4.6410699905816725E-3</v>
      </c>
    </row>
    <row r="155" spans="1:20" s="117" customFormat="1" x14ac:dyDescent="0.25">
      <c r="A155" s="91" t="s">
        <v>144</v>
      </c>
      <c r="B155" s="129" t="s">
        <v>249</v>
      </c>
      <c r="C155" s="129" t="s">
        <v>249</v>
      </c>
      <c r="D155" s="129" t="s">
        <v>249</v>
      </c>
      <c r="E155" s="129" t="s">
        <v>249</v>
      </c>
      <c r="F155" s="129" t="s">
        <v>249</v>
      </c>
      <c r="G155" s="129" t="s">
        <v>249</v>
      </c>
      <c r="H155" s="129" t="s">
        <v>249</v>
      </c>
      <c r="I155" s="129" t="s">
        <v>249</v>
      </c>
      <c r="J155" s="130" t="s">
        <v>249</v>
      </c>
      <c r="K155" s="130" t="s">
        <v>249</v>
      </c>
      <c r="L155" s="129" t="s">
        <v>249</v>
      </c>
      <c r="M155" s="129" t="s">
        <v>249</v>
      </c>
      <c r="N155" s="133" t="s">
        <v>249</v>
      </c>
      <c r="O155" s="134" t="s">
        <v>249</v>
      </c>
      <c r="P155" s="122" t="s">
        <v>249</v>
      </c>
      <c r="Q155" s="122">
        <v>6230.7729600999992</v>
      </c>
      <c r="R155" s="135"/>
      <c r="S155" s="135">
        <v>9.6228380758548226E-2</v>
      </c>
      <c r="T155" s="135">
        <v>3.3364644174940658E-2</v>
      </c>
    </row>
    <row r="156" spans="1:20" x14ac:dyDescent="0.25">
      <c r="A156" s="16" t="s">
        <v>954</v>
      </c>
      <c r="B156" s="115" t="s">
        <v>955</v>
      </c>
      <c r="C156" s="115" t="s">
        <v>218</v>
      </c>
      <c r="D156" s="115" t="s">
        <v>911</v>
      </c>
      <c r="E156" s="173" t="s">
        <v>2052</v>
      </c>
      <c r="F156" s="115" t="s">
        <v>181</v>
      </c>
      <c r="G156" s="115" t="s">
        <v>928</v>
      </c>
      <c r="H156" s="115" t="s">
        <v>371</v>
      </c>
      <c r="I156" s="115" t="s">
        <v>956</v>
      </c>
      <c r="J156" s="116">
        <v>4.181</v>
      </c>
      <c r="K156" s="116" t="s">
        <v>125</v>
      </c>
      <c r="L156" s="115">
        <v>5.7000000000000002E-2</v>
      </c>
      <c r="M156" s="115">
        <v>7.6230000000000006E-2</v>
      </c>
      <c r="N156" s="68">
        <v>29985.652545007739</v>
      </c>
      <c r="O156" s="60">
        <v>92.093000000000004</v>
      </c>
      <c r="P156" s="83">
        <v>0</v>
      </c>
      <c r="Q156" s="83">
        <v>105.59855999999999</v>
      </c>
      <c r="R156" s="24">
        <v>2.9985652545007739E-5</v>
      </c>
      <c r="S156" s="24">
        <v>1.6308696375724331E-3</v>
      </c>
      <c r="T156" s="24">
        <v>5.6546088299927E-4</v>
      </c>
    </row>
    <row r="157" spans="1:20" x14ac:dyDescent="0.25">
      <c r="A157" s="16" t="s">
        <v>957</v>
      </c>
      <c r="B157" s="115" t="s">
        <v>958</v>
      </c>
      <c r="C157" s="115" t="s">
        <v>218</v>
      </c>
      <c r="D157" s="115" t="s">
        <v>911</v>
      </c>
      <c r="E157" s="173" t="s">
        <v>2053</v>
      </c>
      <c r="F157" s="115" t="s">
        <v>177</v>
      </c>
      <c r="G157" s="115" t="s">
        <v>959</v>
      </c>
      <c r="H157" s="115" t="s">
        <v>265</v>
      </c>
      <c r="I157" s="115" t="s">
        <v>960</v>
      </c>
      <c r="J157" s="116">
        <v>5.1630000000000003</v>
      </c>
      <c r="K157" s="116" t="s">
        <v>125</v>
      </c>
      <c r="L157" s="115">
        <v>4.6300000000000001E-2</v>
      </c>
      <c r="M157" s="115">
        <v>6.5759999999999999E-2</v>
      </c>
      <c r="N157" s="68">
        <v>34638.433482154367</v>
      </c>
      <c r="O157" s="60">
        <v>91.591999999999999</v>
      </c>
      <c r="P157" s="83">
        <v>0</v>
      </c>
      <c r="Q157" s="83">
        <v>121.32035</v>
      </c>
      <c r="R157" s="24">
        <v>9.8966952806155332E-6</v>
      </c>
      <c r="S157" s="24">
        <v>1.8736777777524688E-3</v>
      </c>
      <c r="T157" s="24">
        <v>6.496481792628659E-4</v>
      </c>
    </row>
    <row r="158" spans="1:20" x14ac:dyDescent="0.25">
      <c r="A158" s="16" t="s">
        <v>961</v>
      </c>
      <c r="B158" s="115" t="s">
        <v>962</v>
      </c>
      <c r="C158" s="115" t="s">
        <v>218</v>
      </c>
      <c r="D158" s="115" t="s">
        <v>911</v>
      </c>
      <c r="E158" s="173" t="s">
        <v>2054</v>
      </c>
      <c r="F158" s="115" t="s">
        <v>179</v>
      </c>
      <c r="G158" s="115" t="s">
        <v>935</v>
      </c>
      <c r="H158" s="115" t="s">
        <v>265</v>
      </c>
      <c r="I158" s="115" t="s">
        <v>963</v>
      </c>
      <c r="J158" s="116">
        <v>5.6059999999999999</v>
      </c>
      <c r="K158" s="116" t="s">
        <v>125</v>
      </c>
      <c r="L158" s="115">
        <v>3.6200000000000003E-2</v>
      </c>
      <c r="M158" s="115">
        <v>7.1429999999999993E-2</v>
      </c>
      <c r="N158" s="68">
        <v>22607.77397200272</v>
      </c>
      <c r="O158" s="60">
        <v>82.587000000000018</v>
      </c>
      <c r="P158" s="83">
        <v>0</v>
      </c>
      <c r="Q158" s="83">
        <v>71.398219999999995</v>
      </c>
      <c r="R158" s="24">
        <v>3.0143698629336961E-5</v>
      </c>
      <c r="S158" s="24">
        <v>1.1026778127913566E-3</v>
      </c>
      <c r="T158" s="24">
        <v>3.8232434728064605E-4</v>
      </c>
    </row>
    <row r="159" spans="1:20" x14ac:dyDescent="0.25">
      <c r="A159" s="16" t="s">
        <v>964</v>
      </c>
      <c r="B159" s="115" t="s">
        <v>965</v>
      </c>
      <c r="C159" s="115" t="s">
        <v>218</v>
      </c>
      <c r="D159" s="115" t="s">
        <v>911</v>
      </c>
      <c r="E159" s="173" t="s">
        <v>2055</v>
      </c>
      <c r="F159" s="115" t="s">
        <v>166</v>
      </c>
      <c r="G159" s="115" t="s">
        <v>966</v>
      </c>
      <c r="H159" s="115" t="s">
        <v>265</v>
      </c>
      <c r="I159" s="115" t="s">
        <v>967</v>
      </c>
      <c r="J159" s="116">
        <v>4.2210000000000001</v>
      </c>
      <c r="K159" s="116" t="s">
        <v>125</v>
      </c>
      <c r="L159" s="115">
        <v>4.4999999999999998E-2</v>
      </c>
      <c r="M159" s="115">
        <v>6.9309999999999997E-2</v>
      </c>
      <c r="N159" s="68">
        <v>21192.543125963784</v>
      </c>
      <c r="O159" s="60">
        <v>90.552000000000007</v>
      </c>
      <c r="P159" s="83">
        <v>0</v>
      </c>
      <c r="Q159" s="83">
        <v>73.383600000000001</v>
      </c>
      <c r="R159" s="24">
        <v>3.532090520993964E-5</v>
      </c>
      <c r="S159" s="24">
        <v>1.1333401244842771E-3</v>
      </c>
      <c r="T159" s="24">
        <v>3.9295569232824043E-4</v>
      </c>
    </row>
    <row r="160" spans="1:20" x14ac:dyDescent="0.25">
      <c r="A160" s="16" t="s">
        <v>968</v>
      </c>
      <c r="B160" s="115" t="s">
        <v>969</v>
      </c>
      <c r="C160" s="115" t="s">
        <v>218</v>
      </c>
      <c r="D160" s="115" t="s">
        <v>911</v>
      </c>
      <c r="E160" s="173" t="s">
        <v>2056</v>
      </c>
      <c r="F160" s="115" t="s">
        <v>182</v>
      </c>
      <c r="G160" s="115" t="s">
        <v>917</v>
      </c>
      <c r="H160" s="115" t="s">
        <v>265</v>
      </c>
      <c r="I160" s="115" t="s">
        <v>643</v>
      </c>
      <c r="J160" s="116">
        <v>5.952</v>
      </c>
      <c r="K160" s="116" t="s">
        <v>125</v>
      </c>
      <c r="L160" s="115">
        <v>4.4999999999999998E-2</v>
      </c>
      <c r="M160" s="115">
        <v>7.6829999999999996E-2</v>
      </c>
      <c r="N160" s="68">
        <v>26660.698179990712</v>
      </c>
      <c r="O160" s="60">
        <v>82.814999999999998</v>
      </c>
      <c r="P160" s="83">
        <v>0</v>
      </c>
      <c r="Q160" s="83">
        <v>84.430309999999992</v>
      </c>
      <c r="R160" s="24">
        <v>2.4236998345446101E-5</v>
      </c>
      <c r="S160" s="24">
        <v>1.3039460866684941E-3</v>
      </c>
      <c r="T160" s="24">
        <v>4.5210879432922284E-4</v>
      </c>
    </row>
    <row r="161" spans="1:20" x14ac:dyDescent="0.25">
      <c r="A161" s="16" t="s">
        <v>970</v>
      </c>
      <c r="B161" s="115" t="s">
        <v>971</v>
      </c>
      <c r="C161" s="115" t="s">
        <v>218</v>
      </c>
      <c r="D161" s="115" t="s">
        <v>911</v>
      </c>
      <c r="E161" s="173" t="s">
        <v>2057</v>
      </c>
      <c r="F161" s="115" t="s">
        <v>186</v>
      </c>
      <c r="G161" s="115" t="s">
        <v>924</v>
      </c>
      <c r="H161" s="115" t="s">
        <v>265</v>
      </c>
      <c r="I161" s="115" t="s">
        <v>972</v>
      </c>
      <c r="J161" s="116">
        <v>5.9420000000000002</v>
      </c>
      <c r="K161" s="116" t="s">
        <v>125</v>
      </c>
      <c r="L161" s="115">
        <v>4.2500000000000003E-2</v>
      </c>
      <c r="M161" s="115">
        <v>8.0449999999999994E-2</v>
      </c>
      <c r="N161" s="68">
        <v>34885.081159213601</v>
      </c>
      <c r="O161" s="60">
        <v>80.363</v>
      </c>
      <c r="P161" s="83">
        <v>0</v>
      </c>
      <c r="Q161" s="83">
        <v>107.20468</v>
      </c>
      <c r="R161" s="24">
        <v>1.1628360386404534E-5</v>
      </c>
      <c r="S161" s="24">
        <v>1.6556746381548068E-3</v>
      </c>
      <c r="T161" s="24">
        <v>5.7406136044330699E-4</v>
      </c>
    </row>
    <row r="162" spans="1:20" x14ac:dyDescent="0.25">
      <c r="A162" s="16" t="s">
        <v>973</v>
      </c>
      <c r="B162" s="115" t="s">
        <v>974</v>
      </c>
      <c r="C162" s="115" t="s">
        <v>218</v>
      </c>
      <c r="D162" s="115" t="s">
        <v>911</v>
      </c>
      <c r="E162" s="173" t="s">
        <v>2058</v>
      </c>
      <c r="F162" s="115" t="s">
        <v>165</v>
      </c>
      <c r="G162" s="115" t="s">
        <v>924</v>
      </c>
      <c r="H162" s="115" t="s">
        <v>265</v>
      </c>
      <c r="I162" s="115" t="s">
        <v>975</v>
      </c>
      <c r="J162" s="116">
        <v>5.5629999999999997</v>
      </c>
      <c r="K162" s="116" t="s">
        <v>125</v>
      </c>
      <c r="L162" s="115">
        <v>4.3799999999999999E-2</v>
      </c>
      <c r="M162" s="115">
        <v>7.7920000000000003E-2</v>
      </c>
      <c r="N162" s="68">
        <v>24926.98052765198</v>
      </c>
      <c r="O162" s="60">
        <v>83.774000000000001</v>
      </c>
      <c r="P162" s="83">
        <v>0</v>
      </c>
      <c r="Q162" s="83">
        <v>79.854020000000006</v>
      </c>
      <c r="R162" s="24">
        <v>1.5579362829782489E-5</v>
      </c>
      <c r="S162" s="24">
        <v>1.2332696265564779E-3</v>
      </c>
      <c r="T162" s="24">
        <v>4.276036023620149E-4</v>
      </c>
    </row>
    <row r="163" spans="1:20" x14ac:dyDescent="0.25">
      <c r="A163" s="16" t="s">
        <v>976</v>
      </c>
      <c r="B163" s="115" t="s">
        <v>977</v>
      </c>
      <c r="C163" s="115" t="s">
        <v>218</v>
      </c>
      <c r="D163" s="115" t="s">
        <v>911</v>
      </c>
      <c r="E163" s="173" t="s">
        <v>2059</v>
      </c>
      <c r="F163" s="115" t="s">
        <v>181</v>
      </c>
      <c r="G163" s="115" t="s">
        <v>978</v>
      </c>
      <c r="H163" s="115" t="s">
        <v>371</v>
      </c>
      <c r="I163" s="115" t="s">
        <v>979</v>
      </c>
      <c r="J163" s="116">
        <v>2.33</v>
      </c>
      <c r="K163" s="116" t="s">
        <v>125</v>
      </c>
      <c r="L163" s="115">
        <v>4.7E-2</v>
      </c>
      <c r="M163" s="115">
        <v>0.10429000000000001</v>
      </c>
      <c r="N163" s="68">
        <v>22990.915994619016</v>
      </c>
      <c r="O163" s="60">
        <v>74.733000000000004</v>
      </c>
      <c r="P163" s="83">
        <v>0</v>
      </c>
      <c r="Q163" s="83">
        <v>65.703210000000013</v>
      </c>
      <c r="R163" s="24">
        <v>3.0654554659492023E-5</v>
      </c>
      <c r="S163" s="24">
        <v>1.0147237829762591E-3</v>
      </c>
      <c r="T163" s="24">
        <v>3.5182861530011847E-4</v>
      </c>
    </row>
    <row r="164" spans="1:20" x14ac:dyDescent="0.25">
      <c r="A164" s="16" t="s">
        <v>980</v>
      </c>
      <c r="B164" s="115" t="s">
        <v>981</v>
      </c>
      <c r="C164" s="115" t="s">
        <v>218</v>
      </c>
      <c r="D164" s="115" t="s">
        <v>911</v>
      </c>
      <c r="E164" s="173" t="s">
        <v>2060</v>
      </c>
      <c r="F164" s="115" t="s">
        <v>167</v>
      </c>
      <c r="G164" s="115" t="s">
        <v>917</v>
      </c>
      <c r="H164" s="115" t="s">
        <v>265</v>
      </c>
      <c r="I164" s="115" t="s">
        <v>982</v>
      </c>
      <c r="J164" s="116">
        <v>4.9539999999999997</v>
      </c>
      <c r="K164" s="116" t="s">
        <v>125</v>
      </c>
      <c r="L164" s="115">
        <v>4.1299999999999996E-2</v>
      </c>
      <c r="M164" s="115">
        <v>7.2939999999999991E-2</v>
      </c>
      <c r="N164" s="68">
        <v>24377.411188961731</v>
      </c>
      <c r="O164" s="60">
        <v>85.394000000000005</v>
      </c>
      <c r="P164" s="83">
        <v>0</v>
      </c>
      <c r="Q164" s="83">
        <v>79.603619999999992</v>
      </c>
      <c r="R164" s="24">
        <v>2.4377411188961732E-5</v>
      </c>
      <c r="S164" s="24">
        <v>1.2294024359693321E-3</v>
      </c>
      <c r="T164" s="24">
        <v>4.2626275637791224E-4</v>
      </c>
    </row>
    <row r="165" spans="1:20" x14ac:dyDescent="0.25">
      <c r="A165" s="16" t="s">
        <v>983</v>
      </c>
      <c r="B165" s="115" t="s">
        <v>984</v>
      </c>
      <c r="C165" s="115" t="s">
        <v>218</v>
      </c>
      <c r="D165" s="115" t="s">
        <v>911</v>
      </c>
      <c r="E165" s="173" t="s">
        <v>2061</v>
      </c>
      <c r="F165" s="115" t="s">
        <v>177</v>
      </c>
      <c r="G165" s="115" t="s">
        <v>924</v>
      </c>
      <c r="H165" s="115" t="s">
        <v>265</v>
      </c>
      <c r="I165" s="115" t="s">
        <v>985</v>
      </c>
      <c r="J165" s="116">
        <v>5.7859999999999996</v>
      </c>
      <c r="K165" s="116" t="s">
        <v>125</v>
      </c>
      <c r="L165" s="115">
        <v>5.1299999999999998E-2</v>
      </c>
      <c r="M165" s="115">
        <v>8.906E-2</v>
      </c>
      <c r="N165" s="68">
        <v>24433.6851735335</v>
      </c>
      <c r="O165" s="60">
        <v>82.370999999999995</v>
      </c>
      <c r="P165" s="83">
        <v>0</v>
      </c>
      <c r="Q165" s="83">
        <v>76.962860000000006</v>
      </c>
      <c r="R165" s="24">
        <v>1.2216842586766751E-5</v>
      </c>
      <c r="S165" s="24">
        <v>1.1886184015647363E-3</v>
      </c>
      <c r="T165" s="24">
        <v>4.1212197186921113E-4</v>
      </c>
    </row>
    <row r="166" spans="1:20" x14ac:dyDescent="0.25">
      <c r="A166" s="16" t="s">
        <v>986</v>
      </c>
      <c r="B166" s="115" t="s">
        <v>987</v>
      </c>
      <c r="C166" s="115" t="s">
        <v>218</v>
      </c>
      <c r="D166" s="115" t="s">
        <v>911</v>
      </c>
      <c r="E166" s="173" t="s">
        <v>2062</v>
      </c>
      <c r="F166" s="115" t="s">
        <v>186</v>
      </c>
      <c r="G166" s="115" t="s">
        <v>935</v>
      </c>
      <c r="H166" s="115" t="s">
        <v>265</v>
      </c>
      <c r="I166" s="115" t="s">
        <v>988</v>
      </c>
      <c r="J166" s="116">
        <v>15.013999999999999</v>
      </c>
      <c r="K166" s="116" t="s">
        <v>125</v>
      </c>
      <c r="L166" s="115">
        <v>3.5000000000000003E-2</v>
      </c>
      <c r="M166" s="115">
        <v>6.3369999999999996E-2</v>
      </c>
      <c r="N166" s="68">
        <v>37308.454452261671</v>
      </c>
      <c r="O166" s="60">
        <v>61.960999999999999</v>
      </c>
      <c r="P166" s="83">
        <v>0</v>
      </c>
      <c r="Q166" s="83">
        <v>88.398229999999998</v>
      </c>
      <c r="R166" s="24">
        <v>4.9769384453889001E-6</v>
      </c>
      <c r="S166" s="24">
        <v>1.3652268489470366E-3</v>
      </c>
      <c r="T166" s="24">
        <v>4.7335627674631702E-4</v>
      </c>
    </row>
    <row r="167" spans="1:20" x14ac:dyDescent="0.25">
      <c r="A167" s="16" t="s">
        <v>989</v>
      </c>
      <c r="B167" s="115" t="s">
        <v>990</v>
      </c>
      <c r="C167" s="115" t="s">
        <v>218</v>
      </c>
      <c r="D167" s="115" t="s">
        <v>911</v>
      </c>
      <c r="E167" s="173" t="s">
        <v>2063</v>
      </c>
      <c r="F167" s="115" t="s">
        <v>186</v>
      </c>
      <c r="G167" s="115" t="s">
        <v>917</v>
      </c>
      <c r="H167" s="115" t="s">
        <v>265</v>
      </c>
      <c r="I167" s="115" t="s">
        <v>991</v>
      </c>
      <c r="J167" s="116">
        <v>6.4119999999999999</v>
      </c>
      <c r="K167" s="116" t="s">
        <v>125</v>
      </c>
      <c r="L167" s="115">
        <v>3.8800000000000001E-2</v>
      </c>
      <c r="M167" s="115">
        <v>8.1959999999999991E-2</v>
      </c>
      <c r="N167" s="68">
        <v>23344.125046718411</v>
      </c>
      <c r="O167" s="60">
        <v>76.082999999999998</v>
      </c>
      <c r="P167" s="83">
        <v>0</v>
      </c>
      <c r="Q167" s="83">
        <v>67.917720000000003</v>
      </c>
      <c r="R167" s="24">
        <v>1.5562750031145608E-5</v>
      </c>
      <c r="S167" s="24">
        <v>1.0489247902731437E-3</v>
      </c>
      <c r="T167" s="24">
        <v>3.6368690939059381E-4</v>
      </c>
    </row>
    <row r="168" spans="1:20" x14ac:dyDescent="0.25">
      <c r="A168" s="16" t="s">
        <v>992</v>
      </c>
      <c r="B168" s="115" t="s">
        <v>993</v>
      </c>
      <c r="C168" s="115" t="s">
        <v>218</v>
      </c>
      <c r="D168" s="115" t="s">
        <v>911</v>
      </c>
      <c r="E168" s="173" t="s">
        <v>2064</v>
      </c>
      <c r="F168" s="115" t="s">
        <v>173</v>
      </c>
      <c r="G168" s="115" t="s">
        <v>966</v>
      </c>
      <c r="H168" s="115" t="s">
        <v>265</v>
      </c>
      <c r="I168" s="115" t="s">
        <v>994</v>
      </c>
      <c r="J168" s="116">
        <v>6.7629999999999999</v>
      </c>
      <c r="K168" s="116" t="s">
        <v>125</v>
      </c>
      <c r="L168" s="115">
        <v>3.3799999999999997E-2</v>
      </c>
      <c r="M168" s="115">
        <v>7.5170000000000001E-2</v>
      </c>
      <c r="N168" s="68">
        <v>24784.499587991544</v>
      </c>
      <c r="O168" s="60">
        <v>74.320999999999998</v>
      </c>
      <c r="P168" s="83">
        <v>0</v>
      </c>
      <c r="Q168" s="83">
        <v>70.438419999999994</v>
      </c>
      <c r="R168" s="24">
        <v>3.812999936614084E-5</v>
      </c>
      <c r="S168" s="24">
        <v>1.087854611810756E-3</v>
      </c>
      <c r="T168" s="24">
        <v>3.7718479466266816E-4</v>
      </c>
    </row>
    <row r="169" spans="1:20" x14ac:dyDescent="0.25">
      <c r="A169" s="16" t="s">
        <v>995</v>
      </c>
      <c r="B169" s="115" t="s">
        <v>996</v>
      </c>
      <c r="C169" s="115" t="s">
        <v>218</v>
      </c>
      <c r="D169" s="115" t="s">
        <v>911</v>
      </c>
      <c r="E169" s="173" t="s">
        <v>2065</v>
      </c>
      <c r="F169" s="115" t="s">
        <v>179</v>
      </c>
      <c r="G169" s="115" t="s">
        <v>997</v>
      </c>
      <c r="H169" s="115" t="s">
        <v>371</v>
      </c>
      <c r="I169" s="115" t="s">
        <v>998</v>
      </c>
      <c r="J169" s="116">
        <v>6.87</v>
      </c>
      <c r="K169" s="116" t="s">
        <v>125</v>
      </c>
      <c r="L169" s="115">
        <v>3.85E-2</v>
      </c>
      <c r="M169" s="115">
        <v>6.7240000000000008E-2</v>
      </c>
      <c r="N169" s="68">
        <v>38314.202261629442</v>
      </c>
      <c r="O169" s="60">
        <v>81.427999999999997</v>
      </c>
      <c r="P169" s="83">
        <v>0</v>
      </c>
      <c r="Q169" s="83">
        <v>119.30302</v>
      </c>
      <c r="R169" s="24">
        <v>1.5325680904651777E-5</v>
      </c>
      <c r="S169" s="24">
        <v>1.8425220286024425E-3</v>
      </c>
      <c r="T169" s="24">
        <v>6.3884574783670898E-4</v>
      </c>
    </row>
    <row r="170" spans="1:20" x14ac:dyDescent="0.25">
      <c r="A170" s="16" t="s">
        <v>999</v>
      </c>
      <c r="B170" s="115" t="s">
        <v>1000</v>
      </c>
      <c r="C170" s="115" t="s">
        <v>218</v>
      </c>
      <c r="D170" s="115" t="s">
        <v>911</v>
      </c>
      <c r="E170" s="173" t="s">
        <v>2066</v>
      </c>
      <c r="F170" s="115" t="s">
        <v>179</v>
      </c>
      <c r="G170" s="115" t="s">
        <v>1001</v>
      </c>
      <c r="H170" s="115" t="s">
        <v>265</v>
      </c>
      <c r="I170" s="115" t="s">
        <v>1002</v>
      </c>
      <c r="J170" s="116">
        <v>6.8</v>
      </c>
      <c r="K170" s="116" t="s">
        <v>125</v>
      </c>
      <c r="L170" s="115">
        <v>3.3500000000000002E-2</v>
      </c>
      <c r="M170" s="115">
        <v>6.9349999999999995E-2</v>
      </c>
      <c r="N170" s="68">
        <v>34243.318271331314</v>
      </c>
      <c r="O170" s="60">
        <v>76.573999999999998</v>
      </c>
      <c r="P170" s="83">
        <v>0</v>
      </c>
      <c r="Q170" s="83">
        <v>100.27092999999999</v>
      </c>
      <c r="R170" s="24">
        <v>2.7394654617065052E-5</v>
      </c>
      <c r="S170" s="24">
        <v>1.5485894435317185E-3</v>
      </c>
      <c r="T170" s="24">
        <v>5.3693240340548204E-4</v>
      </c>
    </row>
    <row r="171" spans="1:20" x14ac:dyDescent="0.25">
      <c r="A171" s="16" t="s">
        <v>1003</v>
      </c>
      <c r="B171" s="115" t="s">
        <v>1004</v>
      </c>
      <c r="C171" s="115" t="s">
        <v>218</v>
      </c>
      <c r="D171" s="115" t="s">
        <v>911</v>
      </c>
      <c r="E171" s="173" t="s">
        <v>2067</v>
      </c>
      <c r="F171" s="115" t="s">
        <v>185</v>
      </c>
      <c r="G171" s="115" t="s">
        <v>966</v>
      </c>
      <c r="H171" s="115" t="s">
        <v>265</v>
      </c>
      <c r="I171" s="115" t="s">
        <v>757</v>
      </c>
      <c r="J171" s="116">
        <v>6.7919999999999998</v>
      </c>
      <c r="K171" s="116" t="s">
        <v>125</v>
      </c>
      <c r="L171" s="115">
        <v>4.1500000000000002E-2</v>
      </c>
      <c r="M171" s="115">
        <v>6.1609999999999998E-2</v>
      </c>
      <c r="N171" s="68">
        <v>35919.564620277597</v>
      </c>
      <c r="O171" s="60">
        <v>88.492999999999995</v>
      </c>
      <c r="P171" s="83">
        <v>0</v>
      </c>
      <c r="Q171" s="83">
        <v>121.55081</v>
      </c>
      <c r="R171" s="24">
        <v>2.9932970516897998E-5</v>
      </c>
      <c r="S171" s="24">
        <v>1.8772370139454142E-3</v>
      </c>
      <c r="T171" s="24">
        <v>6.508822502113334E-4</v>
      </c>
    </row>
    <row r="172" spans="1:20" x14ac:dyDescent="0.25">
      <c r="A172" s="16" t="s">
        <v>1005</v>
      </c>
      <c r="B172" s="115" t="s">
        <v>1006</v>
      </c>
      <c r="C172" s="115" t="s">
        <v>218</v>
      </c>
      <c r="D172" s="115" t="s">
        <v>911</v>
      </c>
      <c r="E172" s="173" t="s">
        <v>2068</v>
      </c>
      <c r="F172" s="115" t="s">
        <v>171</v>
      </c>
      <c r="G172" s="115" t="s">
        <v>935</v>
      </c>
      <c r="H172" s="115" t="s">
        <v>265</v>
      </c>
      <c r="I172" s="115" t="s">
        <v>1007</v>
      </c>
      <c r="J172" s="116">
        <v>7.2889999999999997</v>
      </c>
      <c r="K172" s="116" t="s">
        <v>125</v>
      </c>
      <c r="L172" s="115">
        <v>3.5000000000000003E-2</v>
      </c>
      <c r="M172" s="115">
        <v>6.1120000000000001E-2</v>
      </c>
      <c r="N172" s="68">
        <v>29932.970516898</v>
      </c>
      <c r="O172" s="60">
        <v>83.427000000000007</v>
      </c>
      <c r="P172" s="83">
        <v>0</v>
      </c>
      <c r="Q172" s="83">
        <v>95.493610000000004</v>
      </c>
      <c r="R172" s="24">
        <v>2.9932970516898001E-5</v>
      </c>
      <c r="S172" s="24">
        <v>1.4748082656731614E-3</v>
      </c>
      <c r="T172" s="24">
        <v>5.1135073273146842E-4</v>
      </c>
    </row>
    <row r="173" spans="1:20" x14ac:dyDescent="0.25">
      <c r="A173" s="16" t="s">
        <v>1008</v>
      </c>
      <c r="B173" s="115" t="s">
        <v>1009</v>
      </c>
      <c r="C173" s="115" t="s">
        <v>218</v>
      </c>
      <c r="D173" s="115" t="s">
        <v>911</v>
      </c>
      <c r="E173" s="173" t="s">
        <v>2069</v>
      </c>
      <c r="F173" s="115" t="s">
        <v>179</v>
      </c>
      <c r="G173" s="115" t="s">
        <v>912</v>
      </c>
      <c r="H173" s="115" t="s">
        <v>371</v>
      </c>
      <c r="I173" s="115" t="s">
        <v>1010</v>
      </c>
      <c r="J173" s="116">
        <v>6.7720000000000002</v>
      </c>
      <c r="K173" s="116" t="s">
        <v>125</v>
      </c>
      <c r="L173" s="115">
        <v>3.32E-2</v>
      </c>
      <c r="M173" s="115">
        <v>7.2099999999999997E-2</v>
      </c>
      <c r="N173" s="68">
        <v>34722.245799601682</v>
      </c>
      <c r="O173" s="60">
        <v>74.322000000000003</v>
      </c>
      <c r="P173" s="83">
        <v>0</v>
      </c>
      <c r="Q173" s="83">
        <v>98.683170000000004</v>
      </c>
      <c r="R173" s="24">
        <v>3.4722245799601685E-5</v>
      </c>
      <c r="S173" s="24">
        <v>1.5240679957415971E-3</v>
      </c>
      <c r="T173" s="24">
        <v>5.2843024038743596E-4</v>
      </c>
    </row>
    <row r="174" spans="1:20" x14ac:dyDescent="0.25">
      <c r="A174" s="16" t="s">
        <v>1011</v>
      </c>
      <c r="B174" s="115" t="s">
        <v>1012</v>
      </c>
      <c r="C174" s="115" t="s">
        <v>218</v>
      </c>
      <c r="D174" s="115" t="s">
        <v>911</v>
      </c>
      <c r="E174" s="173" t="s">
        <v>2070</v>
      </c>
      <c r="F174" s="115" t="s">
        <v>165</v>
      </c>
      <c r="G174" s="115" t="s">
        <v>912</v>
      </c>
      <c r="H174" s="115" t="s">
        <v>371</v>
      </c>
      <c r="I174" s="115" t="s">
        <v>1013</v>
      </c>
      <c r="J174" s="116">
        <v>3.2770000000000001</v>
      </c>
      <c r="K174" s="116" t="s">
        <v>125</v>
      </c>
      <c r="L174" s="115">
        <v>6.1600000000000002E-2</v>
      </c>
      <c r="M174" s="115">
        <v>6.5879999999999994E-2</v>
      </c>
      <c r="N174" s="68">
        <v>32952.608582642672</v>
      </c>
      <c r="O174" s="60">
        <v>99.93</v>
      </c>
      <c r="P174" s="83">
        <v>0</v>
      </c>
      <c r="Q174" s="83">
        <v>125.92257000000001</v>
      </c>
      <c r="R174" s="24">
        <v>1.6476304291321337E-5</v>
      </c>
      <c r="S174" s="24">
        <v>1.94475470212936E-3</v>
      </c>
      <c r="T174" s="24">
        <v>6.7429222161492915E-4</v>
      </c>
    </row>
    <row r="175" spans="1:20" x14ac:dyDescent="0.25">
      <c r="A175" s="16" t="s">
        <v>1014</v>
      </c>
      <c r="B175" s="115" t="s">
        <v>1015</v>
      </c>
      <c r="C175" s="115" t="s">
        <v>218</v>
      </c>
      <c r="D175" s="115" t="s">
        <v>911</v>
      </c>
      <c r="E175" s="173" t="s">
        <v>2071</v>
      </c>
      <c r="F175" s="115" t="s">
        <v>180</v>
      </c>
      <c r="G175" s="115" t="s">
        <v>1001</v>
      </c>
      <c r="H175" s="115" t="s">
        <v>265</v>
      </c>
      <c r="I175" s="115" t="s">
        <v>1016</v>
      </c>
      <c r="J175" s="116">
        <v>6.4710000000000001</v>
      </c>
      <c r="K175" s="116" t="s">
        <v>125</v>
      </c>
      <c r="L175" s="115">
        <v>5.2999999999999999E-2</v>
      </c>
      <c r="M175" s="115">
        <v>6.9589999999999999E-2</v>
      </c>
      <c r="N175" s="68">
        <v>35919.564620277597</v>
      </c>
      <c r="O175" s="60">
        <v>91.707999999999998</v>
      </c>
      <c r="P175" s="83">
        <v>0</v>
      </c>
      <c r="Q175" s="83">
        <v>125.96682000000001</v>
      </c>
      <c r="R175" s="24">
        <v>1.7959782310138797E-5</v>
      </c>
      <c r="S175" s="24">
        <v>1.9454381014244126E-3</v>
      </c>
      <c r="T175" s="24">
        <v>6.745291722331263E-4</v>
      </c>
    </row>
    <row r="176" spans="1:20" x14ac:dyDescent="0.25">
      <c r="A176" s="16" t="s">
        <v>1017</v>
      </c>
      <c r="B176" s="115" t="s">
        <v>1018</v>
      </c>
      <c r="C176" s="115" t="s">
        <v>218</v>
      </c>
      <c r="D176" s="115" t="s">
        <v>911</v>
      </c>
      <c r="E176" s="173" t="s">
        <v>2072</v>
      </c>
      <c r="F176" s="115" t="s">
        <v>188</v>
      </c>
      <c r="G176" s="115" t="s">
        <v>912</v>
      </c>
      <c r="H176" s="115" t="s">
        <v>371</v>
      </c>
      <c r="I176" s="115" t="s">
        <v>1019</v>
      </c>
      <c r="J176" s="116">
        <v>6.7640000000000002</v>
      </c>
      <c r="K176" s="116" t="s">
        <v>125</v>
      </c>
      <c r="L176" s="115">
        <v>5.5E-2</v>
      </c>
      <c r="M176" s="115">
        <v>6.5939999999999999E-2</v>
      </c>
      <c r="N176" s="68">
        <v>23951.165688801102</v>
      </c>
      <c r="O176" s="60">
        <v>93.188000000000002</v>
      </c>
      <c r="P176" s="83">
        <v>0</v>
      </c>
      <c r="Q176" s="83">
        <v>85.350200000000001</v>
      </c>
      <c r="R176" s="24">
        <v>3.1934887585068136E-5</v>
      </c>
      <c r="S176" s="24">
        <v>1.3181529155391386E-3</v>
      </c>
      <c r="T176" s="24">
        <v>4.5703463623144387E-4</v>
      </c>
    </row>
    <row r="177" spans="1:20" x14ac:dyDescent="0.25">
      <c r="A177" s="16" t="s">
        <v>1020</v>
      </c>
      <c r="B177" s="115" t="s">
        <v>1021</v>
      </c>
      <c r="C177" s="115" t="s">
        <v>218</v>
      </c>
      <c r="D177" s="115" t="s">
        <v>911</v>
      </c>
      <c r="E177" s="115" t="s">
        <v>1022</v>
      </c>
      <c r="F177" s="115" t="s">
        <v>179</v>
      </c>
      <c r="G177" s="115" t="s">
        <v>997</v>
      </c>
      <c r="H177" s="115" t="s">
        <v>371</v>
      </c>
      <c r="I177" s="115" t="s">
        <v>1023</v>
      </c>
      <c r="J177" s="116">
        <v>6.851</v>
      </c>
      <c r="K177" s="116" t="s">
        <v>125</v>
      </c>
      <c r="L177" s="115">
        <v>5.7200000000000001E-2</v>
      </c>
      <c r="M177" s="115">
        <v>6.2939999999999996E-2</v>
      </c>
      <c r="N177" s="68">
        <v>13601.541802878452</v>
      </c>
      <c r="O177" s="60">
        <v>96.552000000000007</v>
      </c>
      <c r="P177" s="83">
        <v>0</v>
      </c>
      <c r="Q177" s="83">
        <v>50.218910000000001</v>
      </c>
      <c r="R177" s="24">
        <v>3.8861548008224145E-6</v>
      </c>
      <c r="S177" s="24">
        <v>7.7558345067378414E-4</v>
      </c>
      <c r="T177" s="24">
        <v>2.6891303434309024E-4</v>
      </c>
    </row>
    <row r="178" spans="1:20" x14ac:dyDescent="0.25">
      <c r="A178" s="16" t="s">
        <v>1020</v>
      </c>
      <c r="B178" s="115" t="s">
        <v>1021</v>
      </c>
      <c r="C178" s="115" t="s">
        <v>218</v>
      </c>
      <c r="D178" s="115" t="s">
        <v>911</v>
      </c>
      <c r="E178" s="115" t="s">
        <v>1022</v>
      </c>
      <c r="F178" s="115" t="s">
        <v>179</v>
      </c>
      <c r="G178" s="115" t="s">
        <v>997</v>
      </c>
      <c r="H178" s="115" t="s">
        <v>371</v>
      </c>
      <c r="I178" s="115" t="s">
        <v>1024</v>
      </c>
      <c r="J178" s="116">
        <v>6.851</v>
      </c>
      <c r="K178" s="116" t="s">
        <v>125</v>
      </c>
      <c r="L178" s="115">
        <v>5.7200000000000001E-2</v>
      </c>
      <c r="M178" s="115">
        <v>6.2939999999999996E-2</v>
      </c>
      <c r="N178" s="68">
        <v>31130.289337573919</v>
      </c>
      <c r="O178" s="60">
        <v>96.552000000000007</v>
      </c>
      <c r="P178" s="83">
        <v>0</v>
      </c>
      <c r="Q178" s="83">
        <v>114.93764999999999</v>
      </c>
      <c r="R178" s="24">
        <v>8.894368382163976E-6</v>
      </c>
      <c r="S178" s="24">
        <v>1.775103027909918E-3</v>
      </c>
      <c r="T178" s="24">
        <v>6.1546999370882562E-4</v>
      </c>
    </row>
    <row r="179" spans="1:20" x14ac:dyDescent="0.25">
      <c r="A179" s="16" t="s">
        <v>1025</v>
      </c>
      <c r="B179" s="115" t="s">
        <v>1026</v>
      </c>
      <c r="C179" s="115" t="s">
        <v>218</v>
      </c>
      <c r="D179" s="115" t="s">
        <v>911</v>
      </c>
      <c r="E179" s="173" t="s">
        <v>2073</v>
      </c>
      <c r="F179" s="115" t="s">
        <v>183</v>
      </c>
      <c r="G179" s="115" t="s">
        <v>912</v>
      </c>
      <c r="H179" s="115" t="s">
        <v>371</v>
      </c>
      <c r="I179" s="115" t="s">
        <v>1027</v>
      </c>
      <c r="J179" s="116">
        <v>6.6230000000000002</v>
      </c>
      <c r="K179" s="116" t="s">
        <v>125</v>
      </c>
      <c r="L179" s="115">
        <v>3.15E-2</v>
      </c>
      <c r="M179" s="115">
        <v>7.1529999999999996E-2</v>
      </c>
      <c r="N179" s="68">
        <v>21102.744214413091</v>
      </c>
      <c r="O179" s="60">
        <v>77.012</v>
      </c>
      <c r="P179" s="83">
        <v>0</v>
      </c>
      <c r="Q179" s="83">
        <v>62.14629</v>
      </c>
      <c r="R179" s="24">
        <v>3.2547529739195691E-5</v>
      </c>
      <c r="S179" s="24">
        <v>9.5979052601447706E-4</v>
      </c>
      <c r="T179" s="24">
        <v>3.3278196235373575E-4</v>
      </c>
    </row>
    <row r="180" spans="1:20" x14ac:dyDescent="0.25">
      <c r="A180" s="16" t="s">
        <v>1028</v>
      </c>
      <c r="B180" s="115" t="s">
        <v>1029</v>
      </c>
      <c r="C180" s="115" t="s">
        <v>218</v>
      </c>
      <c r="D180" s="115" t="s">
        <v>911</v>
      </c>
      <c r="E180" s="173" t="s">
        <v>2059</v>
      </c>
      <c r="F180" s="115" t="s">
        <v>171</v>
      </c>
      <c r="G180" s="115" t="s">
        <v>966</v>
      </c>
      <c r="H180" s="115" t="s">
        <v>265</v>
      </c>
      <c r="I180" s="115" t="s">
        <v>1030</v>
      </c>
      <c r="J180" s="116">
        <v>5.5410000000000004</v>
      </c>
      <c r="K180" s="116" t="s">
        <v>125</v>
      </c>
      <c r="L180" s="115">
        <v>3.2500000000000001E-2</v>
      </c>
      <c r="M180" s="115">
        <v>6.2080000000000003E-2</v>
      </c>
      <c r="N180" s="68">
        <v>31278.756871337733</v>
      </c>
      <c r="O180" s="60">
        <v>84.971999999999994</v>
      </c>
      <c r="P180" s="83">
        <v>0</v>
      </c>
      <c r="Q180" s="83">
        <v>101.63498</v>
      </c>
      <c r="R180" s="24">
        <v>2.5031416052863949E-5</v>
      </c>
      <c r="S180" s="24">
        <v>1.5696559024789873E-3</v>
      </c>
      <c r="T180" s="24">
        <v>5.44236640484616E-4</v>
      </c>
    </row>
    <row r="181" spans="1:20" x14ac:dyDescent="0.25">
      <c r="A181" s="16" t="s">
        <v>1031</v>
      </c>
      <c r="B181" s="115" t="s">
        <v>1032</v>
      </c>
      <c r="C181" s="115" t="s">
        <v>218</v>
      </c>
      <c r="D181" s="115" t="s">
        <v>911</v>
      </c>
      <c r="E181" s="173" t="s">
        <v>2074</v>
      </c>
      <c r="F181" s="115" t="s">
        <v>169</v>
      </c>
      <c r="G181" s="115" t="s">
        <v>935</v>
      </c>
      <c r="H181" s="115" t="s">
        <v>265</v>
      </c>
      <c r="I181" s="115" t="s">
        <v>1030</v>
      </c>
      <c r="J181" s="116">
        <v>4.9130000000000003</v>
      </c>
      <c r="K181" s="116" t="s">
        <v>125</v>
      </c>
      <c r="L181" s="115">
        <v>5.4000000000000006E-2</v>
      </c>
      <c r="M181" s="115">
        <v>6.3619999999999996E-2</v>
      </c>
      <c r="N181" s="68">
        <v>31178.182090400958</v>
      </c>
      <c r="O181" s="60">
        <v>97.599000000000004</v>
      </c>
      <c r="P181" s="83">
        <v>0</v>
      </c>
      <c r="Q181" s="83">
        <v>116.36277</v>
      </c>
      <c r="R181" s="24">
        <v>3.1178182090400957E-5</v>
      </c>
      <c r="S181" s="24">
        <v>1.7971126551046188E-3</v>
      </c>
      <c r="T181" s="24">
        <v>6.2310124941515274E-4</v>
      </c>
    </row>
    <row r="182" spans="1:20" x14ac:dyDescent="0.25">
      <c r="A182" s="16" t="s">
        <v>1033</v>
      </c>
      <c r="B182" s="115" t="s">
        <v>1034</v>
      </c>
      <c r="C182" s="115" t="s">
        <v>218</v>
      </c>
      <c r="D182" s="115" t="s">
        <v>911</v>
      </c>
      <c r="E182" s="173" t="s">
        <v>2075</v>
      </c>
      <c r="F182" s="115" t="s">
        <v>183</v>
      </c>
      <c r="G182" s="115" t="s">
        <v>935</v>
      </c>
      <c r="H182" s="115" t="s">
        <v>265</v>
      </c>
      <c r="I182" s="115" t="s">
        <v>1035</v>
      </c>
      <c r="J182" s="116">
        <v>6.5780000000000003</v>
      </c>
      <c r="K182" s="116" t="s">
        <v>125</v>
      </c>
      <c r="L182" s="115">
        <v>6.25E-2</v>
      </c>
      <c r="M182" s="115">
        <v>6.0609999999999997E-2</v>
      </c>
      <c r="N182" s="68">
        <v>38314.202261629442</v>
      </c>
      <c r="O182" s="60">
        <v>103.67700000000002</v>
      </c>
      <c r="P182" s="83">
        <v>0</v>
      </c>
      <c r="Q182" s="83">
        <v>151.90081000000001</v>
      </c>
      <c r="R182" s="24">
        <v>1.7028534338501973E-5</v>
      </c>
      <c r="S182" s="24">
        <v>2.3459639880663049E-3</v>
      </c>
      <c r="T182" s="24">
        <v>8.1340092280523862E-4</v>
      </c>
    </row>
    <row r="183" spans="1:20" x14ac:dyDescent="0.25">
      <c r="A183" s="16" t="s">
        <v>1036</v>
      </c>
      <c r="B183" s="115" t="s">
        <v>1037</v>
      </c>
      <c r="C183" s="115" t="s">
        <v>218</v>
      </c>
      <c r="D183" s="115" t="s">
        <v>911</v>
      </c>
      <c r="E183" s="173" t="s">
        <v>2076</v>
      </c>
      <c r="F183" s="115" t="s">
        <v>169</v>
      </c>
      <c r="G183" s="115" t="s">
        <v>1038</v>
      </c>
      <c r="H183" s="115" t="s">
        <v>371</v>
      </c>
      <c r="I183" s="115" t="s">
        <v>798</v>
      </c>
      <c r="J183" s="116">
        <v>5.1050000000000004</v>
      </c>
      <c r="K183" s="116" t="s">
        <v>125</v>
      </c>
      <c r="L183" s="115">
        <v>6.3E-2</v>
      </c>
      <c r="M183" s="115">
        <v>6.8750000000000006E-2</v>
      </c>
      <c r="N183" s="68">
        <v>32040.251641287618</v>
      </c>
      <c r="O183" s="60">
        <v>97.745999999999995</v>
      </c>
      <c r="P183" s="83">
        <v>0</v>
      </c>
      <c r="Q183" s="83">
        <v>119.76027999999999</v>
      </c>
      <c r="R183" s="24">
        <v>2.9127501492079652E-5</v>
      </c>
      <c r="S183" s="24">
        <v>1.8495839757585056E-3</v>
      </c>
      <c r="T183" s="24">
        <v>6.4129429110624061E-4</v>
      </c>
    </row>
    <row r="184" spans="1:20" x14ac:dyDescent="0.25">
      <c r="A184" s="16" t="s">
        <v>1039</v>
      </c>
      <c r="B184" s="115" t="s">
        <v>1040</v>
      </c>
      <c r="C184" s="115" t="s">
        <v>218</v>
      </c>
      <c r="D184" s="115" t="s">
        <v>911</v>
      </c>
      <c r="E184" s="173" t="s">
        <v>2077</v>
      </c>
      <c r="F184" s="115" t="s">
        <v>175</v>
      </c>
      <c r="G184" s="115" t="s">
        <v>917</v>
      </c>
      <c r="H184" s="115" t="s">
        <v>265</v>
      </c>
      <c r="I184" s="115" t="s">
        <v>1041</v>
      </c>
      <c r="J184" s="116">
        <v>6.0439999999999996</v>
      </c>
      <c r="K184" s="116" t="s">
        <v>125</v>
      </c>
      <c r="L184" s="115">
        <v>4.2500000000000003E-2</v>
      </c>
      <c r="M184" s="115">
        <v>7.1820000000000009E-2</v>
      </c>
      <c r="N184" s="68">
        <v>26834.30940898872</v>
      </c>
      <c r="O184" s="60">
        <v>85.481999999999999</v>
      </c>
      <c r="P184" s="83">
        <v>0</v>
      </c>
      <c r="Q184" s="83">
        <v>87.716839999999991</v>
      </c>
      <c r="R184" s="24">
        <v>2.6890564469859667E-5</v>
      </c>
      <c r="S184" s="24">
        <v>1.3547034264463369E-3</v>
      </c>
      <c r="T184" s="24">
        <v>4.6970755851505634E-4</v>
      </c>
    </row>
    <row r="185" spans="1:20" x14ac:dyDescent="0.25">
      <c r="A185" s="16" t="s">
        <v>1042</v>
      </c>
      <c r="B185" s="115" t="s">
        <v>1043</v>
      </c>
      <c r="C185" s="115" t="s">
        <v>218</v>
      </c>
      <c r="D185" s="115" t="s">
        <v>911</v>
      </c>
      <c r="E185" s="173" t="s">
        <v>2078</v>
      </c>
      <c r="F185" s="115" t="s">
        <v>183</v>
      </c>
      <c r="G185" s="115" t="s">
        <v>912</v>
      </c>
      <c r="H185" s="115" t="s">
        <v>371</v>
      </c>
      <c r="I185" s="115" t="s">
        <v>804</v>
      </c>
      <c r="J185" s="116">
        <v>7.1219999999999999</v>
      </c>
      <c r="K185" s="116" t="s">
        <v>125</v>
      </c>
      <c r="L185" s="115">
        <v>5.7500000000000002E-2</v>
      </c>
      <c r="M185" s="115">
        <v>6.3219999999999998E-2</v>
      </c>
      <c r="N185" s="68">
        <v>25981.818408667463</v>
      </c>
      <c r="O185" s="60">
        <v>95.926000000000002</v>
      </c>
      <c r="P185" s="83">
        <v>0</v>
      </c>
      <c r="Q185" s="83">
        <v>95.30677</v>
      </c>
      <c r="R185" s="24">
        <v>3.464242454488995E-5</v>
      </c>
      <c r="S185" s="24">
        <v>1.4719226990225931E-3</v>
      </c>
      <c r="T185" s="24">
        <v>5.1035023886697266E-4</v>
      </c>
    </row>
    <row r="186" spans="1:20" x14ac:dyDescent="0.25">
      <c r="A186" s="16" t="s">
        <v>1044</v>
      </c>
      <c r="B186" s="115" t="s">
        <v>1045</v>
      </c>
      <c r="C186" s="115" t="s">
        <v>218</v>
      </c>
      <c r="D186" s="115" t="s">
        <v>911</v>
      </c>
      <c r="E186" s="173" t="s">
        <v>2079</v>
      </c>
      <c r="F186" s="115" t="s">
        <v>180</v>
      </c>
      <c r="G186" s="115" t="s">
        <v>959</v>
      </c>
      <c r="H186" s="115" t="s">
        <v>265</v>
      </c>
      <c r="I186" s="115" t="s">
        <v>1046</v>
      </c>
      <c r="J186" s="116">
        <v>6.093</v>
      </c>
      <c r="K186" s="116" t="s">
        <v>125</v>
      </c>
      <c r="L186" s="115">
        <v>3.8800000000000001E-2</v>
      </c>
      <c r="M186" s="115">
        <v>6.5269999999999995E-2</v>
      </c>
      <c r="N186" s="68">
        <v>27298.869111410975</v>
      </c>
      <c r="O186" s="60">
        <v>86.070999999999998</v>
      </c>
      <c r="P186" s="83">
        <v>0</v>
      </c>
      <c r="Q186" s="83">
        <v>89.850270000000009</v>
      </c>
      <c r="R186" s="24">
        <v>2.7298869111410974E-5</v>
      </c>
      <c r="S186" s="24">
        <v>1.3876522300179592E-3</v>
      </c>
      <c r="T186" s="24">
        <v>4.8113168410556764E-4</v>
      </c>
    </row>
    <row r="187" spans="1:20" x14ac:dyDescent="0.25">
      <c r="A187" s="16" t="s">
        <v>1047</v>
      </c>
      <c r="B187" s="115" t="s">
        <v>1048</v>
      </c>
      <c r="C187" s="115" t="s">
        <v>218</v>
      </c>
      <c r="D187" s="115" t="s">
        <v>911</v>
      </c>
      <c r="E187" s="173" t="s">
        <v>2080</v>
      </c>
      <c r="F187" s="115" t="s">
        <v>188</v>
      </c>
      <c r="G187" s="115" t="s">
        <v>966</v>
      </c>
      <c r="H187" s="115" t="s">
        <v>265</v>
      </c>
      <c r="I187" s="115" t="s">
        <v>1049</v>
      </c>
      <c r="J187" s="116">
        <v>6.8040000000000003</v>
      </c>
      <c r="K187" s="116" t="s">
        <v>125</v>
      </c>
      <c r="L187" s="115">
        <v>4.2800000000000005E-2</v>
      </c>
      <c r="M187" s="115">
        <v>6.6259999999999999E-2</v>
      </c>
      <c r="N187" s="68">
        <v>35440.63709200723</v>
      </c>
      <c r="O187" s="60">
        <v>85.081999999999994</v>
      </c>
      <c r="P187" s="83">
        <v>0</v>
      </c>
      <c r="Q187" s="83">
        <v>115.30738000000001</v>
      </c>
      <c r="R187" s="24">
        <v>7.1047012655136363E-6</v>
      </c>
      <c r="S187" s="24">
        <v>1.7808131572061856E-3</v>
      </c>
      <c r="T187" s="24">
        <v>6.1744982991370693E-4</v>
      </c>
    </row>
    <row r="188" spans="1:20" x14ac:dyDescent="0.25">
      <c r="A188" s="16" t="s">
        <v>1050</v>
      </c>
      <c r="B188" s="115" t="s">
        <v>1051</v>
      </c>
      <c r="C188" s="115" t="s">
        <v>218</v>
      </c>
      <c r="D188" s="115" t="s">
        <v>911</v>
      </c>
      <c r="E188" s="173" t="s">
        <v>2081</v>
      </c>
      <c r="F188" s="115" t="s">
        <v>170</v>
      </c>
      <c r="G188" s="115" t="s">
        <v>966</v>
      </c>
      <c r="H188" s="115" t="s">
        <v>265</v>
      </c>
      <c r="I188" s="115" t="s">
        <v>1052</v>
      </c>
      <c r="J188" s="116">
        <v>3.9689999999999999</v>
      </c>
      <c r="K188" s="116" t="s">
        <v>125</v>
      </c>
      <c r="L188" s="115">
        <v>5.7500000000000002E-2</v>
      </c>
      <c r="M188" s="115">
        <v>6.3200000000000006E-2</v>
      </c>
      <c r="N188" s="68">
        <v>28017.260403816526</v>
      </c>
      <c r="O188" s="60">
        <v>99.762</v>
      </c>
      <c r="P188" s="83">
        <v>0</v>
      </c>
      <c r="Q188" s="83">
        <v>106.88302</v>
      </c>
      <c r="R188" s="24">
        <v>3.5021575504770659E-5</v>
      </c>
      <c r="S188" s="24">
        <v>1.6507069044317188E-3</v>
      </c>
      <c r="T188" s="24">
        <v>5.7233893025462315E-4</v>
      </c>
    </row>
    <row r="189" spans="1:20" x14ac:dyDescent="0.25">
      <c r="A189" s="16" t="s">
        <v>1053</v>
      </c>
      <c r="B189" s="115" t="s">
        <v>1054</v>
      </c>
      <c r="C189" s="115" t="s">
        <v>218</v>
      </c>
      <c r="D189" s="115" t="s">
        <v>911</v>
      </c>
      <c r="E189" s="173" t="s">
        <v>2082</v>
      </c>
      <c r="F189" s="115" t="s">
        <v>170</v>
      </c>
      <c r="G189" s="115" t="s">
        <v>935</v>
      </c>
      <c r="H189" s="115" t="s">
        <v>265</v>
      </c>
      <c r="I189" s="115" t="s">
        <v>1055</v>
      </c>
      <c r="J189" s="116">
        <v>7.2249999999999996</v>
      </c>
      <c r="K189" s="116" t="s">
        <v>125</v>
      </c>
      <c r="L189" s="115">
        <v>5.45E-2</v>
      </c>
      <c r="M189" s="115">
        <v>6.5119999999999997E-2</v>
      </c>
      <c r="N189" s="68">
        <v>32207.876276182247</v>
      </c>
      <c r="O189" s="60">
        <v>94.186999999999998</v>
      </c>
      <c r="P189" s="83">
        <v>0</v>
      </c>
      <c r="Q189" s="83">
        <v>116.00346</v>
      </c>
      <c r="R189" s="24">
        <v>3.220787627618225E-5</v>
      </c>
      <c r="S189" s="24">
        <v>1.7915634528287909E-3</v>
      </c>
      <c r="T189" s="24">
        <v>6.2117721039539272E-4</v>
      </c>
    </row>
    <row r="190" spans="1:20" x14ac:dyDescent="0.25">
      <c r="A190" s="16" t="s">
        <v>1056</v>
      </c>
      <c r="B190" s="115" t="s">
        <v>1057</v>
      </c>
      <c r="C190" s="115" t="s">
        <v>218</v>
      </c>
      <c r="D190" s="115" t="s">
        <v>911</v>
      </c>
      <c r="E190" s="173" t="s">
        <v>2083</v>
      </c>
      <c r="F190" s="115" t="s">
        <v>170</v>
      </c>
      <c r="G190" s="115" t="s">
        <v>966</v>
      </c>
      <c r="H190" s="115" t="s">
        <v>265</v>
      </c>
      <c r="I190" s="115" t="s">
        <v>1058</v>
      </c>
      <c r="J190" s="116">
        <v>6.8259999999999996</v>
      </c>
      <c r="K190" s="116" t="s">
        <v>125</v>
      </c>
      <c r="L190" s="115">
        <v>5.4000000000000006E-2</v>
      </c>
      <c r="M190" s="115">
        <v>6.3099999999999989E-2</v>
      </c>
      <c r="N190" s="68">
        <v>21791.202536301746</v>
      </c>
      <c r="O190" s="60">
        <v>94.257999999999996</v>
      </c>
      <c r="P190" s="83">
        <v>0</v>
      </c>
      <c r="Q190" s="83">
        <v>78.544780000000003</v>
      </c>
      <c r="R190" s="24">
        <v>2.9054936715068996E-5</v>
      </c>
      <c r="S190" s="24">
        <v>1.2130496560919626E-3</v>
      </c>
      <c r="T190" s="24">
        <v>4.2059286276047142E-4</v>
      </c>
    </row>
    <row r="191" spans="1:20" x14ac:dyDescent="0.25">
      <c r="A191" s="16" t="s">
        <v>1059</v>
      </c>
      <c r="B191" s="115" t="s">
        <v>1060</v>
      </c>
      <c r="C191" s="115" t="s">
        <v>218</v>
      </c>
      <c r="D191" s="115" t="s">
        <v>911</v>
      </c>
      <c r="E191" s="173" t="s">
        <v>2084</v>
      </c>
      <c r="F191" s="115" t="s">
        <v>170</v>
      </c>
      <c r="G191" s="115" t="s">
        <v>1038</v>
      </c>
      <c r="H191" s="115" t="s">
        <v>371</v>
      </c>
      <c r="I191" s="115" t="s">
        <v>1061</v>
      </c>
      <c r="J191" s="116">
        <v>6.3959999999999999</v>
      </c>
      <c r="K191" s="116" t="s">
        <v>125</v>
      </c>
      <c r="L191" s="115">
        <v>3.8800000000000001E-2</v>
      </c>
      <c r="M191" s="115">
        <v>6.5919999999999992E-2</v>
      </c>
      <c r="N191" s="68">
        <v>10991.386773804945</v>
      </c>
      <c r="O191" s="60">
        <v>84.722999999999999</v>
      </c>
      <c r="P191" s="83">
        <v>0</v>
      </c>
      <c r="Q191" s="83">
        <v>35.60998</v>
      </c>
      <c r="R191" s="24">
        <v>9.9220927592349525E-6</v>
      </c>
      <c r="S191" s="24">
        <v>5.4996237805289767E-4</v>
      </c>
      <c r="T191" s="24">
        <v>1.9068489886970379E-4</v>
      </c>
    </row>
    <row r="192" spans="1:20" x14ac:dyDescent="0.25">
      <c r="A192" s="16" t="s">
        <v>1062</v>
      </c>
      <c r="B192" s="115" t="s">
        <v>1063</v>
      </c>
      <c r="C192" s="115" t="s">
        <v>218</v>
      </c>
      <c r="D192" s="115" t="s">
        <v>911</v>
      </c>
      <c r="E192" s="173" t="s">
        <v>2085</v>
      </c>
      <c r="F192" s="115" t="s">
        <v>172</v>
      </c>
      <c r="G192" s="115" t="s">
        <v>917</v>
      </c>
      <c r="H192" s="115" t="s">
        <v>265</v>
      </c>
      <c r="I192" s="115" t="s">
        <v>1064</v>
      </c>
      <c r="J192" s="116">
        <v>6.141</v>
      </c>
      <c r="K192" s="116" t="s">
        <v>2</v>
      </c>
      <c r="L192" s="115">
        <v>4.4999999999999998E-2</v>
      </c>
      <c r="M192" s="115">
        <v>8.2970000000000002E-2</v>
      </c>
      <c r="N192" s="68">
        <v>23596.759317881031</v>
      </c>
      <c r="O192" s="60">
        <v>79.268000000000001</v>
      </c>
      <c r="P192" s="83">
        <v>0</v>
      </c>
      <c r="Q192" s="83">
        <v>87.498619999999988</v>
      </c>
      <c r="R192" s="24">
        <v>3.4958161952416341E-5</v>
      </c>
      <c r="S192" s="24">
        <v>1.3513332254482262E-3</v>
      </c>
      <c r="T192" s="24">
        <v>4.6853903051724934E-4</v>
      </c>
    </row>
    <row r="193" spans="1:20" x14ac:dyDescent="0.25">
      <c r="A193" s="16" t="s">
        <v>1065</v>
      </c>
      <c r="B193" s="115" t="s">
        <v>1066</v>
      </c>
      <c r="C193" s="115" t="s">
        <v>218</v>
      </c>
      <c r="D193" s="115" t="s">
        <v>911</v>
      </c>
      <c r="E193" s="173" t="s">
        <v>2086</v>
      </c>
      <c r="F193" s="115" t="s">
        <v>179</v>
      </c>
      <c r="G193" s="115" t="s">
        <v>1067</v>
      </c>
      <c r="H193" s="115" t="s">
        <v>371</v>
      </c>
      <c r="I193" s="115" t="s">
        <v>1068</v>
      </c>
      <c r="J193" s="116">
        <v>1.2110000000000001</v>
      </c>
      <c r="K193" s="116" t="s">
        <v>163</v>
      </c>
      <c r="L193" s="115">
        <v>0.05</v>
      </c>
      <c r="M193" s="115">
        <v>9.6969999999999987E-2</v>
      </c>
      <c r="N193" s="68">
        <v>328065.35686520208</v>
      </c>
      <c r="O193" s="60">
        <v>97.745000000000005</v>
      </c>
      <c r="P193" s="83">
        <v>0</v>
      </c>
      <c r="Q193" s="83">
        <v>243.06595000000002</v>
      </c>
      <c r="R193" s="24">
        <v>1.3472909932862509E-4</v>
      </c>
      <c r="S193" s="24">
        <v>3.7539231385607828E-3</v>
      </c>
      <c r="T193" s="24">
        <v>1.3015734941277271E-3</v>
      </c>
    </row>
    <row r="194" spans="1:20" x14ac:dyDescent="0.25">
      <c r="A194" s="16" t="s">
        <v>1069</v>
      </c>
      <c r="B194" s="115" t="s">
        <v>1070</v>
      </c>
      <c r="C194" s="115" t="s">
        <v>218</v>
      </c>
      <c r="D194" s="115" t="s">
        <v>911</v>
      </c>
      <c r="E194" s="173" t="s">
        <v>2087</v>
      </c>
      <c r="F194" s="115" t="s">
        <v>182</v>
      </c>
      <c r="G194" s="115" t="s">
        <v>1001</v>
      </c>
      <c r="H194" s="115" t="s">
        <v>265</v>
      </c>
      <c r="I194" s="115" t="s">
        <v>1027</v>
      </c>
      <c r="J194" s="116">
        <v>4.125</v>
      </c>
      <c r="K194" s="116" t="s">
        <v>126</v>
      </c>
      <c r="L194" s="115">
        <v>1.2999999999999999E-3</v>
      </c>
      <c r="M194" s="115">
        <v>6.6909999999999997E-2</v>
      </c>
      <c r="N194" s="68">
        <v>34961.709563736862</v>
      </c>
      <c r="O194" s="60">
        <v>76.358999999999995</v>
      </c>
      <c r="P194" s="83">
        <v>0</v>
      </c>
      <c r="Q194" s="83">
        <v>108.20322999999999</v>
      </c>
      <c r="R194" s="24">
        <v>3.4961709563736861E-5</v>
      </c>
      <c r="S194" s="24">
        <v>1.6710962961451995E-3</v>
      </c>
      <c r="T194" s="24">
        <v>5.7940841219021458E-4</v>
      </c>
    </row>
    <row r="195" spans="1:20" x14ac:dyDescent="0.25">
      <c r="A195" s="16" t="s">
        <v>1071</v>
      </c>
      <c r="B195" s="115" t="s">
        <v>1072</v>
      </c>
      <c r="C195" s="115" t="s">
        <v>218</v>
      </c>
      <c r="D195" s="115" t="s">
        <v>911</v>
      </c>
      <c r="E195" s="173" t="s">
        <v>2088</v>
      </c>
      <c r="F195" s="115" t="s">
        <v>182</v>
      </c>
      <c r="G195" s="115" t="s">
        <v>1001</v>
      </c>
      <c r="H195" s="115" t="s">
        <v>265</v>
      </c>
      <c r="I195" s="115" t="s">
        <v>1073</v>
      </c>
      <c r="J195" s="116">
        <v>5.7679999999999998</v>
      </c>
      <c r="K195" s="116" t="s">
        <v>126</v>
      </c>
      <c r="L195" s="115">
        <v>0.05</v>
      </c>
      <c r="M195" s="115">
        <v>5.3249999999999999E-2</v>
      </c>
      <c r="N195" s="68">
        <v>36637.955912683152</v>
      </c>
      <c r="O195" s="60">
        <v>102.69299999999998</v>
      </c>
      <c r="P195" s="83">
        <v>0</v>
      </c>
      <c r="Q195" s="83">
        <v>152.49633</v>
      </c>
      <c r="R195" s="24">
        <v>4.8850607883577535E-5</v>
      </c>
      <c r="S195" s="24">
        <v>2.3551612298333057E-3</v>
      </c>
      <c r="T195" s="24">
        <v>8.1658982296679123E-4</v>
      </c>
    </row>
    <row r="196" spans="1:20" x14ac:dyDescent="0.25">
      <c r="A196" s="16" t="s">
        <v>1074</v>
      </c>
      <c r="B196" s="115" t="s">
        <v>1075</v>
      </c>
      <c r="C196" s="115" t="s">
        <v>218</v>
      </c>
      <c r="D196" s="115" t="s">
        <v>911</v>
      </c>
      <c r="E196" s="173" t="s">
        <v>2089</v>
      </c>
      <c r="F196" s="115" t="s">
        <v>179</v>
      </c>
      <c r="G196" s="115" t="s">
        <v>935</v>
      </c>
      <c r="H196" s="115" t="s">
        <v>265</v>
      </c>
      <c r="I196" s="115" t="s">
        <v>1076</v>
      </c>
      <c r="J196" s="116">
        <v>5.1929999999999996</v>
      </c>
      <c r="K196" s="116" t="s">
        <v>126</v>
      </c>
      <c r="L196" s="115">
        <v>5.1299999999999998E-2</v>
      </c>
      <c r="M196" s="115">
        <v>5.9839999999999997E-2</v>
      </c>
      <c r="N196" s="68">
        <v>35440.63709200723</v>
      </c>
      <c r="O196" s="60">
        <v>99.305999999999997</v>
      </c>
      <c r="P196" s="83">
        <v>0</v>
      </c>
      <c r="Q196" s="83">
        <v>142.64755</v>
      </c>
      <c r="R196" s="24">
        <v>2.3627091394671486E-5</v>
      </c>
      <c r="S196" s="24">
        <v>2.2030561607004444E-3</v>
      </c>
      <c r="T196" s="24">
        <v>7.6385141597274167E-4</v>
      </c>
    </row>
    <row r="197" spans="1:20" x14ac:dyDescent="0.25">
      <c r="A197" s="16" t="s">
        <v>1077</v>
      </c>
      <c r="B197" s="115" t="s">
        <v>1078</v>
      </c>
      <c r="C197" s="115" t="s">
        <v>218</v>
      </c>
      <c r="D197" s="115" t="s">
        <v>911</v>
      </c>
      <c r="E197" s="173" t="s">
        <v>2090</v>
      </c>
      <c r="F197" s="115" t="s">
        <v>164</v>
      </c>
      <c r="G197" s="115" t="s">
        <v>966</v>
      </c>
      <c r="H197" s="115" t="s">
        <v>265</v>
      </c>
      <c r="I197" s="115" t="s">
        <v>1079</v>
      </c>
      <c r="J197" s="116">
        <v>1.468</v>
      </c>
      <c r="K197" s="116" t="s">
        <v>125</v>
      </c>
      <c r="L197" s="115">
        <v>5.6299999999999996E-2</v>
      </c>
      <c r="M197" s="115">
        <v>0.106</v>
      </c>
      <c r="N197" s="68">
        <v>24554.614374421766</v>
      </c>
      <c r="O197" s="60">
        <v>94.593999999999994</v>
      </c>
      <c r="P197" s="83">
        <v>0</v>
      </c>
      <c r="Q197" s="83">
        <v>88.820779999999999</v>
      </c>
      <c r="R197" s="24">
        <v>3.2739485832562358E-5</v>
      </c>
      <c r="S197" s="24">
        <v>1.3717527330628448E-3</v>
      </c>
      <c r="T197" s="24">
        <v>4.7561895434449018E-4</v>
      </c>
    </row>
    <row r="198" spans="1:20" x14ac:dyDescent="0.25">
      <c r="A198" s="16" t="s">
        <v>1080</v>
      </c>
      <c r="B198" s="115" t="s">
        <v>1081</v>
      </c>
      <c r="C198" s="115" t="s">
        <v>218</v>
      </c>
      <c r="D198" s="115" t="s">
        <v>911</v>
      </c>
      <c r="E198" s="173" t="s">
        <v>2091</v>
      </c>
      <c r="F198" s="115" t="s">
        <v>164</v>
      </c>
      <c r="G198" s="115" t="s">
        <v>966</v>
      </c>
      <c r="H198" s="115" t="s">
        <v>265</v>
      </c>
      <c r="I198" s="115" t="s">
        <v>1082</v>
      </c>
      <c r="J198" s="116">
        <v>3.2389999999999999</v>
      </c>
      <c r="K198" s="116" t="s">
        <v>125</v>
      </c>
      <c r="L198" s="115">
        <v>5.5E-2</v>
      </c>
      <c r="M198" s="115">
        <v>9.4549999999999995E-2</v>
      </c>
      <c r="N198" s="68">
        <v>31780.433457200943</v>
      </c>
      <c r="O198" s="60">
        <v>88.156999999999996</v>
      </c>
      <c r="P198" s="83">
        <v>0</v>
      </c>
      <c r="Q198" s="83">
        <v>107.13577000000001</v>
      </c>
      <c r="R198" s="24">
        <v>3.1780433457200943E-5</v>
      </c>
      <c r="S198" s="24">
        <v>1.6546103885407486E-3</v>
      </c>
      <c r="T198" s="24">
        <v>5.7369236005686735E-4</v>
      </c>
    </row>
    <row r="199" spans="1:20" x14ac:dyDescent="0.25">
      <c r="A199" s="16" t="s">
        <v>1083</v>
      </c>
      <c r="B199" s="115" t="s">
        <v>1084</v>
      </c>
      <c r="C199" s="115" t="s">
        <v>218</v>
      </c>
      <c r="D199" s="115" t="s">
        <v>911</v>
      </c>
      <c r="E199" s="173" t="s">
        <v>2092</v>
      </c>
      <c r="F199" s="115" t="s">
        <v>164</v>
      </c>
      <c r="G199" s="115" t="s">
        <v>912</v>
      </c>
      <c r="H199" s="115" t="s">
        <v>371</v>
      </c>
      <c r="I199" s="115" t="s">
        <v>1085</v>
      </c>
      <c r="J199" s="116">
        <v>3.3530000000000002</v>
      </c>
      <c r="K199" s="116" t="s">
        <v>125</v>
      </c>
      <c r="L199" s="115">
        <v>5.2499999999999998E-2</v>
      </c>
      <c r="M199" s="115">
        <v>8.8749999999999996E-2</v>
      </c>
      <c r="N199" s="68">
        <v>29297.194223119088</v>
      </c>
      <c r="O199" s="60">
        <v>88.926000000000002</v>
      </c>
      <c r="P199" s="83">
        <v>0</v>
      </c>
      <c r="Q199" s="83">
        <v>99.625990000000002</v>
      </c>
      <c r="R199" s="24">
        <v>2.9297194223119088E-5</v>
      </c>
      <c r="S199" s="24">
        <v>1.5386289567215201E-3</v>
      </c>
      <c r="T199" s="24">
        <v>5.3347886822582098E-4</v>
      </c>
    </row>
    <row r="200" spans="1:20" x14ac:dyDescent="0.25">
      <c r="A200" s="16" t="s">
        <v>1086</v>
      </c>
      <c r="B200" s="115" t="s">
        <v>1087</v>
      </c>
      <c r="C200" s="115" t="s">
        <v>218</v>
      </c>
      <c r="D200" s="115" t="s">
        <v>911</v>
      </c>
      <c r="E200" s="173" t="s">
        <v>2093</v>
      </c>
      <c r="F200" s="115" t="s">
        <v>187</v>
      </c>
      <c r="G200" s="115" t="s">
        <v>943</v>
      </c>
      <c r="H200" s="115" t="s">
        <v>265</v>
      </c>
      <c r="I200" s="115" t="s">
        <v>1088</v>
      </c>
      <c r="J200" s="116">
        <v>0.69099999999999995</v>
      </c>
      <c r="K200" s="116" t="s">
        <v>125</v>
      </c>
      <c r="L200" s="115">
        <v>7.1300000000000002E-2</v>
      </c>
      <c r="M200" s="115">
        <v>9.2089999999999991E-2</v>
      </c>
      <c r="N200" s="68">
        <v>17218.641960140405</v>
      </c>
      <c r="O200" s="60">
        <v>96.406000000000006</v>
      </c>
      <c r="P200" s="83">
        <v>0</v>
      </c>
      <c r="Q200" s="83">
        <v>63.477650000000004</v>
      </c>
      <c r="R200" s="24">
        <v>3.3317805650426478E-5</v>
      </c>
      <c r="S200" s="24">
        <v>9.8035211890625928E-4</v>
      </c>
      <c r="T200" s="24">
        <v>3.3991115049029663E-4</v>
      </c>
    </row>
    <row r="201" spans="1:20" x14ac:dyDescent="0.25">
      <c r="A201" s="16" t="s">
        <v>1089</v>
      </c>
      <c r="B201" s="115" t="s">
        <v>1090</v>
      </c>
      <c r="C201" s="115" t="s">
        <v>218</v>
      </c>
      <c r="D201" s="115" t="s">
        <v>911</v>
      </c>
      <c r="E201" s="173" t="s">
        <v>2094</v>
      </c>
      <c r="F201" s="115" t="s">
        <v>166</v>
      </c>
      <c r="G201" s="115" t="s">
        <v>966</v>
      </c>
      <c r="H201" s="115" t="s">
        <v>265</v>
      </c>
      <c r="I201" s="115" t="s">
        <v>1091</v>
      </c>
      <c r="J201" s="116">
        <v>1.304</v>
      </c>
      <c r="K201" s="116" t="s">
        <v>125</v>
      </c>
      <c r="L201" s="115">
        <v>0.04</v>
      </c>
      <c r="M201" s="115">
        <v>8.3219999999999988E-2</v>
      </c>
      <c r="N201" s="68">
        <v>23946.376413518399</v>
      </c>
      <c r="O201" s="60">
        <v>83.302000000000007</v>
      </c>
      <c r="P201" s="83">
        <v>0</v>
      </c>
      <c r="Q201" s="83">
        <v>76.280429999999996</v>
      </c>
      <c r="R201" s="24">
        <v>3.1928501884691199E-5</v>
      </c>
      <c r="S201" s="24">
        <v>1.1780789172500963E-3</v>
      </c>
      <c r="T201" s="24">
        <v>4.0846768462907075E-4</v>
      </c>
    </row>
    <row r="202" spans="1:20" x14ac:dyDescent="0.25">
      <c r="A202" s="16" t="s">
        <v>1092</v>
      </c>
      <c r="B202" s="115" t="s">
        <v>1093</v>
      </c>
      <c r="C202" s="115" t="s">
        <v>218</v>
      </c>
      <c r="D202" s="115" t="s">
        <v>911</v>
      </c>
      <c r="E202" s="173" t="s">
        <v>2095</v>
      </c>
      <c r="F202" s="115" t="s">
        <v>182</v>
      </c>
      <c r="G202" s="115" t="s">
        <v>1001</v>
      </c>
      <c r="H202" s="115" t="s">
        <v>265</v>
      </c>
      <c r="I202" s="115" t="s">
        <v>1094</v>
      </c>
      <c r="J202" s="116">
        <v>2.681</v>
      </c>
      <c r="K202" s="116" t="s">
        <v>125</v>
      </c>
      <c r="L202" s="115">
        <v>4.7500000000000001E-2</v>
      </c>
      <c r="M202" s="115">
        <v>8.8759999999999992E-2</v>
      </c>
      <c r="N202" s="68">
        <v>30362.807973520656</v>
      </c>
      <c r="O202" s="60">
        <v>90.367999999999995</v>
      </c>
      <c r="P202" s="83">
        <v>0</v>
      </c>
      <c r="Q202" s="83">
        <v>104.92392</v>
      </c>
      <c r="R202" s="24">
        <v>2.0241871982347105E-5</v>
      </c>
      <c r="S202" s="24">
        <v>1.6204504624218261E-3</v>
      </c>
      <c r="T202" s="24">
        <v>5.6184830977756481E-4</v>
      </c>
    </row>
    <row r="203" spans="1:20" x14ac:dyDescent="0.25">
      <c r="A203" s="16" t="s">
        <v>1095</v>
      </c>
      <c r="B203" s="115" t="s">
        <v>1096</v>
      </c>
      <c r="C203" s="115" t="s">
        <v>218</v>
      </c>
      <c r="D203" s="115" t="s">
        <v>911</v>
      </c>
      <c r="E203" s="173" t="s">
        <v>2096</v>
      </c>
      <c r="F203" s="115" t="s">
        <v>186</v>
      </c>
      <c r="G203" s="115" t="s">
        <v>959</v>
      </c>
      <c r="H203" s="115" t="s">
        <v>265</v>
      </c>
      <c r="I203" s="115" t="s">
        <v>1097</v>
      </c>
      <c r="J203" s="116">
        <v>5.9509999999999996</v>
      </c>
      <c r="K203" s="116" t="s">
        <v>125</v>
      </c>
      <c r="L203" s="115">
        <v>4.1299999999999996E-2</v>
      </c>
      <c r="M203" s="115">
        <v>7.7289999999999998E-2</v>
      </c>
      <c r="N203" s="68">
        <v>32740.683151383033</v>
      </c>
      <c r="O203" s="60">
        <v>78.716999999999999</v>
      </c>
      <c r="P203" s="83">
        <v>0</v>
      </c>
      <c r="Q203" s="83">
        <v>98.553979999999996</v>
      </c>
      <c r="R203" s="24">
        <v>3.2740683151383033E-5</v>
      </c>
      <c r="S203" s="24">
        <v>1.5220727786810805E-3</v>
      </c>
      <c r="T203" s="24">
        <v>5.277384516786252E-4</v>
      </c>
    </row>
    <row r="204" spans="1:20" x14ac:dyDescent="0.25">
      <c r="A204" s="16" t="s">
        <v>1098</v>
      </c>
      <c r="B204" s="115" t="s">
        <v>1099</v>
      </c>
      <c r="C204" s="115" t="s">
        <v>218</v>
      </c>
      <c r="D204" s="115" t="s">
        <v>911</v>
      </c>
      <c r="E204" s="173" t="s">
        <v>2097</v>
      </c>
      <c r="F204" s="115" t="s">
        <v>164</v>
      </c>
      <c r="G204" s="115" t="s">
        <v>928</v>
      </c>
      <c r="H204" s="115" t="s">
        <v>371</v>
      </c>
      <c r="I204" s="115" t="s">
        <v>1100</v>
      </c>
      <c r="J204" s="116">
        <v>5.3029999999999999</v>
      </c>
      <c r="K204" s="116" t="s">
        <v>125</v>
      </c>
      <c r="L204" s="115">
        <v>4.8799999999999996E-2</v>
      </c>
      <c r="M204" s="115">
        <v>8.1699999999999995E-2</v>
      </c>
      <c r="N204" s="68">
        <v>28675.785755188284</v>
      </c>
      <c r="O204" s="60">
        <v>90.912999999999997</v>
      </c>
      <c r="P204" s="83">
        <v>0</v>
      </c>
      <c r="Q204" s="83">
        <v>99.691749999999999</v>
      </c>
      <c r="R204" s="24">
        <v>1.1470314302075314E-5</v>
      </c>
      <c r="S204" s="24">
        <v>1.5396445575722017E-3</v>
      </c>
      <c r="T204" s="24">
        <v>5.3383100094113478E-4</v>
      </c>
    </row>
    <row r="205" spans="1:20" x14ac:dyDescent="0.25">
      <c r="A205" s="16" t="s">
        <v>1101</v>
      </c>
      <c r="B205" s="115" t="s">
        <v>1102</v>
      </c>
      <c r="C205" s="115" t="s">
        <v>218</v>
      </c>
      <c r="D205" s="115" t="s">
        <v>911</v>
      </c>
      <c r="E205" s="173" t="s">
        <v>2098</v>
      </c>
      <c r="F205" s="115" t="s">
        <v>182</v>
      </c>
      <c r="G205" s="115" t="s">
        <v>943</v>
      </c>
      <c r="H205" s="115" t="s">
        <v>265</v>
      </c>
      <c r="I205" s="115" t="s">
        <v>1091</v>
      </c>
      <c r="J205" s="116">
        <v>1.3009999999999999</v>
      </c>
      <c r="K205" s="116" t="s">
        <v>126</v>
      </c>
      <c r="L205" s="115">
        <v>4.8799999999999996E-2</v>
      </c>
      <c r="M205" s="115">
        <v>0.20373000000000002</v>
      </c>
      <c r="N205" s="68">
        <v>25140.103277732291</v>
      </c>
      <c r="O205" s="60">
        <v>39.082000000000001</v>
      </c>
      <c r="P205" s="83">
        <v>0</v>
      </c>
      <c r="Q205" s="83">
        <v>39.822739999999996</v>
      </c>
      <c r="R205" s="24">
        <v>4.5709278686785982E-5</v>
      </c>
      <c r="S205" s="24">
        <v>6.1502446199021305E-4</v>
      </c>
      <c r="T205" s="24">
        <v>2.1324345449265928E-4</v>
      </c>
    </row>
    <row r="206" spans="1:20" x14ac:dyDescent="0.25">
      <c r="A206" s="16" t="s">
        <v>1103</v>
      </c>
      <c r="B206" s="115" t="s">
        <v>1104</v>
      </c>
      <c r="C206" s="115" t="s">
        <v>218</v>
      </c>
      <c r="D206" s="115" t="s">
        <v>911</v>
      </c>
      <c r="E206" s="173" t="s">
        <v>2099</v>
      </c>
      <c r="F206" s="115" t="s">
        <v>187</v>
      </c>
      <c r="G206" s="115" t="s">
        <v>1038</v>
      </c>
      <c r="H206" s="115" t="s">
        <v>371</v>
      </c>
      <c r="I206" s="115" t="s">
        <v>1105</v>
      </c>
      <c r="J206" s="116">
        <v>4.7770000000000001</v>
      </c>
      <c r="K206" s="116" t="s">
        <v>126</v>
      </c>
      <c r="L206" s="115">
        <v>2.5000000000000001E-2</v>
      </c>
      <c r="M206" s="115">
        <v>6.2920000000000004E-2</v>
      </c>
      <c r="N206" s="68">
        <v>31369.753101709102</v>
      </c>
      <c r="O206" s="60">
        <v>83.072999999999993</v>
      </c>
      <c r="P206" s="83">
        <v>0</v>
      </c>
      <c r="Q206" s="83">
        <v>105.62296000000001</v>
      </c>
      <c r="R206" s="24">
        <v>2.727804617539922E-5</v>
      </c>
      <c r="S206" s="24">
        <v>1.6312464724379538E-3</v>
      </c>
      <c r="T206" s="24">
        <v>5.6559154051529284E-4</v>
      </c>
    </row>
    <row r="207" spans="1:20" x14ac:dyDescent="0.25">
      <c r="A207" s="16" t="s">
        <v>1106</v>
      </c>
      <c r="B207" s="115" t="s">
        <v>1107</v>
      </c>
      <c r="C207" s="115" t="s">
        <v>218</v>
      </c>
      <c r="D207" s="115" t="s">
        <v>911</v>
      </c>
      <c r="E207" s="173" t="s">
        <v>2100</v>
      </c>
      <c r="F207" s="115" t="s">
        <v>178</v>
      </c>
      <c r="G207" s="115" t="s">
        <v>959</v>
      </c>
      <c r="H207" s="115" t="s">
        <v>265</v>
      </c>
      <c r="I207" s="115" t="s">
        <v>1108</v>
      </c>
      <c r="J207" s="116">
        <v>5.7519999999999998</v>
      </c>
      <c r="K207" s="116" t="s">
        <v>126</v>
      </c>
      <c r="L207" s="115">
        <v>5.3800000000000001E-2</v>
      </c>
      <c r="M207" s="115">
        <v>7.4859999999999996E-2</v>
      </c>
      <c r="N207" s="68">
        <v>27538.332875546159</v>
      </c>
      <c r="O207" s="60">
        <v>91.677000000000007</v>
      </c>
      <c r="P207" s="83">
        <v>0</v>
      </c>
      <c r="Q207" s="83">
        <v>102.32585</v>
      </c>
      <c r="R207" s="24">
        <v>3.4422916094432697E-5</v>
      </c>
      <c r="S207" s="24">
        <v>1.5803257345913728E-3</v>
      </c>
      <c r="T207" s="24">
        <v>5.479361223737413E-4</v>
      </c>
    </row>
    <row r="208" spans="1:20" x14ac:dyDescent="0.25">
      <c r="A208" s="16" t="s">
        <v>1109</v>
      </c>
      <c r="B208" s="115" t="s">
        <v>1110</v>
      </c>
      <c r="C208" s="115" t="s">
        <v>218</v>
      </c>
      <c r="D208" s="115" t="s">
        <v>911</v>
      </c>
      <c r="E208" s="173" t="s">
        <v>2101</v>
      </c>
      <c r="F208" s="115" t="s">
        <v>186</v>
      </c>
      <c r="G208" s="115" t="s">
        <v>943</v>
      </c>
      <c r="H208" s="115" t="s">
        <v>265</v>
      </c>
      <c r="I208" s="115" t="s">
        <v>1111</v>
      </c>
      <c r="J208" s="116">
        <v>3.94</v>
      </c>
      <c r="K208" s="116" t="s">
        <v>126</v>
      </c>
      <c r="L208" s="115">
        <v>7.1300000000000002E-2</v>
      </c>
      <c r="M208" s="115">
        <v>7.3330000000000006E-2</v>
      </c>
      <c r="N208" s="68">
        <v>24305.572059721177</v>
      </c>
      <c r="O208" s="60">
        <v>108.691</v>
      </c>
      <c r="P208" s="83">
        <v>0</v>
      </c>
      <c r="Q208" s="83">
        <v>107.07467</v>
      </c>
      <c r="R208" s="24">
        <v>3.2407429412961566E-5</v>
      </c>
      <c r="S208" s="24">
        <v>1.6536667569717605E-3</v>
      </c>
      <c r="T208" s="24">
        <v>5.7336518078518733E-4</v>
      </c>
    </row>
    <row r="209" spans="1:20" x14ac:dyDescent="0.25">
      <c r="A209" s="16" t="s">
        <v>1112</v>
      </c>
      <c r="B209" s="115" t="s">
        <v>1113</v>
      </c>
      <c r="C209" s="115" t="s">
        <v>218</v>
      </c>
      <c r="D209" s="115" t="s">
        <v>911</v>
      </c>
      <c r="E209" s="173" t="s">
        <v>2102</v>
      </c>
      <c r="F209" s="115" t="s">
        <v>179</v>
      </c>
      <c r="G209" s="115" t="s">
        <v>1038</v>
      </c>
      <c r="H209" s="115" t="s">
        <v>371</v>
      </c>
      <c r="I209" s="115" t="s">
        <v>1114</v>
      </c>
      <c r="J209" s="116">
        <v>2.3250000000000002</v>
      </c>
      <c r="K209" s="116" t="s">
        <v>125</v>
      </c>
      <c r="L209" s="115">
        <v>4.3799999999999999E-2</v>
      </c>
      <c r="M209" s="115">
        <v>8.3889999999999992E-2</v>
      </c>
      <c r="N209" s="68">
        <v>23842.209676119593</v>
      </c>
      <c r="O209" s="60">
        <v>86.825000000000003</v>
      </c>
      <c r="P209" s="83">
        <v>0</v>
      </c>
      <c r="Q209" s="83">
        <v>79.160619999999994</v>
      </c>
      <c r="R209" s="24">
        <v>3.1789612901492793E-5</v>
      </c>
      <c r="S209" s="24">
        <v>1.2225607209928723E-3</v>
      </c>
      <c r="T209" s="24">
        <v>4.2389057278782662E-4</v>
      </c>
    </row>
    <row r="210" spans="1:20" x14ac:dyDescent="0.25">
      <c r="A210" s="16" t="s">
        <v>1115</v>
      </c>
      <c r="B210" s="115" t="s">
        <v>1116</v>
      </c>
      <c r="C210" s="115" t="s">
        <v>218</v>
      </c>
      <c r="D210" s="115" t="s">
        <v>911</v>
      </c>
      <c r="E210" s="173" t="s">
        <v>2103</v>
      </c>
      <c r="F210" s="115" t="s">
        <v>179</v>
      </c>
      <c r="G210" s="115" t="s">
        <v>943</v>
      </c>
      <c r="H210" s="115" t="s">
        <v>265</v>
      </c>
      <c r="I210" s="115" t="s">
        <v>717</v>
      </c>
      <c r="J210" s="116">
        <v>5.3129999999999997</v>
      </c>
      <c r="K210" s="116" t="s">
        <v>125</v>
      </c>
      <c r="L210" s="115">
        <v>5.3800000000000001E-2</v>
      </c>
      <c r="M210" s="115">
        <v>0.10105</v>
      </c>
      <c r="N210" s="68">
        <v>31259.599770206918</v>
      </c>
      <c r="O210" s="60">
        <v>73.48</v>
      </c>
      <c r="P210" s="83">
        <v>0</v>
      </c>
      <c r="Q210" s="83">
        <v>87.835570000000004</v>
      </c>
      <c r="R210" s="24">
        <v>2.0839733180137945E-5</v>
      </c>
      <c r="S210" s="24">
        <v>1.3565370987243394E-3</v>
      </c>
      <c r="T210" s="24">
        <v>4.7034333584609672E-4</v>
      </c>
    </row>
    <row r="211" spans="1:20" x14ac:dyDescent="0.25">
      <c r="A211" s="16" t="s">
        <v>1117</v>
      </c>
      <c r="B211" s="115" t="s">
        <v>1118</v>
      </c>
      <c r="C211" s="115" t="s">
        <v>218</v>
      </c>
      <c r="D211" s="115" t="s">
        <v>911</v>
      </c>
      <c r="E211" s="173" t="s">
        <v>2104</v>
      </c>
      <c r="F211" s="115" t="s">
        <v>179</v>
      </c>
      <c r="G211" s="115" t="s">
        <v>959</v>
      </c>
      <c r="H211" s="115" t="s">
        <v>265</v>
      </c>
      <c r="I211" s="115" t="s">
        <v>1119</v>
      </c>
      <c r="J211" s="116">
        <v>2.6819999999999999</v>
      </c>
      <c r="K211" s="116" t="s">
        <v>125</v>
      </c>
      <c r="L211" s="115">
        <v>5.7500000000000002E-2</v>
      </c>
      <c r="M211" s="115">
        <v>9.2010000000000008E-2</v>
      </c>
      <c r="N211" s="68">
        <v>34015.827695402884</v>
      </c>
      <c r="O211" s="60">
        <v>90.837999999999994</v>
      </c>
      <c r="P211" s="83">
        <v>0</v>
      </c>
      <c r="Q211" s="83">
        <v>118.15891000000001</v>
      </c>
      <c r="R211" s="24">
        <v>2.2677218463601921E-5</v>
      </c>
      <c r="S211" s="24">
        <v>1.8248523344224935E-3</v>
      </c>
      <c r="T211" s="24">
        <v>6.3271924903929831E-4</v>
      </c>
    </row>
    <row r="212" spans="1:20" x14ac:dyDescent="0.25">
      <c r="A212" s="16" t="s">
        <v>1120</v>
      </c>
      <c r="B212" s="115" t="s">
        <v>1121</v>
      </c>
      <c r="C212" s="115" t="s">
        <v>218</v>
      </c>
      <c r="D212" s="115" t="s">
        <v>911</v>
      </c>
      <c r="E212" s="173" t="s">
        <v>2105</v>
      </c>
      <c r="F212" s="115" t="s">
        <v>179</v>
      </c>
      <c r="G212" s="115" t="s">
        <v>959</v>
      </c>
      <c r="H212" s="115" t="s">
        <v>265</v>
      </c>
      <c r="I212" s="115" t="s">
        <v>1122</v>
      </c>
      <c r="J212" s="116">
        <v>4.5449999999999999</v>
      </c>
      <c r="K212" s="116" t="s">
        <v>125</v>
      </c>
      <c r="L212" s="115">
        <v>7.7499999999999999E-2</v>
      </c>
      <c r="M212" s="115">
        <v>9.237999999999999E-2</v>
      </c>
      <c r="N212" s="68">
        <v>34341.498414626738</v>
      </c>
      <c r="O212" s="60">
        <v>96.003</v>
      </c>
      <c r="P212" s="83">
        <v>0</v>
      </c>
      <c r="Q212" s="83">
        <v>126.07294999999999</v>
      </c>
      <c r="R212" s="24">
        <v>1.7170749207313369E-5</v>
      </c>
      <c r="S212" s="24">
        <v>1.9470771786489083E-3</v>
      </c>
      <c r="T212" s="24">
        <v>6.7509747887966297E-4</v>
      </c>
    </row>
    <row r="213" spans="1:20" x14ac:dyDescent="0.25">
      <c r="A213" s="16" t="s">
        <v>1123</v>
      </c>
      <c r="B213" s="115" t="s">
        <v>1124</v>
      </c>
      <c r="C213" s="115" t="s">
        <v>218</v>
      </c>
      <c r="D213" s="115" t="s">
        <v>911</v>
      </c>
      <c r="E213" s="173" t="s">
        <v>2106</v>
      </c>
      <c r="F213" s="115" t="s">
        <v>179</v>
      </c>
      <c r="G213" s="115" t="s">
        <v>959</v>
      </c>
      <c r="H213" s="115" t="s">
        <v>265</v>
      </c>
      <c r="I213" s="115" t="s">
        <v>1125</v>
      </c>
      <c r="J213" s="116">
        <v>2.0139999999999998</v>
      </c>
      <c r="K213" s="116" t="s">
        <v>126</v>
      </c>
      <c r="L213" s="115">
        <v>4.3799999999999999E-2</v>
      </c>
      <c r="M213" s="115">
        <v>8.7609999999999993E-2</v>
      </c>
      <c r="N213" s="68">
        <v>33285.46321479058</v>
      </c>
      <c r="O213" s="60">
        <v>83.941000000000003</v>
      </c>
      <c r="P213" s="83">
        <v>0</v>
      </c>
      <c r="Q213" s="83">
        <v>113.24422</v>
      </c>
      <c r="R213" s="24">
        <v>2.2190308809860386E-5</v>
      </c>
      <c r="S213" s="24">
        <v>1.748949607159159E-3</v>
      </c>
      <c r="T213" s="24">
        <v>6.0640198725970878E-4</v>
      </c>
    </row>
    <row r="214" spans="1:20" x14ac:dyDescent="0.25">
      <c r="A214" s="16" t="s">
        <v>1126</v>
      </c>
      <c r="B214" s="115" t="s">
        <v>1127</v>
      </c>
      <c r="C214" s="115" t="s">
        <v>218</v>
      </c>
      <c r="D214" s="115" t="s">
        <v>911</v>
      </c>
      <c r="E214" s="173" t="s">
        <v>2107</v>
      </c>
      <c r="F214" s="115" t="s">
        <v>179</v>
      </c>
      <c r="G214" s="115" t="s">
        <v>966</v>
      </c>
      <c r="H214" s="115" t="s">
        <v>265</v>
      </c>
      <c r="I214" s="115" t="s">
        <v>1128</v>
      </c>
      <c r="J214" s="116">
        <v>5.0599999999999996</v>
      </c>
      <c r="K214" s="116" t="s">
        <v>126</v>
      </c>
      <c r="L214" s="115">
        <v>4.8799999999999996E-2</v>
      </c>
      <c r="M214" s="115">
        <v>7.6670000000000002E-2</v>
      </c>
      <c r="N214" s="68">
        <v>31848.680629979473</v>
      </c>
      <c r="O214" s="60">
        <v>83.415999999999997</v>
      </c>
      <c r="P214" s="83">
        <v>0</v>
      </c>
      <c r="Q214" s="83">
        <v>107.67828</v>
      </c>
      <c r="R214" s="24">
        <v>3.1848680629979471E-5</v>
      </c>
      <c r="S214" s="24">
        <v>1.6629889411183538E-3</v>
      </c>
      <c r="T214" s="24">
        <v>5.7659740141004429E-4</v>
      </c>
    </row>
    <row r="215" spans="1:20" x14ac:dyDescent="0.25">
      <c r="A215" s="16" t="s">
        <v>1129</v>
      </c>
      <c r="B215" s="115" t="s">
        <v>1130</v>
      </c>
      <c r="C215" s="115" t="s">
        <v>218</v>
      </c>
      <c r="D215" s="115" t="s">
        <v>911</v>
      </c>
      <c r="E215" s="173" t="s">
        <v>2108</v>
      </c>
      <c r="F215" s="115" t="s">
        <v>179</v>
      </c>
      <c r="G215" s="115" t="s">
        <v>935</v>
      </c>
      <c r="H215" s="115" t="s">
        <v>265</v>
      </c>
      <c r="I215" s="115" t="s">
        <v>1131</v>
      </c>
      <c r="J215" s="116">
        <v>4.0490000000000004</v>
      </c>
      <c r="K215" s="116" t="s">
        <v>126</v>
      </c>
      <c r="L215" s="115">
        <v>7.2499999999999995E-2</v>
      </c>
      <c r="M215" s="115">
        <v>7.85E-2</v>
      </c>
      <c r="N215" s="68">
        <v>33764.390743060947</v>
      </c>
      <c r="O215" s="60">
        <v>98.426000000000002</v>
      </c>
      <c r="P215" s="83">
        <v>0</v>
      </c>
      <c r="Q215" s="83">
        <v>134.69642999999999</v>
      </c>
      <c r="R215" s="24">
        <v>2.7011512594448759E-5</v>
      </c>
      <c r="S215" s="24">
        <v>2.0802586510308531E-3</v>
      </c>
      <c r="T215" s="24">
        <v>7.212746295465522E-4</v>
      </c>
    </row>
    <row r="216" spans="1:20" x14ac:dyDescent="0.25">
      <c r="A216" s="16" t="s">
        <v>1132</v>
      </c>
      <c r="B216" s="115" t="s">
        <v>1133</v>
      </c>
      <c r="C216" s="115" t="s">
        <v>218</v>
      </c>
      <c r="D216" s="115" t="s">
        <v>911</v>
      </c>
      <c r="E216" s="173" t="s">
        <v>2109</v>
      </c>
      <c r="F216" s="115" t="s">
        <v>179</v>
      </c>
      <c r="G216" s="115" t="s">
        <v>948</v>
      </c>
      <c r="H216" s="115" t="s">
        <v>371</v>
      </c>
      <c r="I216" s="115" t="s">
        <v>1134</v>
      </c>
      <c r="J216" s="116">
        <v>0.872</v>
      </c>
      <c r="K216" s="116" t="s">
        <v>2</v>
      </c>
      <c r="L216" s="115">
        <v>5.8799999999999998E-2</v>
      </c>
      <c r="M216" s="115">
        <v>0.10108</v>
      </c>
      <c r="N216" s="68">
        <v>26582.872456646775</v>
      </c>
      <c r="O216" s="60">
        <v>93.903000000000006</v>
      </c>
      <c r="P216" s="83">
        <v>0</v>
      </c>
      <c r="Q216" s="83">
        <v>116.77028</v>
      </c>
      <c r="R216" s="24">
        <v>2.1266297965317421E-5</v>
      </c>
      <c r="S216" s="24">
        <v>1.8034062606803684E-3</v>
      </c>
      <c r="T216" s="24">
        <v>6.2528339057722E-4</v>
      </c>
    </row>
    <row r="217" spans="1:20" x14ac:dyDescent="0.25">
      <c r="A217" s="16" t="s">
        <v>1135</v>
      </c>
      <c r="B217" s="115" t="s">
        <v>1136</v>
      </c>
      <c r="C217" s="115" t="s">
        <v>218</v>
      </c>
      <c r="D217" s="115" t="s">
        <v>911</v>
      </c>
      <c r="E217" s="173" t="s">
        <v>2110</v>
      </c>
      <c r="F217" s="115" t="s">
        <v>179</v>
      </c>
      <c r="G217" s="115" t="s">
        <v>948</v>
      </c>
      <c r="H217" s="115" t="s">
        <v>371</v>
      </c>
      <c r="I217" s="115" t="s">
        <v>1137</v>
      </c>
      <c r="J217" s="116">
        <v>3.105</v>
      </c>
      <c r="K217" s="116" t="s">
        <v>2</v>
      </c>
      <c r="L217" s="115">
        <v>5.1299999999999998E-2</v>
      </c>
      <c r="M217" s="115">
        <v>9.6750000000000003E-2</v>
      </c>
      <c r="N217" s="68">
        <v>28830.239883055478</v>
      </c>
      <c r="O217" s="60">
        <v>82.468000000000004</v>
      </c>
      <c r="P217" s="83">
        <v>1.727957543</v>
      </c>
      <c r="Q217" s="83">
        <v>112.94841000000001</v>
      </c>
      <c r="R217" s="24">
        <v>2.8830239883055477E-5</v>
      </c>
      <c r="S217" s="24">
        <v>1.7443811021767965E-3</v>
      </c>
      <c r="T217" s="24">
        <v>6.0481797907058188E-4</v>
      </c>
    </row>
    <row r="218" spans="1:20" s="117" customFormat="1" x14ac:dyDescent="0.25">
      <c r="A218" s="77" t="s">
        <v>241</v>
      </c>
      <c r="B218" s="123"/>
      <c r="C218" s="123"/>
      <c r="D218" s="123"/>
      <c r="E218" s="123"/>
      <c r="F218" s="123"/>
      <c r="G218" s="124"/>
      <c r="H218" s="124"/>
      <c r="I218" s="124"/>
      <c r="J218" s="125"/>
      <c r="K218" s="126"/>
      <c r="L218" s="127"/>
      <c r="M218" s="127"/>
      <c r="N218" s="127"/>
      <c r="O218" s="126"/>
      <c r="P218" s="126"/>
      <c r="Q218" s="126"/>
      <c r="R218" s="136"/>
      <c r="S218" s="136"/>
      <c r="T218" s="136"/>
    </row>
    <row r="219" spans="1:20" s="117" customFormat="1" x14ac:dyDescent="0.25">
      <c r="A219" s="77" t="s">
        <v>242</v>
      </c>
      <c r="B219" s="123"/>
      <c r="C219" s="123"/>
      <c r="D219" s="123"/>
      <c r="E219" s="123"/>
      <c r="F219" s="123"/>
      <c r="G219" s="124"/>
      <c r="H219" s="124"/>
      <c r="I219" s="124"/>
      <c r="J219" s="125"/>
      <c r="K219" s="126"/>
      <c r="L219" s="127"/>
      <c r="M219" s="127"/>
      <c r="N219" s="127"/>
      <c r="O219" s="126"/>
      <c r="P219" s="126"/>
      <c r="Q219" s="126"/>
      <c r="R219" s="136"/>
      <c r="S219" s="136"/>
      <c r="T219" s="136"/>
    </row>
    <row r="220" spans="1:20" s="117" customFormat="1" x14ac:dyDescent="0.25">
      <c r="A220" s="77" t="s">
        <v>243</v>
      </c>
      <c r="B220" s="123"/>
      <c r="C220" s="123"/>
      <c r="D220" s="123"/>
      <c r="E220" s="123"/>
      <c r="F220" s="123"/>
      <c r="G220" s="124"/>
      <c r="H220" s="124"/>
      <c r="I220" s="124"/>
      <c r="J220" s="125"/>
      <c r="K220" s="126"/>
      <c r="L220" s="127"/>
      <c r="M220" s="127"/>
      <c r="N220" s="127"/>
      <c r="O220" s="126"/>
      <c r="P220" s="126"/>
      <c r="Q220" s="126"/>
      <c r="R220" s="136"/>
      <c r="S220" s="136"/>
      <c r="T220" s="136"/>
    </row>
    <row r="221" spans="1:20" s="117" customFormat="1" x14ac:dyDescent="0.25">
      <c r="A221" s="77" t="s">
        <v>244</v>
      </c>
      <c r="B221" s="123"/>
      <c r="C221" s="123"/>
      <c r="D221" s="123"/>
      <c r="E221" s="123"/>
      <c r="F221" s="123"/>
      <c r="G221" s="124"/>
      <c r="H221" s="124"/>
      <c r="I221" s="124"/>
      <c r="J221" s="125"/>
      <c r="K221" s="126"/>
      <c r="L221" s="127"/>
      <c r="M221" s="127"/>
      <c r="N221" s="127"/>
      <c r="O221" s="126"/>
      <c r="P221" s="126"/>
      <c r="Q221" s="126"/>
      <c r="R221" s="136"/>
      <c r="S221" s="136"/>
      <c r="T221" s="136"/>
    </row>
    <row r="222" spans="1:20" s="117" customFormat="1" x14ac:dyDescent="0.25">
      <c r="A222" s="77" t="s">
        <v>245</v>
      </c>
      <c r="B222" s="123"/>
      <c r="C222" s="123"/>
      <c r="D222" s="123"/>
      <c r="E222" s="123"/>
      <c r="F222" s="123"/>
      <c r="G222" s="124"/>
      <c r="H222" s="124"/>
      <c r="I222" s="124"/>
      <c r="J222" s="125"/>
      <c r="K222" s="126"/>
      <c r="L222" s="127"/>
      <c r="M222" s="127"/>
      <c r="N222" s="127"/>
      <c r="O222" s="126"/>
      <c r="P222" s="126"/>
      <c r="Q222" s="126"/>
      <c r="R222" s="136"/>
      <c r="S222" s="136"/>
      <c r="T222" s="136"/>
    </row>
  </sheetData>
  <sortState xmlns:xlrd2="http://schemas.microsoft.com/office/spreadsheetml/2017/richdata2" ref="A143:Z154">
    <sortCondition ref="A143:A154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217 P10:Q217">
    <cfRule type="expression" dxfId="112" priority="109" stopIfTrue="1">
      <formula>#REF!&gt;0</formula>
    </cfRule>
  </conditionalFormatting>
  <conditionalFormatting sqref="B10:M217">
    <cfRule type="expression" dxfId="111" priority="111" stopIfTrue="1">
      <formula>LEFT(#REF!,3)="TIR"</formula>
    </cfRule>
  </conditionalFormatting>
  <conditionalFormatting sqref="S10:T217">
    <cfRule type="expression" dxfId="110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11.33203125" style="59" customWidth="1"/>
    <col min="8" max="8" width="10.5546875" style="59" customWidth="1"/>
    <col min="9" max="9" width="8.88671875" style="59" bestFit="1" customWidth="1"/>
    <col min="10" max="10" width="16.5546875" style="59" customWidth="1"/>
    <col min="11" max="11" width="10.44140625" style="36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7" t="s">
        <v>11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9"/>
      <c r="N4" s="230"/>
      <c r="O4" s="13"/>
      <c r="P4" s="13"/>
      <c r="Q4" s="12"/>
      <c r="R4" s="12"/>
      <c r="S4" s="14"/>
    </row>
    <row r="5" spans="1:19" s="7" customFormat="1" x14ac:dyDescent="0.25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6"/>
    </row>
    <row r="6" spans="1:19" s="7" customFormat="1" x14ac:dyDescent="0.25">
      <c r="A6" s="85" t="s">
        <v>157</v>
      </c>
      <c r="B6" s="204" t="s">
        <v>69</v>
      </c>
      <c r="C6" s="204" t="s">
        <v>76</v>
      </c>
      <c r="D6" s="204" t="s">
        <v>77</v>
      </c>
      <c r="E6" s="204" t="s">
        <v>74</v>
      </c>
      <c r="F6" s="204" t="s">
        <v>19</v>
      </c>
      <c r="G6" s="204" t="s">
        <v>6</v>
      </c>
      <c r="H6" s="205" t="s">
        <v>67</v>
      </c>
      <c r="I6" s="205" t="s">
        <v>68</v>
      </c>
      <c r="J6" s="205" t="s">
        <v>134</v>
      </c>
      <c r="K6" s="205" t="s">
        <v>7</v>
      </c>
      <c r="L6" s="205" t="s">
        <v>17</v>
      </c>
      <c r="M6" s="88" t="s">
        <v>75</v>
      </c>
      <c r="N6" s="89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7" customFormat="1" ht="12.75" customHeight="1" thickBot="1" x14ac:dyDescent="0.3">
      <c r="A9" s="147" t="s">
        <v>59</v>
      </c>
      <c r="B9" s="69" t="s">
        <v>249</v>
      </c>
      <c r="C9" s="69" t="s">
        <v>249</v>
      </c>
      <c r="D9" s="69" t="s">
        <v>249</v>
      </c>
      <c r="E9" s="69" t="s">
        <v>249</v>
      </c>
      <c r="F9" s="69" t="s">
        <v>249</v>
      </c>
      <c r="G9" s="148" t="s">
        <v>249</v>
      </c>
      <c r="H9" s="149" t="s">
        <v>249</v>
      </c>
      <c r="I9" s="148" t="s">
        <v>249</v>
      </c>
      <c r="J9" s="148" t="s">
        <v>249</v>
      </c>
      <c r="K9" s="105">
        <v>6.9999999999999997E-7</v>
      </c>
      <c r="L9" s="69" t="s">
        <v>249</v>
      </c>
      <c r="M9" s="69">
        <v>1</v>
      </c>
      <c r="N9" s="81">
        <v>0</v>
      </c>
    </row>
    <row r="10" spans="1:19" s="117" customFormat="1" x14ac:dyDescent="0.25">
      <c r="A10" s="90" t="s">
        <v>137</v>
      </c>
      <c r="B10" s="129" t="s">
        <v>249</v>
      </c>
      <c r="C10" s="129" t="s">
        <v>249</v>
      </c>
      <c r="D10" s="129" t="s">
        <v>249</v>
      </c>
      <c r="E10" s="129" t="s">
        <v>249</v>
      </c>
      <c r="F10" s="129" t="s">
        <v>249</v>
      </c>
      <c r="G10" s="130" t="s">
        <v>249</v>
      </c>
      <c r="H10" s="131" t="s">
        <v>249</v>
      </c>
      <c r="I10" s="120" t="s">
        <v>249</v>
      </c>
      <c r="J10" s="120" t="s">
        <v>249</v>
      </c>
      <c r="K10" s="132">
        <v>0</v>
      </c>
      <c r="L10" s="119" t="s">
        <v>249</v>
      </c>
      <c r="M10" s="119">
        <v>0</v>
      </c>
      <c r="N10" s="119">
        <v>0</v>
      </c>
    </row>
    <row r="11" spans="1:19" s="117" customFormat="1" x14ac:dyDescent="0.25">
      <c r="A11" s="91" t="s">
        <v>1138</v>
      </c>
      <c r="B11" s="129" t="s">
        <v>249</v>
      </c>
      <c r="C11" s="129" t="s">
        <v>249</v>
      </c>
      <c r="D11" s="129" t="s">
        <v>249</v>
      </c>
      <c r="E11" s="129" t="s">
        <v>249</v>
      </c>
      <c r="F11" s="129" t="s">
        <v>249</v>
      </c>
      <c r="G11" s="130" t="s">
        <v>249</v>
      </c>
      <c r="H11" s="133" t="s">
        <v>249</v>
      </c>
      <c r="I11" s="120" t="s">
        <v>249</v>
      </c>
      <c r="J11" s="120" t="s">
        <v>249</v>
      </c>
      <c r="K11" s="150">
        <v>0</v>
      </c>
      <c r="L11" s="135"/>
      <c r="M11" s="119">
        <v>0</v>
      </c>
      <c r="N11" s="119">
        <v>0</v>
      </c>
    </row>
    <row r="12" spans="1:19" s="117" customFormat="1" x14ac:dyDescent="0.25">
      <c r="A12" s="91" t="s">
        <v>1139</v>
      </c>
      <c r="B12" s="129" t="s">
        <v>249</v>
      </c>
      <c r="C12" s="129" t="s">
        <v>249</v>
      </c>
      <c r="D12" s="129" t="s">
        <v>249</v>
      </c>
      <c r="E12" s="129" t="s">
        <v>249</v>
      </c>
      <c r="F12" s="129" t="s">
        <v>249</v>
      </c>
      <c r="G12" s="130" t="s">
        <v>249</v>
      </c>
      <c r="H12" s="133" t="s">
        <v>249</v>
      </c>
      <c r="I12" s="120" t="s">
        <v>249</v>
      </c>
      <c r="J12" s="133" t="s">
        <v>249</v>
      </c>
      <c r="K12" s="150">
        <v>0</v>
      </c>
      <c r="L12" s="135"/>
      <c r="M12" s="119">
        <v>0</v>
      </c>
      <c r="N12" s="119">
        <v>0</v>
      </c>
    </row>
    <row r="13" spans="1:19" s="117" customFormat="1" x14ac:dyDescent="0.25">
      <c r="A13" s="91" t="s">
        <v>1140</v>
      </c>
      <c r="B13" s="129" t="s">
        <v>249</v>
      </c>
      <c r="C13" s="129" t="s">
        <v>249</v>
      </c>
      <c r="D13" s="129" t="s">
        <v>249</v>
      </c>
      <c r="E13" s="129" t="s">
        <v>249</v>
      </c>
      <c r="F13" s="129" t="s">
        <v>249</v>
      </c>
      <c r="G13" s="130" t="s">
        <v>249</v>
      </c>
      <c r="H13" s="133" t="s">
        <v>249</v>
      </c>
      <c r="I13" s="120" t="s">
        <v>249</v>
      </c>
      <c r="J13" s="120" t="s">
        <v>249</v>
      </c>
      <c r="K13" s="150">
        <v>0</v>
      </c>
      <c r="L13" s="135"/>
      <c r="M13" s="119">
        <v>0</v>
      </c>
      <c r="N13" s="119">
        <v>0</v>
      </c>
    </row>
    <row r="14" spans="1:19" s="117" customFormat="1" x14ac:dyDescent="0.25">
      <c r="A14" s="91" t="s">
        <v>1141</v>
      </c>
      <c r="B14" s="129" t="s">
        <v>249</v>
      </c>
      <c r="C14" s="129" t="s">
        <v>249</v>
      </c>
      <c r="D14" s="129" t="s">
        <v>249</v>
      </c>
      <c r="E14" s="129" t="s">
        <v>249</v>
      </c>
      <c r="F14" s="129" t="s">
        <v>249</v>
      </c>
      <c r="G14" s="130" t="s">
        <v>249</v>
      </c>
      <c r="H14" s="133" t="s">
        <v>249</v>
      </c>
      <c r="I14" s="120" t="s">
        <v>249</v>
      </c>
      <c r="J14" s="120" t="s">
        <v>249</v>
      </c>
      <c r="K14" s="150">
        <v>0</v>
      </c>
      <c r="L14" s="135"/>
      <c r="M14" s="119">
        <v>0</v>
      </c>
      <c r="N14" s="119">
        <v>0</v>
      </c>
    </row>
    <row r="15" spans="1:19" s="117" customFormat="1" x14ac:dyDescent="0.25">
      <c r="A15" s="91" t="s">
        <v>1142</v>
      </c>
      <c r="B15" s="129" t="s">
        <v>249</v>
      </c>
      <c r="C15" s="129" t="s">
        <v>249</v>
      </c>
      <c r="D15" s="129" t="s">
        <v>249</v>
      </c>
      <c r="E15" s="129" t="s">
        <v>249</v>
      </c>
      <c r="F15" s="129" t="s">
        <v>249</v>
      </c>
      <c r="G15" s="130" t="s">
        <v>249</v>
      </c>
      <c r="H15" s="133" t="s">
        <v>249</v>
      </c>
      <c r="I15" s="120" t="s">
        <v>249</v>
      </c>
      <c r="J15" s="120" t="s">
        <v>249</v>
      </c>
      <c r="K15" s="150">
        <v>0</v>
      </c>
      <c r="L15" s="135"/>
      <c r="M15" s="119">
        <v>0</v>
      </c>
      <c r="N15" s="119">
        <v>0</v>
      </c>
    </row>
    <row r="16" spans="1:19" s="117" customFormat="1" x14ac:dyDescent="0.25">
      <c r="A16" s="91" t="s">
        <v>1143</v>
      </c>
      <c r="B16" s="129" t="s">
        <v>249</v>
      </c>
      <c r="C16" s="129" t="s">
        <v>249</v>
      </c>
      <c r="D16" s="129" t="s">
        <v>249</v>
      </c>
      <c r="E16" s="129" t="s">
        <v>249</v>
      </c>
      <c r="F16" s="129" t="s">
        <v>249</v>
      </c>
      <c r="G16" s="130" t="s">
        <v>249</v>
      </c>
      <c r="H16" s="133" t="s">
        <v>249</v>
      </c>
      <c r="I16" s="120" t="s">
        <v>249</v>
      </c>
      <c r="J16" s="120" t="s">
        <v>249</v>
      </c>
      <c r="K16" s="150">
        <v>0</v>
      </c>
      <c r="L16" s="135"/>
      <c r="M16" s="119">
        <v>0</v>
      </c>
      <c r="N16" s="119">
        <v>0</v>
      </c>
    </row>
    <row r="17" spans="1:18" s="117" customFormat="1" x14ac:dyDescent="0.25">
      <c r="A17" s="91" t="s">
        <v>439</v>
      </c>
      <c r="B17" s="129" t="s">
        <v>249</v>
      </c>
      <c r="C17" s="129" t="s">
        <v>249</v>
      </c>
      <c r="D17" s="129" t="s">
        <v>249</v>
      </c>
      <c r="E17" s="129" t="s">
        <v>249</v>
      </c>
      <c r="F17" s="129" t="s">
        <v>249</v>
      </c>
      <c r="G17" s="130" t="s">
        <v>249</v>
      </c>
      <c r="H17" s="133" t="s">
        <v>249</v>
      </c>
      <c r="I17" s="120" t="s">
        <v>249</v>
      </c>
      <c r="J17" s="120" t="s">
        <v>249</v>
      </c>
      <c r="K17" s="150">
        <v>0</v>
      </c>
      <c r="L17" s="135"/>
      <c r="M17" s="119">
        <v>0</v>
      </c>
      <c r="N17" s="119">
        <v>0</v>
      </c>
    </row>
    <row r="18" spans="1:18" s="117" customFormat="1" x14ac:dyDescent="0.25">
      <c r="A18" s="91" t="s">
        <v>143</v>
      </c>
      <c r="B18" s="129" t="s">
        <v>249</v>
      </c>
      <c r="C18" s="129" t="s">
        <v>249</v>
      </c>
      <c r="D18" s="129" t="s">
        <v>249</v>
      </c>
      <c r="E18" s="129" t="s">
        <v>249</v>
      </c>
      <c r="F18" s="129" t="s">
        <v>249</v>
      </c>
      <c r="G18" s="130" t="s">
        <v>249</v>
      </c>
      <c r="H18" s="133" t="s">
        <v>249</v>
      </c>
      <c r="I18" s="120" t="s">
        <v>249</v>
      </c>
      <c r="J18" s="120" t="s">
        <v>249</v>
      </c>
      <c r="K18" s="150">
        <v>0</v>
      </c>
      <c r="L18" s="135"/>
      <c r="M18" s="119">
        <v>0</v>
      </c>
      <c r="N18" s="119">
        <v>0</v>
      </c>
    </row>
    <row r="19" spans="1:18" s="117" customFormat="1" x14ac:dyDescent="0.25">
      <c r="A19" s="91" t="s">
        <v>144</v>
      </c>
      <c r="B19" s="129" t="s">
        <v>249</v>
      </c>
      <c r="C19" s="129" t="s">
        <v>249</v>
      </c>
      <c r="D19" s="129" t="s">
        <v>249</v>
      </c>
      <c r="E19" s="129" t="s">
        <v>249</v>
      </c>
      <c r="F19" s="129" t="s">
        <v>249</v>
      </c>
      <c r="G19" s="130" t="s">
        <v>249</v>
      </c>
      <c r="H19" s="133" t="s">
        <v>249</v>
      </c>
      <c r="I19" s="120" t="s">
        <v>249</v>
      </c>
      <c r="J19" s="120" t="s">
        <v>249</v>
      </c>
      <c r="K19" s="150">
        <v>0</v>
      </c>
      <c r="L19" s="135"/>
      <c r="M19" s="119">
        <v>0</v>
      </c>
      <c r="N19" s="119">
        <v>0</v>
      </c>
    </row>
    <row r="20" spans="1:18" s="117" customFormat="1" x14ac:dyDescent="0.25">
      <c r="A20" s="77" t="s">
        <v>241</v>
      </c>
      <c r="B20" s="123"/>
      <c r="C20" s="123"/>
      <c r="D20" s="123"/>
      <c r="E20" s="123"/>
      <c r="F20" s="123"/>
      <c r="G20" s="124"/>
      <c r="H20" s="124"/>
      <c r="I20" s="124"/>
      <c r="J20" s="124"/>
      <c r="K20" s="125"/>
      <c r="L20" s="126"/>
      <c r="M20" s="126"/>
      <c r="N20" s="127"/>
      <c r="O20" s="146"/>
      <c r="P20" s="146"/>
      <c r="Q20" s="128"/>
      <c r="R20" s="128"/>
    </row>
    <row r="21" spans="1:18" s="117" customFormat="1" x14ac:dyDescent="0.25">
      <c r="A21" s="77" t="s">
        <v>242</v>
      </c>
      <c r="B21" s="123"/>
      <c r="C21" s="123"/>
      <c r="D21" s="123"/>
      <c r="E21" s="123"/>
      <c r="F21" s="123"/>
      <c r="G21" s="124"/>
      <c r="H21" s="124"/>
      <c r="I21" s="124"/>
      <c r="J21" s="124"/>
      <c r="K21" s="125"/>
      <c r="L21" s="126"/>
      <c r="M21" s="126"/>
      <c r="N21" s="127"/>
      <c r="O21" s="146"/>
      <c r="P21" s="146"/>
      <c r="Q21" s="128"/>
      <c r="R21" s="128"/>
    </row>
    <row r="22" spans="1:18" s="117" customFormat="1" x14ac:dyDescent="0.25">
      <c r="A22" s="77" t="s">
        <v>243</v>
      </c>
      <c r="B22" s="123"/>
      <c r="C22" s="123"/>
      <c r="D22" s="123"/>
      <c r="E22" s="123"/>
      <c r="F22" s="123"/>
      <c r="G22" s="124"/>
      <c r="H22" s="124"/>
      <c r="I22" s="124"/>
      <c r="J22" s="124"/>
      <c r="K22" s="125"/>
      <c r="L22" s="126"/>
      <c r="M22" s="126"/>
      <c r="N22" s="127"/>
      <c r="O22" s="146"/>
      <c r="P22" s="146"/>
      <c r="Q22" s="128"/>
      <c r="R22" s="128"/>
    </row>
    <row r="23" spans="1:18" s="117" customFormat="1" x14ac:dyDescent="0.25">
      <c r="A23" s="77" t="s">
        <v>244</v>
      </c>
      <c r="B23" s="123"/>
      <c r="C23" s="123"/>
      <c r="D23" s="123"/>
      <c r="E23" s="123"/>
      <c r="F23" s="123"/>
      <c r="G23" s="124"/>
      <c r="H23" s="124"/>
      <c r="I23" s="124"/>
      <c r="J23" s="124"/>
      <c r="K23" s="125"/>
      <c r="L23" s="126"/>
      <c r="M23" s="126"/>
      <c r="N23" s="127"/>
      <c r="O23" s="146"/>
      <c r="P23" s="146"/>
      <c r="Q23" s="128"/>
      <c r="R23" s="128"/>
    </row>
    <row r="24" spans="1:18" s="117" customFormat="1" x14ac:dyDescent="0.25">
      <c r="A24" s="77" t="s">
        <v>245</v>
      </c>
      <c r="B24" s="123"/>
      <c r="C24" s="123"/>
      <c r="D24" s="123"/>
      <c r="E24" s="123"/>
      <c r="F24" s="123"/>
      <c r="G24" s="124"/>
      <c r="H24" s="124"/>
      <c r="I24" s="124"/>
      <c r="J24" s="124"/>
      <c r="K24" s="125"/>
      <c r="L24" s="126"/>
      <c r="M24" s="126"/>
      <c r="N24" s="127"/>
      <c r="O24" s="146"/>
      <c r="P24" s="146"/>
      <c r="Q24" s="128"/>
      <c r="R24" s="128"/>
    </row>
  </sheetData>
  <mergeCells count="2">
    <mergeCell ref="A5:N5"/>
    <mergeCell ref="A4:N4"/>
  </mergeCells>
  <phoneticPr fontId="3" type="noConversion"/>
  <conditionalFormatting sqref="A9:A19 K9:K19">
    <cfRule type="expression" dxfId="109" priority="124" stopIfTrue="1">
      <formula>#REF!&gt;0</formula>
    </cfRule>
    <cfRule type="expression" dxfId="108" priority="125" stopIfTrue="1">
      <formula>LEFT(#REF!,3)="TIR"</formula>
    </cfRule>
  </conditionalFormatting>
  <conditionalFormatting sqref="B9:G19 M9:N19">
    <cfRule type="expression" dxfId="107" priority="119" stopIfTrue="1">
      <formula>LEFT(#REF!,3)="TIR"</formula>
    </cfRule>
  </conditionalFormatting>
  <conditionalFormatting sqref="L9:M55554 L1:M3 H9:J19">
    <cfRule type="expression" dxfId="106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35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4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" style="8" bestFit="1" customWidth="1"/>
    <col min="7" max="7" width="10.5546875" style="59" customWidth="1"/>
    <col min="8" max="8" width="8.88671875" style="59" bestFit="1" customWidth="1"/>
    <col min="9" max="9" width="16.5546875" style="59" customWidth="1"/>
    <col min="10" max="10" width="10.44140625" style="59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3"/>
      <c r="N4" s="13"/>
      <c r="O4" s="13"/>
      <c r="P4" s="13"/>
      <c r="Q4" s="12"/>
      <c r="R4" s="12"/>
      <c r="S4" s="14"/>
    </row>
    <row r="5" spans="1:19" s="7" customFormat="1" x14ac:dyDescent="0.25">
      <c r="A5" s="224" t="s">
        <v>158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6"/>
      <c r="N5" s="13"/>
    </row>
    <row r="6" spans="1:19" s="7" customFormat="1" x14ac:dyDescent="0.25">
      <c r="A6" s="85" t="s">
        <v>157</v>
      </c>
      <c r="B6" s="204" t="s">
        <v>69</v>
      </c>
      <c r="C6" s="204" t="s">
        <v>76</v>
      </c>
      <c r="D6" s="204" t="s">
        <v>74</v>
      </c>
      <c r="E6" s="204" t="s">
        <v>19</v>
      </c>
      <c r="F6" s="204" t="s">
        <v>6</v>
      </c>
      <c r="G6" s="205" t="s">
        <v>67</v>
      </c>
      <c r="H6" s="205" t="s">
        <v>68</v>
      </c>
      <c r="I6" s="205" t="s">
        <v>134</v>
      </c>
      <c r="J6" s="205" t="s">
        <v>7</v>
      </c>
      <c r="K6" s="205" t="s">
        <v>17</v>
      </c>
      <c r="L6" s="88" t="s">
        <v>75</v>
      </c>
      <c r="M6" s="89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7" customFormat="1" ht="12.75" customHeight="1" thickBot="1" x14ac:dyDescent="0.3">
      <c r="A9" s="147" t="s">
        <v>159</v>
      </c>
      <c r="B9" s="69"/>
      <c r="C9" s="69"/>
      <c r="D9" s="69"/>
      <c r="E9" s="69"/>
      <c r="F9" s="148"/>
      <c r="G9" s="149"/>
      <c r="H9" s="148"/>
      <c r="I9" s="151" t="s">
        <v>249</v>
      </c>
      <c r="J9" s="105">
        <v>1965.4334810000003</v>
      </c>
      <c r="K9" s="69" t="s">
        <v>249</v>
      </c>
      <c r="L9" s="69">
        <v>1</v>
      </c>
      <c r="M9" s="81">
        <v>1.05245351039123E-2</v>
      </c>
    </row>
    <row r="10" spans="1:19" s="117" customFormat="1" x14ac:dyDescent="0.25">
      <c r="A10" s="90" t="s">
        <v>137</v>
      </c>
      <c r="B10" s="129" t="s">
        <v>249</v>
      </c>
      <c r="C10" s="129" t="s">
        <v>249</v>
      </c>
      <c r="D10" s="129" t="s">
        <v>249</v>
      </c>
      <c r="E10" s="129" t="s">
        <v>249</v>
      </c>
      <c r="F10" s="129" t="s">
        <v>249</v>
      </c>
      <c r="G10" s="131" t="s">
        <v>249</v>
      </c>
      <c r="H10" s="120" t="s">
        <v>249</v>
      </c>
      <c r="I10" s="121" t="s">
        <v>249</v>
      </c>
      <c r="J10" s="152">
        <v>865.75472060000016</v>
      </c>
      <c r="K10" s="119" t="s">
        <v>249</v>
      </c>
      <c r="L10" s="119">
        <v>0.44049047142491415</v>
      </c>
      <c r="M10" s="119">
        <v>4.6359574294503872E-3</v>
      </c>
    </row>
    <row r="11" spans="1:19" s="117" customFormat="1" x14ac:dyDescent="0.25">
      <c r="A11" s="91" t="s">
        <v>1144</v>
      </c>
      <c r="B11" s="129" t="s">
        <v>249</v>
      </c>
      <c r="C11" s="129" t="s">
        <v>249</v>
      </c>
      <c r="D11" s="129" t="s">
        <v>249</v>
      </c>
      <c r="E11" s="129" t="s">
        <v>249</v>
      </c>
      <c r="F11" s="129" t="s">
        <v>249</v>
      </c>
      <c r="G11" s="133" t="s">
        <v>249</v>
      </c>
      <c r="H11" s="120" t="s">
        <v>249</v>
      </c>
      <c r="I11" s="122" t="s">
        <v>249</v>
      </c>
      <c r="J11" s="122">
        <v>0</v>
      </c>
      <c r="K11" s="135"/>
      <c r="L11" s="119">
        <v>0</v>
      </c>
      <c r="M11" s="119">
        <v>0</v>
      </c>
    </row>
    <row r="12" spans="1:19" s="117" customFormat="1" x14ac:dyDescent="0.25">
      <c r="A12" s="91" t="s">
        <v>1145</v>
      </c>
      <c r="B12" s="129" t="s">
        <v>249</v>
      </c>
      <c r="C12" s="129" t="s">
        <v>249</v>
      </c>
      <c r="D12" s="129" t="s">
        <v>249</v>
      </c>
      <c r="E12" s="129" t="s">
        <v>249</v>
      </c>
      <c r="F12" s="129" t="s">
        <v>249</v>
      </c>
      <c r="G12" s="133" t="s">
        <v>249</v>
      </c>
      <c r="H12" s="120" t="s">
        <v>249</v>
      </c>
      <c r="I12" s="122" t="s">
        <v>249</v>
      </c>
      <c r="J12" s="122">
        <v>0</v>
      </c>
      <c r="K12" s="135"/>
      <c r="L12" s="119">
        <v>0</v>
      </c>
      <c r="M12" s="119">
        <v>0</v>
      </c>
    </row>
    <row r="13" spans="1:19" s="117" customFormat="1" x14ac:dyDescent="0.25">
      <c r="A13" s="91" t="s">
        <v>1146</v>
      </c>
      <c r="B13" s="129" t="s">
        <v>249</v>
      </c>
      <c r="C13" s="129" t="s">
        <v>249</v>
      </c>
      <c r="D13" s="129" t="s">
        <v>249</v>
      </c>
      <c r="E13" s="129" t="s">
        <v>249</v>
      </c>
      <c r="F13" s="129" t="s">
        <v>249</v>
      </c>
      <c r="G13" s="133" t="s">
        <v>249</v>
      </c>
      <c r="H13" s="120" t="s">
        <v>249</v>
      </c>
      <c r="I13" s="122" t="s">
        <v>249</v>
      </c>
      <c r="J13" s="122">
        <v>865.7547201000001</v>
      </c>
      <c r="K13" s="135"/>
      <c r="L13" s="119">
        <v>0.44049047117051737</v>
      </c>
      <c r="M13" s="119">
        <v>4.6359574267729785E-3</v>
      </c>
    </row>
    <row r="14" spans="1:19" x14ac:dyDescent="0.25">
      <c r="A14" s="16" t="s">
        <v>1159</v>
      </c>
      <c r="B14" s="115" t="s">
        <v>1160</v>
      </c>
      <c r="C14" s="115" t="s">
        <v>379</v>
      </c>
      <c r="D14" s="115" t="s">
        <v>1161</v>
      </c>
      <c r="E14" s="115" t="s">
        <v>1150</v>
      </c>
      <c r="F14" s="115" t="s">
        <v>255</v>
      </c>
      <c r="G14" s="68">
        <v>39170.915401882834</v>
      </c>
      <c r="H14" s="65">
        <v>367.81</v>
      </c>
      <c r="I14" s="83">
        <v>0</v>
      </c>
      <c r="J14" s="83">
        <v>144.07454000000001</v>
      </c>
      <c r="K14" s="24">
        <v>2.2933338594285024E-4</v>
      </c>
      <c r="L14" s="32">
        <v>7.3304205607963788E-2</v>
      </c>
      <c r="M14" s="32">
        <v>7.7149268518541983E-4</v>
      </c>
      <c r="N14" s="14"/>
      <c r="O14" s="14"/>
      <c r="P14" s="14"/>
      <c r="Q14" s="14"/>
      <c r="R14" s="14"/>
    </row>
    <row r="15" spans="1:19" x14ac:dyDescent="0.25">
      <c r="A15" s="16" t="s">
        <v>1151</v>
      </c>
      <c r="B15" s="115" t="s">
        <v>1152</v>
      </c>
      <c r="C15" s="115" t="s">
        <v>379</v>
      </c>
      <c r="D15" s="115" t="s">
        <v>1153</v>
      </c>
      <c r="E15" s="115" t="s">
        <v>1150</v>
      </c>
      <c r="F15" s="115" t="s">
        <v>255</v>
      </c>
      <c r="G15" s="68">
        <v>32603</v>
      </c>
      <c r="H15" s="65">
        <v>380.63</v>
      </c>
      <c r="I15" s="83">
        <v>0</v>
      </c>
      <c r="J15" s="83">
        <v>124.09679</v>
      </c>
      <c r="K15" s="24">
        <v>6.1148546874732149E-4</v>
      </c>
      <c r="L15" s="32">
        <v>6.3139654025258757E-2</v>
      </c>
      <c r="M15" s="32">
        <v>6.6451550523771339E-4</v>
      </c>
      <c r="N15" s="14"/>
      <c r="O15" s="14"/>
      <c r="P15" s="14"/>
      <c r="Q15" s="14"/>
      <c r="R15" s="14"/>
    </row>
    <row r="16" spans="1:19" x14ac:dyDescent="0.25">
      <c r="A16" s="16" t="s">
        <v>1162</v>
      </c>
      <c r="B16" s="115" t="s">
        <v>1163</v>
      </c>
      <c r="C16" s="115" t="s">
        <v>379</v>
      </c>
      <c r="D16" s="115" t="s">
        <v>1153</v>
      </c>
      <c r="E16" s="115" t="s">
        <v>1150</v>
      </c>
      <c r="F16" s="115" t="s">
        <v>255</v>
      </c>
      <c r="G16" s="68">
        <v>15188.337216758177</v>
      </c>
      <c r="H16" s="65">
        <v>427.11000000000007</v>
      </c>
      <c r="I16" s="83">
        <v>0</v>
      </c>
      <c r="J16" s="83">
        <v>64.870910000000009</v>
      </c>
      <c r="K16" s="24">
        <v>1.1718280051415302E-4</v>
      </c>
      <c r="L16" s="32">
        <v>3.3005904614484383E-2</v>
      </c>
      <c r="M16" s="32">
        <v>3.4737180175152185E-4</v>
      </c>
      <c r="N16" s="14"/>
      <c r="O16" s="14"/>
      <c r="P16" s="14"/>
      <c r="Q16" s="14"/>
      <c r="R16" s="14"/>
    </row>
    <row r="17" spans="1:18" x14ac:dyDescent="0.25">
      <c r="A17" s="16" t="s">
        <v>1154</v>
      </c>
      <c r="B17" s="115" t="s">
        <v>1155</v>
      </c>
      <c r="C17" s="115" t="s">
        <v>379</v>
      </c>
      <c r="D17" s="115" t="s">
        <v>1156</v>
      </c>
      <c r="E17" s="115" t="s">
        <v>1150</v>
      </c>
      <c r="F17" s="115" t="s">
        <v>255</v>
      </c>
      <c r="G17" s="68">
        <v>24351.262218798609</v>
      </c>
      <c r="H17" s="65">
        <v>369.15</v>
      </c>
      <c r="I17" s="83">
        <v>0</v>
      </c>
      <c r="J17" s="83">
        <v>89.892679999999999</v>
      </c>
      <c r="K17" s="24">
        <v>1.0611437471998472E-4</v>
      </c>
      <c r="L17" s="32">
        <v>4.5736821352134069E-2</v>
      </c>
      <c r="M17" s="32">
        <v>4.8135878186190062E-4</v>
      </c>
      <c r="N17" s="14"/>
      <c r="O17" s="14"/>
      <c r="P17" s="14"/>
      <c r="Q17" s="14"/>
      <c r="R17" s="14"/>
    </row>
    <row r="18" spans="1:18" x14ac:dyDescent="0.25">
      <c r="A18" s="16" t="s">
        <v>1147</v>
      </c>
      <c r="B18" s="115" t="s">
        <v>1148</v>
      </c>
      <c r="C18" s="115" t="s">
        <v>379</v>
      </c>
      <c r="D18" s="115" t="s">
        <v>1149</v>
      </c>
      <c r="E18" s="115" t="s">
        <v>1150</v>
      </c>
      <c r="F18" s="115" t="s">
        <v>255</v>
      </c>
      <c r="G18" s="68">
        <v>1012</v>
      </c>
      <c r="H18" s="65">
        <v>3260.9</v>
      </c>
      <c r="I18" s="83">
        <v>0</v>
      </c>
      <c r="J18" s="83">
        <v>33.000300000000003</v>
      </c>
      <c r="K18" s="24">
        <v>1.5283594496033289E-4</v>
      </c>
      <c r="L18" s="32">
        <v>1.6790341835028505E-2</v>
      </c>
      <c r="M18" s="32">
        <v>1.7671054204944475E-4</v>
      </c>
      <c r="N18" s="14"/>
      <c r="O18" s="14"/>
      <c r="P18" s="14"/>
      <c r="Q18" s="14"/>
      <c r="R18" s="14"/>
    </row>
    <row r="19" spans="1:18" x14ac:dyDescent="0.25">
      <c r="A19" s="16" t="s">
        <v>1157</v>
      </c>
      <c r="B19" s="115" t="s">
        <v>1158</v>
      </c>
      <c r="C19" s="115" t="s">
        <v>379</v>
      </c>
      <c r="D19" s="115" t="s">
        <v>1149</v>
      </c>
      <c r="E19" s="115" t="s">
        <v>1150</v>
      </c>
      <c r="F19" s="115" t="s">
        <v>255</v>
      </c>
      <c r="G19" s="68">
        <v>11169.178699721497</v>
      </c>
      <c r="H19" s="65">
        <v>3669.2</v>
      </c>
      <c r="I19" s="83">
        <v>0</v>
      </c>
      <c r="J19" s="83">
        <v>409.81950000000001</v>
      </c>
      <c r="K19" s="24">
        <v>3.1994719536986889E-4</v>
      </c>
      <c r="L19" s="32">
        <v>0.20851354368476843</v>
      </c>
      <c r="M19" s="32">
        <v>2.194508110151496E-3</v>
      </c>
      <c r="N19" s="14"/>
      <c r="O19" s="14"/>
      <c r="P19" s="14"/>
      <c r="Q19" s="14"/>
      <c r="R19" s="14"/>
    </row>
    <row r="20" spans="1:18" s="117" customFormat="1" x14ac:dyDescent="0.25">
      <c r="A20" s="91" t="s">
        <v>1164</v>
      </c>
      <c r="B20" s="129" t="s">
        <v>249</v>
      </c>
      <c r="C20" s="129" t="s">
        <v>249</v>
      </c>
      <c r="D20" s="129" t="s">
        <v>249</v>
      </c>
      <c r="E20" s="129" t="s">
        <v>249</v>
      </c>
      <c r="F20" s="129" t="s">
        <v>249</v>
      </c>
      <c r="G20" s="133" t="s">
        <v>249</v>
      </c>
      <c r="H20" s="120" t="s">
        <v>249</v>
      </c>
      <c r="I20" s="122" t="s">
        <v>249</v>
      </c>
      <c r="J20" s="122">
        <v>0</v>
      </c>
      <c r="K20" s="135"/>
      <c r="L20" s="119">
        <v>0</v>
      </c>
      <c r="M20" s="119">
        <v>0</v>
      </c>
    </row>
    <row r="21" spans="1:18" s="117" customFormat="1" x14ac:dyDescent="0.25">
      <c r="A21" s="91" t="s">
        <v>1165</v>
      </c>
      <c r="B21" s="129" t="s">
        <v>249</v>
      </c>
      <c r="C21" s="129" t="s">
        <v>249</v>
      </c>
      <c r="D21" s="129" t="s">
        <v>249</v>
      </c>
      <c r="E21" s="129" t="s">
        <v>249</v>
      </c>
      <c r="F21" s="129" t="s">
        <v>249</v>
      </c>
      <c r="G21" s="133" t="s">
        <v>249</v>
      </c>
      <c r="H21" s="120" t="s">
        <v>249</v>
      </c>
      <c r="I21" s="122" t="s">
        <v>249</v>
      </c>
      <c r="J21" s="122">
        <v>0</v>
      </c>
      <c r="K21" s="135"/>
      <c r="L21" s="119">
        <v>0</v>
      </c>
      <c r="M21" s="119">
        <v>0</v>
      </c>
    </row>
    <row r="22" spans="1:18" s="117" customFormat="1" x14ac:dyDescent="0.25">
      <c r="A22" s="91" t="s">
        <v>141</v>
      </c>
      <c r="B22" s="129" t="s">
        <v>249</v>
      </c>
      <c r="C22" s="129" t="s">
        <v>249</v>
      </c>
      <c r="D22" s="129" t="s">
        <v>249</v>
      </c>
      <c r="E22" s="129" t="s">
        <v>249</v>
      </c>
      <c r="F22" s="129" t="s">
        <v>249</v>
      </c>
      <c r="G22" s="133" t="s">
        <v>249</v>
      </c>
      <c r="H22" s="120" t="s">
        <v>249</v>
      </c>
      <c r="I22" s="122" t="s">
        <v>249</v>
      </c>
      <c r="J22" s="122">
        <v>0</v>
      </c>
      <c r="K22" s="135"/>
      <c r="L22" s="119">
        <v>0</v>
      </c>
      <c r="M22" s="119">
        <v>0</v>
      </c>
    </row>
    <row r="23" spans="1:18" s="117" customFormat="1" x14ac:dyDescent="0.25">
      <c r="A23" s="91" t="s">
        <v>439</v>
      </c>
      <c r="B23" s="129" t="s">
        <v>249</v>
      </c>
      <c r="C23" s="129" t="s">
        <v>249</v>
      </c>
      <c r="D23" s="129" t="s">
        <v>249</v>
      </c>
      <c r="E23" s="129" t="s">
        <v>249</v>
      </c>
      <c r="F23" s="129" t="s">
        <v>249</v>
      </c>
      <c r="G23" s="133" t="s">
        <v>249</v>
      </c>
      <c r="H23" s="120" t="s">
        <v>249</v>
      </c>
      <c r="I23" s="122" t="s">
        <v>249</v>
      </c>
      <c r="J23" s="122">
        <v>1099.6787604000001</v>
      </c>
      <c r="K23" s="135"/>
      <c r="L23" s="119">
        <v>0.55950952857508585</v>
      </c>
      <c r="M23" s="119">
        <v>5.8885776744619133E-3</v>
      </c>
    </row>
    <row r="24" spans="1:18" s="117" customFormat="1" x14ac:dyDescent="0.25">
      <c r="A24" s="91" t="s">
        <v>1166</v>
      </c>
      <c r="B24" s="129" t="s">
        <v>249</v>
      </c>
      <c r="C24" s="129" t="s">
        <v>249</v>
      </c>
      <c r="D24" s="129" t="s">
        <v>249</v>
      </c>
      <c r="E24" s="129" t="s">
        <v>249</v>
      </c>
      <c r="F24" s="129" t="s">
        <v>249</v>
      </c>
      <c r="G24" s="133" t="s">
        <v>249</v>
      </c>
      <c r="H24" s="120" t="s">
        <v>249</v>
      </c>
      <c r="I24" s="122" t="s">
        <v>249</v>
      </c>
      <c r="J24" s="122">
        <v>0</v>
      </c>
      <c r="K24" s="135"/>
      <c r="L24" s="119">
        <v>0</v>
      </c>
      <c r="M24" s="119">
        <v>0</v>
      </c>
    </row>
    <row r="25" spans="1:18" s="117" customFormat="1" x14ac:dyDescent="0.25">
      <c r="A25" s="91" t="s">
        <v>1167</v>
      </c>
      <c r="B25" s="129" t="s">
        <v>249</v>
      </c>
      <c r="C25" s="129" t="s">
        <v>249</v>
      </c>
      <c r="D25" s="129" t="s">
        <v>249</v>
      </c>
      <c r="E25" s="129" t="s">
        <v>249</v>
      </c>
      <c r="F25" s="129" t="s">
        <v>249</v>
      </c>
      <c r="G25" s="133" t="s">
        <v>249</v>
      </c>
      <c r="H25" s="120" t="s">
        <v>249</v>
      </c>
      <c r="I25" s="122" t="s">
        <v>249</v>
      </c>
      <c r="J25" s="122">
        <v>1099.6787601000001</v>
      </c>
      <c r="K25" s="135"/>
      <c r="L25" s="119">
        <v>0.55950952842244783</v>
      </c>
      <c r="M25" s="119">
        <v>5.8885776728554683E-3</v>
      </c>
    </row>
    <row r="26" spans="1:18" x14ac:dyDescent="0.25">
      <c r="A26" s="16" t="s">
        <v>1174</v>
      </c>
      <c r="B26" s="115" t="s">
        <v>1175</v>
      </c>
      <c r="C26" s="115" t="s">
        <v>1170</v>
      </c>
      <c r="D26" s="173" t="s">
        <v>2111</v>
      </c>
      <c r="E26" s="115" t="s">
        <v>1171</v>
      </c>
      <c r="F26" s="115" t="s">
        <v>125</v>
      </c>
      <c r="G26" s="68">
        <v>10656.137504015687</v>
      </c>
      <c r="H26" s="65">
        <v>547.75</v>
      </c>
      <c r="I26" s="83">
        <v>0</v>
      </c>
      <c r="J26" s="83">
        <v>223.20303000000001</v>
      </c>
      <c r="K26" s="24">
        <v>3.2387903160032249E-5</v>
      </c>
      <c r="L26" s="32">
        <v>0.11356427584943536</v>
      </c>
      <c r="M26" s="32">
        <v>1.1952112077277624E-3</v>
      </c>
      <c r="N26" s="14"/>
      <c r="O26" s="14"/>
      <c r="P26" s="14"/>
      <c r="Q26" s="14"/>
      <c r="R26" s="14"/>
    </row>
    <row r="27" spans="1:18" x14ac:dyDescent="0.25">
      <c r="A27" s="16" t="s">
        <v>1168</v>
      </c>
      <c r="B27" s="115" t="s">
        <v>1169</v>
      </c>
      <c r="C27" s="115" t="s">
        <v>1170</v>
      </c>
      <c r="D27" s="173" t="s">
        <v>2112</v>
      </c>
      <c r="E27" s="115" t="s">
        <v>1171</v>
      </c>
      <c r="F27" s="115" t="s">
        <v>125</v>
      </c>
      <c r="G27" s="68">
        <v>1114.7038220492816</v>
      </c>
      <c r="H27" s="65">
        <v>9625</v>
      </c>
      <c r="I27" s="83">
        <v>0</v>
      </c>
      <c r="J27" s="83">
        <v>410.27789000000001</v>
      </c>
      <c r="K27" s="24">
        <v>1.3524785440810479E-5</v>
      </c>
      <c r="L27" s="32">
        <v>0.20874676958858623</v>
      </c>
      <c r="M27" s="32">
        <v>2.1969627043633682E-3</v>
      </c>
      <c r="N27" s="14"/>
      <c r="O27" s="14"/>
      <c r="P27" s="14"/>
      <c r="Q27" s="14"/>
      <c r="R27" s="14"/>
    </row>
    <row r="28" spans="1:18" x14ac:dyDescent="0.25">
      <c r="A28" s="16" t="s">
        <v>1172</v>
      </c>
      <c r="B28" s="115" t="s">
        <v>1173</v>
      </c>
      <c r="C28" s="115" t="s">
        <v>1170</v>
      </c>
      <c r="D28" s="173" t="s">
        <v>2113</v>
      </c>
      <c r="E28" s="115" t="s">
        <v>1171</v>
      </c>
      <c r="F28" s="115" t="s">
        <v>125</v>
      </c>
      <c r="G28" s="68">
        <v>4755.7503557247546</v>
      </c>
      <c r="H28" s="65">
        <v>2563.5</v>
      </c>
      <c r="I28" s="83">
        <v>0</v>
      </c>
      <c r="J28" s="83">
        <v>466.19784000000004</v>
      </c>
      <c r="K28" s="24">
        <v>1.78806246228733E-5</v>
      </c>
      <c r="L28" s="32">
        <v>0.23719848293354681</v>
      </c>
      <c r="M28" s="32">
        <v>2.4964037602288559E-3</v>
      </c>
      <c r="N28" s="14"/>
      <c r="O28" s="14"/>
      <c r="P28" s="14"/>
      <c r="Q28" s="14"/>
      <c r="R28" s="14"/>
    </row>
    <row r="29" spans="1:18" s="117" customFormat="1" x14ac:dyDescent="0.25">
      <c r="A29" s="91" t="s">
        <v>141</v>
      </c>
      <c r="B29" s="129" t="s">
        <v>249</v>
      </c>
      <c r="C29" s="129" t="s">
        <v>249</v>
      </c>
      <c r="D29" s="129" t="s">
        <v>249</v>
      </c>
      <c r="E29" s="129" t="s">
        <v>249</v>
      </c>
      <c r="F29" s="129" t="s">
        <v>249</v>
      </c>
      <c r="G29" s="133" t="s">
        <v>249</v>
      </c>
      <c r="H29" s="120" t="s">
        <v>249</v>
      </c>
      <c r="I29" s="122" t="s">
        <v>249</v>
      </c>
      <c r="J29" s="122">
        <v>0</v>
      </c>
      <c r="K29" s="135"/>
      <c r="L29" s="119">
        <v>0</v>
      </c>
      <c r="M29" s="119">
        <v>0</v>
      </c>
    </row>
    <row r="30" spans="1:18" s="117" customFormat="1" x14ac:dyDescent="0.25">
      <c r="A30" s="91" t="s">
        <v>1165</v>
      </c>
      <c r="B30" s="129" t="s">
        <v>249</v>
      </c>
      <c r="C30" s="129" t="s">
        <v>249</v>
      </c>
      <c r="D30" s="129" t="s">
        <v>249</v>
      </c>
      <c r="E30" s="129" t="s">
        <v>249</v>
      </c>
      <c r="F30" s="129" t="s">
        <v>249</v>
      </c>
      <c r="G30" s="133" t="s">
        <v>249</v>
      </c>
      <c r="H30" s="120" t="s">
        <v>249</v>
      </c>
      <c r="I30" s="122" t="s">
        <v>249</v>
      </c>
      <c r="J30" s="122">
        <v>0</v>
      </c>
      <c r="K30" s="135"/>
      <c r="L30" s="119">
        <v>0</v>
      </c>
      <c r="M30" s="119">
        <v>0</v>
      </c>
    </row>
    <row r="31" spans="1:18" s="117" customFormat="1" x14ac:dyDescent="0.25">
      <c r="A31" s="77" t="s">
        <v>241</v>
      </c>
      <c r="B31" s="123"/>
      <c r="C31" s="123"/>
      <c r="D31" s="123"/>
      <c r="E31" s="123"/>
      <c r="F31" s="123"/>
      <c r="G31" s="124"/>
      <c r="H31" s="124"/>
      <c r="I31" s="124"/>
      <c r="J31" s="124"/>
      <c r="K31" s="125"/>
      <c r="L31" s="125"/>
      <c r="M31" s="126"/>
      <c r="N31" s="146"/>
      <c r="O31" s="146"/>
      <c r="P31" s="146"/>
      <c r="Q31" s="128"/>
      <c r="R31" s="128"/>
    </row>
    <row r="32" spans="1:18" s="117" customFormat="1" x14ac:dyDescent="0.25">
      <c r="A32" s="77" t="s">
        <v>242</v>
      </c>
      <c r="B32" s="123"/>
      <c r="C32" s="123"/>
      <c r="D32" s="123"/>
      <c r="E32" s="123"/>
      <c r="F32" s="123"/>
      <c r="G32" s="124"/>
      <c r="H32" s="124"/>
      <c r="I32" s="124"/>
      <c r="J32" s="124"/>
      <c r="K32" s="125"/>
      <c r="L32" s="125"/>
      <c r="M32" s="126"/>
      <c r="N32" s="146"/>
      <c r="O32" s="146"/>
      <c r="P32" s="146"/>
      <c r="Q32" s="128"/>
      <c r="R32" s="128"/>
    </row>
    <row r="33" spans="1:18" s="117" customFormat="1" x14ac:dyDescent="0.25">
      <c r="A33" s="77" t="s">
        <v>243</v>
      </c>
      <c r="B33" s="123"/>
      <c r="C33" s="123"/>
      <c r="D33" s="123"/>
      <c r="E33" s="123"/>
      <c r="F33" s="123"/>
      <c r="G33" s="124"/>
      <c r="H33" s="124"/>
      <c r="I33" s="124"/>
      <c r="J33" s="124"/>
      <c r="K33" s="125"/>
      <c r="L33" s="125"/>
      <c r="M33" s="126"/>
      <c r="N33" s="146"/>
      <c r="O33" s="146"/>
      <c r="P33" s="146"/>
      <c r="Q33" s="128"/>
      <c r="R33" s="128"/>
    </row>
    <row r="34" spans="1:18" s="117" customFormat="1" x14ac:dyDescent="0.25">
      <c r="A34" s="77" t="s">
        <v>244</v>
      </c>
      <c r="B34" s="123"/>
      <c r="C34" s="123"/>
      <c r="D34" s="123"/>
      <c r="E34" s="123"/>
      <c r="F34" s="123"/>
      <c r="G34" s="124"/>
      <c r="H34" s="124"/>
      <c r="I34" s="124"/>
      <c r="J34" s="124"/>
      <c r="K34" s="125"/>
      <c r="L34" s="125"/>
      <c r="M34" s="126"/>
      <c r="N34" s="146"/>
      <c r="O34" s="146"/>
      <c r="P34" s="146"/>
      <c r="Q34" s="128"/>
      <c r="R34" s="128"/>
    </row>
    <row r="35" spans="1:18" s="117" customFormat="1" x14ac:dyDescent="0.25">
      <c r="A35" s="77" t="s">
        <v>245</v>
      </c>
      <c r="B35" s="123"/>
      <c r="C35" s="123"/>
      <c r="D35" s="123"/>
      <c r="E35" s="123"/>
      <c r="F35" s="123"/>
      <c r="G35" s="124"/>
      <c r="H35" s="124"/>
      <c r="I35" s="124"/>
      <c r="J35" s="124"/>
      <c r="K35" s="125"/>
      <c r="L35" s="125"/>
      <c r="M35" s="126"/>
      <c r="N35" s="146"/>
      <c r="O35" s="146"/>
      <c r="P35" s="146"/>
      <c r="Q35" s="128"/>
      <c r="R35" s="128"/>
    </row>
  </sheetData>
  <mergeCells count="2">
    <mergeCell ref="A5:M5"/>
    <mergeCell ref="A4:M4"/>
  </mergeCells>
  <phoneticPr fontId="3" type="noConversion"/>
  <conditionalFormatting sqref="A9:A30 I9:J30">
    <cfRule type="expression" dxfId="105" priority="143" stopIfTrue="1">
      <formula>#REF!&gt;0</formula>
    </cfRule>
    <cfRule type="expression" dxfId="104" priority="144" stopIfTrue="1">
      <formula>LEFT(#REF!,3)="TIR"</formula>
    </cfRule>
  </conditionalFormatting>
  <conditionalFormatting sqref="B9:F9 L9:M30">
    <cfRule type="expression" dxfId="103" priority="141" stopIfTrue="1">
      <formula>OR(LEFT(#REF!,3)="TIR",LEFT(#REF!,2)="IR")</formula>
    </cfRule>
  </conditionalFormatting>
  <conditionalFormatting sqref="C9:D9 B10:F30">
    <cfRule type="expression" dxfId="102" priority="147" stopIfTrue="1">
      <formula>LEFT(#REF!,3)="TIR"</formula>
    </cfRule>
  </conditionalFormatting>
  <conditionalFormatting sqref="C9:E9">
    <cfRule type="expression" dxfId="101" priority="16" stopIfTrue="1">
      <formula>LEFT($IC9,3)="TIR"</formula>
    </cfRule>
  </conditionalFormatting>
  <conditionalFormatting sqref="M1:M3 G9:H30 K9:K30 M31:M55565">
    <cfRule type="expression" dxfId="100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41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0.5546875" style="36" customWidth="1"/>
    <col min="10" max="10" width="10.33203125" style="61" bestFit="1" customWidth="1"/>
    <col min="11" max="11" width="10.44140625" style="63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3"/>
      <c r="O4" s="12"/>
      <c r="P4" s="12"/>
      <c r="Q4" s="12"/>
      <c r="R4" s="12"/>
      <c r="S4" s="12"/>
    </row>
    <row r="5" spans="1:19" s="7" customFormat="1" x14ac:dyDescent="0.25">
      <c r="A5" s="224" t="s">
        <v>22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6"/>
      <c r="O5" s="12"/>
      <c r="P5" s="12"/>
      <c r="Q5" s="12"/>
      <c r="R5" s="12"/>
      <c r="S5" s="12"/>
    </row>
    <row r="6" spans="1:19" s="7" customFormat="1" ht="30.75" customHeight="1" x14ac:dyDescent="0.25">
      <c r="A6" s="85" t="s">
        <v>157</v>
      </c>
      <c r="B6" s="204" t="s">
        <v>69</v>
      </c>
      <c r="C6" s="204" t="s">
        <v>76</v>
      </c>
      <c r="D6" s="204" t="s">
        <v>74</v>
      </c>
      <c r="E6" s="204" t="s">
        <v>19</v>
      </c>
      <c r="F6" s="204" t="s">
        <v>70</v>
      </c>
      <c r="G6" s="204" t="s">
        <v>5</v>
      </c>
      <c r="H6" s="204" t="s">
        <v>6</v>
      </c>
      <c r="I6" s="205" t="s">
        <v>67</v>
      </c>
      <c r="J6" s="205" t="s">
        <v>68</v>
      </c>
      <c r="K6" s="205" t="s">
        <v>7</v>
      </c>
      <c r="L6" s="88" t="s">
        <v>17</v>
      </c>
      <c r="M6" s="88" t="s">
        <v>75</v>
      </c>
      <c r="N6" s="89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7" customFormat="1" ht="12.75" customHeight="1" thickBot="1" x14ac:dyDescent="0.3">
      <c r="A9" s="98" t="s">
        <v>54</v>
      </c>
      <c r="B9" s="66"/>
      <c r="C9" s="66"/>
      <c r="D9" s="66"/>
      <c r="E9" s="66"/>
      <c r="F9" s="99"/>
      <c r="G9" s="99"/>
      <c r="H9" s="99"/>
      <c r="I9" s="102"/>
      <c r="J9" s="99"/>
      <c r="K9" s="101">
        <v>3993.2109007999998</v>
      </c>
      <c r="L9" s="66"/>
      <c r="M9" s="66">
        <v>1</v>
      </c>
      <c r="N9" s="80">
        <v>2.1382910543180499E-2</v>
      </c>
    </row>
    <row r="10" spans="1:19" s="117" customFormat="1" x14ac:dyDescent="0.25">
      <c r="A10" s="90" t="s">
        <v>137</v>
      </c>
      <c r="B10" s="119" t="s">
        <v>249</v>
      </c>
      <c r="C10" s="119" t="s">
        <v>249</v>
      </c>
      <c r="D10" s="119" t="s">
        <v>249</v>
      </c>
      <c r="E10" s="135" t="s">
        <v>249</v>
      </c>
      <c r="F10" s="120" t="s">
        <v>249</v>
      </c>
      <c r="G10" s="120" t="s">
        <v>249</v>
      </c>
      <c r="H10" s="120" t="s">
        <v>249</v>
      </c>
      <c r="I10" s="131" t="s">
        <v>249</v>
      </c>
      <c r="J10" s="120" t="s">
        <v>249</v>
      </c>
      <c r="K10" s="121">
        <v>0</v>
      </c>
      <c r="L10" s="119" t="s">
        <v>249</v>
      </c>
      <c r="M10" s="119">
        <v>0</v>
      </c>
      <c r="N10" s="119">
        <v>0</v>
      </c>
    </row>
    <row r="11" spans="1:19" s="117" customFormat="1" x14ac:dyDescent="0.25">
      <c r="A11" s="91" t="s">
        <v>58</v>
      </c>
      <c r="B11" s="119" t="s">
        <v>249</v>
      </c>
      <c r="C11" s="119" t="s">
        <v>249</v>
      </c>
      <c r="D11" s="119" t="s">
        <v>249</v>
      </c>
      <c r="E11" s="135" t="s">
        <v>249</v>
      </c>
      <c r="F11" s="120" t="s">
        <v>249</v>
      </c>
      <c r="G11" s="120" t="s">
        <v>249</v>
      </c>
      <c r="H11" s="120" t="s">
        <v>249</v>
      </c>
      <c r="I11" s="133" t="s">
        <v>249</v>
      </c>
      <c r="J11" s="134" t="s">
        <v>249</v>
      </c>
      <c r="K11" s="122">
        <v>0</v>
      </c>
      <c r="L11" s="135"/>
      <c r="M11" s="135">
        <v>0</v>
      </c>
      <c r="N11" s="119">
        <v>0</v>
      </c>
    </row>
    <row r="12" spans="1:19" s="117" customFormat="1" x14ac:dyDescent="0.25">
      <c r="A12" s="91" t="s">
        <v>1176</v>
      </c>
      <c r="B12" s="119" t="s">
        <v>249</v>
      </c>
      <c r="C12" s="119" t="s">
        <v>249</v>
      </c>
      <c r="D12" s="119" t="s">
        <v>249</v>
      </c>
      <c r="E12" s="135" t="s">
        <v>249</v>
      </c>
      <c r="F12" s="120" t="s">
        <v>249</v>
      </c>
      <c r="G12" s="120" t="s">
        <v>249</v>
      </c>
      <c r="H12" s="120" t="s">
        <v>249</v>
      </c>
      <c r="I12" s="133" t="s">
        <v>249</v>
      </c>
      <c r="J12" s="134" t="s">
        <v>249</v>
      </c>
      <c r="K12" s="122">
        <v>0</v>
      </c>
      <c r="L12" s="135"/>
      <c r="M12" s="135">
        <v>0</v>
      </c>
      <c r="N12" s="119">
        <v>0</v>
      </c>
    </row>
    <row r="13" spans="1:19" s="117" customFormat="1" x14ac:dyDescent="0.25">
      <c r="A13" s="91" t="s">
        <v>59</v>
      </c>
      <c r="B13" s="119" t="s">
        <v>249</v>
      </c>
      <c r="C13" s="119" t="s">
        <v>249</v>
      </c>
      <c r="D13" s="119" t="s">
        <v>249</v>
      </c>
      <c r="E13" s="135" t="s">
        <v>249</v>
      </c>
      <c r="F13" s="120" t="s">
        <v>249</v>
      </c>
      <c r="G13" s="120" t="s">
        <v>249</v>
      </c>
      <c r="H13" s="120" t="s">
        <v>249</v>
      </c>
      <c r="I13" s="133" t="s">
        <v>249</v>
      </c>
      <c r="J13" s="134" t="s">
        <v>249</v>
      </c>
      <c r="K13" s="122">
        <v>0</v>
      </c>
      <c r="L13" s="135"/>
      <c r="M13" s="135">
        <v>0</v>
      </c>
      <c r="N13" s="119">
        <v>0</v>
      </c>
    </row>
    <row r="14" spans="1:19" s="117" customFormat="1" x14ac:dyDescent="0.25">
      <c r="A14" s="91" t="s">
        <v>141</v>
      </c>
      <c r="B14" s="119" t="s">
        <v>249</v>
      </c>
      <c r="C14" s="119" t="s">
        <v>249</v>
      </c>
      <c r="D14" s="119" t="s">
        <v>249</v>
      </c>
      <c r="E14" s="135" t="s">
        <v>249</v>
      </c>
      <c r="F14" s="120" t="s">
        <v>249</v>
      </c>
      <c r="G14" s="120" t="s">
        <v>249</v>
      </c>
      <c r="H14" s="120" t="s">
        <v>249</v>
      </c>
      <c r="I14" s="133" t="s">
        <v>249</v>
      </c>
      <c r="J14" s="134" t="s">
        <v>249</v>
      </c>
      <c r="K14" s="122">
        <v>0</v>
      </c>
      <c r="L14" s="135"/>
      <c r="M14" s="135">
        <v>0</v>
      </c>
      <c r="N14" s="119">
        <v>0</v>
      </c>
    </row>
    <row r="15" spans="1:19" s="117" customFormat="1" x14ac:dyDescent="0.25">
      <c r="A15" s="91" t="s">
        <v>439</v>
      </c>
      <c r="B15" s="119" t="s">
        <v>249</v>
      </c>
      <c r="C15" s="119" t="s">
        <v>249</v>
      </c>
      <c r="D15" s="119" t="s">
        <v>249</v>
      </c>
      <c r="E15" s="135" t="s">
        <v>249</v>
      </c>
      <c r="F15" s="120" t="s">
        <v>249</v>
      </c>
      <c r="G15" s="120" t="s">
        <v>249</v>
      </c>
      <c r="H15" s="120" t="s">
        <v>249</v>
      </c>
      <c r="I15" s="133" t="s">
        <v>249</v>
      </c>
      <c r="J15" s="134" t="s">
        <v>249</v>
      </c>
      <c r="K15" s="122">
        <v>3993.2109004000008</v>
      </c>
      <c r="L15" s="135"/>
      <c r="M15" s="135">
        <v>0.99999999989983013</v>
      </c>
      <c r="N15" s="119">
        <v>0</v>
      </c>
    </row>
    <row r="16" spans="1:19" s="117" customFormat="1" x14ac:dyDescent="0.25">
      <c r="A16" s="91" t="s">
        <v>58</v>
      </c>
      <c r="B16" s="119" t="s">
        <v>249</v>
      </c>
      <c r="C16" s="119" t="s">
        <v>249</v>
      </c>
      <c r="D16" s="119" t="s">
        <v>249</v>
      </c>
      <c r="E16" s="135" t="s">
        <v>249</v>
      </c>
      <c r="F16" s="120" t="s">
        <v>249</v>
      </c>
      <c r="G16" s="120" t="s">
        <v>249</v>
      </c>
      <c r="H16" s="120" t="s">
        <v>249</v>
      </c>
      <c r="I16" s="133" t="s">
        <v>249</v>
      </c>
      <c r="J16" s="134" t="s">
        <v>249</v>
      </c>
      <c r="K16" s="122">
        <v>3468.6768300999997</v>
      </c>
      <c r="L16" s="135"/>
      <c r="M16" s="135">
        <v>0.86864353430596042</v>
      </c>
      <c r="N16" s="119">
        <v>1.8574126987976492E-2</v>
      </c>
    </row>
    <row r="17" spans="1:16" x14ac:dyDescent="0.25">
      <c r="A17" s="16" t="s">
        <v>1193</v>
      </c>
      <c r="B17" s="32" t="s">
        <v>1194</v>
      </c>
      <c r="C17" s="32" t="s">
        <v>218</v>
      </c>
      <c r="D17" s="217" t="s">
        <v>2114</v>
      </c>
      <c r="E17" s="24" t="s">
        <v>1171</v>
      </c>
      <c r="F17" s="65" t="s">
        <v>663</v>
      </c>
      <c r="G17" s="65" t="s">
        <v>663</v>
      </c>
      <c r="H17" s="65" t="s">
        <v>125</v>
      </c>
      <c r="I17" s="68">
        <v>53.879346930416403</v>
      </c>
      <c r="J17" s="60">
        <v>151187.88400000002</v>
      </c>
      <c r="K17" s="83">
        <v>311.49939000000001</v>
      </c>
      <c r="L17" s="24">
        <v>4.0537377795848346E-8</v>
      </c>
      <c r="M17" s="24">
        <v>7.8007247234949256E-2</v>
      </c>
      <c r="N17" s="32">
        <v>1.6680219893446843E-3</v>
      </c>
      <c r="O17" s="14"/>
      <c r="P17" s="14"/>
    </row>
    <row r="18" spans="1:16" x14ac:dyDescent="0.25">
      <c r="A18" s="16" t="s">
        <v>1191</v>
      </c>
      <c r="B18" s="32" t="s">
        <v>1192</v>
      </c>
      <c r="C18" s="32" t="s">
        <v>218</v>
      </c>
      <c r="D18" s="217" t="s">
        <v>2115</v>
      </c>
      <c r="E18" s="24" t="s">
        <v>1171</v>
      </c>
      <c r="F18" s="65" t="s">
        <v>935</v>
      </c>
      <c r="G18" s="65" t="s">
        <v>265</v>
      </c>
      <c r="H18" s="65" t="s">
        <v>125</v>
      </c>
      <c r="I18" s="68">
        <v>76.62840452325888</v>
      </c>
      <c r="J18" s="60">
        <v>161214</v>
      </c>
      <c r="K18" s="83">
        <v>472.40057999999999</v>
      </c>
      <c r="L18" s="24">
        <v>4.4385108652964639E-5</v>
      </c>
      <c r="M18" s="24">
        <v>0.11830093419442467</v>
      </c>
      <c r="N18" s="32">
        <v>2.5296182930540654E-3</v>
      </c>
      <c r="O18" s="14"/>
      <c r="P18" s="14"/>
    </row>
    <row r="19" spans="1:16" x14ac:dyDescent="0.25">
      <c r="A19" s="16" t="s">
        <v>1181</v>
      </c>
      <c r="B19" s="32" t="s">
        <v>1182</v>
      </c>
      <c r="C19" s="32" t="s">
        <v>218</v>
      </c>
      <c r="D19" s="217" t="s">
        <v>2116</v>
      </c>
      <c r="E19" s="24" t="s">
        <v>1171</v>
      </c>
      <c r="F19" s="65" t="s">
        <v>663</v>
      </c>
      <c r="G19" s="65" t="s">
        <v>663</v>
      </c>
      <c r="H19" s="65" t="s">
        <v>125</v>
      </c>
      <c r="I19" s="68">
        <v>7165.9531417453809</v>
      </c>
      <c r="J19" s="60">
        <v>1523</v>
      </c>
      <c r="K19" s="83">
        <v>417.34166999999997</v>
      </c>
      <c r="L19" s="24">
        <v>4.0493091668643244E-5</v>
      </c>
      <c r="M19" s="24">
        <v>0.10451280444926907</v>
      </c>
      <c r="N19" s="32">
        <v>2.2347879481556371E-3</v>
      </c>
      <c r="O19" s="14"/>
      <c r="P19" s="14"/>
    </row>
    <row r="20" spans="1:16" x14ac:dyDescent="0.25">
      <c r="A20" s="16" t="s">
        <v>1187</v>
      </c>
      <c r="B20" s="32" t="s">
        <v>1188</v>
      </c>
      <c r="C20" s="32" t="s">
        <v>218</v>
      </c>
      <c r="D20" s="217" t="s">
        <v>2117</v>
      </c>
      <c r="E20" s="24" t="s">
        <v>1171</v>
      </c>
      <c r="F20" s="65" t="s">
        <v>663</v>
      </c>
      <c r="G20" s="65" t="s">
        <v>663</v>
      </c>
      <c r="H20" s="65" t="s">
        <v>126</v>
      </c>
      <c r="I20" s="68">
        <v>2212.6451806091</v>
      </c>
      <c r="J20" s="60">
        <v>2212</v>
      </c>
      <c r="K20" s="83">
        <v>198.37376</v>
      </c>
      <c r="L20" s="24">
        <v>1.6384982052561795E-4</v>
      </c>
      <c r="M20" s="24">
        <v>4.9677756804745225E-2</v>
      </c>
      <c r="N20" s="32">
        <v>1.0622550297417434E-3</v>
      </c>
      <c r="O20" s="14"/>
      <c r="P20" s="14"/>
    </row>
    <row r="21" spans="1:16" x14ac:dyDescent="0.25">
      <c r="A21" s="16" t="s">
        <v>1195</v>
      </c>
      <c r="B21" s="32" t="s">
        <v>1196</v>
      </c>
      <c r="C21" s="32" t="s">
        <v>218</v>
      </c>
      <c r="D21" s="217" t="s">
        <v>2118</v>
      </c>
      <c r="E21" s="24" t="s">
        <v>1171</v>
      </c>
      <c r="F21" s="65" t="s">
        <v>663</v>
      </c>
      <c r="G21" s="65" t="s">
        <v>663</v>
      </c>
      <c r="H21" s="65" t="s">
        <v>126</v>
      </c>
      <c r="I21" s="68">
        <v>628.59238085485799</v>
      </c>
      <c r="J21" s="60">
        <v>11984</v>
      </c>
      <c r="K21" s="83">
        <v>305.32209</v>
      </c>
      <c r="L21" s="24">
        <v>8.4769935148036726E-5</v>
      </c>
      <c r="M21" s="24">
        <v>7.6460296634678571E-2</v>
      </c>
      <c r="N21" s="32">
        <v>1.6349436830443767E-3</v>
      </c>
      <c r="O21" s="14"/>
      <c r="P21" s="14"/>
    </row>
    <row r="22" spans="1:16" x14ac:dyDescent="0.25">
      <c r="A22" s="16" t="s">
        <v>1189</v>
      </c>
      <c r="B22" s="32" t="s">
        <v>1190</v>
      </c>
      <c r="C22" s="32" t="s">
        <v>218</v>
      </c>
      <c r="D22" s="217" t="s">
        <v>2119</v>
      </c>
      <c r="E22" s="24" t="s">
        <v>1171</v>
      </c>
      <c r="F22" s="65" t="s">
        <v>663</v>
      </c>
      <c r="G22" s="65" t="s">
        <v>663</v>
      </c>
      <c r="H22" s="65" t="s">
        <v>125</v>
      </c>
      <c r="I22" s="68">
        <v>434.62673190535895</v>
      </c>
      <c r="J22" s="60">
        <v>16871</v>
      </c>
      <c r="K22" s="83">
        <v>280.39815000000004</v>
      </c>
      <c r="L22" s="24">
        <v>1.9036930376703442E-5</v>
      </c>
      <c r="M22" s="24">
        <v>7.0218717960482638E-2</v>
      </c>
      <c r="N22" s="32">
        <v>1.5014805646058223E-3</v>
      </c>
      <c r="O22" s="14"/>
      <c r="P22" s="14"/>
    </row>
    <row r="23" spans="1:16" x14ac:dyDescent="0.25">
      <c r="A23" s="16" t="s">
        <v>1177</v>
      </c>
      <c r="B23" s="32" t="s">
        <v>1178</v>
      </c>
      <c r="C23" s="32" t="s">
        <v>218</v>
      </c>
      <c r="D23" s="217" t="s">
        <v>2120</v>
      </c>
      <c r="E23" s="24" t="s">
        <v>1171</v>
      </c>
      <c r="F23" s="65" t="s">
        <v>663</v>
      </c>
      <c r="G23" s="65" t="s">
        <v>663</v>
      </c>
      <c r="H23" s="65" t="s">
        <v>125</v>
      </c>
      <c r="I23" s="68">
        <v>963.81278328734913</v>
      </c>
      <c r="J23" s="60">
        <v>6275</v>
      </c>
      <c r="K23" s="83">
        <v>231.27266</v>
      </c>
      <c r="L23" s="24">
        <v>1.4969339792491624E-5</v>
      </c>
      <c r="M23" s="24">
        <v>5.7916465156815741E-2</v>
      </c>
      <c r="N23" s="32">
        <v>1.2384225934254213E-3</v>
      </c>
      <c r="O23" s="14"/>
      <c r="P23" s="14"/>
    </row>
    <row r="24" spans="1:16" x14ac:dyDescent="0.25">
      <c r="A24" s="16" t="s">
        <v>1199</v>
      </c>
      <c r="B24" s="32" t="s">
        <v>1200</v>
      </c>
      <c r="C24" s="32" t="s">
        <v>218</v>
      </c>
      <c r="D24" s="217" t="s">
        <v>2121</v>
      </c>
      <c r="E24" s="24" t="s">
        <v>1171</v>
      </c>
      <c r="F24" s="65" t="s">
        <v>663</v>
      </c>
      <c r="G24" s="65" t="s">
        <v>663</v>
      </c>
      <c r="H24" s="65" t="s">
        <v>125</v>
      </c>
      <c r="I24" s="68">
        <v>73.036448061231127</v>
      </c>
      <c r="J24" s="60">
        <v>9727</v>
      </c>
      <c r="K24" s="83">
        <v>27.16667</v>
      </c>
      <c r="L24" s="24">
        <v>6.1985594320226777E-5</v>
      </c>
      <c r="M24" s="24">
        <v>6.8032144244015332E-3</v>
      </c>
      <c r="N24" s="32">
        <v>1.454725254430532E-4</v>
      </c>
      <c r="O24" s="14"/>
      <c r="P24" s="14"/>
    </row>
    <row r="25" spans="1:16" x14ac:dyDescent="0.25">
      <c r="A25" s="16" t="s">
        <v>1183</v>
      </c>
      <c r="B25" s="32" t="s">
        <v>1184</v>
      </c>
      <c r="C25" s="32" t="s">
        <v>218</v>
      </c>
      <c r="D25" s="217" t="s">
        <v>2122</v>
      </c>
      <c r="E25" s="24" t="s">
        <v>1171</v>
      </c>
      <c r="F25" s="65" t="s">
        <v>663</v>
      </c>
      <c r="G25" s="65" t="s">
        <v>663</v>
      </c>
      <c r="H25" s="65" t="s">
        <v>125</v>
      </c>
      <c r="I25" s="68">
        <v>407.92652220428596</v>
      </c>
      <c r="J25" s="60">
        <v>34912.990000000005</v>
      </c>
      <c r="K25" s="83">
        <v>544.61158</v>
      </c>
      <c r="L25" s="24">
        <v>4.8887345568670746E-5</v>
      </c>
      <c r="M25" s="24">
        <v>0.13638437676579829</v>
      </c>
      <c r="N25" s="32">
        <v>2.9162949278704899E-3</v>
      </c>
      <c r="O25" s="14"/>
      <c r="P25" s="14"/>
    </row>
    <row r="26" spans="1:16" x14ac:dyDescent="0.25">
      <c r="A26" s="16" t="s">
        <v>1179</v>
      </c>
      <c r="B26" s="32" t="s">
        <v>1180</v>
      </c>
      <c r="C26" s="32" t="s">
        <v>218</v>
      </c>
      <c r="D26" s="217" t="s">
        <v>2123</v>
      </c>
      <c r="E26" s="24" t="s">
        <v>1171</v>
      </c>
      <c r="F26" s="65" t="s">
        <v>663</v>
      </c>
      <c r="G26" s="65" t="s">
        <v>663</v>
      </c>
      <c r="H26" s="65" t="s">
        <v>125</v>
      </c>
      <c r="I26" s="68">
        <v>435.8240507260349</v>
      </c>
      <c r="J26" s="60">
        <v>13296.8</v>
      </c>
      <c r="K26" s="83">
        <v>221.60329000000002</v>
      </c>
      <c r="L26" s="24">
        <v>5.062003810185041E-5</v>
      </c>
      <c r="M26" s="24">
        <v>5.5495012786728595E-2</v>
      </c>
      <c r="N26" s="32">
        <v>1.1866448940112755E-3</v>
      </c>
      <c r="O26" s="14"/>
      <c r="P26" s="14"/>
    </row>
    <row r="27" spans="1:16" x14ac:dyDescent="0.25">
      <c r="A27" s="16" t="s">
        <v>1197</v>
      </c>
      <c r="B27" s="32" t="s">
        <v>1198</v>
      </c>
      <c r="C27" s="32" t="s">
        <v>218</v>
      </c>
      <c r="D27" s="217" t="s">
        <v>2124</v>
      </c>
      <c r="E27" s="24" t="s">
        <v>1171</v>
      </c>
      <c r="F27" s="65" t="s">
        <v>663</v>
      </c>
      <c r="G27" s="65" t="s">
        <v>663</v>
      </c>
      <c r="H27" s="65" t="s">
        <v>125</v>
      </c>
      <c r="I27" s="68">
        <v>1754.0720722902229</v>
      </c>
      <c r="J27" s="60">
        <v>4575</v>
      </c>
      <c r="K27" s="83">
        <v>306.87140000000005</v>
      </c>
      <c r="L27" s="24">
        <v>2.2485570404911217E-5</v>
      </c>
      <c r="M27" s="24">
        <v>7.6848282653571187E-2</v>
      </c>
      <c r="N27" s="32">
        <v>1.6432399533783627E-3</v>
      </c>
      <c r="O27" s="14"/>
      <c r="P27" s="14"/>
    </row>
    <row r="28" spans="1:16" x14ac:dyDescent="0.25">
      <c r="A28" s="16" t="s">
        <v>1185</v>
      </c>
      <c r="B28" s="32" t="s">
        <v>1186</v>
      </c>
      <c r="C28" s="32" t="s">
        <v>218</v>
      </c>
      <c r="D28" s="217" t="s">
        <v>2125</v>
      </c>
      <c r="E28" s="24" t="s">
        <v>1171</v>
      </c>
      <c r="F28" s="65" t="s">
        <v>663</v>
      </c>
      <c r="G28" s="65" t="s">
        <v>663</v>
      </c>
      <c r="H28" s="65" t="s">
        <v>126</v>
      </c>
      <c r="I28" s="68">
        <v>237.06912649383216</v>
      </c>
      <c r="J28" s="60">
        <v>15799.89</v>
      </c>
      <c r="K28" s="83">
        <v>151.81558999999999</v>
      </c>
      <c r="L28" s="24">
        <v>3.2605883067287605E-5</v>
      </c>
      <c r="M28" s="24">
        <v>3.8018425215053192E-2</v>
      </c>
      <c r="N28" s="32">
        <v>8.1294458536608028E-4</v>
      </c>
      <c r="O28" s="14"/>
      <c r="P28" s="14"/>
    </row>
    <row r="29" spans="1:16" s="117" customFormat="1" x14ac:dyDescent="0.25">
      <c r="A29" s="91" t="s">
        <v>1176</v>
      </c>
      <c r="B29" s="119" t="s">
        <v>249</v>
      </c>
      <c r="C29" s="119" t="s">
        <v>249</v>
      </c>
      <c r="D29" s="119" t="s">
        <v>249</v>
      </c>
      <c r="E29" s="135" t="s">
        <v>249</v>
      </c>
      <c r="F29" s="120" t="s">
        <v>249</v>
      </c>
      <c r="G29" s="120" t="s">
        <v>249</v>
      </c>
      <c r="H29" s="120" t="s">
        <v>249</v>
      </c>
      <c r="I29" s="133" t="s">
        <v>249</v>
      </c>
      <c r="J29" s="134" t="s">
        <v>249</v>
      </c>
      <c r="K29" s="122">
        <v>0</v>
      </c>
      <c r="L29" s="135"/>
      <c r="M29" s="135">
        <v>0</v>
      </c>
      <c r="N29" s="119">
        <v>0</v>
      </c>
    </row>
    <row r="30" spans="1:16" s="117" customFormat="1" x14ac:dyDescent="0.25">
      <c r="A30" s="91" t="s">
        <v>59</v>
      </c>
      <c r="B30" s="119" t="s">
        <v>249</v>
      </c>
      <c r="C30" s="119" t="s">
        <v>249</v>
      </c>
      <c r="D30" s="119" t="s">
        <v>249</v>
      </c>
      <c r="E30" s="135" t="s">
        <v>249</v>
      </c>
      <c r="F30" s="120" t="s">
        <v>249</v>
      </c>
      <c r="G30" s="120" t="s">
        <v>249</v>
      </c>
      <c r="H30" s="120" t="s">
        <v>249</v>
      </c>
      <c r="I30" s="133" t="s">
        <v>249</v>
      </c>
      <c r="J30" s="134" t="s">
        <v>249</v>
      </c>
      <c r="K30" s="122">
        <v>0</v>
      </c>
      <c r="L30" s="135"/>
      <c r="M30" s="135">
        <v>0</v>
      </c>
      <c r="N30" s="119">
        <v>0</v>
      </c>
    </row>
    <row r="31" spans="1:16" s="117" customFormat="1" x14ac:dyDescent="0.25">
      <c r="A31" s="91" t="s">
        <v>141</v>
      </c>
      <c r="B31" s="119" t="s">
        <v>249</v>
      </c>
      <c r="C31" s="119" t="s">
        <v>249</v>
      </c>
      <c r="D31" s="119" t="s">
        <v>249</v>
      </c>
      <c r="E31" s="135" t="s">
        <v>249</v>
      </c>
      <c r="F31" s="120" t="s">
        <v>249</v>
      </c>
      <c r="G31" s="120" t="s">
        <v>249</v>
      </c>
      <c r="H31" s="120" t="s">
        <v>249</v>
      </c>
      <c r="I31" s="133" t="s">
        <v>249</v>
      </c>
      <c r="J31" s="134" t="s">
        <v>249</v>
      </c>
      <c r="K31" s="122">
        <v>524.53407010000001</v>
      </c>
      <c r="L31" s="135"/>
      <c r="M31" s="135">
        <v>0.13135646554378455</v>
      </c>
      <c r="N31" s="119">
        <v>0</v>
      </c>
    </row>
    <row r="32" spans="1:16" x14ac:dyDescent="0.25">
      <c r="A32" s="16" t="s">
        <v>1201</v>
      </c>
      <c r="B32" s="32" t="s">
        <v>1202</v>
      </c>
      <c r="C32" s="32" t="s">
        <v>218</v>
      </c>
      <c r="D32" s="32" t="s">
        <v>1022</v>
      </c>
      <c r="E32" s="24" t="s">
        <v>188</v>
      </c>
      <c r="F32" s="65" t="s">
        <v>447</v>
      </c>
      <c r="G32" s="65" t="s">
        <v>265</v>
      </c>
      <c r="H32" s="65" t="s">
        <v>125</v>
      </c>
      <c r="I32" s="68">
        <v>53354.181224197288</v>
      </c>
      <c r="J32" s="60">
        <v>100</v>
      </c>
      <c r="K32" s="83">
        <v>204.02639000000002</v>
      </c>
      <c r="L32" s="24">
        <v>0</v>
      </c>
      <c r="M32" s="24">
        <v>5.1093316899221468E-2</v>
      </c>
      <c r="N32" s="32">
        <v>1.0925238246104251E-3</v>
      </c>
      <c r="O32" s="14"/>
      <c r="P32" s="14"/>
    </row>
    <row r="33" spans="1:16" x14ac:dyDescent="0.25">
      <c r="A33" s="16" t="s">
        <v>1203</v>
      </c>
      <c r="B33" s="32" t="s">
        <v>1204</v>
      </c>
      <c r="C33" s="32" t="s">
        <v>218</v>
      </c>
      <c r="D33" s="32" t="s">
        <v>1022</v>
      </c>
      <c r="E33" s="24" t="s">
        <v>188</v>
      </c>
      <c r="F33" s="65" t="s">
        <v>447</v>
      </c>
      <c r="G33" s="65" t="s">
        <v>265</v>
      </c>
      <c r="H33" s="65" t="s">
        <v>125</v>
      </c>
      <c r="I33" s="68">
        <v>40015.635936107748</v>
      </c>
      <c r="J33" s="60">
        <v>100</v>
      </c>
      <c r="K33" s="83">
        <v>153.01979</v>
      </c>
      <c r="L33" s="24">
        <v>0</v>
      </c>
      <c r="M33" s="24">
        <v>3.8319987048353502E-2</v>
      </c>
      <c r="N33" s="32">
        <v>8.1939285507077824E-4</v>
      </c>
      <c r="O33" s="14"/>
      <c r="P33" s="14"/>
    </row>
    <row r="34" spans="1:16" x14ac:dyDescent="0.25">
      <c r="A34" s="16" t="s">
        <v>1205</v>
      </c>
      <c r="B34" s="32" t="s">
        <v>1206</v>
      </c>
      <c r="C34" s="32" t="s">
        <v>218</v>
      </c>
      <c r="D34" s="217" t="s">
        <v>2126</v>
      </c>
      <c r="E34" s="24" t="s">
        <v>188</v>
      </c>
      <c r="F34" s="65" t="s">
        <v>447</v>
      </c>
      <c r="G34" s="65" t="s">
        <v>265</v>
      </c>
      <c r="H34" s="65" t="s">
        <v>125</v>
      </c>
      <c r="I34" s="68">
        <v>40015.63627135702</v>
      </c>
      <c r="J34" s="60">
        <v>100</v>
      </c>
      <c r="K34" s="83">
        <v>153.01979</v>
      </c>
      <c r="L34" s="24">
        <v>0</v>
      </c>
      <c r="M34" s="24">
        <v>3.8319987048353502E-2</v>
      </c>
      <c r="N34" s="32">
        <v>8.1939285507077824E-4</v>
      </c>
      <c r="O34" s="14"/>
      <c r="P34" s="14"/>
    </row>
    <row r="35" spans="1:16" x14ac:dyDescent="0.25">
      <c r="A35" s="16" t="s">
        <v>1207</v>
      </c>
      <c r="B35" s="32" t="s">
        <v>1208</v>
      </c>
      <c r="C35" s="32" t="s">
        <v>218</v>
      </c>
      <c r="D35" s="217" t="s">
        <v>2126</v>
      </c>
      <c r="E35" s="24" t="s">
        <v>188</v>
      </c>
      <c r="F35" s="65" t="s">
        <v>364</v>
      </c>
      <c r="G35" s="65" t="s">
        <v>265</v>
      </c>
      <c r="H35" s="65" t="s">
        <v>126</v>
      </c>
      <c r="I35" s="68">
        <v>0.29207395311568402</v>
      </c>
      <c r="J35" s="60">
        <v>988410</v>
      </c>
      <c r="K35" s="83">
        <v>11.700850000000001</v>
      </c>
      <c r="L35" s="24">
        <v>1.6123080313773078E-7</v>
      </c>
      <c r="M35" s="24">
        <v>2.9301858305695429E-3</v>
      </c>
      <c r="N35" s="32">
        <v>6.2655901489963586E-5</v>
      </c>
      <c r="O35" s="14"/>
      <c r="P35" s="14"/>
    </row>
    <row r="36" spans="1:16" x14ac:dyDescent="0.25">
      <c r="A36" s="16" t="s">
        <v>1209</v>
      </c>
      <c r="B36" s="32" t="s">
        <v>1210</v>
      </c>
      <c r="C36" s="32" t="s">
        <v>218</v>
      </c>
      <c r="D36" s="32" t="s">
        <v>1022</v>
      </c>
      <c r="E36" s="24" t="s">
        <v>188</v>
      </c>
      <c r="F36" s="65" t="s">
        <v>1067</v>
      </c>
      <c r="G36" s="65" t="s">
        <v>371</v>
      </c>
      <c r="H36" s="65" t="s">
        <v>2</v>
      </c>
      <c r="I36" s="68">
        <v>591.55774124369668</v>
      </c>
      <c r="J36" s="60">
        <v>100</v>
      </c>
      <c r="K36" s="83">
        <v>2.7672500000000002</v>
      </c>
      <c r="L36" s="24">
        <v>0</v>
      </c>
      <c r="M36" s="24">
        <v>6.9298869224403072E-4</v>
      </c>
      <c r="N36" s="32">
        <v>1.4818115213689752E-5</v>
      </c>
      <c r="O36" s="14"/>
      <c r="P36" s="14"/>
    </row>
    <row r="37" spans="1:16" s="117" customFormat="1" x14ac:dyDescent="0.25">
      <c r="A37" s="77" t="s">
        <v>241</v>
      </c>
      <c r="B37" s="123"/>
      <c r="C37" s="123"/>
      <c r="D37" s="123"/>
      <c r="E37" s="123"/>
      <c r="F37" s="124"/>
      <c r="G37" s="124"/>
      <c r="H37" s="124"/>
      <c r="I37" s="125"/>
      <c r="J37" s="126"/>
      <c r="K37" s="127"/>
      <c r="L37" s="127"/>
      <c r="M37" s="127"/>
      <c r="N37" s="127"/>
      <c r="O37" s="128"/>
      <c r="P37" s="128"/>
    </row>
    <row r="38" spans="1:16" s="117" customFormat="1" x14ac:dyDescent="0.25">
      <c r="A38" s="77" t="s">
        <v>242</v>
      </c>
      <c r="B38" s="123"/>
      <c r="C38" s="123"/>
      <c r="D38" s="123"/>
      <c r="E38" s="123"/>
      <c r="F38" s="124"/>
      <c r="G38" s="124"/>
      <c r="H38" s="124"/>
      <c r="I38" s="125"/>
      <c r="J38" s="126"/>
      <c r="K38" s="127"/>
      <c r="L38" s="127"/>
      <c r="M38" s="127"/>
      <c r="N38" s="127"/>
      <c r="O38" s="128"/>
      <c r="P38" s="128"/>
    </row>
    <row r="39" spans="1:16" s="117" customFormat="1" x14ac:dyDescent="0.25">
      <c r="A39" s="77" t="s">
        <v>243</v>
      </c>
      <c r="B39" s="123"/>
      <c r="C39" s="123"/>
      <c r="D39" s="123"/>
      <c r="E39" s="123"/>
      <c r="F39" s="124"/>
      <c r="G39" s="124"/>
      <c r="H39" s="124"/>
      <c r="I39" s="125"/>
      <c r="J39" s="126"/>
      <c r="K39" s="127"/>
      <c r="L39" s="127"/>
      <c r="M39" s="127"/>
      <c r="N39" s="127"/>
      <c r="O39" s="128"/>
      <c r="P39" s="128"/>
    </row>
    <row r="40" spans="1:16" s="117" customFormat="1" x14ac:dyDescent="0.25">
      <c r="A40" s="77" t="s">
        <v>244</v>
      </c>
      <c r="B40" s="123"/>
      <c r="C40" s="123"/>
      <c r="D40" s="123"/>
      <c r="E40" s="123"/>
      <c r="F40" s="124"/>
      <c r="G40" s="124"/>
      <c r="H40" s="124"/>
      <c r="I40" s="125"/>
      <c r="J40" s="126"/>
      <c r="K40" s="127"/>
      <c r="L40" s="127"/>
      <c r="M40" s="127"/>
      <c r="N40" s="127"/>
      <c r="O40" s="128"/>
      <c r="P40" s="128"/>
    </row>
    <row r="41" spans="1:16" s="117" customFormat="1" x14ac:dyDescent="0.25">
      <c r="A41" s="77" t="s">
        <v>245</v>
      </c>
      <c r="B41" s="123"/>
      <c r="C41" s="123"/>
      <c r="D41" s="123"/>
      <c r="E41" s="123"/>
      <c r="F41" s="124"/>
      <c r="G41" s="124"/>
      <c r="H41" s="124"/>
      <c r="I41" s="125"/>
      <c r="J41" s="126"/>
      <c r="K41" s="127"/>
      <c r="L41" s="127"/>
      <c r="M41" s="127"/>
      <c r="N41" s="127"/>
      <c r="O41" s="128"/>
      <c r="P41" s="128"/>
    </row>
  </sheetData>
  <mergeCells count="2">
    <mergeCell ref="A5:N5"/>
    <mergeCell ref="A4:N4"/>
  </mergeCells>
  <phoneticPr fontId="3" type="noConversion"/>
  <conditionalFormatting sqref="A9:A36 K9:K36">
    <cfRule type="expression" dxfId="99" priority="165" stopIfTrue="1">
      <formula>#REF!&gt;0</formula>
    </cfRule>
    <cfRule type="expression" dxfId="98" priority="166" stopIfTrue="1">
      <formula>LEFT(#REF!,3)="TIR"</formula>
    </cfRule>
  </conditionalFormatting>
  <conditionalFormatting sqref="B9:H36 M9:N36">
    <cfRule type="expression" dxfId="97" priority="163" stopIfTrue="1">
      <formula>OR(LEFT(#REF!,3)="TIR",LEFT(#REF!,2)="IR")</formula>
    </cfRule>
  </conditionalFormatting>
  <conditionalFormatting sqref="C9:D36">
    <cfRule type="expression" dxfId="96" priority="9" stopIfTrue="1">
      <formula>LEFT($IB9,3)="TIR"</formula>
    </cfRule>
    <cfRule type="expression" dxfId="95" priority="169" stopIfTrue="1">
      <formula>LEFT(#REF!,3)="TIR"</formula>
    </cfRule>
  </conditionalFormatting>
  <conditionalFormatting sqref="J1:J3 I9:J36 L9:L36 J37:J55571">
    <cfRule type="expression" dxfId="94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9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7" t="s">
        <v>11</v>
      </c>
      <c r="B4" s="228"/>
      <c r="C4" s="228"/>
      <c r="D4" s="228"/>
      <c r="E4" s="228"/>
      <c r="F4" s="228"/>
      <c r="G4" s="228"/>
      <c r="H4" s="228"/>
      <c r="I4" s="228"/>
      <c r="J4" s="229"/>
      <c r="K4" s="230"/>
      <c r="L4" s="13"/>
      <c r="M4" s="13"/>
      <c r="N4" s="12"/>
      <c r="O4" s="12"/>
      <c r="P4" s="14"/>
    </row>
    <row r="5" spans="1:16" s="7" customFormat="1" x14ac:dyDescent="0.25">
      <c r="A5" s="224" t="s">
        <v>23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</row>
    <row r="6" spans="1:16" s="7" customFormat="1" x14ac:dyDescent="0.25">
      <c r="A6" s="85" t="s">
        <v>157</v>
      </c>
      <c r="B6" s="204" t="s">
        <v>69</v>
      </c>
      <c r="C6" s="204" t="s">
        <v>76</v>
      </c>
      <c r="D6" s="204" t="s">
        <v>19</v>
      </c>
      <c r="E6" s="204" t="s">
        <v>6</v>
      </c>
      <c r="F6" s="205" t="s">
        <v>67</v>
      </c>
      <c r="G6" s="205" t="s">
        <v>68</v>
      </c>
      <c r="H6" s="205" t="s">
        <v>7</v>
      </c>
      <c r="I6" s="205" t="s">
        <v>17</v>
      </c>
      <c r="J6" s="88" t="s">
        <v>75</v>
      </c>
      <c r="K6" s="89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7" customFormat="1" ht="12.75" customHeight="1" thickBot="1" x14ac:dyDescent="0.3">
      <c r="A9" s="147" t="s">
        <v>55</v>
      </c>
      <c r="B9" s="69"/>
      <c r="C9" s="69"/>
      <c r="D9" s="69"/>
      <c r="E9" s="148"/>
      <c r="F9" s="153"/>
      <c r="G9" s="148"/>
      <c r="H9" s="151">
        <v>2.0000000000000002E-7</v>
      </c>
      <c r="I9" s="69"/>
      <c r="J9" s="82">
        <v>1</v>
      </c>
      <c r="K9" s="81">
        <v>0</v>
      </c>
    </row>
    <row r="10" spans="1:16" s="117" customFormat="1" x14ac:dyDescent="0.25">
      <c r="A10" s="90" t="s">
        <v>137</v>
      </c>
      <c r="B10" s="129" t="s">
        <v>249</v>
      </c>
      <c r="C10" s="129" t="s">
        <v>249</v>
      </c>
      <c r="D10" s="129" t="s">
        <v>249</v>
      </c>
      <c r="E10" s="129" t="s">
        <v>249</v>
      </c>
      <c r="F10" s="131" t="s">
        <v>249</v>
      </c>
      <c r="G10" s="120" t="s">
        <v>249</v>
      </c>
      <c r="H10" s="121">
        <v>0</v>
      </c>
      <c r="I10" s="119" t="s">
        <v>249</v>
      </c>
      <c r="J10" s="119">
        <v>0</v>
      </c>
      <c r="K10" s="119">
        <v>0</v>
      </c>
    </row>
    <row r="11" spans="1:16" s="117" customFormat="1" x14ac:dyDescent="0.25">
      <c r="A11" s="91" t="s">
        <v>1211</v>
      </c>
      <c r="B11" s="129" t="s">
        <v>249</v>
      </c>
      <c r="C11" s="129" t="s">
        <v>249</v>
      </c>
      <c r="D11" s="129" t="s">
        <v>249</v>
      </c>
      <c r="E11" s="129" t="s">
        <v>249</v>
      </c>
      <c r="F11" s="133" t="s">
        <v>249</v>
      </c>
      <c r="G11" s="120" t="s">
        <v>249</v>
      </c>
      <c r="H11" s="122">
        <v>0</v>
      </c>
      <c r="I11" s="135"/>
      <c r="J11" s="119">
        <v>0</v>
      </c>
      <c r="K11" s="119">
        <v>0</v>
      </c>
    </row>
    <row r="12" spans="1:16" s="117" customFormat="1" x14ac:dyDescent="0.25">
      <c r="A12" s="91" t="s">
        <v>439</v>
      </c>
      <c r="B12" s="129" t="s">
        <v>249</v>
      </c>
      <c r="C12" s="129" t="s">
        <v>249</v>
      </c>
      <c r="D12" s="129" t="s">
        <v>249</v>
      </c>
      <c r="E12" s="129" t="s">
        <v>249</v>
      </c>
      <c r="F12" s="133" t="s">
        <v>249</v>
      </c>
      <c r="G12" s="120" t="s">
        <v>249</v>
      </c>
      <c r="H12" s="122">
        <v>0</v>
      </c>
      <c r="I12" s="135"/>
      <c r="J12" s="119">
        <v>0</v>
      </c>
      <c r="K12" s="119">
        <v>0</v>
      </c>
    </row>
    <row r="13" spans="1:16" s="117" customFormat="1" x14ac:dyDescent="0.25">
      <c r="A13" s="91" t="s">
        <v>1212</v>
      </c>
      <c r="B13" s="129" t="s">
        <v>249</v>
      </c>
      <c r="C13" s="129" t="s">
        <v>249</v>
      </c>
      <c r="D13" s="129" t="s">
        <v>249</v>
      </c>
      <c r="E13" s="129" t="s">
        <v>249</v>
      </c>
      <c r="F13" s="133" t="s">
        <v>249</v>
      </c>
      <c r="G13" s="120" t="s">
        <v>249</v>
      </c>
      <c r="H13" s="122">
        <v>0</v>
      </c>
      <c r="I13" s="135"/>
      <c r="J13" s="119">
        <v>0</v>
      </c>
      <c r="K13" s="119">
        <v>0</v>
      </c>
    </row>
    <row r="14" spans="1:16" s="117" customFormat="1" x14ac:dyDescent="0.25">
      <c r="A14" s="77" t="s">
        <v>241</v>
      </c>
      <c r="B14" s="123"/>
      <c r="C14" s="123"/>
      <c r="D14" s="123"/>
      <c r="E14" s="124"/>
      <c r="F14" s="124"/>
      <c r="G14" s="124"/>
      <c r="H14" s="125"/>
      <c r="I14" s="126"/>
      <c r="J14" s="126"/>
      <c r="K14" s="127"/>
      <c r="L14" s="146"/>
      <c r="M14" s="146"/>
      <c r="N14" s="128"/>
      <c r="O14" s="128"/>
    </row>
    <row r="15" spans="1:16" s="117" customFormat="1" x14ac:dyDescent="0.25">
      <c r="A15" s="77" t="s">
        <v>242</v>
      </c>
      <c r="B15" s="123"/>
      <c r="C15" s="123"/>
      <c r="D15" s="123"/>
      <c r="E15" s="124"/>
      <c r="F15" s="124"/>
      <c r="G15" s="124"/>
      <c r="H15" s="125"/>
      <c r="I15" s="126"/>
      <c r="J15" s="126"/>
      <c r="K15" s="127"/>
      <c r="L15" s="146"/>
      <c r="M15" s="146"/>
      <c r="N15" s="128"/>
      <c r="O15" s="128"/>
    </row>
    <row r="16" spans="1:16" s="117" customFormat="1" x14ac:dyDescent="0.25">
      <c r="A16" s="77" t="s">
        <v>243</v>
      </c>
      <c r="B16" s="123"/>
      <c r="C16" s="123"/>
      <c r="D16" s="123"/>
      <c r="E16" s="124"/>
      <c r="F16" s="124"/>
      <c r="G16" s="124"/>
      <c r="H16" s="125"/>
      <c r="I16" s="126"/>
      <c r="J16" s="126"/>
      <c r="K16" s="127"/>
      <c r="L16" s="146"/>
      <c r="M16" s="146"/>
      <c r="N16" s="128"/>
      <c r="O16" s="128"/>
    </row>
    <row r="17" spans="1:15" s="117" customFormat="1" x14ac:dyDescent="0.25">
      <c r="A17" s="77" t="s">
        <v>244</v>
      </c>
      <c r="B17" s="123"/>
      <c r="C17" s="123"/>
      <c r="D17" s="123"/>
      <c r="E17" s="124"/>
      <c r="F17" s="124"/>
      <c r="G17" s="124"/>
      <c r="H17" s="125"/>
      <c r="I17" s="126"/>
      <c r="J17" s="126"/>
      <c r="K17" s="127"/>
      <c r="L17" s="146"/>
      <c r="M17" s="146"/>
      <c r="N17" s="128"/>
      <c r="O17" s="128"/>
    </row>
    <row r="18" spans="1:15" s="117" customFormat="1" x14ac:dyDescent="0.25">
      <c r="A18" s="77" t="s">
        <v>245</v>
      </c>
      <c r="B18" s="123"/>
      <c r="C18" s="123"/>
      <c r="D18" s="123"/>
      <c r="E18" s="124"/>
      <c r="F18" s="124"/>
      <c r="G18" s="124"/>
      <c r="H18" s="125"/>
      <c r="I18" s="126"/>
      <c r="J18" s="126"/>
      <c r="K18" s="127"/>
      <c r="L18" s="146"/>
      <c r="M18" s="146"/>
      <c r="N18" s="128"/>
      <c r="O18" s="128"/>
    </row>
  </sheetData>
  <mergeCells count="2">
    <mergeCell ref="A5:K5"/>
    <mergeCell ref="A4:K4"/>
  </mergeCells>
  <phoneticPr fontId="3" type="noConversion"/>
  <conditionalFormatting sqref="A9:A13 H9:H13">
    <cfRule type="expression" dxfId="93" priority="176" stopIfTrue="1">
      <formula>#REF!&gt;0</formula>
    </cfRule>
  </conditionalFormatting>
  <conditionalFormatting sqref="B10:E13">
    <cfRule type="expression" dxfId="92" priority="179" stopIfTrue="1">
      <formula>LEFT(#REF!,3)="TIR"</formula>
    </cfRule>
  </conditionalFormatting>
  <conditionalFormatting sqref="G10:G13">
    <cfRule type="expression" dxfId="91" priority="178" stopIfTrue="1">
      <formula>LEFT(#REF!,3)="TIR"</formula>
    </cfRule>
  </conditionalFormatting>
  <conditionalFormatting sqref="J10:K13">
    <cfRule type="expression" dxfId="90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9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" style="8" customWidth="1"/>
    <col min="6" max="6" width="10.109375" style="59" customWidth="1"/>
    <col min="7" max="7" width="8.6640625" style="59" bestFit="1" customWidth="1"/>
    <col min="8" max="8" width="9.5546875" style="59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7" t="s">
        <v>11</v>
      </c>
      <c r="B4" s="228"/>
      <c r="C4" s="228"/>
      <c r="D4" s="228"/>
      <c r="E4" s="228"/>
      <c r="F4" s="228"/>
      <c r="G4" s="228"/>
      <c r="H4" s="228"/>
      <c r="I4" s="228"/>
      <c r="J4" s="228"/>
      <c r="K4" s="230"/>
      <c r="L4" s="13"/>
      <c r="M4" s="13"/>
      <c r="N4" s="12"/>
      <c r="O4" s="12"/>
      <c r="P4" s="14"/>
    </row>
    <row r="5" spans="1:16" s="7" customFormat="1" x14ac:dyDescent="0.25">
      <c r="A5" s="224" t="s">
        <v>24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</row>
    <row r="6" spans="1:16" s="7" customFormat="1" x14ac:dyDescent="0.25">
      <c r="A6" s="85" t="s">
        <v>157</v>
      </c>
      <c r="B6" s="204" t="s">
        <v>69</v>
      </c>
      <c r="C6" s="204" t="s">
        <v>76</v>
      </c>
      <c r="D6" s="204" t="s">
        <v>19</v>
      </c>
      <c r="E6" s="204" t="s">
        <v>6</v>
      </c>
      <c r="F6" s="205" t="s">
        <v>67</v>
      </c>
      <c r="G6" s="205" t="s">
        <v>68</v>
      </c>
      <c r="H6" s="205" t="s">
        <v>7</v>
      </c>
      <c r="I6" s="205" t="s">
        <v>17</v>
      </c>
      <c r="J6" s="88" t="s">
        <v>75</v>
      </c>
      <c r="K6" s="89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7" customFormat="1" ht="12.75" customHeight="1" thickBot="1" x14ac:dyDescent="0.3">
      <c r="A9" s="147" t="s">
        <v>56</v>
      </c>
      <c r="B9" s="69"/>
      <c r="C9" s="69"/>
      <c r="D9" s="69"/>
      <c r="E9" s="148"/>
      <c r="F9" s="149"/>
      <c r="G9" s="153"/>
      <c r="H9" s="105">
        <v>9.0000000000000007E-7</v>
      </c>
      <c r="I9" s="69"/>
      <c r="J9" s="69">
        <v>1</v>
      </c>
      <c r="K9" s="81">
        <v>0</v>
      </c>
    </row>
    <row r="10" spans="1:16" s="117" customFormat="1" x14ac:dyDescent="0.25">
      <c r="A10" s="90" t="s">
        <v>137</v>
      </c>
      <c r="B10" s="129" t="s">
        <v>249</v>
      </c>
      <c r="C10" s="129" t="s">
        <v>249</v>
      </c>
      <c r="D10" s="129" t="s">
        <v>249</v>
      </c>
      <c r="E10" s="129" t="s">
        <v>249</v>
      </c>
      <c r="F10" s="131" t="s">
        <v>249</v>
      </c>
      <c r="G10" s="120" t="s">
        <v>249</v>
      </c>
      <c r="H10" s="121">
        <v>0</v>
      </c>
      <c r="I10" s="119" t="s">
        <v>249</v>
      </c>
      <c r="J10" s="119">
        <v>0</v>
      </c>
      <c r="K10" s="119">
        <v>0</v>
      </c>
    </row>
    <row r="11" spans="1:16" s="117" customFormat="1" x14ac:dyDescent="0.25">
      <c r="A11" s="91" t="s">
        <v>1213</v>
      </c>
      <c r="B11" s="129" t="s">
        <v>249</v>
      </c>
      <c r="C11" s="129" t="s">
        <v>249</v>
      </c>
      <c r="D11" s="129" t="s">
        <v>249</v>
      </c>
      <c r="E11" s="129" t="s">
        <v>249</v>
      </c>
      <c r="F11" s="133" t="s">
        <v>249</v>
      </c>
      <c r="G11" s="120" t="s">
        <v>249</v>
      </c>
      <c r="H11" s="122">
        <v>0</v>
      </c>
      <c r="I11" s="135"/>
      <c r="J11" s="119">
        <v>0</v>
      </c>
      <c r="K11" s="135">
        <v>0</v>
      </c>
    </row>
    <row r="12" spans="1:16" s="117" customFormat="1" x14ac:dyDescent="0.25">
      <c r="A12" s="91" t="s">
        <v>1214</v>
      </c>
      <c r="B12" s="129" t="s">
        <v>249</v>
      </c>
      <c r="C12" s="129" t="s">
        <v>249</v>
      </c>
      <c r="D12" s="129" t="s">
        <v>249</v>
      </c>
      <c r="E12" s="129" t="s">
        <v>249</v>
      </c>
      <c r="F12" s="133" t="s">
        <v>249</v>
      </c>
      <c r="G12" s="120" t="s">
        <v>249</v>
      </c>
      <c r="H12" s="122">
        <v>0</v>
      </c>
      <c r="I12" s="135"/>
      <c r="J12" s="119">
        <v>0</v>
      </c>
      <c r="K12" s="135">
        <v>0</v>
      </c>
    </row>
    <row r="13" spans="1:16" s="117" customFormat="1" x14ac:dyDescent="0.25">
      <c r="A13" s="91" t="s">
        <v>1215</v>
      </c>
      <c r="B13" s="129" t="s">
        <v>249</v>
      </c>
      <c r="C13" s="129" t="s">
        <v>249</v>
      </c>
      <c r="D13" s="129" t="s">
        <v>249</v>
      </c>
      <c r="E13" s="129" t="s">
        <v>249</v>
      </c>
      <c r="F13" s="133" t="s">
        <v>249</v>
      </c>
      <c r="G13" s="120" t="s">
        <v>249</v>
      </c>
      <c r="H13" s="122">
        <v>0</v>
      </c>
      <c r="I13" s="135"/>
      <c r="J13" s="119">
        <v>0</v>
      </c>
      <c r="K13" s="135">
        <v>0</v>
      </c>
    </row>
    <row r="14" spans="1:16" s="117" customFormat="1" x14ac:dyDescent="0.25">
      <c r="A14" s="91" t="s">
        <v>141</v>
      </c>
      <c r="B14" s="129" t="s">
        <v>249</v>
      </c>
      <c r="C14" s="129" t="s">
        <v>249</v>
      </c>
      <c r="D14" s="129" t="s">
        <v>249</v>
      </c>
      <c r="E14" s="129" t="s">
        <v>249</v>
      </c>
      <c r="F14" s="133" t="s">
        <v>249</v>
      </c>
      <c r="G14" s="120" t="s">
        <v>249</v>
      </c>
      <c r="H14" s="122">
        <v>0</v>
      </c>
      <c r="I14" s="135"/>
      <c r="J14" s="119">
        <v>0</v>
      </c>
      <c r="K14" s="135">
        <v>0</v>
      </c>
    </row>
    <row r="15" spans="1:16" s="117" customFormat="1" x14ac:dyDescent="0.25">
      <c r="A15" s="91" t="s">
        <v>439</v>
      </c>
      <c r="B15" s="129" t="s">
        <v>249</v>
      </c>
      <c r="C15" s="129" t="s">
        <v>249</v>
      </c>
      <c r="D15" s="129" t="s">
        <v>249</v>
      </c>
      <c r="E15" s="129" t="s">
        <v>249</v>
      </c>
      <c r="F15" s="133" t="s">
        <v>249</v>
      </c>
      <c r="G15" s="120" t="s">
        <v>249</v>
      </c>
      <c r="H15" s="122">
        <v>0</v>
      </c>
      <c r="I15" s="135"/>
      <c r="J15" s="119">
        <v>0</v>
      </c>
      <c r="K15" s="135">
        <v>0</v>
      </c>
    </row>
    <row r="16" spans="1:16" s="117" customFormat="1" x14ac:dyDescent="0.25">
      <c r="A16" s="91" t="s">
        <v>1213</v>
      </c>
      <c r="B16" s="129" t="s">
        <v>249</v>
      </c>
      <c r="C16" s="129" t="s">
        <v>249</v>
      </c>
      <c r="D16" s="129" t="s">
        <v>249</v>
      </c>
      <c r="E16" s="129" t="s">
        <v>249</v>
      </c>
      <c r="F16" s="133" t="s">
        <v>249</v>
      </c>
      <c r="G16" s="120" t="s">
        <v>249</v>
      </c>
      <c r="H16" s="122">
        <v>0</v>
      </c>
      <c r="I16" s="135"/>
      <c r="J16" s="119">
        <v>0</v>
      </c>
      <c r="K16" s="135">
        <v>0</v>
      </c>
    </row>
    <row r="17" spans="1:15" s="117" customFormat="1" x14ac:dyDescent="0.25">
      <c r="A17" s="91" t="s">
        <v>1216</v>
      </c>
      <c r="B17" s="129" t="s">
        <v>249</v>
      </c>
      <c r="C17" s="129" t="s">
        <v>249</v>
      </c>
      <c r="D17" s="129" t="s">
        <v>249</v>
      </c>
      <c r="E17" s="129" t="s">
        <v>249</v>
      </c>
      <c r="F17" s="133" t="s">
        <v>249</v>
      </c>
      <c r="G17" s="120" t="s">
        <v>249</v>
      </c>
      <c r="H17" s="122">
        <v>0</v>
      </c>
      <c r="I17" s="135"/>
      <c r="J17" s="119">
        <v>0</v>
      </c>
      <c r="K17" s="135">
        <v>0</v>
      </c>
    </row>
    <row r="18" spans="1:15" s="117" customFormat="1" x14ac:dyDescent="0.25">
      <c r="A18" s="91" t="s">
        <v>1215</v>
      </c>
      <c r="B18" s="129" t="s">
        <v>249</v>
      </c>
      <c r="C18" s="129" t="s">
        <v>249</v>
      </c>
      <c r="D18" s="129" t="s">
        <v>249</v>
      </c>
      <c r="E18" s="129" t="s">
        <v>249</v>
      </c>
      <c r="F18" s="133" t="s">
        <v>249</v>
      </c>
      <c r="G18" s="120" t="s">
        <v>249</v>
      </c>
      <c r="H18" s="122">
        <v>0</v>
      </c>
      <c r="I18" s="135"/>
      <c r="J18" s="119">
        <v>0</v>
      </c>
      <c r="K18" s="135">
        <v>0</v>
      </c>
    </row>
    <row r="19" spans="1:15" s="117" customFormat="1" x14ac:dyDescent="0.25">
      <c r="A19" s="91" t="s">
        <v>1217</v>
      </c>
      <c r="B19" s="129" t="s">
        <v>249</v>
      </c>
      <c r="C19" s="129" t="s">
        <v>249</v>
      </c>
      <c r="D19" s="129" t="s">
        <v>249</v>
      </c>
      <c r="E19" s="129" t="s">
        <v>249</v>
      </c>
      <c r="F19" s="133" t="s">
        <v>249</v>
      </c>
      <c r="G19" s="120" t="s">
        <v>249</v>
      </c>
      <c r="H19" s="122">
        <v>0</v>
      </c>
      <c r="I19" s="135"/>
      <c r="J19" s="119">
        <v>0</v>
      </c>
      <c r="K19" s="135">
        <v>0</v>
      </c>
    </row>
    <row r="20" spans="1:15" s="117" customFormat="1" x14ac:dyDescent="0.25">
      <c r="A20" s="91" t="s">
        <v>141</v>
      </c>
      <c r="B20" s="129" t="s">
        <v>249</v>
      </c>
      <c r="C20" s="129" t="s">
        <v>249</v>
      </c>
      <c r="D20" s="129" t="s">
        <v>249</v>
      </c>
      <c r="E20" s="129" t="s">
        <v>249</v>
      </c>
      <c r="F20" s="133" t="s">
        <v>249</v>
      </c>
      <c r="G20" s="120" t="s">
        <v>249</v>
      </c>
      <c r="H20" s="122">
        <v>0</v>
      </c>
      <c r="I20" s="135"/>
      <c r="J20" s="119">
        <v>0</v>
      </c>
      <c r="K20" s="135">
        <v>0</v>
      </c>
    </row>
    <row r="21" spans="1:15" s="117" customFormat="1" x14ac:dyDescent="0.25">
      <c r="A21" s="77" t="s">
        <v>241</v>
      </c>
      <c r="B21" s="123"/>
      <c r="C21" s="123"/>
      <c r="D21" s="123"/>
      <c r="E21" s="123"/>
      <c r="F21" s="124"/>
      <c r="G21" s="124"/>
      <c r="H21" s="124"/>
      <c r="I21" s="125"/>
      <c r="J21" s="126"/>
      <c r="K21" s="127"/>
      <c r="L21" s="146"/>
      <c r="M21" s="146"/>
      <c r="N21" s="128"/>
      <c r="O21" s="128"/>
    </row>
    <row r="22" spans="1:15" s="117" customFormat="1" x14ac:dyDescent="0.25">
      <c r="A22" s="77" t="s">
        <v>242</v>
      </c>
      <c r="B22" s="123"/>
      <c r="C22" s="123"/>
      <c r="D22" s="123"/>
      <c r="E22" s="123"/>
      <c r="F22" s="124"/>
      <c r="G22" s="124"/>
      <c r="H22" s="124"/>
      <c r="I22" s="125"/>
      <c r="J22" s="126"/>
      <c r="K22" s="127"/>
      <c r="L22" s="146"/>
      <c r="M22" s="146"/>
      <c r="N22" s="128"/>
      <c r="O22" s="128"/>
    </row>
    <row r="23" spans="1:15" s="117" customFormat="1" x14ac:dyDescent="0.25">
      <c r="A23" s="77" t="s">
        <v>243</v>
      </c>
      <c r="B23" s="123"/>
      <c r="C23" s="123"/>
      <c r="D23" s="123"/>
      <c r="E23" s="123"/>
      <c r="F23" s="124"/>
      <c r="G23" s="124"/>
      <c r="H23" s="124"/>
      <c r="I23" s="125"/>
      <c r="J23" s="126"/>
      <c r="K23" s="127"/>
      <c r="L23" s="146"/>
      <c r="M23" s="146"/>
      <c r="N23" s="128"/>
      <c r="O23" s="128"/>
    </row>
    <row r="24" spans="1:15" s="117" customFormat="1" x14ac:dyDescent="0.25">
      <c r="A24" s="77" t="s">
        <v>244</v>
      </c>
      <c r="B24" s="123"/>
      <c r="C24" s="123"/>
      <c r="D24" s="123"/>
      <c r="E24" s="123"/>
      <c r="F24" s="124"/>
      <c r="G24" s="124"/>
      <c r="H24" s="124"/>
      <c r="I24" s="125"/>
      <c r="J24" s="126"/>
      <c r="K24" s="127"/>
      <c r="L24" s="146"/>
      <c r="M24" s="146"/>
      <c r="N24" s="128"/>
      <c r="O24" s="128"/>
    </row>
    <row r="25" spans="1:15" s="117" customFormat="1" x14ac:dyDescent="0.25">
      <c r="A25" s="77" t="s">
        <v>245</v>
      </c>
      <c r="B25" s="123"/>
      <c r="C25" s="123"/>
      <c r="D25" s="123"/>
      <c r="E25" s="123"/>
      <c r="F25" s="124"/>
      <c r="G25" s="124"/>
      <c r="H25" s="124"/>
      <c r="I25" s="125"/>
      <c r="J25" s="126"/>
      <c r="K25" s="127"/>
      <c r="L25" s="146"/>
      <c r="M25" s="146"/>
      <c r="N25" s="128"/>
      <c r="O25" s="128"/>
    </row>
  </sheetData>
  <mergeCells count="2">
    <mergeCell ref="A5:K5"/>
    <mergeCell ref="A4:K4"/>
  </mergeCells>
  <phoneticPr fontId="3" type="noConversion"/>
  <conditionalFormatting sqref="A9:A20 I9:I20">
    <cfRule type="expression" dxfId="89" priority="196" stopIfTrue="1">
      <formula>LEFT(#REF!,3)="TIR"</formula>
    </cfRule>
  </conditionalFormatting>
  <conditionalFormatting sqref="B9:F20 J9:K20">
    <cfRule type="expression" dxfId="88" priority="193" stopIfTrue="1">
      <formula>LEFT(#REF!,3)="TIR"</formula>
    </cfRule>
  </conditionalFormatting>
  <conditionalFormatting sqref="I9:I20 A9:A20">
    <cfRule type="expression" dxfId="87" priority="195" stopIfTrue="1">
      <formula>#REF!&gt;0</formula>
    </cfRule>
  </conditionalFormatting>
  <conditionalFormatting sqref="J1:J3 F9:I20 I21:I55555">
    <cfRule type="expression" dxfId="86" priority="190" stopIfTrue="1">
      <formula>LEFT(#REF!,3)="TIR"</formula>
    </cfRule>
  </conditionalFormatting>
  <conditionalFormatting sqref="J10:K20 H10:H20">
    <cfRule type="expression" dxfId="85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7"/>
  <sheetViews>
    <sheetView rightToLeft="1" workbookViewId="0"/>
  </sheetViews>
  <sheetFormatPr defaultColWidth="9.109375" defaultRowHeight="13.2" x14ac:dyDescent="0.25"/>
  <cols>
    <col min="1" max="1" width="22.33203125" style="9" customWidth="1"/>
    <col min="2" max="2" width="12.109375" style="8" bestFit="1" customWidth="1"/>
    <col min="3" max="3" width="11.6640625" style="9" customWidth="1"/>
    <col min="4" max="4" width="11" style="9" customWidth="1"/>
    <col min="5" max="5" width="10.88671875" style="59" bestFit="1" customWidth="1"/>
    <col min="6" max="6" width="10.109375" style="10" customWidth="1"/>
    <col min="7" max="7" width="6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3"/>
      <c r="K4" s="11"/>
      <c r="L4" s="11"/>
      <c r="M4" s="13"/>
      <c r="N4" s="12"/>
      <c r="O4" s="12"/>
      <c r="P4" s="14"/>
    </row>
    <row r="5" spans="1:16" s="7" customFormat="1" x14ac:dyDescent="0.25">
      <c r="A5" s="224" t="s">
        <v>25</v>
      </c>
      <c r="B5" s="225"/>
      <c r="C5" s="225"/>
      <c r="D5" s="225"/>
      <c r="E5" s="225"/>
      <c r="F5" s="225"/>
      <c r="G5" s="225"/>
      <c r="H5" s="225"/>
      <c r="I5" s="225"/>
      <c r="J5" s="226"/>
      <c r="K5" s="11"/>
      <c r="L5" s="11"/>
    </row>
    <row r="6" spans="1:16" s="7" customFormat="1" x14ac:dyDescent="0.25">
      <c r="A6" s="85" t="s">
        <v>157</v>
      </c>
      <c r="B6" s="204" t="s">
        <v>69</v>
      </c>
      <c r="C6" s="204" t="s">
        <v>76</v>
      </c>
      <c r="D6" s="204" t="s">
        <v>19</v>
      </c>
      <c r="E6" s="204" t="s">
        <v>6</v>
      </c>
      <c r="F6" s="205" t="s">
        <v>67</v>
      </c>
      <c r="G6" s="205" t="s">
        <v>68</v>
      </c>
      <c r="H6" s="205" t="s">
        <v>7</v>
      </c>
      <c r="I6" s="88" t="s">
        <v>75</v>
      </c>
      <c r="J6" s="89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7" customFormat="1" ht="12.75" customHeight="1" thickBot="1" x14ac:dyDescent="0.3">
      <c r="A9" s="147" t="s">
        <v>62</v>
      </c>
      <c r="B9" s="69"/>
      <c r="C9" s="69"/>
      <c r="D9" s="69"/>
      <c r="E9" s="148"/>
      <c r="F9" s="149"/>
      <c r="G9" s="148"/>
      <c r="H9" s="151">
        <v>-115.93495980000002</v>
      </c>
      <c r="I9" s="69">
        <v>1</v>
      </c>
      <c r="J9" s="81">
        <v>-6.2081040441264428E-4</v>
      </c>
    </row>
    <row r="10" spans="1:16" s="117" customFormat="1" x14ac:dyDescent="0.25">
      <c r="A10" s="90" t="s">
        <v>137</v>
      </c>
      <c r="B10" s="129" t="s">
        <v>249</v>
      </c>
      <c r="C10" s="129" t="s">
        <v>249</v>
      </c>
      <c r="D10" s="129" t="s">
        <v>249</v>
      </c>
      <c r="E10" s="129" t="s">
        <v>249</v>
      </c>
      <c r="F10" s="131" t="s">
        <v>249</v>
      </c>
      <c r="G10" s="120" t="s">
        <v>249</v>
      </c>
      <c r="H10" s="121">
        <v>0</v>
      </c>
      <c r="I10" s="119">
        <v>0</v>
      </c>
      <c r="J10" s="119">
        <v>0</v>
      </c>
    </row>
    <row r="11" spans="1:16" s="117" customFormat="1" x14ac:dyDescent="0.25">
      <c r="A11" s="91" t="s">
        <v>439</v>
      </c>
      <c r="B11" s="129" t="s">
        <v>249</v>
      </c>
      <c r="C11" s="129" t="s">
        <v>249</v>
      </c>
      <c r="D11" s="129" t="s">
        <v>249</v>
      </c>
      <c r="E11" s="129" t="s">
        <v>249</v>
      </c>
      <c r="F11" s="133" t="s">
        <v>249</v>
      </c>
      <c r="G11" s="134" t="s">
        <v>249</v>
      </c>
      <c r="H11" s="122">
        <v>-115.9349599</v>
      </c>
      <c r="I11" s="119">
        <v>1.0000000008625525</v>
      </c>
      <c r="J11" s="119">
        <v>-6.2081040494812588E-4</v>
      </c>
    </row>
    <row r="12" spans="1:16" x14ac:dyDescent="0.25">
      <c r="A12" s="16" t="s">
        <v>1218</v>
      </c>
      <c r="B12" s="115" t="s">
        <v>1219</v>
      </c>
      <c r="C12" s="115" t="s">
        <v>1220</v>
      </c>
      <c r="D12" s="115" t="s">
        <v>188</v>
      </c>
      <c r="E12" s="115" t="s">
        <v>125</v>
      </c>
      <c r="F12" s="68">
        <v>15.871781660884215</v>
      </c>
      <c r="G12" s="60">
        <v>111.5625</v>
      </c>
      <c r="H12" s="83">
        <v>-115.93496</v>
      </c>
      <c r="I12" s="32">
        <v>1.0000000017251052</v>
      </c>
      <c r="J12" s="32">
        <v>-6.2081040548360748E-4</v>
      </c>
      <c r="K12" s="14"/>
      <c r="L12" s="14"/>
      <c r="M12" s="14"/>
      <c r="N12" s="14"/>
      <c r="O12" s="14"/>
    </row>
    <row r="13" spans="1:16" s="117" customFormat="1" x14ac:dyDescent="0.25">
      <c r="A13" s="77" t="s">
        <v>241</v>
      </c>
      <c r="B13" s="123"/>
      <c r="C13" s="77"/>
      <c r="D13" s="77"/>
      <c r="E13" s="124"/>
      <c r="F13" s="144"/>
      <c r="G13" s="144"/>
      <c r="H13" s="145"/>
      <c r="I13" s="145"/>
      <c r="J13" s="128"/>
      <c r="K13" s="146"/>
      <c r="L13" s="146"/>
      <c r="M13" s="146"/>
      <c r="N13" s="128"/>
      <c r="O13" s="128"/>
    </row>
    <row r="14" spans="1:16" s="117" customFormat="1" x14ac:dyDescent="0.25">
      <c r="A14" s="77" t="s">
        <v>242</v>
      </c>
      <c r="B14" s="123"/>
      <c r="C14" s="77"/>
      <c r="D14" s="77"/>
      <c r="E14" s="124"/>
      <c r="F14" s="144"/>
      <c r="G14" s="144"/>
      <c r="H14" s="145"/>
      <c r="I14" s="145"/>
      <c r="J14" s="128"/>
      <c r="K14" s="146"/>
      <c r="L14" s="146"/>
      <c r="M14" s="146"/>
      <c r="N14" s="128"/>
      <c r="O14" s="128"/>
    </row>
    <row r="15" spans="1:16" s="117" customFormat="1" x14ac:dyDescent="0.25">
      <c r="A15" s="77" t="s">
        <v>243</v>
      </c>
      <c r="B15" s="123"/>
      <c r="C15" s="77"/>
      <c r="D15" s="77"/>
      <c r="E15" s="124"/>
      <c r="F15" s="144"/>
      <c r="G15" s="144"/>
      <c r="H15" s="145"/>
      <c r="I15" s="145"/>
      <c r="J15" s="128"/>
      <c r="K15" s="146"/>
      <c r="L15" s="146"/>
      <c r="M15" s="146"/>
      <c r="N15" s="128"/>
      <c r="O15" s="128"/>
    </row>
    <row r="16" spans="1:16" s="117" customFormat="1" x14ac:dyDescent="0.25">
      <c r="A16" s="77" t="s">
        <v>244</v>
      </c>
      <c r="B16" s="123"/>
      <c r="C16" s="77"/>
      <c r="D16" s="77"/>
      <c r="E16" s="124"/>
      <c r="F16" s="144"/>
      <c r="G16" s="144"/>
      <c r="H16" s="145"/>
      <c r="I16" s="145"/>
      <c r="J16" s="128"/>
      <c r="K16" s="146"/>
      <c r="L16" s="146"/>
      <c r="M16" s="146"/>
      <c r="N16" s="128"/>
      <c r="O16" s="128"/>
    </row>
    <row r="17" spans="1:15" s="117" customFormat="1" x14ac:dyDescent="0.25">
      <c r="A17" s="77" t="s">
        <v>245</v>
      </c>
      <c r="B17" s="123"/>
      <c r="C17" s="77"/>
      <c r="D17" s="77"/>
      <c r="E17" s="124"/>
      <c r="F17" s="144"/>
      <c r="G17" s="144"/>
      <c r="H17" s="145"/>
      <c r="I17" s="145"/>
      <c r="J17" s="128"/>
      <c r="K17" s="146"/>
      <c r="L17" s="146"/>
      <c r="M17" s="146"/>
      <c r="N17" s="128"/>
      <c r="O17" s="128"/>
    </row>
  </sheetData>
  <mergeCells count="2">
    <mergeCell ref="A5:J5"/>
    <mergeCell ref="A4:J4"/>
  </mergeCells>
  <phoneticPr fontId="3" type="noConversion"/>
  <conditionalFormatting sqref="B9:E12 I9:J12">
    <cfRule type="expression" dxfId="84" priority="219" stopIfTrue="1">
      <formula>LEFT(#REF!,3)="TIR"</formula>
    </cfRule>
  </conditionalFormatting>
  <conditionalFormatting sqref="H9:I9 A9:A12 I10:I12">
    <cfRule type="expression" dxfId="83" priority="222" stopIfTrue="1">
      <formula>LEFT(#REF!,3)="TIR"</formula>
    </cfRule>
  </conditionalFormatting>
  <conditionalFormatting sqref="H9:I9 I10:I12 A9:A12">
    <cfRule type="expression" dxfId="82" priority="221" stopIfTrue="1">
      <formula>#REF!&gt;0</formula>
    </cfRule>
  </conditionalFormatting>
  <conditionalFormatting sqref="H10:I12">
    <cfRule type="expression" dxfId="81" priority="228" stopIfTrue="1">
      <formula>#REF!&gt;0</formula>
    </cfRule>
    <cfRule type="expression" dxfId="80" priority="229" stopIfTrue="1">
      <formula>OR(LEFT(#REF!,3)="TIR",LEFT(#REF!,2)="IR")</formula>
    </cfRule>
  </conditionalFormatting>
  <conditionalFormatting sqref="J1:J3 F9:G12 J13:J55547">
    <cfRule type="expression" dxfId="79" priority="216" stopIfTrue="1">
      <formula>LEFT(#REF!,3)="TIR"</formula>
    </cfRule>
  </conditionalFormatting>
  <conditionalFormatting sqref="J10:J12">
    <cfRule type="expression" dxfId="78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4" customWidth="1"/>
    <col min="15" max="15" width="25.44140625" style="64" customWidth="1"/>
    <col min="16" max="16" width="20.6640625" style="64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4"/>
      <c r="O1" s="64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4"/>
      <c r="O2" s="64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4"/>
      <c r="O3" s="64"/>
      <c r="P3" s="43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3"/>
    </row>
    <row r="5" spans="1:16" s="7" customFormat="1" x14ac:dyDescent="0.25">
      <c r="A5" s="224" t="s">
        <v>26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6"/>
    </row>
    <row r="6" spans="1:16" s="7" customFormat="1" ht="31.5" customHeight="1" x14ac:dyDescent="0.25">
      <c r="A6" s="85" t="s">
        <v>157</v>
      </c>
      <c r="B6" s="204" t="s">
        <v>69</v>
      </c>
      <c r="C6" s="204" t="s">
        <v>27</v>
      </c>
      <c r="D6" s="204" t="s">
        <v>70</v>
      </c>
      <c r="E6" s="204" t="s">
        <v>5</v>
      </c>
      <c r="F6" s="204" t="s">
        <v>13</v>
      </c>
      <c r="G6" s="204" t="s">
        <v>14</v>
      </c>
      <c r="H6" s="204" t="s">
        <v>6</v>
      </c>
      <c r="I6" s="205" t="s">
        <v>66</v>
      </c>
      <c r="J6" s="205" t="s">
        <v>71</v>
      </c>
      <c r="K6" s="205" t="s">
        <v>67</v>
      </c>
      <c r="L6" s="205" t="s">
        <v>68</v>
      </c>
      <c r="M6" s="205" t="s">
        <v>7</v>
      </c>
      <c r="N6" s="88" t="s">
        <v>17</v>
      </c>
      <c r="O6" s="88" t="s">
        <v>75</v>
      </c>
      <c r="P6" s="89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7" customFormat="1" ht="12.75" customHeight="1" thickBot="1" x14ac:dyDescent="0.3">
      <c r="A9" s="98" t="s">
        <v>57</v>
      </c>
      <c r="B9" s="66"/>
      <c r="C9" s="66"/>
      <c r="D9" s="99"/>
      <c r="E9" s="99"/>
      <c r="F9" s="99"/>
      <c r="G9" s="99"/>
      <c r="H9" s="99"/>
      <c r="I9" s="66"/>
      <c r="J9" s="66"/>
      <c r="K9" s="100"/>
      <c r="L9" s="99"/>
      <c r="M9" s="103">
        <v>1.2000000000000002E-6</v>
      </c>
      <c r="N9" s="66"/>
      <c r="O9" s="66">
        <v>1</v>
      </c>
      <c r="P9" s="80">
        <v>0</v>
      </c>
    </row>
    <row r="10" spans="1:16" s="117" customFormat="1" x14ac:dyDescent="0.25">
      <c r="A10" s="90" t="s">
        <v>137</v>
      </c>
      <c r="B10" s="129" t="s">
        <v>249</v>
      </c>
      <c r="C10" s="129" t="s">
        <v>249</v>
      </c>
      <c r="D10" s="129" t="s">
        <v>249</v>
      </c>
      <c r="E10" s="129" t="s">
        <v>249</v>
      </c>
      <c r="F10" s="129" t="s">
        <v>249</v>
      </c>
      <c r="G10" s="130" t="s">
        <v>249</v>
      </c>
      <c r="H10" s="130" t="s">
        <v>249</v>
      </c>
      <c r="I10" s="129" t="s">
        <v>249</v>
      </c>
      <c r="J10" s="129" t="s">
        <v>249</v>
      </c>
      <c r="K10" s="131" t="s">
        <v>249</v>
      </c>
      <c r="L10" s="120" t="s">
        <v>249</v>
      </c>
      <c r="M10" s="121">
        <v>0</v>
      </c>
      <c r="N10" s="119" t="s">
        <v>249</v>
      </c>
      <c r="O10" s="119">
        <v>0</v>
      </c>
      <c r="P10" s="119">
        <v>0</v>
      </c>
    </row>
    <row r="11" spans="1:16" s="117" customFormat="1" x14ac:dyDescent="0.25">
      <c r="A11" s="91" t="s">
        <v>1221</v>
      </c>
      <c r="B11" s="129" t="s">
        <v>249</v>
      </c>
      <c r="C11" s="129" t="s">
        <v>249</v>
      </c>
      <c r="D11" s="129" t="s">
        <v>249</v>
      </c>
      <c r="E11" s="129" t="s">
        <v>249</v>
      </c>
      <c r="F11" s="129" t="s">
        <v>249</v>
      </c>
      <c r="G11" s="130" t="s">
        <v>249</v>
      </c>
      <c r="H11" s="130" t="s">
        <v>249</v>
      </c>
      <c r="I11" s="129" t="s">
        <v>249</v>
      </c>
      <c r="J11" s="129" t="s">
        <v>249</v>
      </c>
      <c r="K11" s="133" t="s">
        <v>249</v>
      </c>
      <c r="L11" s="134" t="s">
        <v>249</v>
      </c>
      <c r="M11" s="122">
        <v>0</v>
      </c>
      <c r="N11" s="135"/>
      <c r="O11" s="135">
        <v>0</v>
      </c>
      <c r="P11" s="135">
        <v>0</v>
      </c>
    </row>
    <row r="12" spans="1:16" s="117" customFormat="1" x14ac:dyDescent="0.25">
      <c r="A12" s="91" t="s">
        <v>1222</v>
      </c>
      <c r="B12" s="129" t="s">
        <v>249</v>
      </c>
      <c r="C12" s="129" t="s">
        <v>249</v>
      </c>
      <c r="D12" s="129" t="s">
        <v>249</v>
      </c>
      <c r="E12" s="129" t="s">
        <v>249</v>
      </c>
      <c r="F12" s="129" t="s">
        <v>249</v>
      </c>
      <c r="G12" s="130" t="s">
        <v>249</v>
      </c>
      <c r="H12" s="130" t="s">
        <v>249</v>
      </c>
      <c r="I12" s="129" t="s">
        <v>249</v>
      </c>
      <c r="J12" s="129" t="s">
        <v>249</v>
      </c>
      <c r="K12" s="133" t="s">
        <v>249</v>
      </c>
      <c r="L12" s="134" t="s">
        <v>249</v>
      </c>
      <c r="M12" s="122">
        <v>0</v>
      </c>
      <c r="N12" s="135"/>
      <c r="O12" s="135">
        <v>0</v>
      </c>
      <c r="P12" s="135">
        <v>0</v>
      </c>
    </row>
    <row r="13" spans="1:16" s="117" customFormat="1" x14ac:dyDescent="0.25">
      <c r="A13" s="91" t="s">
        <v>1223</v>
      </c>
      <c r="B13" s="129" t="s">
        <v>249</v>
      </c>
      <c r="C13" s="129" t="s">
        <v>249</v>
      </c>
      <c r="D13" s="129" t="s">
        <v>249</v>
      </c>
      <c r="E13" s="129" t="s">
        <v>249</v>
      </c>
      <c r="F13" s="129" t="s">
        <v>249</v>
      </c>
      <c r="G13" s="130" t="s">
        <v>249</v>
      </c>
      <c r="H13" s="130" t="s">
        <v>249</v>
      </c>
      <c r="I13" s="129" t="s">
        <v>249</v>
      </c>
      <c r="J13" s="129" t="s">
        <v>249</v>
      </c>
      <c r="K13" s="133" t="s">
        <v>249</v>
      </c>
      <c r="L13" s="134" t="s">
        <v>249</v>
      </c>
      <c r="M13" s="122">
        <v>0</v>
      </c>
      <c r="N13" s="135"/>
      <c r="O13" s="135">
        <v>0</v>
      </c>
      <c r="P13" s="135">
        <v>0</v>
      </c>
    </row>
    <row r="14" spans="1:16" s="117" customFormat="1" x14ac:dyDescent="0.25">
      <c r="A14" s="91" t="s">
        <v>1224</v>
      </c>
      <c r="B14" s="129" t="s">
        <v>249</v>
      </c>
      <c r="C14" s="129" t="s">
        <v>249</v>
      </c>
      <c r="D14" s="129" t="s">
        <v>249</v>
      </c>
      <c r="E14" s="129" t="s">
        <v>249</v>
      </c>
      <c r="F14" s="129" t="s">
        <v>249</v>
      </c>
      <c r="G14" s="130" t="s">
        <v>249</v>
      </c>
      <c r="H14" s="130" t="s">
        <v>249</v>
      </c>
      <c r="I14" s="129" t="s">
        <v>249</v>
      </c>
      <c r="J14" s="129" t="s">
        <v>249</v>
      </c>
      <c r="K14" s="133" t="s">
        <v>249</v>
      </c>
      <c r="L14" s="134" t="s">
        <v>249</v>
      </c>
      <c r="M14" s="122">
        <v>0</v>
      </c>
      <c r="N14" s="135"/>
      <c r="O14" s="135">
        <v>0</v>
      </c>
      <c r="P14" s="135">
        <v>0</v>
      </c>
    </row>
    <row r="15" spans="1:16" s="117" customFormat="1" x14ac:dyDescent="0.25">
      <c r="A15" s="91" t="s">
        <v>1225</v>
      </c>
      <c r="B15" s="129" t="s">
        <v>249</v>
      </c>
      <c r="C15" s="129" t="s">
        <v>249</v>
      </c>
      <c r="D15" s="129" t="s">
        <v>249</v>
      </c>
      <c r="E15" s="129" t="s">
        <v>249</v>
      </c>
      <c r="F15" s="129" t="s">
        <v>249</v>
      </c>
      <c r="G15" s="130" t="s">
        <v>249</v>
      </c>
      <c r="H15" s="130" t="s">
        <v>249</v>
      </c>
      <c r="I15" s="129" t="s">
        <v>249</v>
      </c>
      <c r="J15" s="129" t="s">
        <v>249</v>
      </c>
      <c r="K15" s="133" t="s">
        <v>249</v>
      </c>
      <c r="L15" s="134" t="s">
        <v>249</v>
      </c>
      <c r="M15" s="122">
        <v>0</v>
      </c>
      <c r="N15" s="135"/>
      <c r="O15" s="135">
        <v>0</v>
      </c>
      <c r="P15" s="135">
        <v>0</v>
      </c>
    </row>
    <row r="16" spans="1:16" s="117" customFormat="1" x14ac:dyDescent="0.25">
      <c r="A16" s="91" t="s">
        <v>1226</v>
      </c>
      <c r="B16" s="129" t="s">
        <v>249</v>
      </c>
      <c r="C16" s="129" t="s">
        <v>249</v>
      </c>
      <c r="D16" s="129" t="s">
        <v>249</v>
      </c>
      <c r="E16" s="129" t="s">
        <v>249</v>
      </c>
      <c r="F16" s="129" t="s">
        <v>249</v>
      </c>
      <c r="G16" s="130" t="s">
        <v>249</v>
      </c>
      <c r="H16" s="130" t="s">
        <v>249</v>
      </c>
      <c r="I16" s="129" t="s">
        <v>249</v>
      </c>
      <c r="J16" s="129" t="s">
        <v>249</v>
      </c>
      <c r="K16" s="133" t="s">
        <v>249</v>
      </c>
      <c r="L16" s="134" t="s">
        <v>249</v>
      </c>
      <c r="M16" s="122">
        <v>0</v>
      </c>
      <c r="N16" s="135"/>
      <c r="O16" s="135">
        <v>0</v>
      </c>
      <c r="P16" s="135">
        <v>0</v>
      </c>
    </row>
    <row r="17" spans="1:16" s="117" customFormat="1" x14ac:dyDescent="0.25">
      <c r="A17" s="91" t="s">
        <v>1227</v>
      </c>
      <c r="B17" s="129" t="s">
        <v>249</v>
      </c>
      <c r="C17" s="129" t="s">
        <v>249</v>
      </c>
      <c r="D17" s="129" t="s">
        <v>249</v>
      </c>
      <c r="E17" s="129" t="s">
        <v>249</v>
      </c>
      <c r="F17" s="129" t="s">
        <v>249</v>
      </c>
      <c r="G17" s="130" t="s">
        <v>249</v>
      </c>
      <c r="H17" s="130" t="s">
        <v>249</v>
      </c>
      <c r="I17" s="129" t="s">
        <v>249</v>
      </c>
      <c r="J17" s="129" t="s">
        <v>249</v>
      </c>
      <c r="K17" s="133" t="s">
        <v>249</v>
      </c>
      <c r="L17" s="134" t="s">
        <v>249</v>
      </c>
      <c r="M17" s="122">
        <v>0</v>
      </c>
      <c r="N17" s="135"/>
      <c r="O17" s="135">
        <v>0</v>
      </c>
      <c r="P17" s="135">
        <v>0</v>
      </c>
    </row>
    <row r="18" spans="1:16" s="117" customFormat="1" x14ac:dyDescent="0.25">
      <c r="A18" s="91" t="s">
        <v>439</v>
      </c>
      <c r="B18" s="129" t="s">
        <v>249</v>
      </c>
      <c r="C18" s="129" t="s">
        <v>249</v>
      </c>
      <c r="D18" s="129" t="s">
        <v>249</v>
      </c>
      <c r="E18" s="129" t="s">
        <v>249</v>
      </c>
      <c r="F18" s="129" t="s">
        <v>249</v>
      </c>
      <c r="G18" s="130" t="s">
        <v>249</v>
      </c>
      <c r="H18" s="130" t="s">
        <v>249</v>
      </c>
      <c r="I18" s="129" t="s">
        <v>249</v>
      </c>
      <c r="J18" s="129" t="s">
        <v>249</v>
      </c>
      <c r="K18" s="133" t="s">
        <v>249</v>
      </c>
      <c r="L18" s="134" t="s">
        <v>249</v>
      </c>
      <c r="M18" s="122">
        <v>0</v>
      </c>
      <c r="N18" s="135"/>
      <c r="O18" s="135">
        <v>0</v>
      </c>
      <c r="P18" s="135">
        <v>0</v>
      </c>
    </row>
    <row r="19" spans="1:16" s="117" customFormat="1" x14ac:dyDescent="0.25">
      <c r="A19" s="91" t="s">
        <v>1228</v>
      </c>
      <c r="B19" s="129" t="s">
        <v>249</v>
      </c>
      <c r="C19" s="129" t="s">
        <v>249</v>
      </c>
      <c r="D19" s="129" t="s">
        <v>249</v>
      </c>
      <c r="E19" s="129" t="s">
        <v>249</v>
      </c>
      <c r="F19" s="129" t="s">
        <v>249</v>
      </c>
      <c r="G19" s="130" t="s">
        <v>249</v>
      </c>
      <c r="H19" s="130" t="s">
        <v>249</v>
      </c>
      <c r="I19" s="129" t="s">
        <v>249</v>
      </c>
      <c r="J19" s="129" t="s">
        <v>249</v>
      </c>
      <c r="K19" s="133" t="s">
        <v>249</v>
      </c>
      <c r="L19" s="134" t="s">
        <v>249</v>
      </c>
      <c r="M19" s="122">
        <v>0</v>
      </c>
      <c r="N19" s="135"/>
      <c r="O19" s="135">
        <v>0</v>
      </c>
      <c r="P19" s="135">
        <v>0</v>
      </c>
    </row>
    <row r="20" spans="1:16" s="117" customFormat="1" x14ac:dyDescent="0.25">
      <c r="A20" s="91" t="s">
        <v>1229</v>
      </c>
      <c r="B20" s="129" t="s">
        <v>249</v>
      </c>
      <c r="C20" s="129" t="s">
        <v>249</v>
      </c>
      <c r="D20" s="129" t="s">
        <v>249</v>
      </c>
      <c r="E20" s="129" t="s">
        <v>249</v>
      </c>
      <c r="F20" s="129" t="s">
        <v>249</v>
      </c>
      <c r="G20" s="130" t="s">
        <v>249</v>
      </c>
      <c r="H20" s="130" t="s">
        <v>249</v>
      </c>
      <c r="I20" s="129" t="s">
        <v>249</v>
      </c>
      <c r="J20" s="129" t="s">
        <v>249</v>
      </c>
      <c r="K20" s="133" t="s">
        <v>249</v>
      </c>
      <c r="L20" s="134" t="s">
        <v>249</v>
      </c>
      <c r="M20" s="122">
        <v>0</v>
      </c>
      <c r="N20" s="135"/>
      <c r="O20" s="135">
        <v>0</v>
      </c>
      <c r="P20" s="135">
        <v>0</v>
      </c>
    </row>
    <row r="21" spans="1:16" s="117" customFormat="1" x14ac:dyDescent="0.25">
      <c r="A21" s="91" t="s">
        <v>1230</v>
      </c>
      <c r="B21" s="129" t="s">
        <v>249</v>
      </c>
      <c r="C21" s="129" t="s">
        <v>249</v>
      </c>
      <c r="D21" s="129" t="s">
        <v>249</v>
      </c>
      <c r="E21" s="129" t="s">
        <v>249</v>
      </c>
      <c r="F21" s="129" t="s">
        <v>249</v>
      </c>
      <c r="G21" s="130" t="s">
        <v>249</v>
      </c>
      <c r="H21" s="130" t="s">
        <v>249</v>
      </c>
      <c r="I21" s="129" t="s">
        <v>249</v>
      </c>
      <c r="J21" s="129" t="s">
        <v>249</v>
      </c>
      <c r="K21" s="133" t="s">
        <v>249</v>
      </c>
      <c r="L21" s="134" t="s">
        <v>249</v>
      </c>
      <c r="M21" s="122">
        <v>0</v>
      </c>
      <c r="N21" s="135"/>
      <c r="O21" s="135">
        <v>0</v>
      </c>
      <c r="P21" s="135">
        <v>0</v>
      </c>
    </row>
    <row r="22" spans="1:16" s="117" customFormat="1" x14ac:dyDescent="0.25">
      <c r="A22" s="91" t="s">
        <v>1224</v>
      </c>
      <c r="B22" s="129" t="s">
        <v>249</v>
      </c>
      <c r="C22" s="129" t="s">
        <v>249</v>
      </c>
      <c r="D22" s="129" t="s">
        <v>249</v>
      </c>
      <c r="E22" s="129" t="s">
        <v>249</v>
      </c>
      <c r="F22" s="129" t="s">
        <v>249</v>
      </c>
      <c r="G22" s="130" t="s">
        <v>249</v>
      </c>
      <c r="H22" s="130" t="s">
        <v>249</v>
      </c>
      <c r="I22" s="129" t="s">
        <v>249</v>
      </c>
      <c r="J22" s="129" t="s">
        <v>249</v>
      </c>
      <c r="K22" s="133" t="s">
        <v>249</v>
      </c>
      <c r="L22" s="134" t="s">
        <v>249</v>
      </c>
      <c r="M22" s="122">
        <v>0</v>
      </c>
      <c r="N22" s="135"/>
      <c r="O22" s="135">
        <v>0</v>
      </c>
      <c r="P22" s="135">
        <v>0</v>
      </c>
    </row>
    <row r="23" spans="1:16" s="117" customFormat="1" x14ac:dyDescent="0.25">
      <c r="A23" s="91" t="s">
        <v>1225</v>
      </c>
      <c r="B23" s="129" t="s">
        <v>249</v>
      </c>
      <c r="C23" s="129" t="s">
        <v>249</v>
      </c>
      <c r="D23" s="129" t="s">
        <v>249</v>
      </c>
      <c r="E23" s="129" t="s">
        <v>249</v>
      </c>
      <c r="F23" s="129" t="s">
        <v>249</v>
      </c>
      <c r="G23" s="130" t="s">
        <v>249</v>
      </c>
      <c r="H23" s="130" t="s">
        <v>249</v>
      </c>
      <c r="I23" s="129" t="s">
        <v>249</v>
      </c>
      <c r="J23" s="129" t="s">
        <v>249</v>
      </c>
      <c r="K23" s="133" t="s">
        <v>249</v>
      </c>
      <c r="L23" s="134" t="s">
        <v>249</v>
      </c>
      <c r="M23" s="122">
        <v>0</v>
      </c>
      <c r="N23" s="135"/>
      <c r="O23" s="135">
        <v>0</v>
      </c>
      <c r="P23" s="135">
        <v>0</v>
      </c>
    </row>
    <row r="24" spans="1:16" s="117" customFormat="1" x14ac:dyDescent="0.25">
      <c r="A24" s="91" t="s">
        <v>1226</v>
      </c>
      <c r="B24" s="129" t="s">
        <v>249</v>
      </c>
      <c r="C24" s="129" t="s">
        <v>249</v>
      </c>
      <c r="D24" s="129" t="s">
        <v>249</v>
      </c>
      <c r="E24" s="129" t="s">
        <v>249</v>
      </c>
      <c r="F24" s="129" t="s">
        <v>249</v>
      </c>
      <c r="G24" s="130" t="s">
        <v>249</v>
      </c>
      <c r="H24" s="130" t="s">
        <v>249</v>
      </c>
      <c r="I24" s="129" t="s">
        <v>249</v>
      </c>
      <c r="J24" s="129" t="s">
        <v>249</v>
      </c>
      <c r="K24" s="133" t="s">
        <v>249</v>
      </c>
      <c r="L24" s="134" t="s">
        <v>249</v>
      </c>
      <c r="M24" s="122">
        <v>0</v>
      </c>
      <c r="N24" s="135"/>
      <c r="O24" s="135">
        <v>0</v>
      </c>
      <c r="P24" s="135">
        <v>0</v>
      </c>
    </row>
    <row r="25" spans="1:16" s="117" customFormat="1" x14ac:dyDescent="0.25">
      <c r="A25" s="91" t="s">
        <v>1227</v>
      </c>
      <c r="B25" s="129" t="s">
        <v>249</v>
      </c>
      <c r="C25" s="129" t="s">
        <v>249</v>
      </c>
      <c r="D25" s="129" t="s">
        <v>249</v>
      </c>
      <c r="E25" s="129" t="s">
        <v>249</v>
      </c>
      <c r="F25" s="129" t="s">
        <v>249</v>
      </c>
      <c r="G25" s="130" t="s">
        <v>249</v>
      </c>
      <c r="H25" s="130" t="s">
        <v>249</v>
      </c>
      <c r="I25" s="129" t="s">
        <v>249</v>
      </c>
      <c r="J25" s="129" t="s">
        <v>249</v>
      </c>
      <c r="K25" s="133" t="s">
        <v>249</v>
      </c>
      <c r="L25" s="134" t="s">
        <v>249</v>
      </c>
      <c r="M25" s="122">
        <v>0</v>
      </c>
      <c r="N25" s="135"/>
      <c r="O25" s="135">
        <v>0</v>
      </c>
      <c r="P25" s="135">
        <v>0</v>
      </c>
    </row>
    <row r="26" spans="1:16" s="117" customFormat="1" x14ac:dyDescent="0.25">
      <c r="A26" s="77" t="s">
        <v>241</v>
      </c>
      <c r="B26" s="123"/>
      <c r="C26" s="77"/>
      <c r="D26" s="124"/>
      <c r="E26" s="124"/>
      <c r="F26" s="124"/>
      <c r="G26" s="125"/>
      <c r="H26" s="126"/>
      <c r="I26" s="127"/>
      <c r="J26" s="127"/>
      <c r="K26" s="127"/>
      <c r="L26" s="126"/>
      <c r="M26" s="126"/>
      <c r="N26" s="136"/>
      <c r="O26" s="136"/>
      <c r="P26" s="136"/>
    </row>
    <row r="27" spans="1:16" s="117" customFormat="1" x14ac:dyDescent="0.25">
      <c r="A27" s="77" t="s">
        <v>242</v>
      </c>
      <c r="B27" s="123"/>
      <c r="C27" s="77"/>
      <c r="D27" s="124"/>
      <c r="E27" s="124"/>
      <c r="F27" s="124"/>
      <c r="G27" s="125"/>
      <c r="H27" s="126"/>
      <c r="I27" s="127"/>
      <c r="J27" s="127"/>
      <c r="K27" s="127"/>
      <c r="L27" s="126"/>
      <c r="M27" s="126"/>
      <c r="N27" s="136"/>
      <c r="O27" s="136"/>
      <c r="P27" s="136"/>
    </row>
    <row r="28" spans="1:16" s="117" customFormat="1" x14ac:dyDescent="0.25">
      <c r="A28" s="77" t="s">
        <v>243</v>
      </c>
      <c r="B28" s="123"/>
      <c r="C28" s="77"/>
      <c r="D28" s="124"/>
      <c r="E28" s="124"/>
      <c r="F28" s="124"/>
      <c r="G28" s="125"/>
      <c r="H28" s="126"/>
      <c r="I28" s="127"/>
      <c r="J28" s="127"/>
      <c r="K28" s="127"/>
      <c r="L28" s="126"/>
      <c r="M28" s="126"/>
      <c r="N28" s="136"/>
      <c r="O28" s="136"/>
      <c r="P28" s="136"/>
    </row>
    <row r="29" spans="1:16" s="117" customFormat="1" x14ac:dyDescent="0.25">
      <c r="A29" s="77" t="s">
        <v>244</v>
      </c>
      <c r="B29" s="123"/>
      <c r="C29" s="77"/>
      <c r="D29" s="124"/>
      <c r="E29" s="124"/>
      <c r="F29" s="124"/>
      <c r="G29" s="125"/>
      <c r="H29" s="126"/>
      <c r="I29" s="127"/>
      <c r="J29" s="127"/>
      <c r="K29" s="127"/>
      <c r="L29" s="126"/>
      <c r="M29" s="126"/>
      <c r="N29" s="136"/>
      <c r="O29" s="136"/>
      <c r="P29" s="136"/>
    </row>
    <row r="30" spans="1:16" s="117" customFormat="1" x14ac:dyDescent="0.25">
      <c r="A30" s="77" t="s">
        <v>245</v>
      </c>
      <c r="B30" s="123"/>
      <c r="C30" s="77"/>
      <c r="D30" s="124"/>
      <c r="E30" s="124"/>
      <c r="F30" s="124"/>
      <c r="G30" s="125"/>
      <c r="H30" s="126"/>
      <c r="I30" s="127"/>
      <c r="J30" s="127"/>
      <c r="K30" s="127"/>
      <c r="L30" s="126"/>
      <c r="M30" s="126"/>
      <c r="N30" s="136"/>
      <c r="O30" s="136"/>
      <c r="P30" s="136"/>
    </row>
  </sheetData>
  <mergeCells count="2">
    <mergeCell ref="A5:P5"/>
    <mergeCell ref="A4:P4"/>
  </mergeCells>
  <phoneticPr fontId="3" type="noConversion"/>
  <conditionalFormatting sqref="A10:A25 M10:M25">
    <cfRule type="expression" dxfId="77" priority="235" stopIfTrue="1">
      <formula>#REF!&gt;0</formula>
    </cfRule>
  </conditionalFormatting>
  <conditionalFormatting sqref="B10:J25">
    <cfRule type="expression" dxfId="76" priority="237" stopIfTrue="1">
      <formula>LEFT(#REF!,3)="TIR"</formula>
    </cfRule>
  </conditionalFormatting>
  <conditionalFormatting sqref="O10:P25">
    <cfRule type="expression" dxfId="75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</row>
    <row r="5" spans="1:15" s="7" customFormat="1" x14ac:dyDescent="0.25">
      <c r="A5" s="224" t="s">
        <v>12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6"/>
    </row>
    <row r="6" spans="1:15" s="7" customFormat="1" ht="31.5" customHeight="1" x14ac:dyDescent="0.25">
      <c r="A6" s="85" t="s">
        <v>157</v>
      </c>
      <c r="B6" s="204" t="s">
        <v>69</v>
      </c>
      <c r="C6" s="204" t="s">
        <v>70</v>
      </c>
      <c r="D6" s="204" t="s">
        <v>5</v>
      </c>
      <c r="E6" s="204" t="s">
        <v>13</v>
      </c>
      <c r="F6" s="204" t="s">
        <v>14</v>
      </c>
      <c r="G6" s="204" t="s">
        <v>6</v>
      </c>
      <c r="H6" s="205" t="s">
        <v>66</v>
      </c>
      <c r="I6" s="205" t="s">
        <v>71</v>
      </c>
      <c r="J6" s="205" t="s">
        <v>67</v>
      </c>
      <c r="K6" s="205" t="s">
        <v>68</v>
      </c>
      <c r="L6" s="205" t="s">
        <v>29</v>
      </c>
      <c r="M6" s="88" t="s">
        <v>17</v>
      </c>
      <c r="N6" s="88" t="s">
        <v>75</v>
      </c>
      <c r="O6" s="89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7" customFormat="1" ht="12.75" customHeight="1" thickBot="1" x14ac:dyDescent="0.3">
      <c r="A9" s="71" t="s">
        <v>52</v>
      </c>
      <c r="B9" s="118" t="s">
        <v>249</v>
      </c>
      <c r="C9" s="118"/>
      <c r="D9" s="118"/>
      <c r="E9" s="118" t="s">
        <v>249</v>
      </c>
      <c r="F9" s="118" t="s">
        <v>249</v>
      </c>
      <c r="G9" s="118" t="s">
        <v>249</v>
      </c>
      <c r="H9" s="118" t="s">
        <v>249</v>
      </c>
      <c r="I9" s="118" t="s">
        <v>249</v>
      </c>
      <c r="J9" s="154" t="s">
        <v>249</v>
      </c>
      <c r="K9" s="118" t="s">
        <v>249</v>
      </c>
      <c r="L9" s="79">
        <v>6.9999999999999997E-7</v>
      </c>
      <c r="M9" s="118" t="s">
        <v>249</v>
      </c>
      <c r="N9" s="104">
        <v>1</v>
      </c>
      <c r="O9" s="58">
        <v>0</v>
      </c>
    </row>
    <row r="10" spans="1:15" s="117" customFormat="1" x14ac:dyDescent="0.25">
      <c r="A10" s="90" t="s">
        <v>137</v>
      </c>
      <c r="B10" s="119" t="s">
        <v>249</v>
      </c>
      <c r="C10" s="141" t="s">
        <v>249</v>
      </c>
      <c r="D10" s="141" t="s">
        <v>249</v>
      </c>
      <c r="E10" s="141" t="s">
        <v>249</v>
      </c>
      <c r="F10" s="141" t="s">
        <v>249</v>
      </c>
      <c r="G10" s="141" t="s">
        <v>249</v>
      </c>
      <c r="H10" s="155" t="s">
        <v>249</v>
      </c>
      <c r="I10" s="155" t="s">
        <v>249</v>
      </c>
      <c r="J10" s="140" t="s">
        <v>249</v>
      </c>
      <c r="K10" s="141" t="s">
        <v>249</v>
      </c>
      <c r="L10" s="121">
        <v>0</v>
      </c>
      <c r="M10" s="155" t="s">
        <v>249</v>
      </c>
      <c r="N10" s="119">
        <v>0</v>
      </c>
      <c r="O10" s="119">
        <v>0</v>
      </c>
    </row>
    <row r="11" spans="1:15" s="117" customFormat="1" x14ac:dyDescent="0.25">
      <c r="A11" s="91" t="s">
        <v>1231</v>
      </c>
      <c r="B11" s="119" t="s">
        <v>249</v>
      </c>
      <c r="C11" s="143" t="s">
        <v>249</v>
      </c>
      <c r="D11" s="143" t="s">
        <v>249</v>
      </c>
      <c r="E11" s="143" t="s">
        <v>249</v>
      </c>
      <c r="F11" s="143" t="s">
        <v>249</v>
      </c>
      <c r="G11" s="143" t="s">
        <v>249</v>
      </c>
      <c r="H11" s="156" t="s">
        <v>249</v>
      </c>
      <c r="I11" s="156" t="s">
        <v>249</v>
      </c>
      <c r="J11" s="142" t="s">
        <v>249</v>
      </c>
      <c r="K11" s="143" t="s">
        <v>249</v>
      </c>
      <c r="L11" s="122">
        <v>0</v>
      </c>
      <c r="M11" s="156"/>
      <c r="N11" s="135">
        <v>0</v>
      </c>
      <c r="O11" s="135">
        <v>0</v>
      </c>
    </row>
    <row r="12" spans="1:15" s="117" customFormat="1" x14ac:dyDescent="0.25">
      <c r="A12" s="91" t="s">
        <v>1232</v>
      </c>
      <c r="B12" s="119" t="s">
        <v>249</v>
      </c>
      <c r="C12" s="143" t="s">
        <v>249</v>
      </c>
      <c r="D12" s="143" t="s">
        <v>249</v>
      </c>
      <c r="E12" s="143" t="s">
        <v>249</v>
      </c>
      <c r="F12" s="143" t="s">
        <v>249</v>
      </c>
      <c r="G12" s="143" t="s">
        <v>249</v>
      </c>
      <c r="H12" s="156" t="s">
        <v>249</v>
      </c>
      <c r="I12" s="156" t="s">
        <v>249</v>
      </c>
      <c r="J12" s="142" t="s">
        <v>249</v>
      </c>
      <c r="K12" s="143" t="s">
        <v>249</v>
      </c>
      <c r="L12" s="122">
        <v>0</v>
      </c>
      <c r="M12" s="156"/>
      <c r="N12" s="135">
        <v>0</v>
      </c>
      <c r="O12" s="135">
        <v>0</v>
      </c>
    </row>
    <row r="13" spans="1:15" s="117" customFormat="1" x14ac:dyDescent="0.25">
      <c r="A13" s="91" t="s">
        <v>1233</v>
      </c>
      <c r="B13" s="119" t="s">
        <v>249</v>
      </c>
      <c r="C13" s="143" t="s">
        <v>249</v>
      </c>
      <c r="D13" s="143" t="s">
        <v>249</v>
      </c>
      <c r="E13" s="143" t="s">
        <v>249</v>
      </c>
      <c r="F13" s="143" t="s">
        <v>249</v>
      </c>
      <c r="G13" s="143" t="s">
        <v>249</v>
      </c>
      <c r="H13" s="156" t="s">
        <v>249</v>
      </c>
      <c r="I13" s="156" t="s">
        <v>249</v>
      </c>
      <c r="J13" s="142" t="s">
        <v>249</v>
      </c>
      <c r="K13" s="143" t="s">
        <v>249</v>
      </c>
      <c r="L13" s="122">
        <v>0</v>
      </c>
      <c r="M13" s="156"/>
      <c r="N13" s="135">
        <v>0</v>
      </c>
      <c r="O13" s="135">
        <v>0</v>
      </c>
    </row>
    <row r="14" spans="1:15" s="117" customFormat="1" x14ac:dyDescent="0.25">
      <c r="A14" s="91" t="s">
        <v>1234</v>
      </c>
      <c r="B14" s="119" t="s">
        <v>249</v>
      </c>
      <c r="C14" s="143" t="s">
        <v>249</v>
      </c>
      <c r="D14" s="143" t="s">
        <v>249</v>
      </c>
      <c r="E14" s="143" t="s">
        <v>249</v>
      </c>
      <c r="F14" s="143" t="s">
        <v>249</v>
      </c>
      <c r="G14" s="143" t="s">
        <v>249</v>
      </c>
      <c r="H14" s="156" t="s">
        <v>249</v>
      </c>
      <c r="I14" s="156" t="s">
        <v>249</v>
      </c>
      <c r="J14" s="142" t="s">
        <v>249</v>
      </c>
      <c r="K14" s="143" t="s">
        <v>249</v>
      </c>
      <c r="L14" s="122">
        <v>0</v>
      </c>
      <c r="M14" s="156"/>
      <c r="N14" s="135">
        <v>0</v>
      </c>
      <c r="O14" s="135">
        <v>0</v>
      </c>
    </row>
    <row r="15" spans="1:15" s="117" customFormat="1" x14ac:dyDescent="0.25">
      <c r="A15" s="91" t="s">
        <v>218</v>
      </c>
      <c r="B15" s="119" t="s">
        <v>249</v>
      </c>
      <c r="C15" s="143" t="s">
        <v>249</v>
      </c>
      <c r="D15" s="143" t="s">
        <v>249</v>
      </c>
      <c r="E15" s="143" t="s">
        <v>249</v>
      </c>
      <c r="F15" s="143" t="s">
        <v>249</v>
      </c>
      <c r="G15" s="143" t="s">
        <v>249</v>
      </c>
      <c r="H15" s="156" t="s">
        <v>249</v>
      </c>
      <c r="I15" s="156" t="s">
        <v>249</v>
      </c>
      <c r="J15" s="142" t="s">
        <v>249</v>
      </c>
      <c r="K15" s="143" t="s">
        <v>249</v>
      </c>
      <c r="L15" s="122">
        <v>0</v>
      </c>
      <c r="M15" s="156"/>
      <c r="N15" s="135">
        <v>0</v>
      </c>
      <c r="O15" s="135">
        <v>0</v>
      </c>
    </row>
    <row r="16" spans="1:15" s="117" customFormat="1" x14ac:dyDescent="0.25">
      <c r="A16" s="91" t="s">
        <v>439</v>
      </c>
      <c r="B16" s="119" t="s">
        <v>249</v>
      </c>
      <c r="C16" s="143" t="s">
        <v>249</v>
      </c>
      <c r="D16" s="143" t="s">
        <v>249</v>
      </c>
      <c r="E16" s="143" t="s">
        <v>249</v>
      </c>
      <c r="F16" s="143" t="s">
        <v>249</v>
      </c>
      <c r="G16" s="143" t="s">
        <v>249</v>
      </c>
      <c r="H16" s="156" t="s">
        <v>249</v>
      </c>
      <c r="I16" s="156" t="s">
        <v>249</v>
      </c>
      <c r="J16" s="142" t="s">
        <v>249</v>
      </c>
      <c r="K16" s="143" t="s">
        <v>249</v>
      </c>
      <c r="L16" s="122">
        <v>0</v>
      </c>
      <c r="M16" s="156"/>
      <c r="N16" s="135">
        <v>0</v>
      </c>
      <c r="O16" s="135">
        <v>0</v>
      </c>
    </row>
    <row r="17" spans="1:15" s="117" customFormat="1" x14ac:dyDescent="0.25">
      <c r="A17" s="91" t="s">
        <v>1235</v>
      </c>
      <c r="B17" s="119" t="s">
        <v>249</v>
      </c>
      <c r="C17" s="143" t="s">
        <v>249</v>
      </c>
      <c r="D17" s="143" t="s">
        <v>249</v>
      </c>
      <c r="E17" s="143" t="s">
        <v>249</v>
      </c>
      <c r="F17" s="143" t="s">
        <v>249</v>
      </c>
      <c r="G17" s="143" t="s">
        <v>249</v>
      </c>
      <c r="H17" s="156" t="s">
        <v>249</v>
      </c>
      <c r="I17" s="156" t="s">
        <v>249</v>
      </c>
      <c r="J17" s="142" t="s">
        <v>249</v>
      </c>
      <c r="K17" s="143" t="s">
        <v>249</v>
      </c>
      <c r="L17" s="122">
        <v>0</v>
      </c>
      <c r="M17" s="156"/>
      <c r="N17" s="135">
        <v>0</v>
      </c>
      <c r="O17" s="135">
        <v>0</v>
      </c>
    </row>
    <row r="18" spans="1:15" s="117" customFormat="1" x14ac:dyDescent="0.25">
      <c r="A18" s="91" t="s">
        <v>1236</v>
      </c>
      <c r="B18" s="119" t="s">
        <v>249</v>
      </c>
      <c r="C18" s="143" t="s">
        <v>249</v>
      </c>
      <c r="D18" s="143" t="s">
        <v>249</v>
      </c>
      <c r="E18" s="143" t="s">
        <v>249</v>
      </c>
      <c r="F18" s="143" t="s">
        <v>249</v>
      </c>
      <c r="G18" s="143" t="s">
        <v>249</v>
      </c>
      <c r="H18" s="156" t="s">
        <v>249</v>
      </c>
      <c r="I18" s="156" t="s">
        <v>249</v>
      </c>
      <c r="J18" s="142" t="s">
        <v>249</v>
      </c>
      <c r="K18" s="143" t="s">
        <v>249</v>
      </c>
      <c r="L18" s="122">
        <v>0</v>
      </c>
      <c r="M18" s="156"/>
      <c r="N18" s="135">
        <v>0</v>
      </c>
      <c r="O18" s="135">
        <v>0</v>
      </c>
    </row>
    <row r="19" spans="1:15" s="117" customFormat="1" x14ac:dyDescent="0.25">
      <c r="A19" s="77" t="s">
        <v>241</v>
      </c>
      <c r="B19" s="123"/>
      <c r="C19" s="77"/>
      <c r="D19" s="144"/>
      <c r="E19" s="144"/>
      <c r="F19" s="144"/>
      <c r="G19" s="145"/>
      <c r="H19" s="128"/>
      <c r="I19" s="146"/>
      <c r="J19" s="146"/>
      <c r="K19" s="146"/>
      <c r="L19" s="128"/>
      <c r="M19" s="128"/>
      <c r="N19" s="128"/>
    </row>
    <row r="20" spans="1:15" s="117" customFormat="1" x14ac:dyDescent="0.25">
      <c r="A20" s="77" t="s">
        <v>242</v>
      </c>
      <c r="B20" s="123"/>
      <c r="C20" s="77"/>
      <c r="D20" s="144"/>
      <c r="E20" s="144"/>
      <c r="F20" s="144"/>
      <c r="G20" s="145"/>
      <c r="H20" s="128"/>
      <c r="I20" s="146"/>
      <c r="J20" s="146"/>
      <c r="K20" s="146"/>
      <c r="L20" s="128"/>
      <c r="M20" s="128"/>
      <c r="N20" s="128"/>
    </row>
    <row r="21" spans="1:15" s="117" customFormat="1" x14ac:dyDescent="0.25">
      <c r="A21" s="77" t="s">
        <v>243</v>
      </c>
      <c r="B21" s="123"/>
      <c r="C21" s="77"/>
      <c r="D21" s="144"/>
      <c r="E21" s="144"/>
      <c r="F21" s="144"/>
      <c r="G21" s="145"/>
      <c r="H21" s="128"/>
      <c r="I21" s="146"/>
      <c r="J21" s="146"/>
      <c r="K21" s="146"/>
      <c r="L21" s="128"/>
      <c r="M21" s="128"/>
      <c r="N21" s="128"/>
    </row>
    <row r="22" spans="1:15" s="117" customFormat="1" x14ac:dyDescent="0.25">
      <c r="A22" s="77" t="s">
        <v>244</v>
      </c>
      <c r="B22" s="123"/>
      <c r="C22" s="77"/>
      <c r="D22" s="144"/>
      <c r="E22" s="144"/>
      <c r="F22" s="144"/>
      <c r="G22" s="145"/>
      <c r="H22" s="128"/>
      <c r="I22" s="146"/>
      <c r="J22" s="146"/>
      <c r="K22" s="146"/>
      <c r="L22" s="128"/>
      <c r="M22" s="128"/>
      <c r="N22" s="128"/>
    </row>
    <row r="23" spans="1:15" s="117" customFormat="1" x14ac:dyDescent="0.25">
      <c r="A23" s="77" t="s">
        <v>245</v>
      </c>
      <c r="B23" s="123"/>
      <c r="C23" s="77"/>
      <c r="D23" s="144"/>
      <c r="E23" s="144"/>
      <c r="F23" s="144"/>
      <c r="G23" s="145"/>
      <c r="H23" s="128"/>
      <c r="I23" s="146"/>
      <c r="J23" s="146"/>
      <c r="K23" s="146"/>
      <c r="L23" s="128"/>
      <c r="M23" s="128"/>
      <c r="N23" s="128"/>
    </row>
  </sheetData>
  <mergeCells count="2">
    <mergeCell ref="A5:O5"/>
    <mergeCell ref="A4:O4"/>
  </mergeCells>
  <phoneticPr fontId="3" type="noConversion"/>
  <conditionalFormatting sqref="A10:A18 L10:L18">
    <cfRule type="expression" dxfId="74" priority="258" stopIfTrue="1">
      <formula>#REF!&gt;0</formula>
    </cfRule>
    <cfRule type="expression" dxfId="73" priority="259" stopIfTrue="1">
      <formula>LEFT(#REF!,3)="TIR"</formula>
    </cfRule>
  </conditionalFormatting>
  <conditionalFormatting sqref="H1:H3 F10:F18 H10:K18 M10:N18 H19:H55553">
    <cfRule type="expression" dxfId="72" priority="249" stopIfTrue="1">
      <formula>LEFT(#REF!,3)="TIR"</formula>
    </cfRule>
  </conditionalFormatting>
  <conditionalFormatting sqref="H6">
    <cfRule type="expression" dxfId="71" priority="254" stopIfTrue="1">
      <formula>LEFT(#REF!,3)="TIR"</formula>
    </cfRule>
  </conditionalFormatting>
  <conditionalFormatting sqref="N10:O18 B10:E18 G10:G18">
    <cfRule type="expression" dxfId="70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1" t="s">
        <v>28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3"/>
    </row>
    <row r="5" spans="1:18" s="7" customFormat="1" x14ac:dyDescent="0.25">
      <c r="A5" s="224" t="s">
        <v>18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6"/>
    </row>
    <row r="6" spans="1:18" s="7" customFormat="1" ht="30" customHeight="1" x14ac:dyDescent="0.25">
      <c r="A6" s="85" t="s">
        <v>157</v>
      </c>
      <c r="B6" s="204" t="s">
        <v>69</v>
      </c>
      <c r="C6" s="204" t="s">
        <v>79</v>
      </c>
      <c r="D6" s="204" t="s">
        <v>74</v>
      </c>
      <c r="E6" s="204" t="s">
        <v>19</v>
      </c>
      <c r="F6" s="204" t="s">
        <v>70</v>
      </c>
      <c r="G6" s="204" t="s">
        <v>5</v>
      </c>
      <c r="H6" s="204" t="s">
        <v>13</v>
      </c>
      <c r="I6" s="204" t="s">
        <v>14</v>
      </c>
      <c r="J6" s="204" t="s">
        <v>6</v>
      </c>
      <c r="K6" s="205" t="s">
        <v>66</v>
      </c>
      <c r="L6" s="205" t="s">
        <v>71</v>
      </c>
      <c r="M6" s="205" t="s">
        <v>67</v>
      </c>
      <c r="N6" s="205" t="s">
        <v>68</v>
      </c>
      <c r="O6" s="205" t="s">
        <v>29</v>
      </c>
      <c r="P6" s="88" t="s">
        <v>17</v>
      </c>
      <c r="Q6" s="88" t="s">
        <v>75</v>
      </c>
      <c r="R6" s="89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7" customFormat="1" ht="12.75" customHeight="1" thickBot="1" x14ac:dyDescent="0.3">
      <c r="A9" s="98" t="s">
        <v>61</v>
      </c>
      <c r="B9" s="66" t="s">
        <v>249</v>
      </c>
      <c r="C9" s="66" t="s">
        <v>249</v>
      </c>
      <c r="D9" s="66" t="s">
        <v>249</v>
      </c>
      <c r="E9" s="66" t="s">
        <v>249</v>
      </c>
      <c r="F9" s="99"/>
      <c r="G9" s="137" t="s">
        <v>249</v>
      </c>
      <c r="H9" s="137" t="s">
        <v>249</v>
      </c>
      <c r="I9" s="137" t="s">
        <v>249</v>
      </c>
      <c r="J9" s="137" t="s">
        <v>249</v>
      </c>
      <c r="K9" s="138" t="s">
        <v>249</v>
      </c>
      <c r="L9" s="138" t="s">
        <v>249</v>
      </c>
      <c r="M9" s="100" t="s">
        <v>249</v>
      </c>
      <c r="N9" s="137" t="s">
        <v>249</v>
      </c>
      <c r="O9" s="101">
        <v>6.0000000000000008E-7</v>
      </c>
      <c r="P9" s="118" t="s">
        <v>249</v>
      </c>
      <c r="Q9" s="104">
        <v>1</v>
      </c>
      <c r="R9" s="58">
        <v>0</v>
      </c>
    </row>
    <row r="10" spans="1:18" s="117" customFormat="1" x14ac:dyDescent="0.25">
      <c r="A10" s="90" t="s">
        <v>137</v>
      </c>
      <c r="B10" s="119" t="s">
        <v>249</v>
      </c>
      <c r="C10" s="119" t="s">
        <v>249</v>
      </c>
      <c r="D10" s="119" t="s">
        <v>249</v>
      </c>
      <c r="E10" s="119" t="s">
        <v>249</v>
      </c>
      <c r="F10" s="120" t="s">
        <v>249</v>
      </c>
      <c r="G10" s="141" t="s">
        <v>249</v>
      </c>
      <c r="H10" s="141" t="s">
        <v>249</v>
      </c>
      <c r="I10" s="141" t="s">
        <v>249</v>
      </c>
      <c r="J10" s="141" t="s">
        <v>249</v>
      </c>
      <c r="K10" s="155" t="s">
        <v>249</v>
      </c>
      <c r="L10" s="155" t="s">
        <v>249</v>
      </c>
      <c r="M10" s="131" t="s">
        <v>249</v>
      </c>
      <c r="N10" s="141" t="s">
        <v>249</v>
      </c>
      <c r="O10" s="121">
        <v>0</v>
      </c>
      <c r="P10" s="155" t="s">
        <v>249</v>
      </c>
      <c r="Q10" s="119">
        <v>0</v>
      </c>
      <c r="R10" s="119">
        <v>0</v>
      </c>
    </row>
    <row r="11" spans="1:18" s="117" customFormat="1" x14ac:dyDescent="0.25">
      <c r="A11" s="91" t="s">
        <v>1237</v>
      </c>
      <c r="B11" s="119" t="s">
        <v>249</v>
      </c>
      <c r="C11" s="135" t="s">
        <v>249</v>
      </c>
      <c r="D11" s="135" t="s">
        <v>249</v>
      </c>
      <c r="E11" s="135" t="s">
        <v>249</v>
      </c>
      <c r="F11" s="134" t="s">
        <v>249</v>
      </c>
      <c r="G11" s="143" t="s">
        <v>249</v>
      </c>
      <c r="H11" s="143" t="s">
        <v>249</v>
      </c>
      <c r="I11" s="143" t="s">
        <v>249</v>
      </c>
      <c r="J11" s="143" t="s">
        <v>249</v>
      </c>
      <c r="K11" s="156" t="s">
        <v>249</v>
      </c>
      <c r="L11" s="156" t="s">
        <v>249</v>
      </c>
      <c r="M11" s="133" t="s">
        <v>249</v>
      </c>
      <c r="N11" s="143" t="s">
        <v>249</v>
      </c>
      <c r="O11" s="122">
        <v>0</v>
      </c>
      <c r="P11" s="156"/>
      <c r="Q11" s="135">
        <v>0</v>
      </c>
      <c r="R11" s="135">
        <v>0</v>
      </c>
    </row>
    <row r="12" spans="1:18" s="117" customFormat="1" x14ac:dyDescent="0.25">
      <c r="A12" s="91" t="s">
        <v>1238</v>
      </c>
      <c r="B12" s="119" t="s">
        <v>249</v>
      </c>
      <c r="C12" s="135" t="s">
        <v>249</v>
      </c>
      <c r="D12" s="135" t="s">
        <v>249</v>
      </c>
      <c r="E12" s="135" t="s">
        <v>249</v>
      </c>
      <c r="F12" s="134" t="s">
        <v>249</v>
      </c>
      <c r="G12" s="143" t="s">
        <v>249</v>
      </c>
      <c r="H12" s="143" t="s">
        <v>249</v>
      </c>
      <c r="I12" s="143" t="s">
        <v>249</v>
      </c>
      <c r="J12" s="143" t="s">
        <v>249</v>
      </c>
      <c r="K12" s="156" t="s">
        <v>249</v>
      </c>
      <c r="L12" s="156" t="s">
        <v>249</v>
      </c>
      <c r="M12" s="133" t="s">
        <v>249</v>
      </c>
      <c r="N12" s="143" t="s">
        <v>249</v>
      </c>
      <c r="O12" s="122">
        <v>0</v>
      </c>
      <c r="P12" s="156"/>
      <c r="Q12" s="135">
        <v>0</v>
      </c>
      <c r="R12" s="135">
        <v>0</v>
      </c>
    </row>
    <row r="13" spans="1:18" s="117" customFormat="1" x14ac:dyDescent="0.25">
      <c r="A13" s="91" t="s">
        <v>454</v>
      </c>
      <c r="B13" s="119" t="s">
        <v>249</v>
      </c>
      <c r="C13" s="135" t="s">
        <v>249</v>
      </c>
      <c r="D13" s="135" t="s">
        <v>249</v>
      </c>
      <c r="E13" s="135" t="s">
        <v>249</v>
      </c>
      <c r="F13" s="134" t="s">
        <v>249</v>
      </c>
      <c r="G13" s="143" t="s">
        <v>249</v>
      </c>
      <c r="H13" s="143" t="s">
        <v>249</v>
      </c>
      <c r="I13" s="143" t="s">
        <v>249</v>
      </c>
      <c r="J13" s="143" t="s">
        <v>249</v>
      </c>
      <c r="K13" s="156" t="s">
        <v>249</v>
      </c>
      <c r="L13" s="156" t="s">
        <v>249</v>
      </c>
      <c r="M13" s="133" t="s">
        <v>249</v>
      </c>
      <c r="N13" s="134" t="s">
        <v>249</v>
      </c>
      <c r="O13" s="122">
        <v>0</v>
      </c>
      <c r="P13" s="156"/>
      <c r="Q13" s="135">
        <v>0</v>
      </c>
      <c r="R13" s="135">
        <v>0</v>
      </c>
    </row>
    <row r="14" spans="1:18" s="117" customFormat="1" x14ac:dyDescent="0.25">
      <c r="A14" s="91" t="s">
        <v>141</v>
      </c>
      <c r="B14" s="119" t="s">
        <v>249</v>
      </c>
      <c r="C14" s="135" t="s">
        <v>249</v>
      </c>
      <c r="D14" s="135" t="s">
        <v>249</v>
      </c>
      <c r="E14" s="135" t="s">
        <v>249</v>
      </c>
      <c r="F14" s="134" t="s">
        <v>249</v>
      </c>
      <c r="G14" s="143" t="s">
        <v>249</v>
      </c>
      <c r="H14" s="143" t="s">
        <v>249</v>
      </c>
      <c r="I14" s="143" t="s">
        <v>249</v>
      </c>
      <c r="J14" s="143" t="s">
        <v>249</v>
      </c>
      <c r="K14" s="156" t="s">
        <v>249</v>
      </c>
      <c r="L14" s="156" t="s">
        <v>249</v>
      </c>
      <c r="M14" s="133" t="s">
        <v>249</v>
      </c>
      <c r="N14" s="143" t="s">
        <v>249</v>
      </c>
      <c r="O14" s="122">
        <v>0</v>
      </c>
      <c r="P14" s="156"/>
      <c r="Q14" s="135">
        <v>0</v>
      </c>
      <c r="R14" s="135">
        <v>0</v>
      </c>
    </row>
    <row r="15" spans="1:18" s="117" customFormat="1" x14ac:dyDescent="0.25">
      <c r="A15" s="91" t="s">
        <v>439</v>
      </c>
      <c r="B15" s="119" t="s">
        <v>249</v>
      </c>
      <c r="C15" s="135" t="s">
        <v>249</v>
      </c>
      <c r="D15" s="135" t="s">
        <v>249</v>
      </c>
      <c r="E15" s="135" t="s">
        <v>249</v>
      </c>
      <c r="F15" s="134" t="s">
        <v>249</v>
      </c>
      <c r="G15" s="143" t="s">
        <v>249</v>
      </c>
      <c r="H15" s="143" t="s">
        <v>249</v>
      </c>
      <c r="I15" s="143" t="s">
        <v>249</v>
      </c>
      <c r="J15" s="143" t="s">
        <v>249</v>
      </c>
      <c r="K15" s="156" t="s">
        <v>249</v>
      </c>
      <c r="L15" s="156" t="s">
        <v>249</v>
      </c>
      <c r="M15" s="133" t="s">
        <v>249</v>
      </c>
      <c r="N15" s="143" t="s">
        <v>249</v>
      </c>
      <c r="O15" s="122">
        <v>0</v>
      </c>
      <c r="P15" s="156"/>
      <c r="Q15" s="135">
        <v>0</v>
      </c>
      <c r="R15" s="135">
        <v>0</v>
      </c>
    </row>
    <row r="16" spans="1:18" s="117" customFormat="1" x14ac:dyDescent="0.25">
      <c r="A16" s="91" t="s">
        <v>1239</v>
      </c>
      <c r="B16" s="119" t="s">
        <v>249</v>
      </c>
      <c r="C16" s="135" t="s">
        <v>249</v>
      </c>
      <c r="D16" s="135" t="s">
        <v>249</v>
      </c>
      <c r="E16" s="135" t="s">
        <v>249</v>
      </c>
      <c r="F16" s="134" t="s">
        <v>249</v>
      </c>
      <c r="G16" s="143" t="s">
        <v>249</v>
      </c>
      <c r="H16" s="143" t="s">
        <v>249</v>
      </c>
      <c r="I16" s="143" t="s">
        <v>249</v>
      </c>
      <c r="J16" s="143" t="s">
        <v>249</v>
      </c>
      <c r="K16" s="156" t="s">
        <v>249</v>
      </c>
      <c r="L16" s="156" t="s">
        <v>249</v>
      </c>
      <c r="M16" s="133" t="s">
        <v>249</v>
      </c>
      <c r="N16" s="143" t="s">
        <v>249</v>
      </c>
      <c r="O16" s="122">
        <v>0</v>
      </c>
      <c r="P16" s="156"/>
      <c r="Q16" s="135">
        <v>0</v>
      </c>
      <c r="R16" s="135">
        <v>0</v>
      </c>
    </row>
    <row r="17" spans="1:18" s="117" customFormat="1" x14ac:dyDescent="0.25">
      <c r="A17" s="91" t="s">
        <v>1240</v>
      </c>
      <c r="B17" s="119" t="s">
        <v>249</v>
      </c>
      <c r="C17" s="135" t="s">
        <v>249</v>
      </c>
      <c r="D17" s="135" t="s">
        <v>249</v>
      </c>
      <c r="E17" s="135" t="s">
        <v>249</v>
      </c>
      <c r="F17" s="134" t="s">
        <v>249</v>
      </c>
      <c r="G17" s="143" t="s">
        <v>249</v>
      </c>
      <c r="H17" s="143" t="s">
        <v>249</v>
      </c>
      <c r="I17" s="143" t="s">
        <v>249</v>
      </c>
      <c r="J17" s="143" t="s">
        <v>249</v>
      </c>
      <c r="K17" s="156" t="s">
        <v>249</v>
      </c>
      <c r="L17" s="156" t="s">
        <v>249</v>
      </c>
      <c r="M17" s="133" t="s">
        <v>249</v>
      </c>
      <c r="N17" s="143" t="s">
        <v>249</v>
      </c>
      <c r="O17" s="122">
        <v>0</v>
      </c>
      <c r="P17" s="156"/>
      <c r="Q17" s="135">
        <v>0</v>
      </c>
      <c r="R17" s="135">
        <v>0</v>
      </c>
    </row>
    <row r="18" spans="1:18" s="117" customFormat="1" x14ac:dyDescent="0.25">
      <c r="A18" s="77" t="s">
        <v>241</v>
      </c>
      <c r="B18" s="123"/>
      <c r="C18" s="123"/>
      <c r="D18" s="123"/>
      <c r="E18" s="77"/>
      <c r="F18" s="144"/>
      <c r="G18" s="144"/>
      <c r="H18" s="144"/>
      <c r="I18" s="145"/>
      <c r="J18" s="128"/>
      <c r="K18" s="146"/>
      <c r="L18" s="146"/>
      <c r="M18" s="146"/>
      <c r="N18" s="128"/>
      <c r="O18" s="128"/>
    </row>
    <row r="19" spans="1:18" s="117" customFormat="1" x14ac:dyDescent="0.25">
      <c r="A19" s="77" t="s">
        <v>242</v>
      </c>
      <c r="B19" s="123"/>
      <c r="C19" s="123"/>
      <c r="D19" s="123"/>
      <c r="E19" s="77"/>
      <c r="F19" s="144"/>
      <c r="G19" s="144"/>
      <c r="H19" s="144"/>
      <c r="I19" s="145"/>
      <c r="J19" s="128"/>
      <c r="K19" s="146"/>
      <c r="L19" s="146"/>
      <c r="M19" s="146"/>
      <c r="N19" s="128"/>
      <c r="O19" s="128"/>
    </row>
    <row r="20" spans="1:18" s="117" customFormat="1" x14ac:dyDescent="0.25">
      <c r="A20" s="77" t="s">
        <v>243</v>
      </c>
      <c r="B20" s="123"/>
      <c r="C20" s="123"/>
      <c r="D20" s="123"/>
      <c r="E20" s="77"/>
      <c r="F20" s="144"/>
      <c r="G20" s="144"/>
      <c r="H20" s="144"/>
      <c r="I20" s="145"/>
      <c r="J20" s="128"/>
      <c r="K20" s="146"/>
      <c r="L20" s="146"/>
      <c r="M20" s="146"/>
      <c r="N20" s="128"/>
      <c r="O20" s="128"/>
    </row>
    <row r="21" spans="1:18" s="117" customFormat="1" x14ac:dyDescent="0.25">
      <c r="A21" s="77" t="s">
        <v>244</v>
      </c>
      <c r="B21" s="123"/>
      <c r="C21" s="123"/>
      <c r="D21" s="123"/>
      <c r="E21" s="77"/>
      <c r="F21" s="144"/>
      <c r="G21" s="144"/>
      <c r="H21" s="144"/>
      <c r="I21" s="145"/>
      <c r="J21" s="128"/>
      <c r="K21" s="146"/>
      <c r="L21" s="146"/>
      <c r="M21" s="146"/>
      <c r="N21" s="128"/>
      <c r="O21" s="128"/>
    </row>
    <row r="22" spans="1:18" s="117" customFormat="1" x14ac:dyDescent="0.25">
      <c r="A22" s="77" t="s">
        <v>245</v>
      </c>
      <c r="B22" s="123"/>
      <c r="C22" s="123"/>
      <c r="D22" s="123"/>
      <c r="E22" s="77"/>
      <c r="F22" s="144"/>
      <c r="G22" s="144"/>
      <c r="H22" s="144"/>
      <c r="I22" s="145"/>
      <c r="J22" s="128"/>
      <c r="K22" s="146"/>
      <c r="L22" s="146"/>
      <c r="M22" s="146"/>
      <c r="N22" s="128"/>
      <c r="O22" s="128"/>
    </row>
  </sheetData>
  <mergeCells count="2">
    <mergeCell ref="A5:R5"/>
    <mergeCell ref="A4:R4"/>
  </mergeCells>
  <phoneticPr fontId="3" type="noConversion"/>
  <conditionalFormatting sqref="A9:A17 O10:O17">
    <cfRule type="expression" dxfId="69" priority="281" stopIfTrue="1">
      <formula>#REF!&gt;0</formula>
    </cfRule>
    <cfRule type="expression" dxfId="68" priority="282" stopIfTrue="1">
      <formula>LEFT(#REF!,3)="TIR"</formula>
    </cfRule>
  </conditionalFormatting>
  <conditionalFormatting sqref="B9:H17 J9:J17">
    <cfRule type="expression" dxfId="67" priority="279" stopIfTrue="1">
      <formula>LEFT(#REF!,3)="TIR"</formula>
    </cfRule>
  </conditionalFormatting>
  <conditionalFormatting sqref="J1:J3 I9:I17 K9:N17 P10:Q17 J18:J55552">
    <cfRule type="expression" dxfId="66" priority="273" stopIfTrue="1">
      <formula>LEFT(#REF!,3)="TIR"</formula>
    </cfRule>
  </conditionalFormatting>
  <conditionalFormatting sqref="K6">
    <cfRule type="expression" dxfId="65" priority="278" stopIfTrue="1">
      <formula>LEFT(#REF!,3)="TIR"</formula>
    </cfRule>
  </conditionalFormatting>
  <conditionalFormatting sqref="Q10:R17">
    <cfRule type="expression" dxfId="64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39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2.44140625" style="63" bestFit="1" customWidth="1"/>
    <col min="14" max="14" width="8.88671875" style="61" bestFit="1" customWidth="1"/>
    <col min="15" max="15" width="10.44140625" style="61" customWidth="1"/>
    <col min="16" max="16" width="22" style="64" customWidth="1"/>
    <col min="17" max="17" width="25.44140625" style="64" customWidth="1"/>
    <col min="18" max="18" width="20.6640625" style="6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4"/>
      <c r="Q1" s="64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4"/>
      <c r="Q2" s="64"/>
      <c r="R2" s="43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4"/>
      <c r="Q3" s="64"/>
      <c r="R3" s="43"/>
    </row>
    <row r="4" spans="1:18" s="7" customFormat="1" ht="13.8" thickBot="1" x14ac:dyDescent="0.3">
      <c r="A4" s="231" t="s">
        <v>28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3"/>
    </row>
    <row r="5" spans="1:18" s="7" customFormat="1" x14ac:dyDescent="0.25">
      <c r="A5" s="224" t="s">
        <v>20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6"/>
    </row>
    <row r="6" spans="1:18" s="7" customFormat="1" ht="30" customHeight="1" x14ac:dyDescent="0.25">
      <c r="A6" s="85" t="s">
        <v>157</v>
      </c>
      <c r="B6" s="204" t="s">
        <v>69</v>
      </c>
      <c r="C6" s="204" t="s">
        <v>79</v>
      </c>
      <c r="D6" s="204" t="s">
        <v>74</v>
      </c>
      <c r="E6" s="204" t="s">
        <v>19</v>
      </c>
      <c r="F6" s="204" t="s">
        <v>70</v>
      </c>
      <c r="G6" s="204" t="s">
        <v>5</v>
      </c>
      <c r="H6" s="204" t="s">
        <v>13</v>
      </c>
      <c r="I6" s="204" t="s">
        <v>14</v>
      </c>
      <c r="J6" s="204" t="s">
        <v>6</v>
      </c>
      <c r="K6" s="205" t="s">
        <v>66</v>
      </c>
      <c r="L6" s="205" t="s">
        <v>71</v>
      </c>
      <c r="M6" s="205" t="s">
        <v>67</v>
      </c>
      <c r="N6" s="205" t="s">
        <v>68</v>
      </c>
      <c r="O6" s="205" t="s">
        <v>29</v>
      </c>
      <c r="P6" s="88" t="s">
        <v>17</v>
      </c>
      <c r="Q6" s="88" t="s">
        <v>75</v>
      </c>
      <c r="R6" s="89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7" customFormat="1" ht="12.75" customHeight="1" thickBot="1" x14ac:dyDescent="0.3">
      <c r="A9" s="98" t="s">
        <v>58</v>
      </c>
      <c r="B9" s="66"/>
      <c r="C9" s="66"/>
      <c r="D9" s="66"/>
      <c r="E9" s="66"/>
      <c r="F9" s="99"/>
      <c r="G9" s="99"/>
      <c r="H9" s="99"/>
      <c r="I9" s="99"/>
      <c r="J9" s="99"/>
      <c r="K9" s="66"/>
      <c r="L9" s="66"/>
      <c r="M9" s="100"/>
      <c r="N9" s="99"/>
      <c r="O9" s="103">
        <v>7055.7224405999996</v>
      </c>
      <c r="P9" s="66"/>
      <c r="Q9" s="66">
        <v>1</v>
      </c>
      <c r="R9" s="80">
        <v>3.7782097042416495E-2</v>
      </c>
    </row>
    <row r="10" spans="1:18" s="117" customFormat="1" x14ac:dyDescent="0.25">
      <c r="A10" s="90" t="s">
        <v>137</v>
      </c>
      <c r="B10" s="119" t="s">
        <v>249</v>
      </c>
      <c r="C10" s="119" t="s">
        <v>249</v>
      </c>
      <c r="D10" s="119" t="s">
        <v>249</v>
      </c>
      <c r="E10" s="119" t="s">
        <v>249</v>
      </c>
      <c r="F10" s="120" t="s">
        <v>249</v>
      </c>
      <c r="G10" s="120" t="s">
        <v>249</v>
      </c>
      <c r="H10" s="120" t="s">
        <v>249</v>
      </c>
      <c r="I10" s="131" t="s">
        <v>249</v>
      </c>
      <c r="J10" s="120" t="s">
        <v>249</v>
      </c>
      <c r="K10" s="119" t="s">
        <v>249</v>
      </c>
      <c r="L10" s="119" t="s">
        <v>249</v>
      </c>
      <c r="M10" s="131" t="s">
        <v>249</v>
      </c>
      <c r="N10" s="120" t="s">
        <v>249</v>
      </c>
      <c r="O10" s="132">
        <v>7055.7224403999999</v>
      </c>
      <c r="P10" s="119" t="s">
        <v>249</v>
      </c>
      <c r="Q10" s="119">
        <v>0.99999999997165423</v>
      </c>
      <c r="R10" s="119">
        <v>3.7782097041345532E-2</v>
      </c>
    </row>
    <row r="11" spans="1:18" s="117" customFormat="1" x14ac:dyDescent="0.25">
      <c r="A11" s="91" t="s">
        <v>1237</v>
      </c>
      <c r="B11" s="135" t="s">
        <v>249</v>
      </c>
      <c r="C11" s="135" t="s">
        <v>249</v>
      </c>
      <c r="D11" s="135" t="s">
        <v>249</v>
      </c>
      <c r="E11" s="135" t="s">
        <v>249</v>
      </c>
      <c r="F11" s="120" t="s">
        <v>249</v>
      </c>
      <c r="G11" s="134" t="s">
        <v>249</v>
      </c>
      <c r="H11" s="134" t="s">
        <v>249</v>
      </c>
      <c r="I11" s="131" t="s">
        <v>249</v>
      </c>
      <c r="J11" s="134" t="s">
        <v>249</v>
      </c>
      <c r="K11" s="135" t="s">
        <v>249</v>
      </c>
      <c r="L11" s="135" t="s">
        <v>249</v>
      </c>
      <c r="M11" s="133" t="s">
        <v>249</v>
      </c>
      <c r="N11" s="120" t="s">
        <v>249</v>
      </c>
      <c r="O11" s="122">
        <v>484.63590009999996</v>
      </c>
      <c r="P11" s="135"/>
      <c r="Q11" s="119">
        <v>6.8686928118276133E-2</v>
      </c>
      <c r="R11" s="119">
        <v>2.5951361837101947E-3</v>
      </c>
    </row>
    <row r="12" spans="1:18" x14ac:dyDescent="0.25">
      <c r="A12" s="16" t="s">
        <v>1248</v>
      </c>
      <c r="B12" s="24" t="s">
        <v>1249</v>
      </c>
      <c r="C12" s="24" t="s">
        <v>249</v>
      </c>
      <c r="D12" s="24" t="s">
        <v>1250</v>
      </c>
      <c r="E12" s="24" t="s">
        <v>204</v>
      </c>
      <c r="F12" s="65" t="s">
        <v>253</v>
      </c>
      <c r="G12" s="60" t="s">
        <v>254</v>
      </c>
      <c r="H12" s="60" t="s">
        <v>1251</v>
      </c>
      <c r="I12" s="97">
        <v>5.7257999999999996</v>
      </c>
      <c r="J12" s="60" t="s">
        <v>255</v>
      </c>
      <c r="K12" s="24">
        <v>4.9000000000000002E-2</v>
      </c>
      <c r="L12" s="24">
        <v>2.7900000000000001E-2</v>
      </c>
      <c r="M12" s="68">
        <v>11163.62053062425</v>
      </c>
      <c r="N12" s="65">
        <v>156.19</v>
      </c>
      <c r="O12" s="83">
        <v>17.43646</v>
      </c>
      <c r="P12" s="24">
        <v>6.9053251567019311E-6</v>
      </c>
      <c r="Q12" s="32">
        <v>2.4712508388463833E-3</v>
      </c>
      <c r="R12" s="32">
        <v>9.3369039009447223E-5</v>
      </c>
    </row>
    <row r="13" spans="1:18" x14ac:dyDescent="0.25">
      <c r="A13" s="16" t="s">
        <v>1256</v>
      </c>
      <c r="B13" s="24" t="s">
        <v>1257</v>
      </c>
      <c r="C13" s="24" t="s">
        <v>249</v>
      </c>
      <c r="D13" s="24" t="s">
        <v>1250</v>
      </c>
      <c r="E13" s="24" t="s">
        <v>204</v>
      </c>
      <c r="F13" s="65" t="s">
        <v>253</v>
      </c>
      <c r="G13" s="60" t="s">
        <v>254</v>
      </c>
      <c r="H13" s="60" t="s">
        <v>1258</v>
      </c>
      <c r="I13" s="97">
        <v>10.0426</v>
      </c>
      <c r="J13" s="60" t="s">
        <v>255</v>
      </c>
      <c r="K13" s="24">
        <v>4.0999999999999995E-2</v>
      </c>
      <c r="L13" s="24">
        <v>2.8399999999999998E-2</v>
      </c>
      <c r="M13" s="68">
        <v>12870.486817517929</v>
      </c>
      <c r="N13" s="65">
        <v>131.04</v>
      </c>
      <c r="O13" s="83">
        <v>16.865490000000001</v>
      </c>
      <c r="P13" s="24">
        <v>3.5443359069962862E-6</v>
      </c>
      <c r="Q13" s="32">
        <v>2.3903278710274501E-3</v>
      </c>
      <c r="R13" s="32">
        <v>9.0311599586351932E-5</v>
      </c>
    </row>
    <row r="14" spans="1:18" x14ac:dyDescent="0.25">
      <c r="A14" s="16" t="s">
        <v>1266</v>
      </c>
      <c r="B14" s="24" t="s">
        <v>1267</v>
      </c>
      <c r="C14" s="24" t="s">
        <v>249</v>
      </c>
      <c r="D14" s="24" t="s">
        <v>1268</v>
      </c>
      <c r="E14" s="24" t="s">
        <v>204</v>
      </c>
      <c r="F14" s="65" t="s">
        <v>564</v>
      </c>
      <c r="G14" s="60" t="s">
        <v>465</v>
      </c>
      <c r="H14" s="60" t="s">
        <v>1269</v>
      </c>
      <c r="I14" s="97">
        <v>4.5557999999999996</v>
      </c>
      <c r="J14" s="60" t="s">
        <v>255</v>
      </c>
      <c r="K14" s="24">
        <v>1.55E-2</v>
      </c>
      <c r="L14" s="24">
        <v>2.9600000000000001E-2</v>
      </c>
      <c r="M14" s="68">
        <v>123734.41179468276</v>
      </c>
      <c r="N14" s="65">
        <v>99.32</v>
      </c>
      <c r="O14" s="83">
        <v>122.89302000000001</v>
      </c>
      <c r="P14" s="24">
        <v>2.062240196578046E-4</v>
      </c>
      <c r="Q14" s="32">
        <v>1.7417496370442473E-2</v>
      </c>
      <c r="R14" s="32">
        <v>6.5806953810399458E-4</v>
      </c>
    </row>
    <row r="15" spans="1:18" x14ac:dyDescent="0.25">
      <c r="A15" s="16" t="s">
        <v>1270</v>
      </c>
      <c r="B15" s="24" t="s">
        <v>1271</v>
      </c>
      <c r="C15" s="24" t="s">
        <v>249</v>
      </c>
      <c r="D15" s="24" t="s">
        <v>1268</v>
      </c>
      <c r="E15" s="24" t="s">
        <v>204</v>
      </c>
      <c r="F15" s="65" t="s">
        <v>564</v>
      </c>
      <c r="G15" s="60" t="s">
        <v>465</v>
      </c>
      <c r="H15" s="60" t="s">
        <v>1269</v>
      </c>
      <c r="I15" s="97">
        <v>7.1204999999999998</v>
      </c>
      <c r="J15" s="60" t="s">
        <v>255</v>
      </c>
      <c r="K15" s="24">
        <v>1.7500000000000002E-2</v>
      </c>
      <c r="L15" s="24">
        <v>2.9500000000000002E-2</v>
      </c>
      <c r="M15" s="68">
        <v>106539.18862528876</v>
      </c>
      <c r="N15" s="65">
        <v>97.29000000000002</v>
      </c>
      <c r="O15" s="83">
        <v>103.65197000000001</v>
      </c>
      <c r="P15" s="24">
        <v>2.6634797156322191E-4</v>
      </c>
      <c r="Q15" s="32">
        <v>1.4690482919731422E-2</v>
      </c>
      <c r="R15" s="32">
        <v>5.5503725127325457E-4</v>
      </c>
    </row>
    <row r="16" spans="1:18" x14ac:dyDescent="0.25">
      <c r="A16" s="16" t="s">
        <v>1262</v>
      </c>
      <c r="B16" s="24" t="s">
        <v>1263</v>
      </c>
      <c r="C16" s="24" t="s">
        <v>249</v>
      </c>
      <c r="D16" s="24" t="s">
        <v>1264</v>
      </c>
      <c r="E16" s="24" t="s">
        <v>225</v>
      </c>
      <c r="F16" s="65" t="s">
        <v>564</v>
      </c>
      <c r="G16" s="60" t="s">
        <v>465</v>
      </c>
      <c r="H16" s="60" t="s">
        <v>1265</v>
      </c>
      <c r="I16" s="97">
        <v>7.8703000000000012</v>
      </c>
      <c r="J16" s="60" t="s">
        <v>255</v>
      </c>
      <c r="K16" s="24">
        <v>8.3000000000000001E-3</v>
      </c>
      <c r="L16" s="24">
        <v>2.7400000000000001E-2</v>
      </c>
      <c r="M16" s="68">
        <v>220698.32926230162</v>
      </c>
      <c r="N16" s="65">
        <v>96.01</v>
      </c>
      <c r="O16" s="83">
        <v>211.89246</v>
      </c>
      <c r="P16" s="24">
        <v>6.4859767026861502E-4</v>
      </c>
      <c r="Q16" s="32">
        <v>3.0031291874624992E-2</v>
      </c>
      <c r="R16" s="32">
        <v>1.1346451839162155E-3</v>
      </c>
    </row>
    <row r="17" spans="1:18" x14ac:dyDescent="0.25">
      <c r="A17" s="16" t="s">
        <v>1252</v>
      </c>
      <c r="B17" s="24" t="s">
        <v>1253</v>
      </c>
      <c r="C17" s="24" t="s">
        <v>249</v>
      </c>
      <c r="D17" s="24" t="s">
        <v>1254</v>
      </c>
      <c r="E17" s="24" t="s">
        <v>204</v>
      </c>
      <c r="F17" s="65" t="s">
        <v>464</v>
      </c>
      <c r="G17" s="60" t="s">
        <v>465</v>
      </c>
      <c r="H17" s="60" t="s">
        <v>1255</v>
      </c>
      <c r="I17" s="97">
        <v>1.6707000000000001</v>
      </c>
      <c r="J17" s="60" t="s">
        <v>255</v>
      </c>
      <c r="K17" s="24">
        <v>5.5999999999999994E-2</v>
      </c>
      <c r="L17" s="24">
        <v>2.7699999999999999E-2</v>
      </c>
      <c r="M17" s="68">
        <v>2619.2524110923459</v>
      </c>
      <c r="N17" s="65">
        <v>142.81</v>
      </c>
      <c r="O17" s="83">
        <v>3.7405500000000003</v>
      </c>
      <c r="P17" s="24">
        <v>6.0768902340032375E-6</v>
      </c>
      <c r="Q17" s="32">
        <v>5.3014415341456011E-4</v>
      </c>
      <c r="R17" s="32">
        <v>2.0029957850778644E-5</v>
      </c>
    </row>
    <row r="18" spans="1:18" x14ac:dyDescent="0.25">
      <c r="A18" s="16" t="s">
        <v>1259</v>
      </c>
      <c r="B18" s="24" t="s">
        <v>1260</v>
      </c>
      <c r="C18" s="24" t="s">
        <v>249</v>
      </c>
      <c r="D18" s="24" t="s">
        <v>1254</v>
      </c>
      <c r="E18" s="24" t="s">
        <v>204</v>
      </c>
      <c r="F18" s="65" t="s">
        <v>464</v>
      </c>
      <c r="G18" s="60" t="s">
        <v>465</v>
      </c>
      <c r="H18" s="60" t="s">
        <v>1261</v>
      </c>
      <c r="I18" s="97">
        <v>4.4307999999999996</v>
      </c>
      <c r="J18" s="60" t="s">
        <v>255</v>
      </c>
      <c r="K18" s="24">
        <v>4.9299999999999997E-2</v>
      </c>
      <c r="L18" s="24">
        <v>2.53E-2</v>
      </c>
      <c r="M18" s="68">
        <v>3621.6695011080137</v>
      </c>
      <c r="N18" s="65">
        <v>128.32</v>
      </c>
      <c r="O18" s="83">
        <v>4.6473300000000002</v>
      </c>
      <c r="P18" s="24">
        <v>5.252554619309517E-6</v>
      </c>
      <c r="Q18" s="32">
        <v>6.5866111360310311E-4</v>
      </c>
      <c r="R18" s="32">
        <v>2.4885598112218556E-5</v>
      </c>
    </row>
    <row r="19" spans="1:18" x14ac:dyDescent="0.25">
      <c r="A19" s="16" t="s">
        <v>1244</v>
      </c>
      <c r="B19" s="24" t="s">
        <v>1245</v>
      </c>
      <c r="C19" s="24" t="s">
        <v>249</v>
      </c>
      <c r="D19" s="24" t="s">
        <v>1246</v>
      </c>
      <c r="E19" s="24" t="s">
        <v>202</v>
      </c>
      <c r="F19" s="65" t="s">
        <v>459</v>
      </c>
      <c r="G19" s="60" t="s">
        <v>254</v>
      </c>
      <c r="H19" s="60" t="s">
        <v>1247</v>
      </c>
      <c r="I19" s="97">
        <v>1.0203</v>
      </c>
      <c r="J19" s="60" t="s">
        <v>255</v>
      </c>
      <c r="K19" s="24">
        <v>7.7499999999999999E-2</v>
      </c>
      <c r="L19" s="24">
        <v>3.1699999999999999E-2</v>
      </c>
      <c r="M19" s="68">
        <v>194.74254034626739</v>
      </c>
      <c r="N19" s="65">
        <v>146.07</v>
      </c>
      <c r="O19" s="83">
        <v>0.28445999999999999</v>
      </c>
      <c r="P19" s="24">
        <v>1.2878074432941447E-6</v>
      </c>
      <c r="Q19" s="32">
        <v>4.0316211755037555E-5</v>
      </c>
      <c r="R19" s="32">
        <v>1.5232310249114415E-6</v>
      </c>
    </row>
    <row r="20" spans="1:18" x14ac:dyDescent="0.25">
      <c r="A20" s="16" t="s">
        <v>1241</v>
      </c>
      <c r="B20" s="24" t="s">
        <v>1242</v>
      </c>
      <c r="C20" s="24" t="s">
        <v>249</v>
      </c>
      <c r="D20" s="24" t="s">
        <v>509</v>
      </c>
      <c r="E20" s="24" t="s">
        <v>201</v>
      </c>
      <c r="F20" s="65" t="s">
        <v>491</v>
      </c>
      <c r="G20" s="60" t="s">
        <v>465</v>
      </c>
      <c r="H20" s="60" t="s">
        <v>1243</v>
      </c>
      <c r="I20" s="97">
        <v>3.7343999999999999</v>
      </c>
      <c r="J20" s="60" t="s">
        <v>255</v>
      </c>
      <c r="K20" s="24">
        <v>3.3000000000000002E-2</v>
      </c>
      <c r="L20" s="24">
        <v>1.83E-2</v>
      </c>
      <c r="M20" s="68">
        <v>2683.0012810719986</v>
      </c>
      <c r="N20" s="65">
        <v>120.17</v>
      </c>
      <c r="O20" s="83">
        <v>3.2241599999999999</v>
      </c>
      <c r="P20" s="24">
        <v>1.3216755079172407E-5</v>
      </c>
      <c r="Q20" s="32">
        <v>4.5695675065781445E-4</v>
      </c>
      <c r="R20" s="32">
        <v>1.7264784297540862E-5</v>
      </c>
    </row>
    <row r="21" spans="1:18" s="117" customFormat="1" x14ac:dyDescent="0.25">
      <c r="A21" s="91" t="s">
        <v>1238</v>
      </c>
      <c r="B21" s="135" t="s">
        <v>249</v>
      </c>
      <c r="C21" s="135" t="s">
        <v>249</v>
      </c>
      <c r="D21" s="135" t="s">
        <v>249</v>
      </c>
      <c r="E21" s="135" t="s">
        <v>249</v>
      </c>
      <c r="F21" s="120" t="s">
        <v>249</v>
      </c>
      <c r="G21" s="134" t="s">
        <v>249</v>
      </c>
      <c r="H21" s="134" t="s">
        <v>249</v>
      </c>
      <c r="I21" s="131" t="s">
        <v>249</v>
      </c>
      <c r="J21" s="134" t="s">
        <v>249</v>
      </c>
      <c r="K21" s="135" t="s">
        <v>249</v>
      </c>
      <c r="L21" s="135" t="s">
        <v>249</v>
      </c>
      <c r="M21" s="133" t="s">
        <v>249</v>
      </c>
      <c r="N21" s="120" t="s">
        <v>249</v>
      </c>
      <c r="O21" s="122">
        <v>6570.9370001000007</v>
      </c>
      <c r="P21" s="135"/>
      <c r="Q21" s="119">
        <v>0.93129187768066823</v>
      </c>
      <c r="R21" s="119">
        <v>3.5186160097345279E-2</v>
      </c>
    </row>
    <row r="22" spans="1:18" x14ac:dyDescent="0.25">
      <c r="A22" s="16" t="s">
        <v>1276</v>
      </c>
      <c r="B22" s="24" t="s">
        <v>1277</v>
      </c>
      <c r="C22" s="24" t="s">
        <v>249</v>
      </c>
      <c r="D22" s="24" t="s">
        <v>1278</v>
      </c>
      <c r="E22" s="24" t="s">
        <v>195</v>
      </c>
      <c r="F22" s="65" t="s">
        <v>564</v>
      </c>
      <c r="G22" s="60" t="s">
        <v>465</v>
      </c>
      <c r="H22" s="60" t="s">
        <v>1279</v>
      </c>
      <c r="I22" s="97">
        <v>5.0961999999999996</v>
      </c>
      <c r="J22" s="60" t="s">
        <v>255</v>
      </c>
      <c r="K22" s="24">
        <v>3.7400000000000003E-2</v>
      </c>
      <c r="L22" s="24">
        <v>5.3899999999999997E-2</v>
      </c>
      <c r="M22" s="68">
        <v>2430634.4931289242</v>
      </c>
      <c r="N22" s="65">
        <v>92.43</v>
      </c>
      <c r="O22" s="83">
        <v>2246.6354500000002</v>
      </c>
      <c r="P22" s="24">
        <v>3.9063212797956172E-3</v>
      </c>
      <c r="Q22" s="32">
        <v>0.31841324101305668</v>
      </c>
      <c r="R22" s="32">
        <v>1.2030319971545659E-2</v>
      </c>
    </row>
    <row r="23" spans="1:18" x14ac:dyDescent="0.25">
      <c r="A23" s="16" t="s">
        <v>1280</v>
      </c>
      <c r="B23" s="24" t="s">
        <v>1281</v>
      </c>
      <c r="C23" s="24" t="s">
        <v>249</v>
      </c>
      <c r="D23" s="24" t="s">
        <v>1278</v>
      </c>
      <c r="E23" s="24" t="s">
        <v>195</v>
      </c>
      <c r="F23" s="65" t="s">
        <v>564</v>
      </c>
      <c r="G23" s="60" t="s">
        <v>465</v>
      </c>
      <c r="H23" s="60" t="s">
        <v>1279</v>
      </c>
      <c r="I23" s="97">
        <v>1.4134</v>
      </c>
      <c r="J23" s="60" t="s">
        <v>255</v>
      </c>
      <c r="K23" s="24">
        <v>2.5000000000000001E-2</v>
      </c>
      <c r="L23" s="24">
        <v>5.1900000000000002E-2</v>
      </c>
      <c r="M23" s="68">
        <v>1638238.992896368</v>
      </c>
      <c r="N23" s="65">
        <v>96.5</v>
      </c>
      <c r="O23" s="83">
        <v>1580.9006200000001</v>
      </c>
      <c r="P23" s="24">
        <v>4.0148434923509705E-3</v>
      </c>
      <c r="Q23" s="32">
        <v>0.22405935512757566</v>
      </c>
      <c r="R23" s="32">
        <v>8.4654322986913236E-3</v>
      </c>
    </row>
    <row r="24" spans="1:18" x14ac:dyDescent="0.25">
      <c r="A24" s="16" t="s">
        <v>1282</v>
      </c>
      <c r="B24" s="24" t="s">
        <v>1283</v>
      </c>
      <c r="C24" s="24" t="s">
        <v>249</v>
      </c>
      <c r="D24" s="24" t="s">
        <v>1284</v>
      </c>
      <c r="E24" s="24" t="s">
        <v>223</v>
      </c>
      <c r="F24" s="65" t="s">
        <v>483</v>
      </c>
      <c r="G24" s="60" t="s">
        <v>465</v>
      </c>
      <c r="H24" s="60" t="s">
        <v>1285</v>
      </c>
      <c r="I24" s="97">
        <v>2.4695</v>
      </c>
      <c r="J24" s="60" t="s">
        <v>255</v>
      </c>
      <c r="K24" s="24">
        <v>3.1E-2</v>
      </c>
      <c r="L24" s="24">
        <v>5.5599999999999997E-2</v>
      </c>
      <c r="M24" s="68">
        <v>90346.453699371996</v>
      </c>
      <c r="N24" s="65">
        <v>98.500000000000014</v>
      </c>
      <c r="O24" s="83">
        <v>85.967110000000005</v>
      </c>
      <c r="P24" s="24">
        <v>1.1104356522563034E-4</v>
      </c>
      <c r="Q24" s="32">
        <v>1.2184026614387285E-2</v>
      </c>
      <c r="R24" s="32">
        <v>4.6033807591216568E-4</v>
      </c>
    </row>
    <row r="25" spans="1:18" x14ac:dyDescent="0.25">
      <c r="A25" s="16" t="s">
        <v>1286</v>
      </c>
      <c r="B25" s="24" t="s">
        <v>1287</v>
      </c>
      <c r="C25" s="24" t="s">
        <v>249</v>
      </c>
      <c r="D25" s="24" t="s">
        <v>1288</v>
      </c>
      <c r="E25" s="24" t="s">
        <v>198</v>
      </c>
      <c r="F25" s="65" t="s">
        <v>584</v>
      </c>
      <c r="G25" s="60" t="s">
        <v>254</v>
      </c>
      <c r="H25" s="60" t="s">
        <v>639</v>
      </c>
      <c r="I25" s="97">
        <v>3.6775000000000002</v>
      </c>
      <c r="J25" s="60" t="s">
        <v>255</v>
      </c>
      <c r="K25" s="24">
        <v>3.3500000000000002E-2</v>
      </c>
      <c r="L25" s="24">
        <v>6.8400000000000002E-2</v>
      </c>
      <c r="M25" s="68">
        <v>2438121.5878521302</v>
      </c>
      <c r="N25" s="65">
        <v>89.2</v>
      </c>
      <c r="O25" s="83">
        <v>2174.8044500000001</v>
      </c>
      <c r="P25" s="24">
        <v>3.0476519848151628E-3</v>
      </c>
      <c r="Q25" s="32">
        <v>0.30823271015959364</v>
      </c>
      <c r="R25" s="32">
        <v>1.1645678166896802E-2</v>
      </c>
    </row>
    <row r="26" spans="1:18" x14ac:dyDescent="0.25">
      <c r="A26" s="16" t="s">
        <v>1289</v>
      </c>
      <c r="B26" s="24" t="s">
        <v>1290</v>
      </c>
      <c r="C26" s="24" t="s">
        <v>249</v>
      </c>
      <c r="D26" s="24" t="s">
        <v>1291</v>
      </c>
      <c r="E26" s="24" t="s">
        <v>200</v>
      </c>
      <c r="F26" s="65" t="s">
        <v>623</v>
      </c>
      <c r="G26" s="60" t="s">
        <v>465</v>
      </c>
      <c r="H26" s="60" t="s">
        <v>1292</v>
      </c>
      <c r="I26" s="97">
        <v>2.8948999999999998</v>
      </c>
      <c r="J26" s="60" t="s">
        <v>255</v>
      </c>
      <c r="K26" s="24">
        <v>7.049999952316284E-2</v>
      </c>
      <c r="L26" s="24">
        <v>6.8099999999999994E-2</v>
      </c>
      <c r="M26" s="68">
        <v>4324.5072845027889</v>
      </c>
      <c r="N26" s="65">
        <v>100.13000000000001</v>
      </c>
      <c r="O26" s="83">
        <v>4.3301300000000005</v>
      </c>
      <c r="P26" s="24">
        <v>8.9886554079215987E-6</v>
      </c>
      <c r="Q26" s="32">
        <v>6.1370469664220201E-4</v>
      </c>
      <c r="R26" s="32">
        <v>2.3187050403922454E-5</v>
      </c>
    </row>
    <row r="27" spans="1:18" x14ac:dyDescent="0.25">
      <c r="A27" s="16" t="s">
        <v>1293</v>
      </c>
      <c r="B27" s="24" t="s">
        <v>1294</v>
      </c>
      <c r="C27" s="24" t="s">
        <v>249</v>
      </c>
      <c r="D27" s="24" t="s">
        <v>1291</v>
      </c>
      <c r="E27" s="24" t="s">
        <v>200</v>
      </c>
      <c r="F27" s="65" t="s">
        <v>623</v>
      </c>
      <c r="G27" s="60" t="s">
        <v>465</v>
      </c>
      <c r="H27" s="60" t="s">
        <v>1295</v>
      </c>
      <c r="I27" s="97">
        <v>0.252</v>
      </c>
      <c r="J27" s="60" t="s">
        <v>255</v>
      </c>
      <c r="K27" s="24">
        <v>5.1799999999999999E-2</v>
      </c>
      <c r="L27" s="24">
        <v>8.0600000000000005E-2</v>
      </c>
      <c r="M27" s="68">
        <v>160061.95887651696</v>
      </c>
      <c r="N27" s="65">
        <v>91.84</v>
      </c>
      <c r="O27" s="83">
        <v>147.00089000000003</v>
      </c>
      <c r="P27" s="24">
        <v>1.1521050808070033E-3</v>
      </c>
      <c r="Q27" s="32">
        <v>2.0834279017854826E-2</v>
      </c>
      <c r="R27" s="32">
        <v>7.871627516613729E-4</v>
      </c>
    </row>
    <row r="28" spans="1:18" x14ac:dyDescent="0.25">
      <c r="A28" s="16" t="s">
        <v>1272</v>
      </c>
      <c r="B28" s="24" t="s">
        <v>1273</v>
      </c>
      <c r="C28" s="24" t="s">
        <v>249</v>
      </c>
      <c r="D28" s="24" t="s">
        <v>1274</v>
      </c>
      <c r="E28" s="24" t="s">
        <v>228</v>
      </c>
      <c r="F28" s="65" t="s">
        <v>551</v>
      </c>
      <c r="G28" s="60" t="s">
        <v>465</v>
      </c>
      <c r="H28" s="60" t="s">
        <v>1275</v>
      </c>
      <c r="I28" s="97">
        <v>2.9405999999999999</v>
      </c>
      <c r="J28" s="60" t="s">
        <v>255</v>
      </c>
      <c r="K28" s="24">
        <v>4.5999999999999999E-2</v>
      </c>
      <c r="L28" s="24">
        <v>7.0599999999999996E-2</v>
      </c>
      <c r="M28" s="68">
        <v>350431.93617585371</v>
      </c>
      <c r="N28" s="65">
        <v>94.54</v>
      </c>
      <c r="O28" s="83">
        <v>331.29834999999997</v>
      </c>
      <c r="P28" s="24">
        <v>7.9595436409035018E-4</v>
      </c>
      <c r="Q28" s="32">
        <v>4.6954561037385031E-2</v>
      </c>
      <c r="R28" s="32">
        <v>1.7740417816985497E-3</v>
      </c>
    </row>
    <row r="29" spans="1:18" s="117" customFormat="1" x14ac:dyDescent="0.25">
      <c r="A29" s="91" t="s">
        <v>454</v>
      </c>
      <c r="B29" s="135" t="s">
        <v>249</v>
      </c>
      <c r="C29" s="135" t="s">
        <v>249</v>
      </c>
      <c r="D29" s="135" t="s">
        <v>249</v>
      </c>
      <c r="E29" s="135" t="s">
        <v>249</v>
      </c>
      <c r="F29" s="120" t="s">
        <v>249</v>
      </c>
      <c r="G29" s="134" t="s">
        <v>249</v>
      </c>
      <c r="H29" s="134" t="s">
        <v>249</v>
      </c>
      <c r="I29" s="131" t="s">
        <v>249</v>
      </c>
      <c r="J29" s="134" t="s">
        <v>249</v>
      </c>
      <c r="K29" s="135" t="s">
        <v>249</v>
      </c>
      <c r="L29" s="135" t="s">
        <v>249</v>
      </c>
      <c r="M29" s="133" t="s">
        <v>249</v>
      </c>
      <c r="N29" s="120" t="s">
        <v>249</v>
      </c>
      <c r="O29" s="122">
        <v>0.14954010000000001</v>
      </c>
      <c r="P29" s="135"/>
      <c r="Q29" s="119">
        <v>2.1194158537121186E-5</v>
      </c>
      <c r="R29" s="119">
        <v>8.007597545818726E-7</v>
      </c>
    </row>
    <row r="30" spans="1:18" x14ac:dyDescent="0.25">
      <c r="A30" s="16" t="s">
        <v>1296</v>
      </c>
      <c r="B30" s="24" t="s">
        <v>1297</v>
      </c>
      <c r="C30" s="24" t="s">
        <v>249</v>
      </c>
      <c r="D30" s="24" t="s">
        <v>1298</v>
      </c>
      <c r="E30" s="24" t="s">
        <v>228</v>
      </c>
      <c r="F30" s="65" t="s">
        <v>459</v>
      </c>
      <c r="G30" s="60" t="s">
        <v>254</v>
      </c>
      <c r="H30" s="60" t="s">
        <v>1299</v>
      </c>
      <c r="I30" s="97">
        <v>1.9322999999999997</v>
      </c>
      <c r="J30" s="60" t="s">
        <v>125</v>
      </c>
      <c r="K30" s="24">
        <v>7.9699999999999993E-2</v>
      </c>
      <c r="L30" s="24">
        <v>6.1500000000000006E-2</v>
      </c>
      <c r="M30" s="68">
        <v>37.047020039429974</v>
      </c>
      <c r="N30" s="65">
        <v>105.56</v>
      </c>
      <c r="O30" s="83">
        <v>0.14953999999999998</v>
      </c>
      <c r="P30" s="24">
        <v>8.1664886257079152E-7</v>
      </c>
      <c r="Q30" s="32">
        <v>2.1194144364228068E-5</v>
      </c>
      <c r="R30" s="32">
        <v>8.0075921910024942E-7</v>
      </c>
    </row>
    <row r="31" spans="1:18" s="117" customFormat="1" x14ac:dyDescent="0.25">
      <c r="A31" s="91" t="s">
        <v>141</v>
      </c>
      <c r="B31" s="135" t="s">
        <v>249</v>
      </c>
      <c r="C31" s="135" t="s">
        <v>249</v>
      </c>
      <c r="D31" s="135" t="s">
        <v>249</v>
      </c>
      <c r="E31" s="135" t="s">
        <v>249</v>
      </c>
      <c r="F31" s="120" t="s">
        <v>249</v>
      </c>
      <c r="G31" s="134" t="s">
        <v>249</v>
      </c>
      <c r="H31" s="134" t="s">
        <v>249</v>
      </c>
      <c r="I31" s="131" t="s">
        <v>249</v>
      </c>
      <c r="J31" s="134" t="s">
        <v>249</v>
      </c>
      <c r="K31" s="135" t="s">
        <v>249</v>
      </c>
      <c r="L31" s="135" t="s">
        <v>249</v>
      </c>
      <c r="M31" s="133" t="s">
        <v>249</v>
      </c>
      <c r="N31" s="120" t="s">
        <v>249</v>
      </c>
      <c r="O31" s="122">
        <v>0</v>
      </c>
      <c r="P31" s="135"/>
      <c r="Q31" s="119">
        <v>0</v>
      </c>
      <c r="R31" s="119">
        <v>0</v>
      </c>
    </row>
    <row r="32" spans="1:18" s="117" customFormat="1" x14ac:dyDescent="0.25">
      <c r="A32" s="91" t="s">
        <v>439</v>
      </c>
      <c r="B32" s="135" t="s">
        <v>249</v>
      </c>
      <c r="C32" s="135" t="s">
        <v>249</v>
      </c>
      <c r="D32" s="135" t="s">
        <v>249</v>
      </c>
      <c r="E32" s="135" t="s">
        <v>249</v>
      </c>
      <c r="F32" s="120" t="s">
        <v>249</v>
      </c>
      <c r="G32" s="134" t="s">
        <v>249</v>
      </c>
      <c r="H32" s="134" t="s">
        <v>249</v>
      </c>
      <c r="I32" s="131" t="s">
        <v>249</v>
      </c>
      <c r="J32" s="134" t="s">
        <v>249</v>
      </c>
      <c r="K32" s="135" t="s">
        <v>249</v>
      </c>
      <c r="L32" s="135" t="s">
        <v>249</v>
      </c>
      <c r="M32" s="133" t="s">
        <v>249</v>
      </c>
      <c r="N32" s="120" t="s">
        <v>249</v>
      </c>
      <c r="O32" s="122">
        <v>0</v>
      </c>
      <c r="P32" s="135"/>
      <c r="Q32" s="119">
        <v>0</v>
      </c>
      <c r="R32" s="119">
        <v>0</v>
      </c>
    </row>
    <row r="33" spans="1:18" s="117" customFormat="1" x14ac:dyDescent="0.25">
      <c r="A33" s="91" t="s">
        <v>1300</v>
      </c>
      <c r="B33" s="135" t="s">
        <v>249</v>
      </c>
      <c r="C33" s="135" t="s">
        <v>249</v>
      </c>
      <c r="D33" s="135" t="s">
        <v>249</v>
      </c>
      <c r="E33" s="135" t="s">
        <v>249</v>
      </c>
      <c r="F33" s="120" t="s">
        <v>249</v>
      </c>
      <c r="G33" s="134" t="s">
        <v>249</v>
      </c>
      <c r="H33" s="134" t="s">
        <v>249</v>
      </c>
      <c r="I33" s="131" t="s">
        <v>249</v>
      </c>
      <c r="J33" s="134" t="s">
        <v>249</v>
      </c>
      <c r="K33" s="135" t="s">
        <v>249</v>
      </c>
      <c r="L33" s="135" t="s">
        <v>249</v>
      </c>
      <c r="M33" s="133" t="s">
        <v>249</v>
      </c>
      <c r="N33" s="120" t="s">
        <v>249</v>
      </c>
      <c r="O33" s="122">
        <v>0</v>
      </c>
      <c r="P33" s="135"/>
      <c r="Q33" s="119">
        <v>0</v>
      </c>
      <c r="R33" s="119">
        <v>0</v>
      </c>
    </row>
    <row r="34" spans="1:18" s="117" customFormat="1" x14ac:dyDescent="0.25">
      <c r="A34" s="91" t="s">
        <v>1301</v>
      </c>
      <c r="B34" s="135" t="s">
        <v>249</v>
      </c>
      <c r="C34" s="135" t="s">
        <v>249</v>
      </c>
      <c r="D34" s="135" t="s">
        <v>249</v>
      </c>
      <c r="E34" s="135" t="s">
        <v>249</v>
      </c>
      <c r="F34" s="120" t="s">
        <v>249</v>
      </c>
      <c r="G34" s="134" t="s">
        <v>249</v>
      </c>
      <c r="H34" s="134" t="s">
        <v>249</v>
      </c>
      <c r="I34" s="131" t="s">
        <v>249</v>
      </c>
      <c r="J34" s="134" t="s">
        <v>249</v>
      </c>
      <c r="K34" s="135" t="s">
        <v>249</v>
      </c>
      <c r="L34" s="135" t="s">
        <v>249</v>
      </c>
      <c r="M34" s="133" t="s">
        <v>249</v>
      </c>
      <c r="N34" s="120" t="s">
        <v>249</v>
      </c>
      <c r="O34" s="122">
        <v>0</v>
      </c>
      <c r="P34" s="135"/>
      <c r="Q34" s="119">
        <v>0</v>
      </c>
      <c r="R34" s="119">
        <v>0</v>
      </c>
    </row>
    <row r="35" spans="1:18" s="117" customFormat="1" x14ac:dyDescent="0.25">
      <c r="A35" s="77" t="s">
        <v>241</v>
      </c>
      <c r="B35" s="123"/>
      <c r="C35" s="123"/>
      <c r="D35" s="123"/>
      <c r="E35" s="77"/>
      <c r="F35" s="124"/>
      <c r="G35" s="124"/>
      <c r="H35" s="124"/>
      <c r="I35" s="125"/>
      <c r="J35" s="126"/>
      <c r="K35" s="127"/>
      <c r="L35" s="127"/>
      <c r="M35" s="127"/>
      <c r="N35" s="126"/>
      <c r="O35" s="126"/>
      <c r="P35" s="136"/>
      <c r="Q35" s="136"/>
      <c r="R35" s="136"/>
    </row>
    <row r="36" spans="1:18" s="117" customFormat="1" x14ac:dyDescent="0.25">
      <c r="A36" s="77" t="s">
        <v>242</v>
      </c>
      <c r="B36" s="123"/>
      <c r="C36" s="123"/>
      <c r="D36" s="123"/>
      <c r="E36" s="77"/>
      <c r="F36" s="124"/>
      <c r="G36" s="124"/>
      <c r="H36" s="124"/>
      <c r="I36" s="125"/>
      <c r="J36" s="126"/>
      <c r="K36" s="127"/>
      <c r="L36" s="127"/>
      <c r="M36" s="127"/>
      <c r="N36" s="126"/>
      <c r="O36" s="126"/>
      <c r="P36" s="136"/>
      <c r="Q36" s="136"/>
      <c r="R36" s="136"/>
    </row>
    <row r="37" spans="1:18" s="117" customFormat="1" x14ac:dyDescent="0.25">
      <c r="A37" s="77" t="s">
        <v>243</v>
      </c>
      <c r="B37" s="123"/>
      <c r="C37" s="123"/>
      <c r="D37" s="123"/>
      <c r="E37" s="77"/>
      <c r="F37" s="124"/>
      <c r="G37" s="124"/>
      <c r="H37" s="124"/>
      <c r="I37" s="125"/>
      <c r="J37" s="126"/>
      <c r="K37" s="127"/>
      <c r="L37" s="127"/>
      <c r="M37" s="127"/>
      <c r="N37" s="126"/>
      <c r="O37" s="126"/>
      <c r="P37" s="136"/>
      <c r="Q37" s="136"/>
      <c r="R37" s="136"/>
    </row>
    <row r="38" spans="1:18" s="117" customFormat="1" x14ac:dyDescent="0.25">
      <c r="A38" s="77" t="s">
        <v>244</v>
      </c>
      <c r="B38" s="123"/>
      <c r="C38" s="123"/>
      <c r="D38" s="123"/>
      <c r="E38" s="77"/>
      <c r="F38" s="124"/>
      <c r="G38" s="124"/>
      <c r="H38" s="124"/>
      <c r="I38" s="125"/>
      <c r="J38" s="126"/>
      <c r="K38" s="127"/>
      <c r="L38" s="127"/>
      <c r="M38" s="127"/>
      <c r="N38" s="126"/>
      <c r="O38" s="126"/>
      <c r="P38" s="136"/>
      <c r="Q38" s="136"/>
      <c r="R38" s="136"/>
    </row>
    <row r="39" spans="1:18" s="117" customFormat="1" x14ac:dyDescent="0.25">
      <c r="A39" s="77" t="s">
        <v>245</v>
      </c>
      <c r="B39" s="123"/>
      <c r="C39" s="123"/>
      <c r="D39" s="123"/>
      <c r="E39" s="77"/>
      <c r="F39" s="124"/>
      <c r="G39" s="124"/>
      <c r="H39" s="124"/>
      <c r="I39" s="125"/>
      <c r="J39" s="126"/>
      <c r="K39" s="127"/>
      <c r="L39" s="127"/>
      <c r="M39" s="127"/>
      <c r="N39" s="126"/>
      <c r="O39" s="126"/>
      <c r="P39" s="136"/>
      <c r="Q39" s="136"/>
      <c r="R39" s="136"/>
    </row>
  </sheetData>
  <sortState xmlns:xlrd2="http://schemas.microsoft.com/office/spreadsheetml/2017/richdata2" ref="A22:Z28">
    <sortCondition ref="A22:A28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4 O9:O34">
    <cfRule type="expression" dxfId="63" priority="306" stopIfTrue="1">
      <formula>#REF!&gt;0</formula>
    </cfRule>
    <cfRule type="expression" dxfId="62" priority="307" stopIfTrue="1">
      <formula>LEFT(#REF!,3)="TIR"</formula>
    </cfRule>
  </conditionalFormatting>
  <conditionalFormatting sqref="B9:H34 J9:J34 Q9:R34">
    <cfRule type="expression" dxfId="61" priority="297" stopIfTrue="1">
      <formula>OR(LEFT(#REF!,3)="TIR",LEFT(#REF!,2)="IR")</formula>
    </cfRule>
  </conditionalFormatting>
  <conditionalFormatting sqref="J1:J3 K6">
    <cfRule type="expression" dxfId="60" priority="305" stopIfTrue="1">
      <formula>LEFT(#REF!,3)="TIR"</formula>
    </cfRule>
  </conditionalFormatting>
  <conditionalFormatting sqref="P9:Q34 I9:I34 K9:N34 J35:J55569">
    <cfRule type="expression" dxfId="59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9" customWidth="1"/>
    <col min="7" max="7" width="10.5546875" style="59" customWidth="1"/>
    <col min="8" max="8" width="8.88671875" style="59" bestFit="1" customWidth="1"/>
    <col min="9" max="9" width="10.44140625" style="36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7" t="s">
        <v>28</v>
      </c>
      <c r="B4" s="228"/>
      <c r="C4" s="228"/>
      <c r="D4" s="228"/>
      <c r="E4" s="228"/>
      <c r="F4" s="228"/>
      <c r="G4" s="228"/>
      <c r="H4" s="228"/>
      <c r="I4" s="228"/>
      <c r="J4" s="228"/>
      <c r="K4" s="229"/>
      <c r="L4" s="230"/>
      <c r="M4" s="13"/>
      <c r="N4" s="13"/>
      <c r="O4" s="12"/>
      <c r="P4" s="12"/>
      <c r="Q4" s="14"/>
    </row>
    <row r="5" spans="1:17" s="7" customFormat="1" x14ac:dyDescent="0.25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6"/>
    </row>
    <row r="6" spans="1:17" s="7" customFormat="1" ht="33.75" customHeight="1" x14ac:dyDescent="0.25">
      <c r="A6" s="85" t="s">
        <v>157</v>
      </c>
      <c r="B6" s="204" t="s">
        <v>69</v>
      </c>
      <c r="C6" s="204" t="s">
        <v>79</v>
      </c>
      <c r="D6" s="204" t="s">
        <v>74</v>
      </c>
      <c r="E6" s="204" t="s">
        <v>19</v>
      </c>
      <c r="F6" s="204" t="s">
        <v>6</v>
      </c>
      <c r="G6" s="205" t="s">
        <v>67</v>
      </c>
      <c r="H6" s="205" t="s">
        <v>68</v>
      </c>
      <c r="I6" s="205" t="s">
        <v>7</v>
      </c>
      <c r="J6" s="205" t="s">
        <v>17</v>
      </c>
      <c r="K6" s="88" t="s">
        <v>75</v>
      </c>
      <c r="L6" s="89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7" customFormat="1" ht="12.75" customHeight="1" thickBot="1" x14ac:dyDescent="0.3">
      <c r="A9" s="98" t="s">
        <v>59</v>
      </c>
      <c r="B9" s="66"/>
      <c r="C9" s="66"/>
      <c r="D9" s="66"/>
      <c r="E9" s="66"/>
      <c r="F9" s="99"/>
      <c r="G9" s="100"/>
      <c r="H9" s="99"/>
      <c r="I9" s="103">
        <v>3.0000000000000004E-7</v>
      </c>
      <c r="J9" s="66"/>
      <c r="K9" s="66">
        <v>1</v>
      </c>
      <c r="L9" s="58">
        <v>0</v>
      </c>
    </row>
    <row r="10" spans="1:17" s="117" customFormat="1" x14ac:dyDescent="0.25">
      <c r="A10" s="90" t="s">
        <v>137</v>
      </c>
      <c r="B10" s="119" t="s">
        <v>249</v>
      </c>
      <c r="C10" s="119" t="s">
        <v>249</v>
      </c>
      <c r="D10" s="119" t="s">
        <v>249</v>
      </c>
      <c r="E10" s="119" t="s">
        <v>249</v>
      </c>
      <c r="F10" s="120" t="s">
        <v>249</v>
      </c>
      <c r="G10" s="131" t="s">
        <v>249</v>
      </c>
      <c r="H10" s="120" t="s">
        <v>249</v>
      </c>
      <c r="I10" s="132">
        <v>0</v>
      </c>
      <c r="J10" s="119" t="s">
        <v>249</v>
      </c>
      <c r="K10" s="119">
        <v>0</v>
      </c>
      <c r="L10" s="119">
        <v>0</v>
      </c>
    </row>
    <row r="11" spans="1:17" s="117" customFormat="1" x14ac:dyDescent="0.25">
      <c r="A11" s="91" t="s">
        <v>439</v>
      </c>
      <c r="B11" s="135" t="s">
        <v>249</v>
      </c>
      <c r="C11" s="135" t="s">
        <v>249</v>
      </c>
      <c r="D11" s="135" t="s">
        <v>249</v>
      </c>
      <c r="E11" s="135" t="s">
        <v>249</v>
      </c>
      <c r="F11" s="134" t="s">
        <v>249</v>
      </c>
      <c r="G11" s="133" t="s">
        <v>249</v>
      </c>
      <c r="H11" s="120" t="s">
        <v>249</v>
      </c>
      <c r="I11" s="121">
        <v>0</v>
      </c>
      <c r="J11" s="119"/>
      <c r="K11" s="119">
        <v>0</v>
      </c>
      <c r="L11" s="119">
        <v>0</v>
      </c>
    </row>
    <row r="12" spans="1:17" s="117" customFormat="1" x14ac:dyDescent="0.25">
      <c r="A12" s="91" t="s">
        <v>143</v>
      </c>
      <c r="B12" s="135" t="s">
        <v>249</v>
      </c>
      <c r="C12" s="135" t="s">
        <v>249</v>
      </c>
      <c r="D12" s="135" t="s">
        <v>249</v>
      </c>
      <c r="E12" s="135" t="s">
        <v>249</v>
      </c>
      <c r="F12" s="134" t="s">
        <v>249</v>
      </c>
      <c r="G12" s="133" t="s">
        <v>249</v>
      </c>
      <c r="H12" s="120" t="s">
        <v>249</v>
      </c>
      <c r="I12" s="121">
        <v>0</v>
      </c>
      <c r="J12" s="119"/>
      <c r="K12" s="119">
        <v>0</v>
      </c>
      <c r="L12" s="119">
        <v>0</v>
      </c>
    </row>
    <row r="13" spans="1:17" s="117" customFormat="1" x14ac:dyDescent="0.25">
      <c r="A13" s="91" t="s">
        <v>144</v>
      </c>
      <c r="B13" s="135" t="s">
        <v>249</v>
      </c>
      <c r="C13" s="135" t="s">
        <v>249</v>
      </c>
      <c r="D13" s="135" t="s">
        <v>249</v>
      </c>
      <c r="E13" s="135" t="s">
        <v>249</v>
      </c>
      <c r="F13" s="134" t="s">
        <v>249</v>
      </c>
      <c r="G13" s="133" t="s">
        <v>249</v>
      </c>
      <c r="H13" s="120" t="s">
        <v>249</v>
      </c>
      <c r="I13" s="121">
        <v>0</v>
      </c>
      <c r="J13" s="119"/>
      <c r="K13" s="119">
        <v>0</v>
      </c>
      <c r="L13" s="119">
        <v>0</v>
      </c>
    </row>
    <row r="14" spans="1:17" s="117" customFormat="1" x14ac:dyDescent="0.25">
      <c r="A14" s="77" t="s">
        <v>241</v>
      </c>
      <c r="B14" s="123"/>
      <c r="C14" s="123"/>
      <c r="D14" s="123"/>
      <c r="E14" s="77"/>
      <c r="F14" s="124"/>
      <c r="G14" s="124"/>
      <c r="H14" s="124"/>
      <c r="I14" s="125"/>
      <c r="J14" s="126"/>
      <c r="K14" s="126"/>
      <c r="L14" s="127"/>
      <c r="M14" s="146"/>
      <c r="N14" s="146"/>
      <c r="O14" s="128"/>
      <c r="P14" s="128"/>
    </row>
    <row r="15" spans="1:17" s="117" customFormat="1" x14ac:dyDescent="0.25">
      <c r="A15" s="77" t="s">
        <v>242</v>
      </c>
      <c r="B15" s="123"/>
      <c r="C15" s="123"/>
      <c r="D15" s="123"/>
      <c r="E15" s="77"/>
      <c r="F15" s="124"/>
      <c r="G15" s="124"/>
      <c r="H15" s="124"/>
      <c r="I15" s="125"/>
      <c r="J15" s="126"/>
      <c r="K15" s="126"/>
      <c r="L15" s="127"/>
      <c r="M15" s="146"/>
      <c r="N15" s="146"/>
      <c r="O15" s="128"/>
      <c r="P15" s="128"/>
    </row>
    <row r="16" spans="1:17" s="117" customFormat="1" x14ac:dyDescent="0.25">
      <c r="A16" s="77" t="s">
        <v>243</v>
      </c>
      <c r="B16" s="123"/>
      <c r="C16" s="123"/>
      <c r="D16" s="123"/>
      <c r="E16" s="77"/>
      <c r="F16" s="124"/>
      <c r="G16" s="124"/>
      <c r="H16" s="124"/>
      <c r="I16" s="125"/>
      <c r="J16" s="126"/>
      <c r="K16" s="126"/>
      <c r="L16" s="127"/>
      <c r="M16" s="146"/>
      <c r="N16" s="146"/>
      <c r="O16" s="128"/>
      <c r="P16" s="128"/>
    </row>
    <row r="17" spans="1:16" s="117" customFormat="1" x14ac:dyDescent="0.25">
      <c r="A17" s="77" t="s">
        <v>244</v>
      </c>
      <c r="B17" s="123"/>
      <c r="C17" s="123"/>
      <c r="D17" s="123"/>
      <c r="E17" s="77"/>
      <c r="F17" s="124"/>
      <c r="G17" s="124"/>
      <c r="H17" s="124"/>
      <c r="I17" s="125"/>
      <c r="J17" s="126"/>
      <c r="K17" s="126"/>
      <c r="L17" s="127"/>
      <c r="M17" s="146"/>
      <c r="N17" s="146"/>
      <c r="O17" s="128"/>
      <c r="P17" s="128"/>
    </row>
    <row r="18" spans="1:16" s="117" customFormat="1" x14ac:dyDescent="0.25">
      <c r="A18" s="77" t="s">
        <v>245</v>
      </c>
      <c r="B18" s="123"/>
      <c r="C18" s="123"/>
      <c r="D18" s="123"/>
      <c r="E18" s="77"/>
      <c r="F18" s="124"/>
      <c r="G18" s="124"/>
      <c r="H18" s="124"/>
      <c r="I18" s="125"/>
      <c r="J18" s="126"/>
      <c r="K18" s="126"/>
      <c r="L18" s="127"/>
      <c r="M18" s="146"/>
      <c r="N18" s="146"/>
      <c r="O18" s="128"/>
      <c r="P18" s="128"/>
    </row>
  </sheetData>
  <mergeCells count="2">
    <mergeCell ref="A5:L5"/>
    <mergeCell ref="A4:L4"/>
  </mergeCells>
  <phoneticPr fontId="3" type="noConversion"/>
  <conditionalFormatting sqref="A9:A13 I9:I13">
    <cfRule type="expression" dxfId="58" priority="325" stopIfTrue="1">
      <formula>#REF!&gt;0</formula>
    </cfRule>
    <cfRule type="expression" dxfId="57" priority="326" stopIfTrue="1">
      <formula>LEFT(#REF!,3)="TIR"</formula>
    </cfRule>
  </conditionalFormatting>
  <conditionalFormatting sqref="B9:F13 K9:K13 L10:L13">
    <cfRule type="expression" dxfId="56" priority="322" stopIfTrue="1">
      <formula>OR(LEFT(#REF!,3)="TIR",LEFT(#REF!,2)="IR")</formula>
    </cfRule>
  </conditionalFormatting>
  <conditionalFormatting sqref="C9:D13">
    <cfRule type="expression" dxfId="55" priority="329" stopIfTrue="1">
      <formula>LEFT(#REF!,3)="TIR"</formula>
    </cfRule>
  </conditionalFormatting>
  <conditionalFormatting sqref="J1:K3 G9:H13 J9:J55548">
    <cfRule type="expression" dxfId="54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6"/>
  <sheetViews>
    <sheetView rightToLeft="1" zoomScale="80" zoomScaleNormal="80" workbookViewId="0"/>
  </sheetViews>
  <sheetFormatPr defaultColWidth="9.109375" defaultRowHeight="13.2" x14ac:dyDescent="0.25"/>
  <cols>
    <col min="1" max="1" width="25.5546875" style="9" bestFit="1" customWidth="1"/>
    <col min="2" max="2" width="13.5546875" style="8" bestFit="1" customWidth="1"/>
    <col min="3" max="3" width="12" style="59" bestFit="1" customWidth="1"/>
    <col min="4" max="4" width="14.109375" style="59" customWidth="1"/>
    <col min="5" max="5" width="10.5546875" style="59" customWidth="1"/>
    <col min="6" max="6" width="10.33203125" style="36" bestFit="1" customWidth="1"/>
    <col min="7" max="7" width="10.44140625" style="6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3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4" t="s">
        <v>30</v>
      </c>
      <c r="B5" s="225"/>
      <c r="C5" s="225"/>
      <c r="D5" s="225"/>
      <c r="E5" s="225"/>
      <c r="F5" s="225"/>
      <c r="G5" s="225"/>
      <c r="H5" s="225"/>
      <c r="I5" s="225"/>
      <c r="J5" s="226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5" t="s">
        <v>157</v>
      </c>
      <c r="B6" s="204" t="s">
        <v>69</v>
      </c>
      <c r="C6" s="204" t="s">
        <v>6</v>
      </c>
      <c r="D6" s="204" t="s">
        <v>13</v>
      </c>
      <c r="E6" s="205" t="s">
        <v>67</v>
      </c>
      <c r="F6" s="205" t="s">
        <v>68</v>
      </c>
      <c r="G6" s="205" t="s">
        <v>29</v>
      </c>
      <c r="H6" s="88" t="s">
        <v>17</v>
      </c>
      <c r="I6" s="88" t="s">
        <v>75</v>
      </c>
      <c r="J6" s="89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7" customFormat="1" ht="12.75" customHeight="1" thickBot="1" x14ac:dyDescent="0.3">
      <c r="A9" s="98" t="s">
        <v>60</v>
      </c>
      <c r="B9" s="66" t="s">
        <v>249</v>
      </c>
      <c r="C9" s="99" t="s">
        <v>249</v>
      </c>
      <c r="D9" s="99" t="s">
        <v>249</v>
      </c>
      <c r="E9" s="100" t="s">
        <v>249</v>
      </c>
      <c r="F9" s="99" t="s">
        <v>249</v>
      </c>
      <c r="G9" s="103">
        <v>738.73249080000005</v>
      </c>
      <c r="H9" s="66" t="s">
        <v>249</v>
      </c>
      <c r="I9" s="66">
        <v>1</v>
      </c>
      <c r="J9" s="80">
        <v>3.9557767316904524E-3</v>
      </c>
    </row>
    <row r="10" spans="1:17" s="117" customFormat="1" x14ac:dyDescent="0.25">
      <c r="A10" s="90" t="s">
        <v>1302</v>
      </c>
      <c r="B10" s="119" t="s">
        <v>249</v>
      </c>
      <c r="C10" s="120" t="s">
        <v>249</v>
      </c>
      <c r="D10" s="120" t="s">
        <v>249</v>
      </c>
      <c r="E10" s="131" t="s">
        <v>249</v>
      </c>
      <c r="F10" s="120" t="s">
        <v>249</v>
      </c>
      <c r="G10" s="132">
        <v>465.43706040000001</v>
      </c>
      <c r="H10" s="119" t="s">
        <v>249</v>
      </c>
      <c r="I10" s="119">
        <v>0.63004817873376795</v>
      </c>
      <c r="J10" s="119">
        <v>2.4923299252789868E-3</v>
      </c>
    </row>
    <row r="11" spans="1:17" s="117" customFormat="1" x14ac:dyDescent="0.25">
      <c r="A11" s="91" t="s">
        <v>1303</v>
      </c>
      <c r="B11" s="135" t="s">
        <v>249</v>
      </c>
      <c r="C11" s="134" t="s">
        <v>249</v>
      </c>
      <c r="D11" s="134" t="s">
        <v>249</v>
      </c>
      <c r="E11" s="133" t="s">
        <v>249</v>
      </c>
      <c r="F11" s="120" t="s">
        <v>249</v>
      </c>
      <c r="G11" s="122">
        <v>0</v>
      </c>
      <c r="H11" s="119"/>
      <c r="I11" s="135">
        <v>0</v>
      </c>
      <c r="J11" s="135">
        <v>0</v>
      </c>
    </row>
    <row r="12" spans="1:17" s="117" customFormat="1" x14ac:dyDescent="0.25">
      <c r="A12" s="91" t="s">
        <v>1304</v>
      </c>
      <c r="B12" s="135" t="s">
        <v>249</v>
      </c>
      <c r="C12" s="134" t="s">
        <v>249</v>
      </c>
      <c r="D12" s="134" t="s">
        <v>249</v>
      </c>
      <c r="E12" s="133" t="s">
        <v>249</v>
      </c>
      <c r="F12" s="120" t="s">
        <v>249</v>
      </c>
      <c r="G12" s="122">
        <v>465.4370601</v>
      </c>
      <c r="H12" s="119"/>
      <c r="I12" s="135">
        <v>0.63004817832766691</v>
      </c>
      <c r="J12" s="135">
        <v>2.4923299236725418E-3</v>
      </c>
    </row>
    <row r="13" spans="1:17" x14ac:dyDescent="0.25">
      <c r="A13" s="16" t="s">
        <v>1305</v>
      </c>
      <c r="B13" s="24" t="s">
        <v>1306</v>
      </c>
      <c r="C13" s="60" t="s">
        <v>255</v>
      </c>
      <c r="D13" s="60" t="s">
        <v>1307</v>
      </c>
      <c r="E13" s="68">
        <v>267.33</v>
      </c>
      <c r="F13" s="65">
        <v>174105.8124</v>
      </c>
      <c r="G13" s="83">
        <v>465.43705999999997</v>
      </c>
      <c r="H13" s="32">
        <v>0</v>
      </c>
      <c r="I13" s="24">
        <v>0.63004817819229997</v>
      </c>
      <c r="J13" s="24">
        <v>2.49232992313706E-3</v>
      </c>
      <c r="K13" s="14"/>
      <c r="L13" s="14"/>
      <c r="M13" s="14"/>
    </row>
    <row r="14" spans="1:17" s="117" customFormat="1" x14ac:dyDescent="0.25">
      <c r="A14" s="91" t="s">
        <v>1308</v>
      </c>
      <c r="B14" s="135" t="s">
        <v>249</v>
      </c>
      <c r="C14" s="134" t="s">
        <v>249</v>
      </c>
      <c r="D14" s="134" t="s">
        <v>249</v>
      </c>
      <c r="E14" s="133" t="s">
        <v>249</v>
      </c>
      <c r="F14" s="120" t="s">
        <v>249</v>
      </c>
      <c r="G14" s="122">
        <v>0</v>
      </c>
      <c r="H14" s="119"/>
      <c r="I14" s="135">
        <v>0</v>
      </c>
      <c r="J14" s="135">
        <v>0</v>
      </c>
    </row>
    <row r="15" spans="1:17" s="117" customFormat="1" x14ac:dyDescent="0.25">
      <c r="A15" s="91" t="s">
        <v>1309</v>
      </c>
      <c r="B15" s="135" t="s">
        <v>249</v>
      </c>
      <c r="C15" s="134" t="s">
        <v>249</v>
      </c>
      <c r="D15" s="134" t="s">
        <v>249</v>
      </c>
      <c r="E15" s="133" t="s">
        <v>249</v>
      </c>
      <c r="F15" s="120" t="s">
        <v>249</v>
      </c>
      <c r="G15" s="122">
        <v>0</v>
      </c>
      <c r="H15" s="119"/>
      <c r="I15" s="135">
        <v>0</v>
      </c>
      <c r="J15" s="135">
        <v>0</v>
      </c>
    </row>
    <row r="16" spans="1:17" s="117" customFormat="1" x14ac:dyDescent="0.25">
      <c r="A16" s="91" t="s">
        <v>1310</v>
      </c>
      <c r="B16" s="135" t="s">
        <v>249</v>
      </c>
      <c r="C16" s="134" t="s">
        <v>249</v>
      </c>
      <c r="D16" s="134" t="s">
        <v>249</v>
      </c>
      <c r="E16" s="133" t="s">
        <v>249</v>
      </c>
      <c r="F16" s="120" t="s">
        <v>249</v>
      </c>
      <c r="G16" s="122">
        <v>273.29543039999999</v>
      </c>
      <c r="H16" s="119"/>
      <c r="I16" s="135">
        <v>0.36995182126623205</v>
      </c>
      <c r="J16" s="135">
        <v>1.4634468064114658E-3</v>
      </c>
    </row>
    <row r="17" spans="1:13" s="117" customFormat="1" x14ac:dyDescent="0.25">
      <c r="A17" s="91" t="s">
        <v>1303</v>
      </c>
      <c r="B17" s="135" t="s">
        <v>249</v>
      </c>
      <c r="C17" s="134" t="s">
        <v>249</v>
      </c>
      <c r="D17" s="134" t="s">
        <v>249</v>
      </c>
      <c r="E17" s="133" t="s">
        <v>249</v>
      </c>
      <c r="F17" s="120" t="s">
        <v>249</v>
      </c>
      <c r="G17" s="122">
        <v>0</v>
      </c>
      <c r="H17" s="119"/>
      <c r="I17" s="135">
        <v>0</v>
      </c>
      <c r="J17" s="135">
        <v>0</v>
      </c>
    </row>
    <row r="18" spans="1:13" s="117" customFormat="1" x14ac:dyDescent="0.25">
      <c r="A18" s="91" t="s">
        <v>1304</v>
      </c>
      <c r="B18" s="135" t="s">
        <v>249</v>
      </c>
      <c r="C18" s="134" t="s">
        <v>249</v>
      </c>
      <c r="D18" s="134" t="s">
        <v>249</v>
      </c>
      <c r="E18" s="133" t="s">
        <v>249</v>
      </c>
      <c r="F18" s="120" t="s">
        <v>249</v>
      </c>
      <c r="G18" s="122">
        <v>0</v>
      </c>
      <c r="H18" s="119"/>
      <c r="I18" s="135">
        <v>0</v>
      </c>
      <c r="J18" s="135">
        <v>0</v>
      </c>
    </row>
    <row r="19" spans="1:13" s="117" customFormat="1" x14ac:dyDescent="0.25">
      <c r="A19" s="91" t="s">
        <v>1308</v>
      </c>
      <c r="B19" s="135" t="s">
        <v>249</v>
      </c>
      <c r="C19" s="134" t="s">
        <v>249</v>
      </c>
      <c r="D19" s="134" t="s">
        <v>249</v>
      </c>
      <c r="E19" s="133" t="s">
        <v>249</v>
      </c>
      <c r="F19" s="120" t="s">
        <v>249</v>
      </c>
      <c r="G19" s="122">
        <v>0</v>
      </c>
      <c r="H19" s="119"/>
      <c r="I19" s="135">
        <v>0</v>
      </c>
      <c r="J19" s="135">
        <v>0</v>
      </c>
    </row>
    <row r="20" spans="1:13" s="117" customFormat="1" x14ac:dyDescent="0.25">
      <c r="A20" s="91" t="s">
        <v>1309</v>
      </c>
      <c r="B20" s="135" t="s">
        <v>249</v>
      </c>
      <c r="C20" s="134" t="s">
        <v>249</v>
      </c>
      <c r="D20" s="134" t="s">
        <v>249</v>
      </c>
      <c r="E20" s="133" t="s">
        <v>249</v>
      </c>
      <c r="F20" s="120" t="s">
        <v>249</v>
      </c>
      <c r="G20" s="122">
        <v>273.29543009999998</v>
      </c>
      <c r="H20" s="119"/>
      <c r="I20" s="135">
        <v>0.36995182086013101</v>
      </c>
      <c r="J20" s="135">
        <v>1.4634468048050208E-3</v>
      </c>
    </row>
    <row r="21" spans="1:13" x14ac:dyDescent="0.25">
      <c r="A21" s="16" t="s">
        <v>1311</v>
      </c>
      <c r="B21" s="24" t="s">
        <v>1312</v>
      </c>
      <c r="C21" s="60" t="s">
        <v>125</v>
      </c>
      <c r="D21" s="60" t="s">
        <v>1313</v>
      </c>
      <c r="E21" s="68">
        <v>3592.36</v>
      </c>
      <c r="F21" s="65">
        <v>1989.4567999999999</v>
      </c>
      <c r="G21" s="83">
        <v>273.29543000000001</v>
      </c>
      <c r="H21" s="32">
        <v>2.6927166433004753E-3</v>
      </c>
      <c r="I21" s="24">
        <v>0.36995182072476401</v>
      </c>
      <c r="J21" s="24">
        <v>1.4634468042695394E-3</v>
      </c>
      <c r="K21" s="14"/>
      <c r="L21" s="14"/>
      <c r="M21" s="14"/>
    </row>
    <row r="22" spans="1:13" s="117" customFormat="1" x14ac:dyDescent="0.25">
      <c r="A22" s="77" t="s">
        <v>241</v>
      </c>
      <c r="B22" s="123"/>
      <c r="C22" s="124"/>
      <c r="D22" s="124"/>
      <c r="E22" s="124"/>
      <c r="F22" s="125"/>
      <c r="G22" s="126"/>
      <c r="H22" s="127"/>
      <c r="I22" s="127"/>
      <c r="J22" s="127"/>
      <c r="K22" s="146"/>
      <c r="L22" s="128"/>
      <c r="M22" s="128"/>
    </row>
    <row r="23" spans="1:13" s="117" customFormat="1" x14ac:dyDescent="0.25">
      <c r="A23" s="77" t="s">
        <v>242</v>
      </c>
      <c r="B23" s="123"/>
      <c r="C23" s="124"/>
      <c r="D23" s="124"/>
      <c r="E23" s="124"/>
      <c r="F23" s="125"/>
      <c r="G23" s="126"/>
      <c r="H23" s="127"/>
      <c r="I23" s="127"/>
      <c r="J23" s="127"/>
      <c r="K23" s="146"/>
      <c r="L23" s="128"/>
      <c r="M23" s="128"/>
    </row>
    <row r="24" spans="1:13" s="117" customFormat="1" x14ac:dyDescent="0.25">
      <c r="A24" s="77" t="s">
        <v>243</v>
      </c>
      <c r="B24" s="123"/>
      <c r="C24" s="124"/>
      <c r="D24" s="124"/>
      <c r="E24" s="124"/>
      <c r="F24" s="125"/>
      <c r="G24" s="126"/>
      <c r="H24" s="127"/>
      <c r="I24" s="127"/>
      <c r="J24" s="127"/>
      <c r="K24" s="146"/>
      <c r="L24" s="128"/>
      <c r="M24" s="128"/>
    </row>
    <row r="25" spans="1:13" s="117" customFormat="1" x14ac:dyDescent="0.25">
      <c r="A25" s="77" t="s">
        <v>244</v>
      </c>
      <c r="B25" s="123"/>
      <c r="C25" s="124"/>
      <c r="D25" s="124"/>
      <c r="E25" s="124"/>
      <c r="F25" s="125"/>
      <c r="G25" s="126"/>
      <c r="H25" s="127"/>
      <c r="I25" s="127"/>
      <c r="J25" s="127"/>
      <c r="K25" s="146"/>
      <c r="L25" s="128"/>
      <c r="M25" s="128"/>
    </row>
    <row r="26" spans="1:13" s="117" customFormat="1" x14ac:dyDescent="0.25">
      <c r="A26" s="77" t="s">
        <v>245</v>
      </c>
      <c r="B26" s="123"/>
      <c r="C26" s="124"/>
      <c r="D26" s="124"/>
      <c r="E26" s="124"/>
      <c r="F26" s="125"/>
      <c r="G26" s="126"/>
      <c r="H26" s="127"/>
      <c r="I26" s="127"/>
      <c r="J26" s="127"/>
      <c r="K26" s="146"/>
      <c r="L26" s="128"/>
      <c r="M26" s="128"/>
    </row>
  </sheetData>
  <mergeCells count="2">
    <mergeCell ref="A5:J5"/>
    <mergeCell ref="A4:J4"/>
  </mergeCells>
  <phoneticPr fontId="3" type="noConversion"/>
  <conditionalFormatting sqref="A10:A21 G10:G21">
    <cfRule type="expression" dxfId="53" priority="337" stopIfTrue="1">
      <formula>#REF!&gt;0</formula>
    </cfRule>
  </conditionalFormatting>
  <conditionalFormatting sqref="B10:D21 I10:J21">
    <cfRule type="expression" dxfId="52" priority="335" stopIfTrue="1">
      <formula>OR(LEFT(#REF!,3)="TIR",LEFT(#REF!,2)="IR")</formula>
    </cfRule>
  </conditionalFormatting>
  <conditionalFormatting sqref="F11:F21">
    <cfRule type="expression" dxfId="51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7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4" t="s">
        <v>31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5" t="s">
        <v>157</v>
      </c>
      <c r="B6" s="204" t="s">
        <v>69</v>
      </c>
      <c r="C6" s="204" t="s">
        <v>19</v>
      </c>
      <c r="D6" s="204" t="s">
        <v>6</v>
      </c>
      <c r="E6" s="204" t="s">
        <v>13</v>
      </c>
      <c r="F6" s="205" t="s">
        <v>67</v>
      </c>
      <c r="G6" s="205" t="s">
        <v>68</v>
      </c>
      <c r="H6" s="205" t="s">
        <v>29</v>
      </c>
      <c r="I6" s="88" t="s">
        <v>17</v>
      </c>
      <c r="J6" s="88" t="s">
        <v>75</v>
      </c>
      <c r="K6" s="89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7" customFormat="1" ht="12.75" customHeight="1" thickBot="1" x14ac:dyDescent="0.3">
      <c r="A9" s="98" t="s">
        <v>55</v>
      </c>
      <c r="B9" s="66" t="s">
        <v>249</v>
      </c>
      <c r="C9" s="66" t="s">
        <v>249</v>
      </c>
      <c r="D9" s="137" t="s">
        <v>249</v>
      </c>
      <c r="E9" s="137" t="s">
        <v>249</v>
      </c>
      <c r="F9" s="139" t="s">
        <v>249</v>
      </c>
      <c r="G9" s="137" t="s">
        <v>249</v>
      </c>
      <c r="H9" s="151">
        <v>71.357160199999996</v>
      </c>
      <c r="I9" s="69"/>
      <c r="J9" s="82">
        <v>1</v>
      </c>
      <c r="K9" s="81">
        <v>3.821044795971874E-4</v>
      </c>
    </row>
    <row r="10" spans="1:18" s="117" customFormat="1" x14ac:dyDescent="0.25">
      <c r="A10" s="90" t="s">
        <v>1314</v>
      </c>
      <c r="B10" s="119" t="s">
        <v>249</v>
      </c>
      <c r="C10" s="119" t="s">
        <v>249</v>
      </c>
      <c r="D10" s="141" t="s">
        <v>249</v>
      </c>
      <c r="E10" s="141" t="s">
        <v>249</v>
      </c>
      <c r="F10" s="140" t="s">
        <v>249</v>
      </c>
      <c r="G10" s="141" t="s">
        <v>249</v>
      </c>
      <c r="H10" s="121">
        <v>71.357160100000002</v>
      </c>
      <c r="I10" s="119" t="s">
        <v>249</v>
      </c>
      <c r="J10" s="119">
        <v>0.99999999859859912</v>
      </c>
      <c r="K10" s="119">
        <v>3.821044790617058E-4</v>
      </c>
    </row>
    <row r="11" spans="1:18" x14ac:dyDescent="0.25">
      <c r="A11" s="16" t="s">
        <v>1315</v>
      </c>
      <c r="B11" s="24" t="s">
        <v>1316</v>
      </c>
      <c r="C11" s="24" t="s">
        <v>226</v>
      </c>
      <c r="D11" s="25" t="s">
        <v>255</v>
      </c>
      <c r="E11" s="25" t="s">
        <v>853</v>
      </c>
      <c r="F11" s="108">
        <v>27603.25</v>
      </c>
      <c r="G11" s="25">
        <v>258.51</v>
      </c>
      <c r="H11" s="83">
        <v>71.357160000000007</v>
      </c>
      <c r="I11" s="24">
        <v>4.0308484228971965E-3</v>
      </c>
      <c r="J11" s="32">
        <v>0.9999999971971979</v>
      </c>
      <c r="K11" s="32">
        <v>3.8210447852622421E-4</v>
      </c>
      <c r="L11" s="14"/>
      <c r="M11" s="14"/>
      <c r="N11" s="14"/>
    </row>
    <row r="12" spans="1:18" s="117" customFormat="1" x14ac:dyDescent="0.25">
      <c r="A12" s="91" t="s">
        <v>1317</v>
      </c>
      <c r="B12" s="135" t="s">
        <v>249</v>
      </c>
      <c r="C12" s="135" t="s">
        <v>249</v>
      </c>
      <c r="D12" s="143" t="s">
        <v>249</v>
      </c>
      <c r="E12" s="143" t="s">
        <v>249</v>
      </c>
      <c r="F12" s="142" t="s">
        <v>249</v>
      </c>
      <c r="G12" s="143" t="s">
        <v>249</v>
      </c>
      <c r="H12" s="122">
        <v>0</v>
      </c>
      <c r="I12" s="135"/>
      <c r="J12" s="119">
        <v>0</v>
      </c>
      <c r="K12" s="119">
        <v>0</v>
      </c>
    </row>
    <row r="13" spans="1:18" s="117" customFormat="1" x14ac:dyDescent="0.25">
      <c r="A13" s="77" t="s">
        <v>241</v>
      </c>
      <c r="B13" s="123"/>
      <c r="C13" s="77"/>
      <c r="D13" s="144"/>
      <c r="E13" s="144"/>
      <c r="F13" s="144"/>
      <c r="G13" s="145"/>
      <c r="H13" s="128"/>
      <c r="I13" s="146"/>
      <c r="J13" s="146"/>
      <c r="K13" s="146"/>
      <c r="L13" s="146"/>
      <c r="M13" s="128"/>
      <c r="N13" s="128"/>
    </row>
    <row r="14" spans="1:18" s="117" customFormat="1" x14ac:dyDescent="0.25">
      <c r="A14" s="77" t="s">
        <v>242</v>
      </c>
      <c r="B14" s="123"/>
      <c r="C14" s="77"/>
      <c r="D14" s="144"/>
      <c r="E14" s="144"/>
      <c r="F14" s="144"/>
      <c r="G14" s="145"/>
      <c r="H14" s="128"/>
      <c r="I14" s="146"/>
      <c r="J14" s="146"/>
      <c r="K14" s="146"/>
      <c r="L14" s="146"/>
      <c r="M14" s="128"/>
      <c r="N14" s="128"/>
    </row>
    <row r="15" spans="1:18" s="117" customFormat="1" x14ac:dyDescent="0.25">
      <c r="A15" s="77" t="s">
        <v>243</v>
      </c>
      <c r="B15" s="123"/>
      <c r="C15" s="77"/>
      <c r="D15" s="144"/>
      <c r="E15" s="144"/>
      <c r="F15" s="144"/>
      <c r="G15" s="145"/>
      <c r="H15" s="128"/>
      <c r="I15" s="146"/>
      <c r="J15" s="146"/>
      <c r="K15" s="146"/>
      <c r="L15" s="146"/>
      <c r="M15" s="128"/>
      <c r="N15" s="128"/>
    </row>
    <row r="16" spans="1:18" s="117" customFormat="1" x14ac:dyDescent="0.25">
      <c r="A16" s="77" t="s">
        <v>244</v>
      </c>
      <c r="B16" s="123"/>
      <c r="C16" s="77"/>
      <c r="D16" s="144"/>
      <c r="E16" s="144"/>
      <c r="F16" s="144"/>
      <c r="G16" s="145"/>
      <c r="H16" s="128"/>
      <c r="I16" s="146"/>
      <c r="J16" s="146"/>
      <c r="K16" s="146"/>
      <c r="L16" s="146"/>
      <c r="M16" s="128"/>
      <c r="N16" s="128"/>
    </row>
    <row r="17" spans="1:14" s="117" customFormat="1" x14ac:dyDescent="0.25">
      <c r="A17" s="77" t="s">
        <v>245</v>
      </c>
      <c r="B17" s="123"/>
      <c r="C17" s="77"/>
      <c r="D17" s="144"/>
      <c r="E17" s="144"/>
      <c r="F17" s="144"/>
      <c r="G17" s="145"/>
      <c r="H17" s="128"/>
      <c r="I17" s="146"/>
      <c r="J17" s="146"/>
      <c r="K17" s="146"/>
      <c r="L17" s="146"/>
      <c r="M17" s="128"/>
      <c r="N17" s="128"/>
    </row>
  </sheetData>
  <mergeCells count="2">
    <mergeCell ref="A5:K5"/>
    <mergeCell ref="A4:K4"/>
  </mergeCells>
  <phoneticPr fontId="3" type="noConversion"/>
  <conditionalFormatting sqref="A9:A12 H9:H12">
    <cfRule type="expression" dxfId="50" priority="343" stopIfTrue="1">
      <formula>#REF!&gt;0</formula>
    </cfRule>
  </conditionalFormatting>
  <conditionalFormatting sqref="J9:K12">
    <cfRule type="expression" dxfId="49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9" customWidth="1"/>
    <col min="5" max="5" width="14.109375" style="59" customWidth="1"/>
    <col min="6" max="6" width="10.5546875" style="59" customWidth="1"/>
    <col min="7" max="7" width="7" style="36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4" t="s">
        <v>32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5" t="s">
        <v>157</v>
      </c>
      <c r="B6" s="204" t="s">
        <v>69</v>
      </c>
      <c r="C6" s="204" t="s">
        <v>19</v>
      </c>
      <c r="D6" s="204" t="s">
        <v>6</v>
      </c>
      <c r="E6" s="204" t="s">
        <v>13</v>
      </c>
      <c r="F6" s="205" t="s">
        <v>67</v>
      </c>
      <c r="G6" s="205" t="s">
        <v>68</v>
      </c>
      <c r="H6" s="205" t="s">
        <v>29</v>
      </c>
      <c r="I6" s="88" t="s">
        <v>17</v>
      </c>
      <c r="J6" s="88" t="s">
        <v>75</v>
      </c>
      <c r="K6" s="89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7" customFormat="1" ht="12.75" customHeight="1" thickBot="1" x14ac:dyDescent="0.3">
      <c r="A9" s="98" t="s">
        <v>56</v>
      </c>
      <c r="B9" s="66" t="s">
        <v>249</v>
      </c>
      <c r="C9" s="66" t="s">
        <v>249</v>
      </c>
      <c r="D9" s="99" t="s">
        <v>249</v>
      </c>
      <c r="E9" s="99" t="s">
        <v>249</v>
      </c>
      <c r="F9" s="100" t="s">
        <v>249</v>
      </c>
      <c r="G9" s="99" t="s">
        <v>249</v>
      </c>
      <c r="H9" s="106">
        <v>9.9999999999999995E-7</v>
      </c>
      <c r="I9" s="66" t="s">
        <v>249</v>
      </c>
      <c r="J9" s="66">
        <v>1</v>
      </c>
      <c r="K9" s="80">
        <v>0</v>
      </c>
    </row>
    <row r="10" spans="1:18" s="117" customFormat="1" x14ac:dyDescent="0.25">
      <c r="A10" s="90" t="s">
        <v>1318</v>
      </c>
      <c r="B10" s="119" t="s">
        <v>249</v>
      </c>
      <c r="C10" s="119" t="s">
        <v>249</v>
      </c>
      <c r="D10" s="120" t="s">
        <v>249</v>
      </c>
      <c r="E10" s="120" t="s">
        <v>249</v>
      </c>
      <c r="F10" s="131" t="s">
        <v>249</v>
      </c>
      <c r="G10" s="120" t="s">
        <v>249</v>
      </c>
      <c r="H10" s="121">
        <v>0</v>
      </c>
      <c r="I10" s="119" t="s">
        <v>249</v>
      </c>
      <c r="J10" s="119">
        <v>0</v>
      </c>
      <c r="K10" s="119">
        <v>0</v>
      </c>
    </row>
    <row r="11" spans="1:18" s="117" customFormat="1" x14ac:dyDescent="0.25">
      <c r="A11" s="91" t="s">
        <v>1213</v>
      </c>
      <c r="B11" s="135" t="s">
        <v>249</v>
      </c>
      <c r="C11" s="135" t="s">
        <v>249</v>
      </c>
      <c r="D11" s="134" t="s">
        <v>249</v>
      </c>
      <c r="E11" s="134" t="s">
        <v>249</v>
      </c>
      <c r="F11" s="133" t="s">
        <v>249</v>
      </c>
      <c r="G11" s="134" t="s">
        <v>249</v>
      </c>
      <c r="H11" s="122">
        <v>0</v>
      </c>
      <c r="I11" s="135"/>
      <c r="J11" s="135">
        <v>0</v>
      </c>
      <c r="K11" s="135">
        <v>0</v>
      </c>
    </row>
    <row r="12" spans="1:18" s="117" customFormat="1" x14ac:dyDescent="0.25">
      <c r="A12" s="91" t="s">
        <v>1319</v>
      </c>
      <c r="B12" s="135" t="s">
        <v>249</v>
      </c>
      <c r="C12" s="135" t="s">
        <v>249</v>
      </c>
      <c r="D12" s="134" t="s">
        <v>249</v>
      </c>
      <c r="E12" s="134" t="s">
        <v>249</v>
      </c>
      <c r="F12" s="133" t="s">
        <v>249</v>
      </c>
      <c r="G12" s="134" t="s">
        <v>249</v>
      </c>
      <c r="H12" s="122">
        <v>0</v>
      </c>
      <c r="I12" s="135"/>
      <c r="J12" s="135">
        <v>0</v>
      </c>
      <c r="K12" s="135">
        <v>0</v>
      </c>
    </row>
    <row r="13" spans="1:18" s="117" customFormat="1" x14ac:dyDescent="0.25">
      <c r="A13" s="91" t="s">
        <v>1320</v>
      </c>
      <c r="B13" s="135" t="s">
        <v>249</v>
      </c>
      <c r="C13" s="135" t="s">
        <v>249</v>
      </c>
      <c r="D13" s="134" t="s">
        <v>249</v>
      </c>
      <c r="E13" s="134" t="s">
        <v>249</v>
      </c>
      <c r="F13" s="133" t="s">
        <v>249</v>
      </c>
      <c r="G13" s="134" t="s">
        <v>249</v>
      </c>
      <c r="H13" s="122">
        <v>0</v>
      </c>
      <c r="I13" s="135"/>
      <c r="J13" s="135">
        <v>0</v>
      </c>
      <c r="K13" s="135">
        <v>0</v>
      </c>
    </row>
    <row r="14" spans="1:18" s="117" customFormat="1" x14ac:dyDescent="0.25">
      <c r="A14" s="91" t="s">
        <v>1215</v>
      </c>
      <c r="B14" s="135" t="s">
        <v>249</v>
      </c>
      <c r="C14" s="135" t="s">
        <v>249</v>
      </c>
      <c r="D14" s="134" t="s">
        <v>249</v>
      </c>
      <c r="E14" s="134" t="s">
        <v>249</v>
      </c>
      <c r="F14" s="133" t="s">
        <v>249</v>
      </c>
      <c r="G14" s="134" t="s">
        <v>249</v>
      </c>
      <c r="H14" s="122">
        <v>0</v>
      </c>
      <c r="I14" s="135"/>
      <c r="J14" s="135">
        <v>0</v>
      </c>
      <c r="K14" s="135">
        <v>0</v>
      </c>
    </row>
    <row r="15" spans="1:18" s="117" customFormat="1" x14ac:dyDescent="0.25">
      <c r="A15" s="91" t="s">
        <v>141</v>
      </c>
      <c r="B15" s="135" t="s">
        <v>249</v>
      </c>
      <c r="C15" s="135" t="s">
        <v>249</v>
      </c>
      <c r="D15" s="134" t="s">
        <v>249</v>
      </c>
      <c r="E15" s="134" t="s">
        <v>249</v>
      </c>
      <c r="F15" s="133" t="s">
        <v>249</v>
      </c>
      <c r="G15" s="134" t="s">
        <v>249</v>
      </c>
      <c r="H15" s="122">
        <v>0</v>
      </c>
      <c r="I15" s="135"/>
      <c r="J15" s="135">
        <v>0</v>
      </c>
      <c r="K15" s="135">
        <v>0</v>
      </c>
    </row>
    <row r="16" spans="1:18" s="117" customFormat="1" x14ac:dyDescent="0.25">
      <c r="A16" s="91" t="s">
        <v>1321</v>
      </c>
      <c r="B16" s="135" t="s">
        <v>249</v>
      </c>
      <c r="C16" s="135" t="s">
        <v>249</v>
      </c>
      <c r="D16" s="134" t="s">
        <v>249</v>
      </c>
      <c r="E16" s="134" t="s">
        <v>249</v>
      </c>
      <c r="F16" s="133" t="s">
        <v>249</v>
      </c>
      <c r="G16" s="134" t="s">
        <v>249</v>
      </c>
      <c r="H16" s="122">
        <v>0</v>
      </c>
      <c r="I16" s="135"/>
      <c r="J16" s="135">
        <v>0</v>
      </c>
      <c r="K16" s="135">
        <v>0</v>
      </c>
    </row>
    <row r="17" spans="1:14" s="117" customFormat="1" x14ac:dyDescent="0.25">
      <c r="A17" s="91" t="s">
        <v>1213</v>
      </c>
      <c r="B17" s="135" t="s">
        <v>249</v>
      </c>
      <c r="C17" s="135" t="s">
        <v>249</v>
      </c>
      <c r="D17" s="134" t="s">
        <v>249</v>
      </c>
      <c r="E17" s="134" t="s">
        <v>249</v>
      </c>
      <c r="F17" s="133" t="s">
        <v>249</v>
      </c>
      <c r="G17" s="134" t="s">
        <v>249</v>
      </c>
      <c r="H17" s="122">
        <v>0</v>
      </c>
      <c r="I17" s="135"/>
      <c r="J17" s="135">
        <v>0</v>
      </c>
      <c r="K17" s="135">
        <v>0</v>
      </c>
    </row>
    <row r="18" spans="1:14" s="117" customFormat="1" x14ac:dyDescent="0.25">
      <c r="A18" s="91" t="s">
        <v>1216</v>
      </c>
      <c r="B18" s="135" t="s">
        <v>249</v>
      </c>
      <c r="C18" s="135" t="s">
        <v>249</v>
      </c>
      <c r="D18" s="134" t="s">
        <v>249</v>
      </c>
      <c r="E18" s="134" t="s">
        <v>249</v>
      </c>
      <c r="F18" s="133" t="s">
        <v>249</v>
      </c>
      <c r="G18" s="134" t="s">
        <v>249</v>
      </c>
      <c r="H18" s="122">
        <v>0</v>
      </c>
      <c r="I18" s="135"/>
      <c r="J18" s="135">
        <v>0</v>
      </c>
      <c r="K18" s="135">
        <v>0</v>
      </c>
    </row>
    <row r="19" spans="1:14" s="117" customFormat="1" x14ac:dyDescent="0.25">
      <c r="A19" s="91" t="s">
        <v>1215</v>
      </c>
      <c r="B19" s="135" t="s">
        <v>249</v>
      </c>
      <c r="C19" s="135" t="s">
        <v>249</v>
      </c>
      <c r="D19" s="134" t="s">
        <v>249</v>
      </c>
      <c r="E19" s="134" t="s">
        <v>249</v>
      </c>
      <c r="F19" s="133" t="s">
        <v>249</v>
      </c>
      <c r="G19" s="134" t="s">
        <v>249</v>
      </c>
      <c r="H19" s="122">
        <v>0</v>
      </c>
      <c r="I19" s="135"/>
      <c r="J19" s="135">
        <v>0</v>
      </c>
      <c r="K19" s="135">
        <v>0</v>
      </c>
    </row>
    <row r="20" spans="1:14" s="117" customFormat="1" x14ac:dyDescent="0.25">
      <c r="A20" s="91" t="s">
        <v>1217</v>
      </c>
      <c r="B20" s="135" t="s">
        <v>249</v>
      </c>
      <c r="C20" s="135" t="s">
        <v>249</v>
      </c>
      <c r="D20" s="134" t="s">
        <v>249</v>
      </c>
      <c r="E20" s="134" t="s">
        <v>249</v>
      </c>
      <c r="F20" s="133" t="s">
        <v>249</v>
      </c>
      <c r="G20" s="134" t="s">
        <v>249</v>
      </c>
      <c r="H20" s="122">
        <v>0</v>
      </c>
      <c r="I20" s="135"/>
      <c r="J20" s="135">
        <v>0</v>
      </c>
      <c r="K20" s="135">
        <v>0</v>
      </c>
    </row>
    <row r="21" spans="1:14" s="117" customFormat="1" x14ac:dyDescent="0.25">
      <c r="A21" s="91" t="s">
        <v>141</v>
      </c>
      <c r="B21" s="135" t="s">
        <v>249</v>
      </c>
      <c r="C21" s="135" t="s">
        <v>249</v>
      </c>
      <c r="D21" s="134" t="s">
        <v>249</v>
      </c>
      <c r="E21" s="134" t="s">
        <v>249</v>
      </c>
      <c r="F21" s="133" t="s">
        <v>249</v>
      </c>
      <c r="G21" s="134" t="s">
        <v>249</v>
      </c>
      <c r="H21" s="122">
        <v>0</v>
      </c>
      <c r="I21" s="135"/>
      <c r="J21" s="135">
        <v>0</v>
      </c>
      <c r="K21" s="135">
        <v>0</v>
      </c>
    </row>
    <row r="22" spans="1:14" s="117" customFormat="1" x14ac:dyDescent="0.25">
      <c r="A22" s="77" t="s">
        <v>241</v>
      </c>
      <c r="B22" s="123"/>
      <c r="C22" s="123"/>
      <c r="D22" s="124"/>
      <c r="E22" s="124"/>
      <c r="F22" s="124"/>
      <c r="G22" s="125"/>
      <c r="H22" s="126"/>
      <c r="I22" s="127"/>
      <c r="J22" s="127"/>
      <c r="K22" s="127"/>
      <c r="L22" s="146"/>
      <c r="M22" s="128"/>
      <c r="N22" s="128"/>
    </row>
    <row r="23" spans="1:14" s="117" customFormat="1" x14ac:dyDescent="0.25">
      <c r="A23" s="77" t="s">
        <v>242</v>
      </c>
      <c r="B23" s="123"/>
      <c r="C23" s="123"/>
      <c r="D23" s="124"/>
      <c r="E23" s="124"/>
      <c r="F23" s="124"/>
      <c r="G23" s="125"/>
      <c r="H23" s="126"/>
      <c r="I23" s="127"/>
      <c r="J23" s="127"/>
      <c r="K23" s="127"/>
      <c r="L23" s="146"/>
      <c r="M23" s="128"/>
      <c r="N23" s="128"/>
    </row>
    <row r="24" spans="1:14" s="117" customFormat="1" x14ac:dyDescent="0.25">
      <c r="A24" s="77" t="s">
        <v>243</v>
      </c>
      <c r="B24" s="123"/>
      <c r="C24" s="123"/>
      <c r="D24" s="124"/>
      <c r="E24" s="124"/>
      <c r="F24" s="124"/>
      <c r="G24" s="125"/>
      <c r="H24" s="126"/>
      <c r="I24" s="127"/>
      <c r="J24" s="127"/>
      <c r="K24" s="127"/>
      <c r="L24" s="146"/>
      <c r="M24" s="128"/>
      <c r="N24" s="128"/>
    </row>
    <row r="25" spans="1:14" s="117" customFormat="1" x14ac:dyDescent="0.25">
      <c r="A25" s="77" t="s">
        <v>244</v>
      </c>
      <c r="B25" s="123"/>
      <c r="C25" s="123"/>
      <c r="D25" s="124"/>
      <c r="E25" s="124"/>
      <c r="F25" s="124"/>
      <c r="G25" s="125"/>
      <c r="H25" s="126"/>
      <c r="I25" s="127"/>
      <c r="J25" s="127"/>
      <c r="K25" s="127"/>
      <c r="L25" s="146"/>
      <c r="M25" s="128"/>
      <c r="N25" s="128"/>
    </row>
    <row r="26" spans="1:14" s="117" customFormat="1" x14ac:dyDescent="0.25">
      <c r="A26" s="77" t="s">
        <v>245</v>
      </c>
      <c r="B26" s="123"/>
      <c r="C26" s="123"/>
      <c r="D26" s="124"/>
      <c r="E26" s="124"/>
      <c r="F26" s="124"/>
      <c r="G26" s="125"/>
      <c r="H26" s="126"/>
      <c r="I26" s="127"/>
      <c r="J26" s="127"/>
      <c r="K26" s="127"/>
      <c r="L26" s="146"/>
      <c r="M26" s="128"/>
      <c r="N26" s="128"/>
    </row>
  </sheetData>
  <mergeCells count="2">
    <mergeCell ref="A5:K5"/>
    <mergeCell ref="A4:K4"/>
  </mergeCells>
  <phoneticPr fontId="3" type="noConversion"/>
  <conditionalFormatting sqref="A10:A21 H10:H21">
    <cfRule type="expression" dxfId="48" priority="351" stopIfTrue="1">
      <formula>#REF!&gt;0</formula>
    </cfRule>
  </conditionalFormatting>
  <conditionalFormatting sqref="B10:E21 J10:K21">
    <cfRule type="expression" dxfId="47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61"/>
  <sheetViews>
    <sheetView rightToLeft="1" zoomScale="85" workbookViewId="0"/>
  </sheetViews>
  <sheetFormatPr defaultColWidth="9.109375" defaultRowHeight="13.2" x14ac:dyDescent="0.25"/>
  <cols>
    <col min="1" max="1" width="42.554687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2.44140625" style="59" bestFit="1" customWidth="1"/>
    <col min="7" max="7" width="6.6640625" style="36" bestFit="1" customWidth="1"/>
    <col min="8" max="8" width="9.88671875" style="6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3"/>
      <c r="K4" s="13"/>
      <c r="L4" s="13"/>
      <c r="M4" s="12"/>
      <c r="N4" s="12"/>
      <c r="O4" s="12"/>
    </row>
    <row r="5" spans="1:15" s="7" customFormat="1" x14ac:dyDescent="0.25">
      <c r="A5" s="224" t="s">
        <v>33</v>
      </c>
      <c r="B5" s="225"/>
      <c r="C5" s="225"/>
      <c r="D5" s="225"/>
      <c r="E5" s="225"/>
      <c r="F5" s="225"/>
      <c r="G5" s="225"/>
      <c r="H5" s="225"/>
      <c r="I5" s="225"/>
      <c r="J5" s="226"/>
      <c r="K5" s="13"/>
      <c r="L5" s="13"/>
      <c r="M5" s="12"/>
      <c r="N5" s="12"/>
      <c r="O5" s="12"/>
    </row>
    <row r="6" spans="1:15" s="7" customFormat="1" x14ac:dyDescent="0.25">
      <c r="A6" s="85" t="s">
        <v>157</v>
      </c>
      <c r="B6" s="204" t="s">
        <v>69</v>
      </c>
      <c r="C6" s="204" t="s">
        <v>19</v>
      </c>
      <c r="D6" s="204" t="s">
        <v>6</v>
      </c>
      <c r="E6" s="204" t="s">
        <v>13</v>
      </c>
      <c r="F6" s="205" t="s">
        <v>67</v>
      </c>
      <c r="G6" s="205" t="s">
        <v>68</v>
      </c>
      <c r="H6" s="205" t="s">
        <v>29</v>
      </c>
      <c r="I6" s="88" t="s">
        <v>75</v>
      </c>
      <c r="J6" s="89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7" customFormat="1" ht="12.75" customHeight="1" thickBot="1" x14ac:dyDescent="0.3">
      <c r="A9" s="98" t="s">
        <v>62</v>
      </c>
      <c r="B9" s="66"/>
      <c r="C9" s="66"/>
      <c r="D9" s="99"/>
      <c r="E9" s="99"/>
      <c r="F9" s="100"/>
      <c r="G9" s="99"/>
      <c r="H9" s="101">
        <v>-1044.5561591000001</v>
      </c>
      <c r="I9" s="66">
        <v>1</v>
      </c>
      <c r="J9" s="80">
        <v>-5.5934062743565067E-3</v>
      </c>
    </row>
    <row r="10" spans="1:15" s="117" customFormat="1" x14ac:dyDescent="0.25">
      <c r="A10" s="90" t="s">
        <v>1322</v>
      </c>
      <c r="B10" s="119" t="s">
        <v>249</v>
      </c>
      <c r="C10" s="119" t="s">
        <v>249</v>
      </c>
      <c r="D10" s="120" t="s">
        <v>249</v>
      </c>
      <c r="E10" s="120" t="s">
        <v>249</v>
      </c>
      <c r="F10" s="131" t="s">
        <v>249</v>
      </c>
      <c r="G10" s="120" t="s">
        <v>249</v>
      </c>
      <c r="H10" s="121">
        <v>-1026.8355395000003</v>
      </c>
      <c r="I10" s="119">
        <v>0.98303526388158202</v>
      </c>
      <c r="J10" s="119">
        <v>-5.4985156129089456E-3</v>
      </c>
    </row>
    <row r="11" spans="1:15" s="117" customFormat="1" x14ac:dyDescent="0.25">
      <c r="A11" s="91" t="s">
        <v>1213</v>
      </c>
      <c r="B11" s="135" t="s">
        <v>249</v>
      </c>
      <c r="C11" s="135" t="s">
        <v>249</v>
      </c>
      <c r="D11" s="134" t="s">
        <v>249</v>
      </c>
      <c r="E11" s="134" t="s">
        <v>249</v>
      </c>
      <c r="F11" s="133" t="s">
        <v>249</v>
      </c>
      <c r="G11" s="134" t="s">
        <v>249</v>
      </c>
      <c r="H11" s="122">
        <v>0</v>
      </c>
      <c r="I11" s="135">
        <v>0</v>
      </c>
      <c r="J11" s="135">
        <v>0</v>
      </c>
    </row>
    <row r="12" spans="1:15" s="117" customFormat="1" x14ac:dyDescent="0.25">
      <c r="A12" s="91" t="s">
        <v>1215</v>
      </c>
      <c r="B12" s="135" t="s">
        <v>249</v>
      </c>
      <c r="C12" s="135" t="s">
        <v>249</v>
      </c>
      <c r="D12" s="134" t="s">
        <v>249</v>
      </c>
      <c r="E12" s="134" t="s">
        <v>249</v>
      </c>
      <c r="F12" s="133" t="s">
        <v>249</v>
      </c>
      <c r="G12" s="134" t="s">
        <v>249</v>
      </c>
      <c r="H12" s="122">
        <v>-3.5658299000000118</v>
      </c>
      <c r="I12" s="135">
        <v>3.4137273223034423E-3</v>
      </c>
      <c r="J12" s="135">
        <v>-1.9094363823514312E-5</v>
      </c>
    </row>
    <row r="13" spans="1:15" x14ac:dyDescent="0.25">
      <c r="A13" s="16" t="s">
        <v>1326</v>
      </c>
      <c r="B13" s="24" t="s">
        <v>1327</v>
      </c>
      <c r="C13" s="24" t="s">
        <v>200</v>
      </c>
      <c r="D13" s="60" t="s">
        <v>255</v>
      </c>
      <c r="E13" s="60" t="s">
        <v>1325</v>
      </c>
      <c r="F13" s="68">
        <v>-460051.64234447002</v>
      </c>
      <c r="G13" s="60">
        <v>100.025942</v>
      </c>
      <c r="H13" s="83">
        <v>-460.17099000000002</v>
      </c>
      <c r="I13" s="24">
        <v>0.44054212498874917</v>
      </c>
      <c r="J13" s="24">
        <v>-2.4641310860304181E-3</v>
      </c>
      <c r="K13" s="14"/>
      <c r="L13" s="14"/>
      <c r="M13" s="14"/>
      <c r="N13" s="14"/>
    </row>
    <row r="14" spans="1:15" x14ac:dyDescent="0.25">
      <c r="A14" s="16" t="s">
        <v>1330</v>
      </c>
      <c r="B14" s="24" t="s">
        <v>1331</v>
      </c>
      <c r="C14" s="24" t="s">
        <v>200</v>
      </c>
      <c r="D14" s="60" t="s">
        <v>255</v>
      </c>
      <c r="E14" s="60" t="s">
        <v>1325</v>
      </c>
      <c r="F14" s="68">
        <v>460051.64234447002</v>
      </c>
      <c r="G14" s="60">
        <v>99.532719999999998</v>
      </c>
      <c r="H14" s="83">
        <v>457.90190999999999</v>
      </c>
      <c r="I14" s="24">
        <v>-0.43836983393457063</v>
      </c>
      <c r="J14" s="24">
        <v>2.4519805796182474E-3</v>
      </c>
      <c r="K14" s="14"/>
      <c r="L14" s="14"/>
      <c r="M14" s="14"/>
      <c r="N14" s="14"/>
    </row>
    <row r="15" spans="1:15" x14ac:dyDescent="0.25">
      <c r="A15" s="16" t="s">
        <v>1323</v>
      </c>
      <c r="B15" s="24" t="s">
        <v>1324</v>
      </c>
      <c r="C15" s="24" t="s">
        <v>200</v>
      </c>
      <c r="D15" s="60" t="s">
        <v>255</v>
      </c>
      <c r="E15" s="60" t="s">
        <v>1325</v>
      </c>
      <c r="F15" s="68">
        <v>-230025.82117223501</v>
      </c>
      <c r="G15" s="60">
        <v>100.025942</v>
      </c>
      <c r="H15" s="83">
        <v>-230.0855</v>
      </c>
      <c r="I15" s="24">
        <v>0.22027106728109663</v>
      </c>
      <c r="J15" s="24">
        <v>-1.2320655697892903E-3</v>
      </c>
      <c r="K15" s="14"/>
      <c r="L15" s="14"/>
      <c r="M15" s="14"/>
      <c r="N15" s="14"/>
    </row>
    <row r="16" spans="1:15" x14ac:dyDescent="0.25">
      <c r="A16" s="16" t="s">
        <v>1328</v>
      </c>
      <c r="B16" s="24" t="s">
        <v>1329</v>
      </c>
      <c r="C16" s="24" t="s">
        <v>200</v>
      </c>
      <c r="D16" s="60" t="s">
        <v>255</v>
      </c>
      <c r="E16" s="60" t="s">
        <v>1325</v>
      </c>
      <c r="F16" s="68">
        <v>230025.82117223501</v>
      </c>
      <c r="G16" s="60">
        <v>99.462203000000002</v>
      </c>
      <c r="H16" s="83">
        <v>228.78874999999999</v>
      </c>
      <c r="I16" s="24">
        <v>-0.21902963091723729</v>
      </c>
      <c r="J16" s="24">
        <v>1.225121711842465E-3</v>
      </c>
      <c r="K16" s="14"/>
      <c r="L16" s="14"/>
      <c r="M16" s="14"/>
      <c r="N16" s="14"/>
    </row>
    <row r="17" spans="1:14" s="117" customFormat="1" x14ac:dyDescent="0.25">
      <c r="A17" s="91" t="s">
        <v>1332</v>
      </c>
      <c r="B17" s="135" t="s">
        <v>249</v>
      </c>
      <c r="C17" s="135" t="s">
        <v>249</v>
      </c>
      <c r="D17" s="134" t="s">
        <v>249</v>
      </c>
      <c r="E17" s="134" t="s">
        <v>249</v>
      </c>
      <c r="F17" s="133" t="s">
        <v>249</v>
      </c>
      <c r="G17" s="134" t="s">
        <v>249</v>
      </c>
      <c r="H17" s="122">
        <v>0</v>
      </c>
      <c r="I17" s="135">
        <v>0</v>
      </c>
      <c r="J17" s="135">
        <v>0</v>
      </c>
    </row>
    <row r="18" spans="1:14" s="117" customFormat="1" x14ac:dyDescent="0.25">
      <c r="A18" s="91" t="s">
        <v>1320</v>
      </c>
      <c r="B18" s="135" t="s">
        <v>249</v>
      </c>
      <c r="C18" s="135" t="s">
        <v>249</v>
      </c>
      <c r="D18" s="134" t="s">
        <v>249</v>
      </c>
      <c r="E18" s="134" t="s">
        <v>249</v>
      </c>
      <c r="F18" s="133" t="s">
        <v>249</v>
      </c>
      <c r="G18" s="134" t="s">
        <v>249</v>
      </c>
      <c r="H18" s="122">
        <v>206.90221009999979</v>
      </c>
      <c r="I18" s="135">
        <v>-0.19807667428649198</v>
      </c>
      <c r="J18" s="135">
        <v>1.1079233127577342E-3</v>
      </c>
    </row>
    <row r="19" spans="1:14" x14ac:dyDescent="0.25">
      <c r="A19" s="16" t="s">
        <v>1333</v>
      </c>
      <c r="B19" s="24" t="s">
        <v>1334</v>
      </c>
      <c r="C19" s="24" t="s">
        <v>200</v>
      </c>
      <c r="D19" s="60" t="s">
        <v>125</v>
      </c>
      <c r="E19" s="60" t="s">
        <v>1335</v>
      </c>
      <c r="F19" s="68">
        <v>3944.7201742408897</v>
      </c>
      <c r="G19" s="60">
        <v>0.99779300000000004</v>
      </c>
      <c r="H19" s="83">
        <v>15.05133</v>
      </c>
      <c r="I19" s="24">
        <v>-1.4409306640792176E-2</v>
      </c>
      <c r="J19" s="24">
        <v>8.0597106173733841E-5</v>
      </c>
      <c r="K19" s="14"/>
      <c r="L19" s="14"/>
      <c r="M19" s="14"/>
      <c r="N19" s="14"/>
    </row>
    <row r="20" spans="1:14" x14ac:dyDescent="0.25">
      <c r="A20" s="16" t="s">
        <v>1336</v>
      </c>
      <c r="B20" s="24" t="s">
        <v>1337</v>
      </c>
      <c r="C20" s="24" t="s">
        <v>200</v>
      </c>
      <c r="D20" s="60" t="s">
        <v>126</v>
      </c>
      <c r="E20" s="60" t="s">
        <v>1335</v>
      </c>
      <c r="F20" s="68">
        <v>-3564.0767747026471</v>
      </c>
      <c r="G20" s="60">
        <v>0.99839999999999995</v>
      </c>
      <c r="H20" s="83">
        <v>-14.422450000000001</v>
      </c>
      <c r="I20" s="24">
        <v>1.3807251888138333E-2</v>
      </c>
      <c r="J20" s="24">
        <v>-7.7229569342733686E-5</v>
      </c>
      <c r="K20" s="14"/>
      <c r="L20" s="14"/>
      <c r="M20" s="14"/>
      <c r="N20" s="14"/>
    </row>
    <row r="21" spans="1:14" x14ac:dyDescent="0.25">
      <c r="A21" s="16" t="s">
        <v>1333</v>
      </c>
      <c r="B21" s="24" t="s">
        <v>1338</v>
      </c>
      <c r="C21" s="24" t="s">
        <v>200</v>
      </c>
      <c r="D21" s="60" t="s">
        <v>125</v>
      </c>
      <c r="E21" s="60" t="s">
        <v>1335</v>
      </c>
      <c r="F21" s="68">
        <v>1296565.819264685</v>
      </c>
      <c r="G21" s="60">
        <v>0.99779300000000004</v>
      </c>
      <c r="H21" s="83">
        <v>4947.1284500000002</v>
      </c>
      <c r="I21" s="24">
        <v>-4.7361057678914031</v>
      </c>
      <c r="J21" s="24">
        <v>2.6490963718139814E-2</v>
      </c>
      <c r="K21" s="14"/>
      <c r="L21" s="14"/>
      <c r="M21" s="14"/>
      <c r="N21" s="14"/>
    </row>
    <row r="22" spans="1:14" x14ac:dyDescent="0.25">
      <c r="A22" s="16" t="s">
        <v>1336</v>
      </c>
      <c r="B22" s="24" t="s">
        <v>1339</v>
      </c>
      <c r="C22" s="24" t="s">
        <v>200</v>
      </c>
      <c r="D22" s="60" t="s">
        <v>126</v>
      </c>
      <c r="E22" s="60" t="s">
        <v>1335</v>
      </c>
      <c r="F22" s="68">
        <v>-1171454.4807234234</v>
      </c>
      <c r="G22" s="60">
        <v>0.99839999999999995</v>
      </c>
      <c r="H22" s="83">
        <v>-4740.4270299999998</v>
      </c>
      <c r="I22" s="24">
        <v>4.5382213188847587</v>
      </c>
      <c r="J22" s="24">
        <v>-2.538411559946847E-2</v>
      </c>
      <c r="K22" s="14"/>
      <c r="L22" s="14"/>
      <c r="M22" s="14"/>
      <c r="N22" s="14"/>
    </row>
    <row r="23" spans="1:14" x14ac:dyDescent="0.25">
      <c r="A23" s="16" t="s">
        <v>1336</v>
      </c>
      <c r="B23" s="24" t="s">
        <v>1340</v>
      </c>
      <c r="C23" s="24" t="s">
        <v>200</v>
      </c>
      <c r="D23" s="60" t="s">
        <v>126</v>
      </c>
      <c r="E23" s="60" t="s">
        <v>396</v>
      </c>
      <c r="F23" s="68">
        <v>3564.0767747026471</v>
      </c>
      <c r="G23" s="60">
        <v>0.99839999999999995</v>
      </c>
      <c r="H23" s="83">
        <v>14.422450000000001</v>
      </c>
      <c r="I23" s="24">
        <v>-1.3807251888138333E-2</v>
      </c>
      <c r="J23" s="24">
        <v>7.7229569342733686E-5</v>
      </c>
      <c r="K23" s="14"/>
      <c r="L23" s="14"/>
      <c r="M23" s="14"/>
      <c r="N23" s="14"/>
    </row>
    <row r="24" spans="1:14" x14ac:dyDescent="0.25">
      <c r="A24" s="16" t="s">
        <v>1333</v>
      </c>
      <c r="B24" s="24" t="s">
        <v>1341</v>
      </c>
      <c r="C24" s="24" t="s">
        <v>200</v>
      </c>
      <c r="D24" s="60" t="s">
        <v>125</v>
      </c>
      <c r="E24" s="60" t="s">
        <v>396</v>
      </c>
      <c r="F24" s="68">
        <v>-3799.9830164202153</v>
      </c>
      <c r="G24" s="60">
        <v>0.99779300000000004</v>
      </c>
      <c r="H24" s="83">
        <v>-14.49907</v>
      </c>
      <c r="I24" s="24">
        <v>1.3880603616843868E-2</v>
      </c>
      <c r="J24" s="24">
        <v>-7.7639855362310109E-5</v>
      </c>
      <c r="K24" s="14"/>
      <c r="L24" s="14"/>
      <c r="M24" s="14"/>
      <c r="N24" s="14"/>
    </row>
    <row r="25" spans="1:14" x14ac:dyDescent="0.25">
      <c r="A25" s="16" t="s">
        <v>1342</v>
      </c>
      <c r="B25" s="24" t="s">
        <v>1343</v>
      </c>
      <c r="C25" s="24" t="s">
        <v>200</v>
      </c>
      <c r="D25" s="60" t="s">
        <v>125</v>
      </c>
      <c r="E25" s="60" t="s">
        <v>396</v>
      </c>
      <c r="F25" s="68">
        <v>3827.8184560306431</v>
      </c>
      <c r="G25" s="60">
        <v>0.97537300000000005</v>
      </c>
      <c r="H25" s="83">
        <v>14.27711</v>
      </c>
      <c r="I25" s="24">
        <v>-1.3668111451567429E-2</v>
      </c>
      <c r="J25" s="24">
        <v>7.6451300351801282E-5</v>
      </c>
      <c r="K25" s="14"/>
      <c r="L25" s="14"/>
      <c r="M25" s="14"/>
      <c r="N25" s="14"/>
    </row>
    <row r="26" spans="1:14" x14ac:dyDescent="0.25">
      <c r="A26" s="16" t="s">
        <v>1344</v>
      </c>
      <c r="B26" s="24" t="s">
        <v>1345</v>
      </c>
      <c r="C26" s="24" t="s">
        <v>200</v>
      </c>
      <c r="D26" s="60" t="s">
        <v>126</v>
      </c>
      <c r="E26" s="60" t="s">
        <v>396</v>
      </c>
      <c r="F26" s="68">
        <v>-3564.0767747026471</v>
      </c>
      <c r="G26" s="60">
        <v>0.98312500000000003</v>
      </c>
      <c r="H26" s="83">
        <v>-14.201799999999999</v>
      </c>
      <c r="I26" s="24">
        <v>1.3596013844039186E-2</v>
      </c>
      <c r="J26" s="24">
        <v>-7.604802914148671E-5</v>
      </c>
      <c r="K26" s="14"/>
      <c r="L26" s="14"/>
      <c r="M26" s="14"/>
      <c r="N26" s="14"/>
    </row>
    <row r="27" spans="1:14" x14ac:dyDescent="0.25">
      <c r="A27" s="16" t="s">
        <v>1336</v>
      </c>
      <c r="B27" s="24" t="s">
        <v>1346</v>
      </c>
      <c r="C27" s="24" t="s">
        <v>200</v>
      </c>
      <c r="D27" s="60" t="s">
        <v>126</v>
      </c>
      <c r="E27" s="60" t="s">
        <v>396</v>
      </c>
      <c r="F27" s="68">
        <v>1171454.4807234234</v>
      </c>
      <c r="G27" s="60">
        <v>0.99839999999999995</v>
      </c>
      <c r="H27" s="83">
        <v>4740.4292800000003</v>
      </c>
      <c r="I27" s="24">
        <v>-4.5382234729096815</v>
      </c>
      <c r="J27" s="24">
        <v>2.538412764780499E-2</v>
      </c>
      <c r="K27" s="14"/>
      <c r="L27" s="14"/>
      <c r="M27" s="14"/>
      <c r="N27" s="14"/>
    </row>
    <row r="28" spans="1:14" x14ac:dyDescent="0.25">
      <c r="A28" s="16" t="s">
        <v>1333</v>
      </c>
      <c r="B28" s="24" t="s">
        <v>1347</v>
      </c>
      <c r="C28" s="24" t="s">
        <v>200</v>
      </c>
      <c r="D28" s="60" t="s">
        <v>125</v>
      </c>
      <c r="E28" s="60" t="s">
        <v>396</v>
      </c>
      <c r="F28" s="68">
        <v>-1248993.0528025068</v>
      </c>
      <c r="G28" s="60">
        <v>0.99779300000000004</v>
      </c>
      <c r="H28" s="83">
        <v>-4765.6119000000008</v>
      </c>
      <c r="I28" s="24">
        <v>4.5623319133995617</v>
      </c>
      <c r="J28" s="24">
        <v>-2.5518975950106038E-2</v>
      </c>
      <c r="K28" s="14"/>
      <c r="L28" s="14"/>
      <c r="M28" s="14"/>
      <c r="N28" s="14"/>
    </row>
    <row r="29" spans="1:14" x14ac:dyDescent="0.25">
      <c r="A29" s="16" t="s">
        <v>1342</v>
      </c>
      <c r="B29" s="24" t="s">
        <v>1348</v>
      </c>
      <c r="C29" s="24" t="s">
        <v>200</v>
      </c>
      <c r="D29" s="60" t="s">
        <v>125</v>
      </c>
      <c r="E29" s="60" t="s">
        <v>396</v>
      </c>
      <c r="F29" s="68">
        <v>1258142.1122969568</v>
      </c>
      <c r="G29" s="60">
        <v>0.97537499999999999</v>
      </c>
      <c r="H29" s="83">
        <v>4692.6635900000001</v>
      </c>
      <c r="I29" s="24">
        <v>-4.4924952565913214</v>
      </c>
      <c r="J29" s="24">
        <v>2.5128351155734745E-2</v>
      </c>
      <c r="K29" s="14"/>
      <c r="L29" s="14"/>
      <c r="M29" s="14"/>
      <c r="N29" s="14"/>
    </row>
    <row r="30" spans="1:14" x14ac:dyDescent="0.25">
      <c r="A30" s="16" t="s">
        <v>1344</v>
      </c>
      <c r="B30" s="24" t="s">
        <v>1349</v>
      </c>
      <c r="C30" s="24" t="s">
        <v>200</v>
      </c>
      <c r="D30" s="60" t="s">
        <v>126</v>
      </c>
      <c r="E30" s="60" t="s">
        <v>396</v>
      </c>
      <c r="F30" s="68">
        <v>-1171454.4807234234</v>
      </c>
      <c r="G30" s="60">
        <v>0.98312600000000006</v>
      </c>
      <c r="H30" s="83">
        <v>-4667.9077500000003</v>
      </c>
      <c r="I30" s="24">
        <v>4.4687953915488041</v>
      </c>
      <c r="J30" s="24">
        <v>-2.4995788181904528E-2</v>
      </c>
      <c r="K30" s="14"/>
      <c r="L30" s="14"/>
      <c r="M30" s="14"/>
      <c r="N30" s="14"/>
    </row>
    <row r="31" spans="1:14" s="117" customFormat="1" x14ac:dyDescent="0.25">
      <c r="A31" s="91" t="s">
        <v>1319</v>
      </c>
      <c r="B31" s="135" t="s">
        <v>249</v>
      </c>
      <c r="C31" s="135" t="s">
        <v>249</v>
      </c>
      <c r="D31" s="134" t="s">
        <v>249</v>
      </c>
      <c r="E31" s="134" t="s">
        <v>249</v>
      </c>
      <c r="F31" s="133" t="s">
        <v>249</v>
      </c>
      <c r="G31" s="134" t="s">
        <v>249</v>
      </c>
      <c r="H31" s="122">
        <v>-1230.1719198999995</v>
      </c>
      <c r="I31" s="135">
        <v>1.1776982110372387</v>
      </c>
      <c r="J31" s="135">
        <v>-6.5873445629141252E-3</v>
      </c>
    </row>
    <row r="32" spans="1:14" x14ac:dyDescent="0.25">
      <c r="A32" s="16" t="s">
        <v>1350</v>
      </c>
      <c r="B32" s="24" t="s">
        <v>1354</v>
      </c>
      <c r="C32" s="24" t="s">
        <v>200</v>
      </c>
      <c r="D32" s="60" t="s">
        <v>255</v>
      </c>
      <c r="E32" s="60" t="s">
        <v>1049</v>
      </c>
      <c r="F32" s="68">
        <v>8254.4901237507129</v>
      </c>
      <c r="G32" s="60">
        <v>0.97453299999999998</v>
      </c>
      <c r="H32" s="83">
        <v>8.0442700000000009</v>
      </c>
      <c r="I32" s="24">
        <v>-7.7011369182208682E-3</v>
      </c>
      <c r="J32" s="24">
        <v>4.3075587558055137E-5</v>
      </c>
      <c r="K32" s="14"/>
      <c r="L32" s="14"/>
      <c r="M32" s="14"/>
      <c r="N32" s="14"/>
    </row>
    <row r="33" spans="1:14" x14ac:dyDescent="0.25">
      <c r="A33" s="16" t="s">
        <v>1352</v>
      </c>
      <c r="B33" s="24" t="s">
        <v>1355</v>
      </c>
      <c r="C33" s="24" t="s">
        <v>200</v>
      </c>
      <c r="D33" s="60" t="s">
        <v>125</v>
      </c>
      <c r="E33" s="60" t="s">
        <v>1049</v>
      </c>
      <c r="F33" s="68">
        <v>-2303.3429482799102</v>
      </c>
      <c r="G33" s="60">
        <v>0.96176300000000003</v>
      </c>
      <c r="H33" s="83">
        <v>-8.47119</v>
      </c>
      <c r="I33" s="24">
        <v>8.1098463938012316E-3</v>
      </c>
      <c r="J33" s="24">
        <v>-4.5361665703155295E-5</v>
      </c>
      <c r="K33" s="14"/>
      <c r="L33" s="14"/>
      <c r="M33" s="14"/>
      <c r="N33" s="14"/>
    </row>
    <row r="34" spans="1:14" x14ac:dyDescent="0.25">
      <c r="A34" s="16" t="s">
        <v>1350</v>
      </c>
      <c r="B34" s="24" t="s">
        <v>1356</v>
      </c>
      <c r="C34" s="24" t="s">
        <v>200</v>
      </c>
      <c r="D34" s="60" t="s">
        <v>255</v>
      </c>
      <c r="E34" s="60" t="s">
        <v>1049</v>
      </c>
      <c r="F34" s="68">
        <v>387441.46160742111</v>
      </c>
      <c r="G34" s="60">
        <v>0.97453299999999998</v>
      </c>
      <c r="H34" s="83">
        <v>377.57454999999999</v>
      </c>
      <c r="I34" s="24">
        <v>-0.36146888485662848</v>
      </c>
      <c r="J34" s="24">
        <v>2.0218423285417154E-3</v>
      </c>
      <c r="K34" s="14"/>
      <c r="L34" s="14"/>
      <c r="M34" s="14"/>
      <c r="N34" s="14"/>
    </row>
    <row r="35" spans="1:14" x14ac:dyDescent="0.25">
      <c r="A35" s="16" t="s">
        <v>1352</v>
      </c>
      <c r="B35" s="24" t="s">
        <v>1357</v>
      </c>
      <c r="C35" s="24" t="s">
        <v>200</v>
      </c>
      <c r="D35" s="60" t="s">
        <v>125</v>
      </c>
      <c r="E35" s="60" t="s">
        <v>1049</v>
      </c>
      <c r="F35" s="68">
        <v>-108112.13595095045</v>
      </c>
      <c r="G35" s="60">
        <v>0.96176300000000003</v>
      </c>
      <c r="H35" s="83">
        <v>-397.61295000000001</v>
      </c>
      <c r="I35" s="24">
        <v>0.38065253508493718</v>
      </c>
      <c r="J35" s="24">
        <v>-2.1291442780937979E-3</v>
      </c>
      <c r="K35" s="14"/>
      <c r="L35" s="14"/>
      <c r="M35" s="14"/>
      <c r="N35" s="14"/>
    </row>
    <row r="36" spans="1:14" x14ac:dyDescent="0.25">
      <c r="A36" s="16" t="s">
        <v>1358</v>
      </c>
      <c r="B36" s="24" t="s">
        <v>1362</v>
      </c>
      <c r="C36" s="24" t="s">
        <v>200</v>
      </c>
      <c r="D36" s="60" t="s">
        <v>255</v>
      </c>
      <c r="E36" s="60" t="s">
        <v>1363</v>
      </c>
      <c r="F36" s="68">
        <v>4812011.3644632995</v>
      </c>
      <c r="G36" s="60">
        <v>0.97206899999999996</v>
      </c>
      <c r="H36" s="83">
        <v>4677.6095300000006</v>
      </c>
      <c r="I36" s="24">
        <v>-4.4780833364002897</v>
      </c>
      <c r="J36" s="24">
        <v>2.5047739430912704E-2</v>
      </c>
      <c r="K36" s="14"/>
      <c r="L36" s="14"/>
      <c r="M36" s="14"/>
      <c r="N36" s="14"/>
    </row>
    <row r="37" spans="1:14" x14ac:dyDescent="0.25">
      <c r="A37" s="16" t="s">
        <v>1360</v>
      </c>
      <c r="B37" s="24" t="s">
        <v>1364</v>
      </c>
      <c r="C37" s="24" t="s">
        <v>200</v>
      </c>
      <c r="D37" s="60" t="s">
        <v>125</v>
      </c>
      <c r="E37" s="60" t="s">
        <v>1363</v>
      </c>
      <c r="F37" s="68">
        <v>-1334149.7627989631</v>
      </c>
      <c r="G37" s="60">
        <v>0.95802900000000002</v>
      </c>
      <c r="H37" s="83">
        <v>-4887.6640599999992</v>
      </c>
      <c r="I37" s="24">
        <v>4.6791778665220445</v>
      </c>
      <c r="J37" s="24">
        <v>-2.6172542837434497E-2</v>
      </c>
      <c r="K37" s="14"/>
      <c r="L37" s="14"/>
      <c r="M37" s="14"/>
      <c r="N37" s="14"/>
    </row>
    <row r="38" spans="1:14" x14ac:dyDescent="0.25">
      <c r="A38" s="16" t="s">
        <v>1350</v>
      </c>
      <c r="B38" s="24" t="s">
        <v>1408</v>
      </c>
      <c r="C38" s="24" t="s">
        <v>200</v>
      </c>
      <c r="D38" s="60" t="s">
        <v>255</v>
      </c>
      <c r="E38" s="60" t="s">
        <v>1409</v>
      </c>
      <c r="F38" s="68">
        <v>1773.256786369778</v>
      </c>
      <c r="G38" s="60">
        <v>0.97453000000000001</v>
      </c>
      <c r="H38" s="83">
        <v>1.7280899999999999</v>
      </c>
      <c r="I38" s="24">
        <v>-1.6543773017325745E-3</v>
      </c>
      <c r="J38" s="24">
        <v>9.2536043796639702E-6</v>
      </c>
      <c r="K38" s="14"/>
      <c r="L38" s="14"/>
      <c r="M38" s="14"/>
      <c r="N38" s="14"/>
    </row>
    <row r="39" spans="1:14" x14ac:dyDescent="0.25">
      <c r="A39" s="16" t="s">
        <v>1352</v>
      </c>
      <c r="B39" s="24" t="s">
        <v>1410</v>
      </c>
      <c r="C39" s="24" t="s">
        <v>200</v>
      </c>
      <c r="D39" s="60" t="s">
        <v>125</v>
      </c>
      <c r="E39" s="60" t="s">
        <v>1409</v>
      </c>
      <c r="F39" s="68">
        <v>-491.47915360863834</v>
      </c>
      <c r="G39" s="60">
        <v>0.96176099999999998</v>
      </c>
      <c r="H39" s="83">
        <v>-1.80755</v>
      </c>
      <c r="I39" s="24">
        <v>1.7304478885629309E-3</v>
      </c>
      <c r="J39" s="24">
        <v>-9.6790980773348668E-6</v>
      </c>
      <c r="K39" s="14"/>
      <c r="L39" s="14"/>
      <c r="M39" s="14"/>
      <c r="N39" s="14"/>
    </row>
    <row r="40" spans="1:14" x14ac:dyDescent="0.25">
      <c r="A40" s="16" t="s">
        <v>1350</v>
      </c>
      <c r="B40" s="24" t="s">
        <v>1411</v>
      </c>
      <c r="C40" s="24" t="s">
        <v>200</v>
      </c>
      <c r="D40" s="60" t="s">
        <v>255</v>
      </c>
      <c r="E40" s="60" t="s">
        <v>1409</v>
      </c>
      <c r="F40" s="68">
        <v>829933.16278942383</v>
      </c>
      <c r="G40" s="60">
        <v>0.97453000000000001</v>
      </c>
      <c r="H40" s="83">
        <v>808.79548</v>
      </c>
      <c r="I40" s="24">
        <v>-0.77429583173092986</v>
      </c>
      <c r="J40" s="24">
        <v>4.330951163411873E-3</v>
      </c>
      <c r="K40" s="14"/>
      <c r="L40" s="14"/>
      <c r="M40" s="14"/>
      <c r="N40" s="14"/>
    </row>
    <row r="41" spans="1:14" x14ac:dyDescent="0.25">
      <c r="A41" s="16" t="s">
        <v>1352</v>
      </c>
      <c r="B41" s="24" t="s">
        <v>1412</v>
      </c>
      <c r="C41" s="24" t="s">
        <v>200</v>
      </c>
      <c r="D41" s="60" t="s">
        <v>125</v>
      </c>
      <c r="E41" s="60" t="s">
        <v>1409</v>
      </c>
      <c r="F41" s="68">
        <v>-230025.82117223501</v>
      </c>
      <c r="G41" s="60">
        <v>0.96176099999999998</v>
      </c>
      <c r="H41" s="83">
        <v>-845.98302000000001</v>
      </c>
      <c r="I41" s="24">
        <v>0.80989711527708319</v>
      </c>
      <c r="J41" s="24">
        <v>-4.5300836061740726E-3</v>
      </c>
      <c r="K41" s="14"/>
      <c r="L41" s="14"/>
      <c r="M41" s="14"/>
      <c r="N41" s="14"/>
    </row>
    <row r="42" spans="1:14" x14ac:dyDescent="0.25">
      <c r="A42" s="16" t="s">
        <v>1372</v>
      </c>
      <c r="B42" s="24" t="s">
        <v>1448</v>
      </c>
      <c r="C42" s="24" t="s">
        <v>200</v>
      </c>
      <c r="D42" s="60" t="s">
        <v>255</v>
      </c>
      <c r="E42" s="60" t="s">
        <v>1449</v>
      </c>
      <c r="F42" s="68">
        <v>34936.321719639054</v>
      </c>
      <c r="G42" s="60">
        <v>0.99354699999999996</v>
      </c>
      <c r="H42" s="83">
        <v>34.710879999999996</v>
      </c>
      <c r="I42" s="24">
        <v>-3.3230266939316348E-2</v>
      </c>
      <c r="J42" s="24">
        <v>1.8587038359691365E-4</v>
      </c>
      <c r="K42" s="18"/>
      <c r="L42" s="18"/>
    </row>
    <row r="43" spans="1:14" x14ac:dyDescent="0.25">
      <c r="A43" s="16" t="s">
        <v>1375</v>
      </c>
      <c r="B43" s="24" t="s">
        <v>1450</v>
      </c>
      <c r="C43" s="24" t="s">
        <v>200</v>
      </c>
      <c r="D43" s="60" t="s">
        <v>125</v>
      </c>
      <c r="E43" s="60" t="s">
        <v>1449</v>
      </c>
      <c r="F43" s="68">
        <v>-9201.0328468894004</v>
      </c>
      <c r="G43" s="60">
        <v>0.99060800000000004</v>
      </c>
      <c r="H43" s="83">
        <v>-34.854309999999998</v>
      </c>
      <c r="I43" s="24">
        <v>3.3367578848063871E-2</v>
      </c>
      <c r="J43" s="24">
        <v>-1.8663842488884591E-4</v>
      </c>
      <c r="K43" s="18"/>
      <c r="L43" s="18"/>
    </row>
    <row r="44" spans="1:14" x14ac:dyDescent="0.25">
      <c r="A44" s="16" t="s">
        <v>1350</v>
      </c>
      <c r="B44" s="24" t="s">
        <v>1351</v>
      </c>
      <c r="C44" s="24" t="s">
        <v>200</v>
      </c>
      <c r="D44" s="60" t="s">
        <v>255</v>
      </c>
      <c r="E44" s="60" t="s">
        <v>1049</v>
      </c>
      <c r="F44" s="68">
        <v>1016790.6747912484</v>
      </c>
      <c r="G44" s="60">
        <v>0.97453299999999998</v>
      </c>
      <c r="H44" s="83">
        <v>990.89622999999995</v>
      </c>
      <c r="I44" s="24">
        <v>-0.94862896682717945</v>
      </c>
      <c r="J44" s="24">
        <v>5.3060672150874759E-3</v>
      </c>
      <c r="K44" s="14"/>
      <c r="L44" s="14"/>
      <c r="M44" s="14"/>
      <c r="N44" s="14"/>
    </row>
    <row r="45" spans="1:14" x14ac:dyDescent="0.25">
      <c r="A45" s="16" t="s">
        <v>1352</v>
      </c>
      <c r="B45" s="24" t="s">
        <v>1353</v>
      </c>
      <c r="C45" s="24" t="s">
        <v>200</v>
      </c>
      <c r="D45" s="60" t="s">
        <v>125</v>
      </c>
      <c r="E45" s="60" t="s">
        <v>1049</v>
      </c>
      <c r="F45" s="68">
        <v>-284815.31506757659</v>
      </c>
      <c r="G45" s="60">
        <v>0.96176300000000003</v>
      </c>
      <c r="H45" s="83">
        <v>-1047.48885</v>
      </c>
      <c r="I45" s="24">
        <v>1.0028075952398068</v>
      </c>
      <c r="J45" s="24">
        <v>-5.609110295186695E-3</v>
      </c>
      <c r="K45" s="14"/>
      <c r="L45" s="14"/>
      <c r="M45" s="14"/>
      <c r="N45" s="14"/>
    </row>
    <row r="46" spans="1:14" x14ac:dyDescent="0.25">
      <c r="A46" s="16" t="s">
        <v>1358</v>
      </c>
      <c r="B46" s="24" t="s">
        <v>1359</v>
      </c>
      <c r="C46" s="24" t="s">
        <v>200</v>
      </c>
      <c r="D46" s="60" t="s">
        <v>255</v>
      </c>
      <c r="E46" s="60" t="s">
        <v>1052</v>
      </c>
      <c r="F46" s="68">
        <v>7550938.7944671027</v>
      </c>
      <c r="G46" s="60">
        <v>0.97206899999999996</v>
      </c>
      <c r="H46" s="83">
        <v>7340.0373799999998</v>
      </c>
      <c r="I46" s="24">
        <v>-7.0269437560200201</v>
      </c>
      <c r="J46" s="24">
        <v>3.9304551294472655E-2</v>
      </c>
      <c r="K46" s="14"/>
      <c r="L46" s="14"/>
      <c r="M46" s="14"/>
      <c r="N46" s="14"/>
    </row>
    <row r="47" spans="1:14" x14ac:dyDescent="0.25">
      <c r="A47" s="16" t="s">
        <v>1360</v>
      </c>
      <c r="B47" s="24" t="s">
        <v>1361</v>
      </c>
      <c r="C47" s="24" t="s">
        <v>200</v>
      </c>
      <c r="D47" s="60" t="s">
        <v>125</v>
      </c>
      <c r="E47" s="60" t="s">
        <v>1052</v>
      </c>
      <c r="F47" s="68">
        <v>-2097482.998463084</v>
      </c>
      <c r="G47" s="60">
        <v>0.95802900000000002</v>
      </c>
      <c r="H47" s="83">
        <v>-7684.1390300000003</v>
      </c>
      <c r="I47" s="24">
        <v>7.3563675471702075</v>
      </c>
      <c r="J47" s="24">
        <v>-4.1147152394814424E-2</v>
      </c>
      <c r="K47" s="14"/>
      <c r="L47" s="14"/>
      <c r="M47" s="14"/>
      <c r="N47" s="14"/>
    </row>
    <row r="48" spans="1:14" x14ac:dyDescent="0.25">
      <c r="A48" s="16" t="s">
        <v>1358</v>
      </c>
      <c r="B48" s="24" t="s">
        <v>1365</v>
      </c>
      <c r="C48" s="24" t="s">
        <v>200</v>
      </c>
      <c r="D48" s="60" t="s">
        <v>255</v>
      </c>
      <c r="E48" s="60" t="s">
        <v>1363</v>
      </c>
      <c r="F48" s="68">
        <v>2549191.0286092814</v>
      </c>
      <c r="G48" s="60">
        <v>0.97206899999999996</v>
      </c>
      <c r="H48" s="83">
        <v>2477.9908799999998</v>
      </c>
      <c r="I48" s="24">
        <v>-2.3722907173656047</v>
      </c>
      <c r="J48" s="24">
        <v>1.3269185783110472E-2</v>
      </c>
      <c r="K48" s="14"/>
      <c r="L48" s="14"/>
      <c r="M48" s="14"/>
      <c r="N48" s="14"/>
    </row>
    <row r="49" spans="1:14" x14ac:dyDescent="0.25">
      <c r="A49" s="16" t="s">
        <v>1360</v>
      </c>
      <c r="B49" s="24" t="s">
        <v>1366</v>
      </c>
      <c r="C49" s="24" t="s">
        <v>200</v>
      </c>
      <c r="D49" s="60" t="s">
        <v>125</v>
      </c>
      <c r="E49" s="60" t="s">
        <v>1363</v>
      </c>
      <c r="F49" s="68">
        <v>-711508.04639089014</v>
      </c>
      <c r="G49" s="60">
        <v>0.95802900000000002</v>
      </c>
      <c r="H49" s="83">
        <v>-2606.6131399999999</v>
      </c>
      <c r="I49" s="24">
        <v>2.4954265189972014</v>
      </c>
      <c r="J49" s="24">
        <v>-1.3957934348554564E-2</v>
      </c>
      <c r="K49" s="14"/>
      <c r="L49" s="14"/>
      <c r="M49" s="14"/>
      <c r="N49" s="14"/>
    </row>
    <row r="50" spans="1:14" x14ac:dyDescent="0.25">
      <c r="A50" s="16" t="s">
        <v>1358</v>
      </c>
      <c r="B50" s="24" t="s">
        <v>1367</v>
      </c>
      <c r="C50" s="24" t="s">
        <v>200</v>
      </c>
      <c r="D50" s="60" t="s">
        <v>255</v>
      </c>
      <c r="E50" s="60" t="s">
        <v>1363</v>
      </c>
      <c r="F50" s="68">
        <v>972481.08427314262</v>
      </c>
      <c r="G50" s="60">
        <v>0.97206899999999996</v>
      </c>
      <c r="H50" s="83">
        <v>945.31921</v>
      </c>
      <c r="I50" s="24">
        <v>-0.90499606149897804</v>
      </c>
      <c r="J50" s="24">
        <v>5.0620106486563114E-3</v>
      </c>
      <c r="K50" s="14"/>
      <c r="L50" s="14"/>
      <c r="M50" s="14"/>
      <c r="N50" s="14"/>
    </row>
    <row r="51" spans="1:14" x14ac:dyDescent="0.25">
      <c r="A51" s="16" t="s">
        <v>1360</v>
      </c>
      <c r="B51" s="24" t="s">
        <v>1368</v>
      </c>
      <c r="C51" s="24" t="s">
        <v>200</v>
      </c>
      <c r="D51" s="60" t="s">
        <v>125</v>
      </c>
      <c r="E51" s="60" t="s">
        <v>1363</v>
      </c>
      <c r="F51" s="68">
        <v>-271430.46898323728</v>
      </c>
      <c r="G51" s="60">
        <v>0.95802900000000002</v>
      </c>
      <c r="H51" s="83">
        <v>-994.38682999999992</v>
      </c>
      <c r="I51" s="24">
        <v>0.95197067322524187</v>
      </c>
      <c r="J51" s="24">
        <v>-5.3247587366214554E-3</v>
      </c>
      <c r="K51" s="14"/>
      <c r="L51" s="14"/>
      <c r="M51" s="14"/>
      <c r="N51" s="14"/>
    </row>
    <row r="52" spans="1:14" x14ac:dyDescent="0.25">
      <c r="A52" s="16" t="s">
        <v>1372</v>
      </c>
      <c r="B52" s="24" t="s">
        <v>1373</v>
      </c>
      <c r="C52" s="24" t="s">
        <v>200</v>
      </c>
      <c r="D52" s="60" t="s">
        <v>255</v>
      </c>
      <c r="E52" s="60" t="s">
        <v>1374</v>
      </c>
      <c r="F52" s="68">
        <v>4673500</v>
      </c>
      <c r="G52" s="60">
        <v>0.99354699999999996</v>
      </c>
      <c r="H52" s="83">
        <v>4643.3427799999999</v>
      </c>
      <c r="I52" s="24">
        <v>-4.4452782548338527</v>
      </c>
      <c r="J52" s="24">
        <v>2.4864247281848214E-2</v>
      </c>
      <c r="K52" s="14"/>
      <c r="L52" s="14"/>
      <c r="M52" s="14"/>
      <c r="N52" s="14"/>
    </row>
    <row r="53" spans="1:14" x14ac:dyDescent="0.25">
      <c r="A53" s="16" t="s">
        <v>1375</v>
      </c>
      <c r="B53" s="24" t="s">
        <v>1376</v>
      </c>
      <c r="C53" s="24" t="s">
        <v>200</v>
      </c>
      <c r="D53" s="60" t="s">
        <v>125</v>
      </c>
      <c r="E53" s="60" t="s">
        <v>1374</v>
      </c>
      <c r="F53" s="68">
        <v>-1300000</v>
      </c>
      <c r="G53" s="60">
        <v>0.99060800000000004</v>
      </c>
      <c r="H53" s="83">
        <v>-4924.5130899999995</v>
      </c>
      <c r="I53" s="24">
        <v>4.7144550794119189</v>
      </c>
      <c r="J53" s="24">
        <v>-2.6369862621354531E-2</v>
      </c>
      <c r="K53" s="14"/>
      <c r="L53" s="14"/>
      <c r="M53" s="14"/>
      <c r="N53" s="14"/>
    </row>
    <row r="54" spans="1:14" x14ac:dyDescent="0.25">
      <c r="A54" s="16" t="s">
        <v>1352</v>
      </c>
      <c r="B54" s="24" t="s">
        <v>1377</v>
      </c>
      <c r="C54" s="24" t="s">
        <v>200</v>
      </c>
      <c r="D54" s="60" t="s">
        <v>125</v>
      </c>
      <c r="E54" s="60" t="s">
        <v>1378</v>
      </c>
      <c r="F54" s="68">
        <v>143922.63261393498</v>
      </c>
      <c r="G54" s="60">
        <v>0.96175999999999995</v>
      </c>
      <c r="H54" s="83">
        <v>529.31466</v>
      </c>
      <c r="I54" s="24">
        <v>-0.50673643096036391</v>
      </c>
      <c r="J54" s="24">
        <v>2.8343827323787218E-3</v>
      </c>
      <c r="K54" s="14"/>
      <c r="L54" s="14"/>
      <c r="M54" s="14"/>
      <c r="N54" s="14"/>
    </row>
    <row r="55" spans="1:14" x14ac:dyDescent="0.25">
      <c r="A55" s="16" t="s">
        <v>1350</v>
      </c>
      <c r="B55" s="24" t="s">
        <v>1379</v>
      </c>
      <c r="C55" s="24" t="s">
        <v>200</v>
      </c>
      <c r="D55" s="60" t="s">
        <v>255</v>
      </c>
      <c r="E55" s="60" t="s">
        <v>1378</v>
      </c>
      <c r="F55" s="68">
        <v>-512508.49473822245</v>
      </c>
      <c r="G55" s="60">
        <v>0.97453000000000001</v>
      </c>
      <c r="H55" s="83">
        <v>-499.45524999999998</v>
      </c>
      <c r="I55" s="24">
        <v>0.47815069170654795</v>
      </c>
      <c r="J55" s="24">
        <v>-2.6744910790793093E-3</v>
      </c>
      <c r="K55" s="14"/>
      <c r="L55" s="14"/>
      <c r="M55" s="14"/>
      <c r="N55" s="14"/>
    </row>
    <row r="56" spans="1:14" x14ac:dyDescent="0.25">
      <c r="A56" s="16" t="s">
        <v>1352</v>
      </c>
      <c r="B56" s="24" t="s">
        <v>1380</v>
      </c>
      <c r="C56" s="24" t="s">
        <v>200</v>
      </c>
      <c r="D56" s="60" t="s">
        <v>125</v>
      </c>
      <c r="E56" s="60" t="s">
        <v>837</v>
      </c>
      <c r="F56" s="68">
        <v>69007.746351670503</v>
      </c>
      <c r="G56" s="60">
        <v>0.96175999999999995</v>
      </c>
      <c r="H56" s="83">
        <v>253.79477</v>
      </c>
      <c r="I56" s="24">
        <v>-0.24296900438428518</v>
      </c>
      <c r="J56" s="24">
        <v>1.3590243535972144E-3</v>
      </c>
      <c r="K56" s="14"/>
      <c r="L56" s="14"/>
      <c r="M56" s="14"/>
      <c r="N56" s="14"/>
    </row>
    <row r="57" spans="1:14" x14ac:dyDescent="0.25">
      <c r="A57" s="16" t="s">
        <v>1350</v>
      </c>
      <c r="B57" s="24" t="s">
        <v>1381</v>
      </c>
      <c r="C57" s="24" t="s">
        <v>200</v>
      </c>
      <c r="D57" s="60" t="s">
        <v>255</v>
      </c>
      <c r="E57" s="60" t="s">
        <v>837</v>
      </c>
      <c r="F57" s="68">
        <v>-248427.88686601381</v>
      </c>
      <c r="G57" s="60">
        <v>0.97453000000000001</v>
      </c>
      <c r="H57" s="83">
        <v>-242.10060000000001</v>
      </c>
      <c r="I57" s="24">
        <v>0.23177365610346531</v>
      </c>
      <c r="J57" s="24">
        <v>-1.2964042222796703E-3</v>
      </c>
      <c r="K57" s="14"/>
      <c r="L57" s="14"/>
      <c r="M57" s="14"/>
      <c r="N57" s="14"/>
    </row>
    <row r="58" spans="1:14" x14ac:dyDescent="0.25">
      <c r="A58" s="16" t="s">
        <v>1360</v>
      </c>
      <c r="B58" s="24" t="s">
        <v>1385</v>
      </c>
      <c r="C58" s="24" t="s">
        <v>200</v>
      </c>
      <c r="D58" s="60" t="s">
        <v>125</v>
      </c>
      <c r="E58" s="60" t="s">
        <v>845</v>
      </c>
      <c r="F58" s="68">
        <v>124213.94343300691</v>
      </c>
      <c r="G58" s="60">
        <v>0.95802799999999999</v>
      </c>
      <c r="H58" s="83">
        <v>455.05801000000002</v>
      </c>
      <c r="I58" s="24">
        <v>-0.43564724216655093</v>
      </c>
      <c r="J58" s="24">
        <v>2.4367520177404948E-3</v>
      </c>
      <c r="K58" s="14"/>
      <c r="L58" s="14"/>
      <c r="M58" s="14"/>
      <c r="N58" s="14"/>
    </row>
    <row r="59" spans="1:14" x14ac:dyDescent="0.25">
      <c r="A59" s="16" t="s">
        <v>1358</v>
      </c>
      <c r="B59" s="24" t="s">
        <v>1386</v>
      </c>
      <c r="C59" s="24" t="s">
        <v>200</v>
      </c>
      <c r="D59" s="60" t="s">
        <v>255</v>
      </c>
      <c r="E59" s="60" t="s">
        <v>845</v>
      </c>
      <c r="F59" s="68">
        <v>-452138.7540961451</v>
      </c>
      <c r="G59" s="60">
        <v>0.97206899999999996</v>
      </c>
      <c r="H59" s="83">
        <v>-439.51009999999997</v>
      </c>
      <c r="I59" s="24">
        <v>0.42076253743856745</v>
      </c>
      <c r="J59" s="24">
        <v>-2.3534958169230476E-3</v>
      </c>
      <c r="K59" s="14"/>
      <c r="L59" s="14"/>
      <c r="M59" s="14"/>
      <c r="N59" s="14"/>
    </row>
    <row r="60" spans="1:14" x14ac:dyDescent="0.25">
      <c r="A60" s="16" t="s">
        <v>1350</v>
      </c>
      <c r="B60" s="24" t="s">
        <v>1418</v>
      </c>
      <c r="C60" s="24" t="s">
        <v>200</v>
      </c>
      <c r="D60" s="60" t="s">
        <v>255</v>
      </c>
      <c r="E60" s="60" t="s">
        <v>1419</v>
      </c>
      <c r="F60" s="68">
        <v>55902.580457412638</v>
      </c>
      <c r="G60" s="60">
        <v>0.97453000000000001</v>
      </c>
      <c r="H60" s="83">
        <v>54.478790000000004</v>
      </c>
      <c r="I60" s="24">
        <v>-5.2154965078124157E-2</v>
      </c>
      <c r="J60" s="24">
        <v>2.9172390890682418E-4</v>
      </c>
      <c r="K60" s="14"/>
      <c r="L60" s="14"/>
      <c r="M60" s="14"/>
      <c r="N60" s="14"/>
    </row>
    <row r="61" spans="1:14" x14ac:dyDescent="0.25">
      <c r="A61" s="16" t="s">
        <v>1352</v>
      </c>
      <c r="B61" s="24" t="s">
        <v>1420</v>
      </c>
      <c r="C61" s="24" t="s">
        <v>200</v>
      </c>
      <c r="D61" s="60" t="s">
        <v>125</v>
      </c>
      <c r="E61" s="60" t="s">
        <v>1419</v>
      </c>
      <c r="F61" s="68">
        <v>-15149.75080146684</v>
      </c>
      <c r="G61" s="60">
        <v>0.96176099999999998</v>
      </c>
      <c r="H61" s="83">
        <v>-55.717359999999999</v>
      </c>
      <c r="I61" s="24">
        <v>5.3340703144201106E-2</v>
      </c>
      <c r="J61" s="24">
        <v>-2.9835622364536232E-4</v>
      </c>
      <c r="K61" s="14"/>
      <c r="L61" s="14"/>
      <c r="M61" s="14"/>
      <c r="N61" s="14"/>
    </row>
    <row r="62" spans="1:14" x14ac:dyDescent="0.25">
      <c r="A62" s="16" t="s">
        <v>1372</v>
      </c>
      <c r="B62" s="24" t="s">
        <v>1435</v>
      </c>
      <c r="C62" s="24" t="s">
        <v>200</v>
      </c>
      <c r="D62" s="60" t="s">
        <v>255</v>
      </c>
      <c r="E62" s="60" t="s">
        <v>1436</v>
      </c>
      <c r="F62" s="68">
        <v>4006773.5</v>
      </c>
      <c r="G62" s="60">
        <v>0.99354699999999996</v>
      </c>
      <c r="H62" s="83">
        <v>3980.9212400000001</v>
      </c>
      <c r="I62" s="24">
        <v>-3.8111126963532542</v>
      </c>
      <c r="J62" s="24">
        <v>2.1317101668062038E-2</v>
      </c>
      <c r="K62" s="14"/>
      <c r="L62" s="14"/>
      <c r="M62" s="14"/>
      <c r="N62" s="14"/>
    </row>
    <row r="63" spans="1:14" x14ac:dyDescent="0.25">
      <c r="A63" s="16" t="s">
        <v>1375</v>
      </c>
      <c r="B63" s="24" t="s">
        <v>1437</v>
      </c>
      <c r="C63" s="24" t="s">
        <v>200</v>
      </c>
      <c r="D63" s="60" t="s">
        <v>125</v>
      </c>
      <c r="E63" s="60" t="s">
        <v>1436</v>
      </c>
      <c r="F63" s="68">
        <v>-1060000</v>
      </c>
      <c r="G63" s="60">
        <v>0.99060899999999996</v>
      </c>
      <c r="H63" s="83">
        <v>-4015.3752400000003</v>
      </c>
      <c r="I63" s="24">
        <v>3.844097040660492</v>
      </c>
      <c r="J63" s="24">
        <v>-2.1501596506465676E-2</v>
      </c>
      <c r="K63" s="14"/>
      <c r="L63" s="14"/>
      <c r="M63" s="14"/>
      <c r="N63" s="14"/>
    </row>
    <row r="64" spans="1:14" x14ac:dyDescent="0.25">
      <c r="A64" s="16" t="s">
        <v>1372</v>
      </c>
      <c r="B64" s="24" t="s">
        <v>1456</v>
      </c>
      <c r="C64" s="24" t="s">
        <v>200</v>
      </c>
      <c r="D64" s="60" t="s">
        <v>255</v>
      </c>
      <c r="E64" s="60" t="s">
        <v>1457</v>
      </c>
      <c r="F64" s="68">
        <v>114649.46978866537</v>
      </c>
      <c r="G64" s="60">
        <v>0.99354699999999996</v>
      </c>
      <c r="H64" s="83">
        <v>113.90966</v>
      </c>
      <c r="I64" s="24">
        <v>-0.10905077626285378</v>
      </c>
      <c r="J64" s="24">
        <v>6.0996529617209398E-4</v>
      </c>
      <c r="K64" s="18"/>
      <c r="L64" s="18"/>
    </row>
    <row r="65" spans="1:14" x14ac:dyDescent="0.25">
      <c r="A65" s="16" t="s">
        <v>1375</v>
      </c>
      <c r="B65" s="24" t="s">
        <v>1458</v>
      </c>
      <c r="C65" s="24" t="s">
        <v>200</v>
      </c>
      <c r="D65" s="60" t="s">
        <v>125</v>
      </c>
      <c r="E65" s="60" t="s">
        <v>1457</v>
      </c>
      <c r="F65" s="68">
        <v>-29903.356752390551</v>
      </c>
      <c r="G65" s="60">
        <v>0.99060800000000004</v>
      </c>
      <c r="H65" s="83">
        <v>-113.27652</v>
      </c>
      <c r="I65" s="24">
        <v>0.10844464322301271</v>
      </c>
      <c r="J65" s="24">
        <v>-6.0657494782395216E-4</v>
      </c>
      <c r="K65" s="18"/>
      <c r="L65" s="18"/>
    </row>
    <row r="66" spans="1:14" x14ac:dyDescent="0.25">
      <c r="A66" s="16" t="s">
        <v>1352</v>
      </c>
      <c r="B66" s="24" t="s">
        <v>1369</v>
      </c>
      <c r="C66" s="24" t="s">
        <v>200</v>
      </c>
      <c r="D66" s="60" t="s">
        <v>125</v>
      </c>
      <c r="E66" s="60" t="s">
        <v>1370</v>
      </c>
      <c r="F66" s="68">
        <v>958.10412483375706</v>
      </c>
      <c r="G66" s="60">
        <v>0.96176099999999998</v>
      </c>
      <c r="H66" s="83">
        <v>3.5236900000000002</v>
      </c>
      <c r="I66" s="24">
        <v>-3.3733849245942376E-3</v>
      </c>
      <c r="J66" s="24">
        <v>1.886871240304506E-5</v>
      </c>
      <c r="K66" s="14"/>
      <c r="L66" s="14"/>
      <c r="M66" s="14"/>
      <c r="N66" s="14"/>
    </row>
    <row r="67" spans="1:14" x14ac:dyDescent="0.25">
      <c r="A67" s="16" t="s">
        <v>1350</v>
      </c>
      <c r="B67" s="24" t="s">
        <v>1371</v>
      </c>
      <c r="C67" s="24" t="s">
        <v>200</v>
      </c>
      <c r="D67" s="60" t="s">
        <v>255</v>
      </c>
      <c r="E67" s="60" t="s">
        <v>1370</v>
      </c>
      <c r="F67" s="68">
        <v>-3492.2895348336533</v>
      </c>
      <c r="G67" s="60">
        <v>0.97453100000000004</v>
      </c>
      <c r="H67" s="83">
        <v>-3.4033500000000001</v>
      </c>
      <c r="I67" s="24">
        <v>3.2581780982770328E-3</v>
      </c>
      <c r="J67" s="24">
        <v>-1.8224313817873709E-5</v>
      </c>
      <c r="K67" s="14"/>
      <c r="L67" s="14"/>
      <c r="M67" s="14"/>
      <c r="N67" s="14"/>
    </row>
    <row r="68" spans="1:14" x14ac:dyDescent="0.25">
      <c r="A68" s="16" t="s">
        <v>1350</v>
      </c>
      <c r="B68" s="24" t="s">
        <v>1382</v>
      </c>
      <c r="C68" s="24" t="s">
        <v>200</v>
      </c>
      <c r="D68" s="60" t="s">
        <v>255</v>
      </c>
      <c r="E68" s="60" t="s">
        <v>1383</v>
      </c>
      <c r="F68" s="68">
        <v>54917.846655317298</v>
      </c>
      <c r="G68" s="60">
        <v>0.97453000000000001</v>
      </c>
      <c r="H68" s="83">
        <v>53.519100000000002</v>
      </c>
      <c r="I68" s="24">
        <v>-5.1236211221149262E-2</v>
      </c>
      <c r="J68" s="24">
        <v>2.8658494531863158E-4</v>
      </c>
      <c r="K68" s="14"/>
      <c r="L68" s="14"/>
      <c r="M68" s="14"/>
      <c r="N68" s="14"/>
    </row>
    <row r="69" spans="1:14" x14ac:dyDescent="0.25">
      <c r="A69" s="16" t="s">
        <v>1352</v>
      </c>
      <c r="B69" s="24" t="s">
        <v>1384</v>
      </c>
      <c r="C69" s="24" t="s">
        <v>200</v>
      </c>
      <c r="D69" s="60" t="s">
        <v>125</v>
      </c>
      <c r="E69" s="60" t="s">
        <v>1383</v>
      </c>
      <c r="F69" s="68">
        <v>-15149.75080146684</v>
      </c>
      <c r="G69" s="60">
        <v>0.96175999999999995</v>
      </c>
      <c r="H69" s="83">
        <v>-55.717300000000002</v>
      </c>
      <c r="I69" s="24">
        <v>5.3340645703536499E-2</v>
      </c>
      <c r="J69" s="24">
        <v>-2.9835590235638849E-4</v>
      </c>
      <c r="K69" s="14"/>
      <c r="L69" s="14"/>
      <c r="M69" s="14"/>
      <c r="N69" s="14"/>
    </row>
    <row r="70" spans="1:14" x14ac:dyDescent="0.25">
      <c r="A70" s="16" t="s">
        <v>1350</v>
      </c>
      <c r="B70" s="24" t="s">
        <v>1387</v>
      </c>
      <c r="C70" s="24" t="s">
        <v>200</v>
      </c>
      <c r="D70" s="60" t="s">
        <v>255</v>
      </c>
      <c r="E70" s="60" t="s">
        <v>1388</v>
      </c>
      <c r="F70" s="68">
        <v>67093.9315195175</v>
      </c>
      <c r="G70" s="60">
        <v>0.97453000000000001</v>
      </c>
      <c r="H70" s="83">
        <v>65.385059999999996</v>
      </c>
      <c r="I70" s="24">
        <v>-6.2596021698188453E-2</v>
      </c>
      <c r="J70" s="24">
        <v>3.5012498051640337E-4</v>
      </c>
      <c r="K70" s="14"/>
      <c r="L70" s="14"/>
      <c r="M70" s="14"/>
      <c r="N70" s="14"/>
    </row>
    <row r="71" spans="1:14" x14ac:dyDescent="0.25">
      <c r="A71" s="16" t="s">
        <v>1352</v>
      </c>
      <c r="B71" s="24" t="s">
        <v>1389</v>
      </c>
      <c r="C71" s="24" t="s">
        <v>200</v>
      </c>
      <c r="D71" s="60" t="s">
        <v>125</v>
      </c>
      <c r="E71" s="60" t="s">
        <v>1388</v>
      </c>
      <c r="F71" s="68">
        <v>-18402.065693778801</v>
      </c>
      <c r="G71" s="60">
        <v>0.96175999999999995</v>
      </c>
      <c r="H71" s="83">
        <v>-67.678570000000008</v>
      </c>
      <c r="I71" s="24">
        <v>6.4791700676306893E-2</v>
      </c>
      <c r="J71" s="24">
        <v>-3.6240630508908373E-4</v>
      </c>
      <c r="K71" s="14"/>
      <c r="L71" s="14"/>
      <c r="M71" s="14"/>
      <c r="N71" s="14"/>
    </row>
    <row r="72" spans="1:14" x14ac:dyDescent="0.25">
      <c r="A72" s="16" t="s">
        <v>1350</v>
      </c>
      <c r="B72" s="24" t="s">
        <v>1390</v>
      </c>
      <c r="C72" s="24" t="s">
        <v>200</v>
      </c>
      <c r="D72" s="60" t="s">
        <v>255</v>
      </c>
      <c r="E72" s="60" t="s">
        <v>430</v>
      </c>
      <c r="F72" s="68">
        <v>962918.16094123235</v>
      </c>
      <c r="G72" s="60">
        <v>0.97453000000000001</v>
      </c>
      <c r="H72" s="83">
        <v>938.39278999999999</v>
      </c>
      <c r="I72" s="24">
        <v>-0.89836509202964121</v>
      </c>
      <c r="J72" s="24">
        <v>5.0249209424214555E-3</v>
      </c>
      <c r="K72" s="14"/>
      <c r="L72" s="14"/>
      <c r="M72" s="14"/>
      <c r="N72" s="14"/>
    </row>
    <row r="73" spans="1:14" x14ac:dyDescent="0.25">
      <c r="A73" s="16" t="s">
        <v>1352</v>
      </c>
      <c r="B73" s="24" t="s">
        <v>1391</v>
      </c>
      <c r="C73" s="24" t="s">
        <v>200</v>
      </c>
      <c r="D73" s="60" t="s">
        <v>125</v>
      </c>
      <c r="E73" s="60" t="s">
        <v>430</v>
      </c>
      <c r="F73" s="68">
        <v>-265120.63902566972</v>
      </c>
      <c r="G73" s="60">
        <v>0.96175999999999995</v>
      </c>
      <c r="H73" s="83">
        <v>-975.05280000000005</v>
      </c>
      <c r="I73" s="24">
        <v>0.93346134767910915</v>
      </c>
      <c r="J73" s="24">
        <v>-5.2212285589776104E-3</v>
      </c>
      <c r="K73" s="14"/>
      <c r="L73" s="14"/>
      <c r="M73" s="14"/>
      <c r="N73" s="14"/>
    </row>
    <row r="74" spans="1:14" x14ac:dyDescent="0.25">
      <c r="A74" s="16" t="s">
        <v>1350</v>
      </c>
      <c r="B74" s="24" t="s">
        <v>1392</v>
      </c>
      <c r="C74" s="24" t="s">
        <v>200</v>
      </c>
      <c r="D74" s="60" t="s">
        <v>255</v>
      </c>
      <c r="E74" s="60" t="s">
        <v>430</v>
      </c>
      <c r="F74" s="68">
        <v>58594.477427203419</v>
      </c>
      <c r="G74" s="60">
        <v>0.97453000000000001</v>
      </c>
      <c r="H74" s="83">
        <v>57.102089999999997</v>
      </c>
      <c r="I74" s="24">
        <v>-5.4666366669265276E-2</v>
      </c>
      <c r="J74" s="24">
        <v>3.0577119832414181E-4</v>
      </c>
      <c r="K74" s="14"/>
      <c r="L74" s="14"/>
      <c r="M74" s="14"/>
      <c r="N74" s="14"/>
    </row>
    <row r="75" spans="1:14" x14ac:dyDescent="0.25">
      <c r="A75" s="16" t="s">
        <v>1352</v>
      </c>
      <c r="B75" s="24" t="s">
        <v>1393</v>
      </c>
      <c r="C75" s="24" t="s">
        <v>200</v>
      </c>
      <c r="D75" s="60" t="s">
        <v>125</v>
      </c>
      <c r="E75" s="60" t="s">
        <v>430</v>
      </c>
      <c r="F75" s="68">
        <v>-16101.807482056451</v>
      </c>
      <c r="G75" s="60">
        <v>0.96175999999999995</v>
      </c>
      <c r="H75" s="83">
        <v>-59.21875</v>
      </c>
      <c r="I75" s="24">
        <v>5.6692739288449041E-2</v>
      </c>
      <c r="J75" s="24">
        <v>-3.1710552364646851E-4</v>
      </c>
      <c r="K75" s="14"/>
      <c r="L75" s="14"/>
      <c r="M75" s="14"/>
      <c r="N75" s="14"/>
    </row>
    <row r="76" spans="1:14" x14ac:dyDescent="0.25">
      <c r="A76" s="16" t="s">
        <v>1352</v>
      </c>
      <c r="B76" s="24" t="s">
        <v>1397</v>
      </c>
      <c r="C76" s="24" t="s">
        <v>200</v>
      </c>
      <c r="D76" s="60" t="s">
        <v>125</v>
      </c>
      <c r="E76" s="60" t="s">
        <v>1398</v>
      </c>
      <c r="F76" s="68">
        <v>1298.9175503269437</v>
      </c>
      <c r="G76" s="60">
        <v>0.96175999999999995</v>
      </c>
      <c r="H76" s="83">
        <v>4.77712</v>
      </c>
      <c r="I76" s="24">
        <v>-4.5733491286059852E-3</v>
      </c>
      <c r="J76" s="24">
        <v>2.558059971076758E-5</v>
      </c>
      <c r="K76" s="14"/>
      <c r="L76" s="14"/>
      <c r="M76" s="14"/>
      <c r="N76" s="14"/>
    </row>
    <row r="77" spans="1:14" x14ac:dyDescent="0.25">
      <c r="A77" s="16" t="s">
        <v>1350</v>
      </c>
      <c r="B77" s="24" t="s">
        <v>1399</v>
      </c>
      <c r="C77" s="24" t="s">
        <v>200</v>
      </c>
      <c r="D77" s="60" t="s">
        <v>255</v>
      </c>
      <c r="E77" s="60" t="s">
        <v>1398</v>
      </c>
      <c r="F77" s="68">
        <v>-4605.9616334031625</v>
      </c>
      <c r="G77" s="60">
        <v>0.97453000000000001</v>
      </c>
      <c r="H77" s="83">
        <v>-4.4886499999999998</v>
      </c>
      <c r="I77" s="24">
        <v>4.2971839866106053E-3</v>
      </c>
      <c r="J77" s="24">
        <v>-2.4035895872772067E-5</v>
      </c>
      <c r="K77" s="14"/>
      <c r="L77" s="14"/>
      <c r="M77" s="14"/>
      <c r="N77" s="14"/>
    </row>
    <row r="78" spans="1:14" x14ac:dyDescent="0.25">
      <c r="A78" s="16" t="s">
        <v>1350</v>
      </c>
      <c r="B78" s="24" t="s">
        <v>1405</v>
      </c>
      <c r="C78" s="24" t="s">
        <v>200</v>
      </c>
      <c r="D78" s="60" t="s">
        <v>255</v>
      </c>
      <c r="E78" s="60" t="s">
        <v>1406</v>
      </c>
      <c r="F78" s="68">
        <v>66946.714993967267</v>
      </c>
      <c r="G78" s="60">
        <v>0.97453000000000001</v>
      </c>
      <c r="H78" s="83">
        <v>65.241590000000002</v>
      </c>
      <c r="I78" s="24">
        <v>-6.2458671495664538E-2</v>
      </c>
      <c r="J78" s="24">
        <v>3.493567250318219E-4</v>
      </c>
      <c r="K78" s="14"/>
      <c r="L78" s="14"/>
      <c r="M78" s="14"/>
      <c r="N78" s="14"/>
    </row>
    <row r="79" spans="1:14" x14ac:dyDescent="0.25">
      <c r="A79" s="16" t="s">
        <v>1352</v>
      </c>
      <c r="B79" s="24" t="s">
        <v>1407</v>
      </c>
      <c r="C79" s="24" t="s">
        <v>200</v>
      </c>
      <c r="D79" s="60" t="s">
        <v>125</v>
      </c>
      <c r="E79" s="60" t="s">
        <v>1406</v>
      </c>
      <c r="F79" s="68">
        <v>-18402.065693778801</v>
      </c>
      <c r="G79" s="60">
        <v>0.96175999999999995</v>
      </c>
      <c r="H79" s="83">
        <v>-67.678570000000008</v>
      </c>
      <c r="I79" s="24">
        <v>6.4791700676306893E-2</v>
      </c>
      <c r="J79" s="24">
        <v>-3.6240630508908373E-4</v>
      </c>
      <c r="K79" s="14"/>
      <c r="L79" s="14"/>
      <c r="M79" s="14"/>
      <c r="N79" s="14"/>
    </row>
    <row r="80" spans="1:14" x14ac:dyDescent="0.25">
      <c r="A80" s="16" t="s">
        <v>1350</v>
      </c>
      <c r="B80" s="24" t="s">
        <v>1416</v>
      </c>
      <c r="C80" s="24" t="s">
        <v>200</v>
      </c>
      <c r="D80" s="60" t="s">
        <v>255</v>
      </c>
      <c r="E80" s="60" t="s">
        <v>860</v>
      </c>
      <c r="F80" s="68">
        <v>59206.346111521569</v>
      </c>
      <c r="G80" s="60">
        <v>0.97453100000000004</v>
      </c>
      <c r="H80" s="83">
        <v>57.698440000000005</v>
      </c>
      <c r="I80" s="24">
        <v>-5.5237279008257013E-2</v>
      </c>
      <c r="J80" s="24">
        <v>3.0896454298316576E-4</v>
      </c>
      <c r="K80" s="14"/>
      <c r="L80" s="14"/>
      <c r="M80" s="14"/>
      <c r="N80" s="14"/>
    </row>
    <row r="81" spans="1:14" x14ac:dyDescent="0.25">
      <c r="A81" s="16" t="s">
        <v>1352</v>
      </c>
      <c r="B81" s="24" t="s">
        <v>1417</v>
      </c>
      <c r="C81" s="24" t="s">
        <v>200</v>
      </c>
      <c r="D81" s="60" t="s">
        <v>125</v>
      </c>
      <c r="E81" s="60" t="s">
        <v>860</v>
      </c>
      <c r="F81" s="68">
        <v>-16101.807482056451</v>
      </c>
      <c r="G81" s="60">
        <v>0.96176099999999998</v>
      </c>
      <c r="H81" s="83">
        <v>-59.218839999999993</v>
      </c>
      <c r="I81" s="24">
        <v>5.6692825449445948E-2</v>
      </c>
      <c r="J81" s="24">
        <v>-3.171060055799292E-4</v>
      </c>
      <c r="K81" s="14"/>
      <c r="L81" s="14"/>
      <c r="M81" s="14"/>
      <c r="N81" s="14"/>
    </row>
    <row r="82" spans="1:14" x14ac:dyDescent="0.25">
      <c r="A82" s="16" t="s">
        <v>1372</v>
      </c>
      <c r="B82" s="24" t="s">
        <v>1421</v>
      </c>
      <c r="C82" s="24" t="s">
        <v>200</v>
      </c>
      <c r="D82" s="60" t="s">
        <v>255</v>
      </c>
      <c r="E82" s="60" t="s">
        <v>1419</v>
      </c>
      <c r="F82" s="68">
        <v>27474.284080811747</v>
      </c>
      <c r="G82" s="60">
        <v>0.99354699999999996</v>
      </c>
      <c r="H82" s="83">
        <v>27.29702</v>
      </c>
      <c r="I82" s="24">
        <v>-2.6132649510696854E-2</v>
      </c>
      <c r="J82" s="24">
        <v>1.4617052573869126E-4</v>
      </c>
      <c r="K82" s="14"/>
      <c r="L82" s="14"/>
      <c r="M82" s="14"/>
      <c r="N82" s="14"/>
    </row>
    <row r="83" spans="1:14" x14ac:dyDescent="0.25">
      <c r="A83" s="16" t="s">
        <v>1375</v>
      </c>
      <c r="B83" s="24" t="s">
        <v>1422</v>
      </c>
      <c r="C83" s="24" t="s">
        <v>200</v>
      </c>
      <c r="D83" s="60" t="s">
        <v>125</v>
      </c>
      <c r="E83" s="60" t="s">
        <v>1419</v>
      </c>
      <c r="F83" s="68">
        <v>-7360.8262775115199</v>
      </c>
      <c r="G83" s="60">
        <v>0.99060899999999996</v>
      </c>
      <c r="H83" s="83">
        <v>-27.883470000000003</v>
      </c>
      <c r="I83" s="24">
        <v>2.6694084140028121E-2</v>
      </c>
      <c r="J83" s="24">
        <v>-1.4931085771703381E-4</v>
      </c>
      <c r="K83" s="14"/>
      <c r="L83" s="14"/>
      <c r="M83" s="14"/>
      <c r="N83" s="14"/>
    </row>
    <row r="84" spans="1:14" x14ac:dyDescent="0.25">
      <c r="A84" s="16" t="s">
        <v>1372</v>
      </c>
      <c r="B84" s="24" t="s">
        <v>1423</v>
      </c>
      <c r="C84" s="24" t="s">
        <v>200</v>
      </c>
      <c r="D84" s="60" t="s">
        <v>255</v>
      </c>
      <c r="E84" s="60" t="s">
        <v>866</v>
      </c>
      <c r="F84" s="68">
        <v>42563.224876721084</v>
      </c>
      <c r="G84" s="60">
        <v>0.99354699999999996</v>
      </c>
      <c r="H84" s="83">
        <v>42.288599999999995</v>
      </c>
      <c r="I84" s="24">
        <v>-4.0484754822982687E-2</v>
      </c>
      <c r="J84" s="24">
        <v>2.264476816426562E-4</v>
      </c>
      <c r="K84" s="14"/>
      <c r="L84" s="14"/>
      <c r="M84" s="14"/>
      <c r="N84" s="14"/>
    </row>
    <row r="85" spans="1:14" x14ac:dyDescent="0.25">
      <c r="A85" s="16" t="s">
        <v>1375</v>
      </c>
      <c r="B85" s="24" t="s">
        <v>1424</v>
      </c>
      <c r="C85" s="24" t="s">
        <v>200</v>
      </c>
      <c r="D85" s="60" t="s">
        <v>125</v>
      </c>
      <c r="E85" s="60" t="s">
        <v>866</v>
      </c>
      <c r="F85" s="68">
        <v>-11362.31310110013</v>
      </c>
      <c r="G85" s="60">
        <v>0.99060899999999996</v>
      </c>
      <c r="H85" s="83">
        <v>-43.041460000000001</v>
      </c>
      <c r="I85" s="24">
        <v>4.1205501135606677E-2</v>
      </c>
      <c r="J85" s="24">
        <v>-2.3047910858990656E-4</v>
      </c>
      <c r="K85" s="14"/>
      <c r="L85" s="14"/>
      <c r="M85" s="14"/>
      <c r="N85" s="14"/>
    </row>
    <row r="86" spans="1:14" x14ac:dyDescent="0.25">
      <c r="A86" s="16" t="s">
        <v>1372</v>
      </c>
      <c r="B86" s="24" t="s">
        <v>1428</v>
      </c>
      <c r="C86" s="24" t="s">
        <v>200</v>
      </c>
      <c r="D86" s="60" t="s">
        <v>255</v>
      </c>
      <c r="E86" s="60" t="s">
        <v>1429</v>
      </c>
      <c r="F86" s="68">
        <v>28496.681257559125</v>
      </c>
      <c r="G86" s="60">
        <v>0.99354699999999996</v>
      </c>
      <c r="H86" s="83">
        <v>28.312819999999999</v>
      </c>
      <c r="I86" s="24">
        <v>-2.7105119962525143E-2</v>
      </c>
      <c r="J86" s="24">
        <v>1.5160994806557394E-4</v>
      </c>
      <c r="K86" s="14"/>
      <c r="L86" s="14"/>
      <c r="M86" s="14"/>
      <c r="N86" s="14"/>
    </row>
    <row r="87" spans="1:14" x14ac:dyDescent="0.25">
      <c r="A87" s="16" t="s">
        <v>1375</v>
      </c>
      <c r="B87" s="24" t="s">
        <v>1430</v>
      </c>
      <c r="C87" s="24" t="s">
        <v>200</v>
      </c>
      <c r="D87" s="60" t="s">
        <v>125</v>
      </c>
      <c r="E87" s="60" t="s">
        <v>1429</v>
      </c>
      <c r="F87" s="68">
        <v>-7574.8754007334201</v>
      </c>
      <c r="G87" s="60">
        <v>0.99060899999999996</v>
      </c>
      <c r="H87" s="83">
        <v>-28.694310000000002</v>
      </c>
      <c r="I87" s="24">
        <v>2.7470337281552487E-2</v>
      </c>
      <c r="J87" s="24">
        <v>-1.5365275690932515E-4</v>
      </c>
      <c r="K87" s="14"/>
      <c r="L87" s="14"/>
      <c r="M87" s="14"/>
      <c r="N87" s="14"/>
    </row>
    <row r="88" spans="1:14" x14ac:dyDescent="0.25">
      <c r="A88" s="16" t="s">
        <v>1372</v>
      </c>
      <c r="B88" s="24" t="s">
        <v>1431</v>
      </c>
      <c r="C88" s="24" t="s">
        <v>200</v>
      </c>
      <c r="D88" s="60" t="s">
        <v>255</v>
      </c>
      <c r="E88" s="60" t="s">
        <v>1429</v>
      </c>
      <c r="F88" s="68">
        <v>86351.693268057017</v>
      </c>
      <c r="G88" s="60">
        <v>0.99354699999999996</v>
      </c>
      <c r="H88" s="83">
        <v>85.794479999999993</v>
      </c>
      <c r="I88" s="24">
        <v>-8.2134865849550279E-2</v>
      </c>
      <c r="J88" s="24">
        <v>4.5941367398630447E-4</v>
      </c>
      <c r="K88" s="14"/>
      <c r="L88" s="14"/>
      <c r="M88" s="14"/>
      <c r="N88" s="14"/>
    </row>
    <row r="89" spans="1:14" x14ac:dyDescent="0.25">
      <c r="A89" s="16" t="s">
        <v>1375</v>
      </c>
      <c r="B89" s="24" t="s">
        <v>1432</v>
      </c>
      <c r="C89" s="24" t="s">
        <v>200</v>
      </c>
      <c r="D89" s="60" t="s">
        <v>125</v>
      </c>
      <c r="E89" s="60" t="s">
        <v>1429</v>
      </c>
      <c r="F89" s="68">
        <v>-23002.582117223501</v>
      </c>
      <c r="G89" s="60">
        <v>0.99060800000000004</v>
      </c>
      <c r="H89" s="83">
        <v>-87.135779999999997</v>
      </c>
      <c r="I89" s="24">
        <v>8.3418951906881728E-2</v>
      </c>
      <c r="J89" s="24">
        <v>-4.6659608899619594E-4</v>
      </c>
      <c r="K89" s="14"/>
      <c r="L89" s="14"/>
      <c r="M89" s="14"/>
      <c r="N89" s="14"/>
    </row>
    <row r="90" spans="1:14" x14ac:dyDescent="0.25">
      <c r="A90" s="16" t="s">
        <v>1352</v>
      </c>
      <c r="B90" s="24" t="s">
        <v>1433</v>
      </c>
      <c r="C90" s="24" t="s">
        <v>200</v>
      </c>
      <c r="D90" s="60" t="s">
        <v>125</v>
      </c>
      <c r="E90" s="60" t="s">
        <v>870</v>
      </c>
      <c r="F90" s="68">
        <v>187.2636543317</v>
      </c>
      <c r="G90" s="60">
        <v>0.96176099999999998</v>
      </c>
      <c r="H90" s="83">
        <v>0.68871000000000004</v>
      </c>
      <c r="I90" s="24">
        <v>-6.5933266871299611E-4</v>
      </c>
      <c r="J90" s="24">
        <v>3.6879154860674928E-6</v>
      </c>
      <c r="K90" s="14"/>
      <c r="L90" s="14"/>
      <c r="M90" s="14"/>
      <c r="N90" s="14"/>
    </row>
    <row r="91" spans="1:14" x14ac:dyDescent="0.25">
      <c r="A91" s="16" t="s">
        <v>1350</v>
      </c>
      <c r="B91" s="24" t="s">
        <v>1434</v>
      </c>
      <c r="C91" s="24" t="s">
        <v>200</v>
      </c>
      <c r="D91" s="60" t="s">
        <v>255</v>
      </c>
      <c r="E91" s="60" t="s">
        <v>870</v>
      </c>
      <c r="F91" s="68">
        <v>-694.56089391627529</v>
      </c>
      <c r="G91" s="60">
        <v>0.97453100000000004</v>
      </c>
      <c r="H91" s="83">
        <v>-0.67686999999999997</v>
      </c>
      <c r="I91" s="24">
        <v>6.4799771089684441E-4</v>
      </c>
      <c r="J91" s="24">
        <v>-3.6245144618990628E-6</v>
      </c>
      <c r="K91" s="14"/>
      <c r="L91" s="14"/>
      <c r="M91" s="14"/>
      <c r="N91" s="14"/>
    </row>
    <row r="92" spans="1:14" x14ac:dyDescent="0.25">
      <c r="A92" s="16" t="s">
        <v>1372</v>
      </c>
      <c r="B92" s="24" t="s">
        <v>1438</v>
      </c>
      <c r="C92" s="24" t="s">
        <v>200</v>
      </c>
      <c r="D92" s="60" t="s">
        <v>255</v>
      </c>
      <c r="E92" s="60" t="s">
        <v>873</v>
      </c>
      <c r="F92" s="68">
        <v>28716.352644180395</v>
      </c>
      <c r="G92" s="60">
        <v>0.99354699999999996</v>
      </c>
      <c r="H92" s="83">
        <v>28.53105</v>
      </c>
      <c r="I92" s="24">
        <v>-2.7314041233151728E-2</v>
      </c>
      <c r="J92" s="24">
        <v>1.5277852961154324E-4</v>
      </c>
      <c r="K92" s="18"/>
      <c r="L92" s="18"/>
    </row>
    <row r="93" spans="1:14" x14ac:dyDescent="0.25">
      <c r="A93" s="16" t="s">
        <v>1375</v>
      </c>
      <c r="B93" s="24" t="s">
        <v>1439</v>
      </c>
      <c r="C93" s="24" t="s">
        <v>200</v>
      </c>
      <c r="D93" s="60" t="s">
        <v>125</v>
      </c>
      <c r="E93" s="60" t="s">
        <v>873</v>
      </c>
      <c r="F93" s="68">
        <v>-7574.8754007334201</v>
      </c>
      <c r="G93" s="60">
        <v>0.99060800000000004</v>
      </c>
      <c r="H93" s="83">
        <v>-28.694290000000002</v>
      </c>
      <c r="I93" s="24">
        <v>2.7470318134664284E-2</v>
      </c>
      <c r="J93" s="24">
        <v>-1.5365264981300053E-4</v>
      </c>
      <c r="K93" s="18"/>
      <c r="L93" s="18"/>
    </row>
    <row r="94" spans="1:14" x14ac:dyDescent="0.25">
      <c r="A94" s="16" t="s">
        <v>1375</v>
      </c>
      <c r="B94" s="24" t="s">
        <v>1440</v>
      </c>
      <c r="C94" s="24" t="s">
        <v>200</v>
      </c>
      <c r="D94" s="60" t="s">
        <v>125</v>
      </c>
      <c r="E94" s="60" t="s">
        <v>1441</v>
      </c>
      <c r="F94" s="68">
        <v>200000</v>
      </c>
      <c r="G94" s="60">
        <v>0.99060899999999996</v>
      </c>
      <c r="H94" s="83">
        <v>757.61797000000001</v>
      </c>
      <c r="I94" s="24">
        <v>-0.72530132860713892</v>
      </c>
      <c r="J94" s="24">
        <v>4.0569050022302815E-3</v>
      </c>
      <c r="K94" s="18"/>
      <c r="L94" s="18"/>
    </row>
    <row r="95" spans="1:14" x14ac:dyDescent="0.25">
      <c r="A95" s="16" t="s">
        <v>1372</v>
      </c>
      <c r="B95" s="24" t="s">
        <v>1442</v>
      </c>
      <c r="C95" s="24" t="s">
        <v>200</v>
      </c>
      <c r="D95" s="60" t="s">
        <v>255</v>
      </c>
      <c r="E95" s="60" t="s">
        <v>1441</v>
      </c>
      <c r="F95" s="68">
        <v>-756000</v>
      </c>
      <c r="G95" s="60">
        <v>0.99354699999999996</v>
      </c>
      <c r="H95" s="83">
        <v>-751.12218000000007</v>
      </c>
      <c r="I95" s="24">
        <v>0.71908262036114401</v>
      </c>
      <c r="J95" s="24">
        <v>-4.0221212405087406E-3</v>
      </c>
      <c r="K95" s="18"/>
      <c r="L95" s="18"/>
    </row>
    <row r="96" spans="1:14" x14ac:dyDescent="0.25">
      <c r="A96" s="16" t="s">
        <v>1372</v>
      </c>
      <c r="B96" s="24" t="s">
        <v>1443</v>
      </c>
      <c r="C96" s="24" t="s">
        <v>200</v>
      </c>
      <c r="D96" s="60" t="s">
        <v>255</v>
      </c>
      <c r="E96" s="60" t="s">
        <v>882</v>
      </c>
      <c r="F96" s="68">
        <v>679.71267524472501</v>
      </c>
      <c r="G96" s="60">
        <v>0.99354699999999996</v>
      </c>
      <c r="H96" s="83">
        <v>0.67532999999999999</v>
      </c>
      <c r="I96" s="24">
        <v>-6.4652340050521653E-4</v>
      </c>
      <c r="J96" s="24">
        <v>3.6162680449041828E-6</v>
      </c>
      <c r="K96" s="18"/>
      <c r="L96" s="18"/>
    </row>
    <row r="97" spans="1:14" x14ac:dyDescent="0.25">
      <c r="A97" s="16" t="s">
        <v>1375</v>
      </c>
      <c r="B97" s="24" t="s">
        <v>1444</v>
      </c>
      <c r="C97" s="24" t="s">
        <v>200</v>
      </c>
      <c r="D97" s="60" t="s">
        <v>125</v>
      </c>
      <c r="E97" s="60" t="s">
        <v>882</v>
      </c>
      <c r="F97" s="68">
        <v>-178.91884058050087</v>
      </c>
      <c r="G97" s="60">
        <v>0.99060899999999996</v>
      </c>
      <c r="H97" s="83">
        <v>-0.67776000000000003</v>
      </c>
      <c r="I97" s="24">
        <v>6.4884974742187608E-4</v>
      </c>
      <c r="J97" s="24">
        <v>-3.6292802483441563E-6</v>
      </c>
      <c r="K97" s="18"/>
      <c r="L97" s="18"/>
    </row>
    <row r="98" spans="1:14" x14ac:dyDescent="0.25">
      <c r="A98" s="16" t="s">
        <v>1375</v>
      </c>
      <c r="B98" s="24" t="s">
        <v>1445</v>
      </c>
      <c r="C98" s="24" t="s">
        <v>200</v>
      </c>
      <c r="D98" s="60" t="s">
        <v>125</v>
      </c>
      <c r="E98" s="60" t="s">
        <v>1446</v>
      </c>
      <c r="F98" s="68">
        <v>187.2636543317</v>
      </c>
      <c r="G98" s="60">
        <v>0.99060800000000004</v>
      </c>
      <c r="H98" s="83">
        <v>0.70937000000000006</v>
      </c>
      <c r="I98" s="24">
        <v>-6.7911140422665284E-4</v>
      </c>
      <c r="J98" s="24">
        <v>3.798545989388418E-6</v>
      </c>
      <c r="K98" s="18"/>
      <c r="L98" s="18"/>
    </row>
    <row r="99" spans="1:14" x14ac:dyDescent="0.25">
      <c r="A99" s="16" t="s">
        <v>1372</v>
      </c>
      <c r="B99" s="24" t="s">
        <v>1447</v>
      </c>
      <c r="C99" s="24" t="s">
        <v>200</v>
      </c>
      <c r="D99" s="60" t="s">
        <v>255</v>
      </c>
      <c r="E99" s="60" t="s">
        <v>1446</v>
      </c>
      <c r="F99" s="68">
        <v>-711.78915011479171</v>
      </c>
      <c r="G99" s="60">
        <v>0.99354699999999996</v>
      </c>
      <c r="H99" s="83">
        <v>-0.70720000000000005</v>
      </c>
      <c r="I99" s="24">
        <v>6.7703396685663182E-4</v>
      </c>
      <c r="J99" s="24">
        <v>-3.7869260381683596E-6</v>
      </c>
      <c r="K99" s="18"/>
      <c r="L99" s="18"/>
    </row>
    <row r="100" spans="1:14" x14ac:dyDescent="0.25">
      <c r="A100" s="16" t="s">
        <v>1372</v>
      </c>
      <c r="B100" s="24" t="s">
        <v>1451</v>
      </c>
      <c r="C100" s="24" t="s">
        <v>200</v>
      </c>
      <c r="D100" s="60" t="s">
        <v>255</v>
      </c>
      <c r="E100" s="60" t="s">
        <v>396</v>
      </c>
      <c r="F100" s="68">
        <v>34936.321719639054</v>
      </c>
      <c r="G100" s="60">
        <v>0.99354699999999996</v>
      </c>
      <c r="H100" s="83">
        <v>34.710879999999996</v>
      </c>
      <c r="I100" s="24">
        <v>-3.3230266939316348E-2</v>
      </c>
      <c r="J100" s="24">
        <v>1.8587038359691365E-4</v>
      </c>
      <c r="K100" s="18"/>
      <c r="L100" s="18"/>
    </row>
    <row r="101" spans="1:14" x14ac:dyDescent="0.25">
      <c r="A101" s="16" t="s">
        <v>1375</v>
      </c>
      <c r="B101" s="24" t="s">
        <v>1452</v>
      </c>
      <c r="C101" s="24" t="s">
        <v>200</v>
      </c>
      <c r="D101" s="60" t="s">
        <v>125</v>
      </c>
      <c r="E101" s="60" t="s">
        <v>396</v>
      </c>
      <c r="F101" s="68">
        <v>-9201.0328468894004</v>
      </c>
      <c r="G101" s="60">
        <v>0.99060800000000004</v>
      </c>
      <c r="H101" s="83">
        <v>-34.854309999999998</v>
      </c>
      <c r="I101" s="24">
        <v>3.3367578848063871E-2</v>
      </c>
      <c r="J101" s="24">
        <v>-1.8663842488884591E-4</v>
      </c>
      <c r="K101" s="18"/>
      <c r="L101" s="18"/>
    </row>
    <row r="102" spans="1:14" x14ac:dyDescent="0.25">
      <c r="A102" s="16" t="s">
        <v>1372</v>
      </c>
      <c r="B102" s="24" t="s">
        <v>1453</v>
      </c>
      <c r="C102" s="24" t="s">
        <v>200</v>
      </c>
      <c r="D102" s="60" t="s">
        <v>255</v>
      </c>
      <c r="E102" s="60" t="s">
        <v>1454</v>
      </c>
      <c r="F102" s="68">
        <v>21022.519848572902</v>
      </c>
      <c r="G102" s="60">
        <v>0.99354699999999996</v>
      </c>
      <c r="H102" s="83">
        <v>20.886869999999998</v>
      </c>
      <c r="I102" s="24">
        <v>-1.9995928239986957E-2</v>
      </c>
      <c r="J102" s="24">
        <v>1.118453504791255E-4</v>
      </c>
      <c r="K102" s="18"/>
      <c r="L102" s="18"/>
    </row>
    <row r="103" spans="1:14" x14ac:dyDescent="0.25">
      <c r="A103" s="16" t="s">
        <v>1375</v>
      </c>
      <c r="B103" s="24" t="s">
        <v>1455</v>
      </c>
      <c r="C103" s="24" t="s">
        <v>200</v>
      </c>
      <c r="D103" s="60" t="s">
        <v>125</v>
      </c>
      <c r="E103" s="60" t="s">
        <v>1454</v>
      </c>
      <c r="F103" s="68">
        <v>-5520.6197081336404</v>
      </c>
      <c r="G103" s="60">
        <v>0.99060800000000004</v>
      </c>
      <c r="H103" s="83">
        <v>-20.912599999999998</v>
      </c>
      <c r="I103" s="24">
        <v>2.0020560711660064E-2</v>
      </c>
      <c r="J103" s="24">
        <v>-1.1198312990073476E-4</v>
      </c>
      <c r="K103" s="18"/>
      <c r="L103" s="18"/>
    </row>
    <row r="104" spans="1:14" x14ac:dyDescent="0.25">
      <c r="A104" s="16" t="s">
        <v>1350</v>
      </c>
      <c r="B104" s="24" t="s">
        <v>1394</v>
      </c>
      <c r="C104" s="24" t="s">
        <v>200</v>
      </c>
      <c r="D104" s="60" t="s">
        <v>255</v>
      </c>
      <c r="E104" s="60" t="s">
        <v>1395</v>
      </c>
      <c r="F104" s="68">
        <v>66376.250957460128</v>
      </c>
      <c r="G104" s="60">
        <v>0.97453100000000004</v>
      </c>
      <c r="H104" s="83">
        <v>64.685739999999996</v>
      </c>
      <c r="I104" s="24">
        <v>-6.1926531605283795E-2</v>
      </c>
      <c r="J104" s="24">
        <v>3.4638025043013087E-4</v>
      </c>
      <c r="K104" s="14"/>
      <c r="L104" s="14"/>
      <c r="M104" s="14"/>
      <c r="N104" s="14"/>
    </row>
    <row r="105" spans="1:14" x14ac:dyDescent="0.25">
      <c r="A105" s="16" t="s">
        <v>1352</v>
      </c>
      <c r="B105" s="24" t="s">
        <v>1396</v>
      </c>
      <c r="C105" s="24" t="s">
        <v>200</v>
      </c>
      <c r="D105" s="60" t="s">
        <v>125</v>
      </c>
      <c r="E105" s="60" t="s">
        <v>1395</v>
      </c>
      <c r="F105" s="68">
        <v>-18402.065693778801</v>
      </c>
      <c r="G105" s="60">
        <v>0.96176099999999998</v>
      </c>
      <c r="H105" s="83">
        <v>-67.67868</v>
      </c>
      <c r="I105" s="24">
        <v>6.4791805984192E-2</v>
      </c>
      <c r="J105" s="24">
        <v>-3.6240689411886902E-4</v>
      </c>
      <c r="K105" s="14"/>
      <c r="L105" s="14"/>
      <c r="M105" s="14"/>
      <c r="N105" s="14"/>
    </row>
    <row r="106" spans="1:14" x14ac:dyDescent="0.25">
      <c r="A106" s="16" t="s">
        <v>1350</v>
      </c>
      <c r="B106" s="24" t="s">
        <v>1400</v>
      </c>
      <c r="C106" s="24" t="s">
        <v>200</v>
      </c>
      <c r="D106" s="60" t="s">
        <v>255</v>
      </c>
      <c r="E106" s="60" t="s">
        <v>1398</v>
      </c>
      <c r="F106" s="68">
        <v>816315.63417602761</v>
      </c>
      <c r="G106" s="60">
        <v>0.97453000000000001</v>
      </c>
      <c r="H106" s="83">
        <v>795.52420999999993</v>
      </c>
      <c r="I106" s="24">
        <v>-0.76159065558086558</v>
      </c>
      <c r="J106" s="24">
        <v>4.2598859514172988E-3</v>
      </c>
      <c r="K106" s="14"/>
      <c r="L106" s="14"/>
      <c r="M106" s="14"/>
      <c r="N106" s="14"/>
    </row>
    <row r="107" spans="1:14" x14ac:dyDescent="0.25">
      <c r="A107" s="16" t="s">
        <v>1352</v>
      </c>
      <c r="B107" s="24" t="s">
        <v>1401</v>
      </c>
      <c r="C107" s="24" t="s">
        <v>200</v>
      </c>
      <c r="D107" s="60" t="s">
        <v>125</v>
      </c>
      <c r="E107" s="60" t="s">
        <v>1398</v>
      </c>
      <c r="F107" s="68">
        <v>-230025.82117223501</v>
      </c>
      <c r="G107" s="60">
        <v>0.96175999999999995</v>
      </c>
      <c r="H107" s="83">
        <v>-845.98212999999998</v>
      </c>
      <c r="I107" s="24">
        <v>0.80989626324055819</v>
      </c>
      <c r="J107" s="24">
        <v>-4.5300788403876274E-3</v>
      </c>
      <c r="K107" s="14"/>
      <c r="L107" s="14"/>
      <c r="M107" s="14"/>
      <c r="N107" s="14"/>
    </row>
    <row r="108" spans="1:14" x14ac:dyDescent="0.25">
      <c r="A108" s="16" t="s">
        <v>1350</v>
      </c>
      <c r="B108" s="24" t="s">
        <v>1402</v>
      </c>
      <c r="C108" s="24" t="s">
        <v>200</v>
      </c>
      <c r="D108" s="60" t="s">
        <v>255</v>
      </c>
      <c r="E108" s="60" t="s">
        <v>1403</v>
      </c>
      <c r="F108" s="68">
        <v>685449.34399471967</v>
      </c>
      <c r="G108" s="60">
        <v>0.97453100000000004</v>
      </c>
      <c r="H108" s="83">
        <v>667.99189000000001</v>
      </c>
      <c r="I108" s="24">
        <v>-0.6394983019156657</v>
      </c>
      <c r="J108" s="24">
        <v>3.5769738143754167E-3</v>
      </c>
      <c r="K108" s="14"/>
      <c r="L108" s="14"/>
      <c r="M108" s="14"/>
      <c r="N108" s="14"/>
    </row>
    <row r="109" spans="1:14" x14ac:dyDescent="0.25">
      <c r="A109" s="16" t="s">
        <v>1352</v>
      </c>
      <c r="B109" s="24" t="s">
        <v>1404</v>
      </c>
      <c r="C109" s="24" t="s">
        <v>200</v>
      </c>
      <c r="D109" s="60" t="s">
        <v>125</v>
      </c>
      <c r="E109" s="60" t="s">
        <v>1403</v>
      </c>
      <c r="F109" s="68">
        <v>-188621.17336123271</v>
      </c>
      <c r="G109" s="60">
        <v>0.96176099999999998</v>
      </c>
      <c r="H109" s="83">
        <v>-693.70643999999993</v>
      </c>
      <c r="I109" s="24">
        <v>0.66411598261763571</v>
      </c>
      <c r="J109" s="24">
        <v>-3.7146705040739204E-3</v>
      </c>
      <c r="K109" s="14"/>
      <c r="L109" s="14"/>
      <c r="M109" s="14"/>
      <c r="N109" s="14"/>
    </row>
    <row r="110" spans="1:14" x14ac:dyDescent="0.25">
      <c r="A110" s="16" t="s">
        <v>1350</v>
      </c>
      <c r="B110" s="24" t="s">
        <v>1413</v>
      </c>
      <c r="C110" s="24" t="s">
        <v>200</v>
      </c>
      <c r="D110" s="60" t="s">
        <v>255</v>
      </c>
      <c r="E110" s="60" t="s">
        <v>1414</v>
      </c>
      <c r="F110" s="68">
        <v>33675.780219615204</v>
      </c>
      <c r="G110" s="60">
        <v>0.97453100000000004</v>
      </c>
      <c r="H110" s="83">
        <v>32.818100000000001</v>
      </c>
      <c r="I110" s="24">
        <v>-3.1418224586676508E-2</v>
      </c>
      <c r="J110" s="24">
        <v>1.7573489453225825E-4</v>
      </c>
      <c r="K110" s="14"/>
      <c r="L110" s="14"/>
      <c r="M110" s="14"/>
      <c r="N110" s="14"/>
    </row>
    <row r="111" spans="1:14" x14ac:dyDescent="0.25">
      <c r="A111" s="16" t="s">
        <v>1352</v>
      </c>
      <c r="B111" s="24" t="s">
        <v>1415</v>
      </c>
      <c r="C111" s="24" t="s">
        <v>200</v>
      </c>
      <c r="D111" s="60" t="s">
        <v>125</v>
      </c>
      <c r="E111" s="60" t="s">
        <v>1414</v>
      </c>
      <c r="F111" s="68">
        <v>-9201.0328468894004</v>
      </c>
      <c r="G111" s="60">
        <v>0.96176099999999998</v>
      </c>
      <c r="H111" s="83">
        <v>-33.83934</v>
      </c>
      <c r="I111" s="24">
        <v>3.2395902992096E-2</v>
      </c>
      <c r="J111" s="24">
        <v>-1.8120344705943451E-4</v>
      </c>
      <c r="K111" s="14"/>
      <c r="L111" s="14"/>
      <c r="M111" s="14"/>
      <c r="N111" s="14"/>
    </row>
    <row r="112" spans="1:14" x14ac:dyDescent="0.25">
      <c r="A112" s="16" t="s">
        <v>1372</v>
      </c>
      <c r="B112" s="24" t="s">
        <v>1425</v>
      </c>
      <c r="C112" s="24" t="s">
        <v>200</v>
      </c>
      <c r="D112" s="60" t="s">
        <v>255</v>
      </c>
      <c r="E112" s="60" t="s">
        <v>1426</v>
      </c>
      <c r="F112" s="68">
        <v>86857.750074635929</v>
      </c>
      <c r="G112" s="60">
        <v>0.99354699999999996</v>
      </c>
      <c r="H112" s="83">
        <v>86.297269999999997</v>
      </c>
      <c r="I112" s="24">
        <v>-8.2616209045528577E-2</v>
      </c>
      <c r="J112" s="24">
        <v>4.6210602203880828E-4</v>
      </c>
      <c r="K112" s="14"/>
      <c r="L112" s="14"/>
      <c r="M112" s="14"/>
      <c r="N112" s="14"/>
    </row>
    <row r="113" spans="1:14" x14ac:dyDescent="0.25">
      <c r="A113" s="16" t="s">
        <v>1375</v>
      </c>
      <c r="B113" s="24" t="s">
        <v>1427</v>
      </c>
      <c r="C113" s="24" t="s">
        <v>200</v>
      </c>
      <c r="D113" s="60" t="s">
        <v>125</v>
      </c>
      <c r="E113" s="60" t="s">
        <v>1426</v>
      </c>
      <c r="F113" s="68">
        <v>-23002.582117223501</v>
      </c>
      <c r="G113" s="60">
        <v>0.99060800000000004</v>
      </c>
      <c r="H113" s="83">
        <v>-87.135779999999997</v>
      </c>
      <c r="I113" s="24">
        <v>8.3418951906881728E-2</v>
      </c>
      <c r="J113" s="24">
        <v>-4.6659608899619594E-4</v>
      </c>
      <c r="K113" s="14"/>
      <c r="L113" s="14"/>
      <c r="M113" s="14"/>
      <c r="N113" s="14"/>
    </row>
    <row r="114" spans="1:14" s="117" customFormat="1" x14ac:dyDescent="0.25">
      <c r="A114" s="91" t="s">
        <v>1459</v>
      </c>
      <c r="B114" s="135" t="s">
        <v>249</v>
      </c>
      <c r="C114" s="135" t="s">
        <v>249</v>
      </c>
      <c r="D114" s="134" t="s">
        <v>249</v>
      </c>
      <c r="E114" s="134" t="s">
        <v>249</v>
      </c>
      <c r="F114" s="133" t="s">
        <v>249</v>
      </c>
      <c r="G114" s="134" t="s">
        <v>249</v>
      </c>
      <c r="H114" s="122">
        <v>-17.72061960000002</v>
      </c>
      <c r="I114" s="135">
        <v>1.6964736118418259E-2</v>
      </c>
      <c r="J114" s="135">
        <v>-9.4890661447563139E-5</v>
      </c>
      <c r="K114" s="157"/>
      <c r="L114" s="157"/>
      <c r="M114" s="128"/>
      <c r="N114" s="128"/>
    </row>
    <row r="115" spans="1:14" s="117" customFormat="1" x14ac:dyDescent="0.25">
      <c r="A115" s="91" t="s">
        <v>1213</v>
      </c>
      <c r="B115" s="135" t="s">
        <v>249</v>
      </c>
      <c r="C115" s="135" t="s">
        <v>249</v>
      </c>
      <c r="D115" s="134" t="s">
        <v>249</v>
      </c>
      <c r="E115" s="134" t="s">
        <v>249</v>
      </c>
      <c r="F115" s="133" t="s">
        <v>249</v>
      </c>
      <c r="G115" s="134" t="s">
        <v>249</v>
      </c>
      <c r="H115" s="122">
        <v>0</v>
      </c>
      <c r="I115" s="135">
        <v>0</v>
      </c>
      <c r="J115" s="135">
        <v>0</v>
      </c>
      <c r="K115" s="157"/>
      <c r="L115" s="157"/>
      <c r="M115" s="128"/>
      <c r="N115" s="128"/>
    </row>
    <row r="116" spans="1:14" s="117" customFormat="1" x14ac:dyDescent="0.25">
      <c r="A116" s="91" t="s">
        <v>1216</v>
      </c>
      <c r="B116" s="135" t="s">
        <v>249</v>
      </c>
      <c r="C116" s="135" t="s">
        <v>249</v>
      </c>
      <c r="D116" s="134" t="s">
        <v>249</v>
      </c>
      <c r="E116" s="134" t="s">
        <v>249</v>
      </c>
      <c r="F116" s="133" t="s">
        <v>249</v>
      </c>
      <c r="G116" s="134" t="s">
        <v>249</v>
      </c>
      <c r="H116" s="122">
        <v>36.507670099999942</v>
      </c>
      <c r="I116" s="135">
        <v>-3.4950413897760477E-2</v>
      </c>
      <c r="J116" s="135">
        <v>1.9549186438709028E-4</v>
      </c>
      <c r="K116" s="157"/>
      <c r="L116" s="157"/>
      <c r="M116" s="128"/>
      <c r="N116" s="128"/>
    </row>
    <row r="117" spans="1:14" x14ac:dyDescent="0.25">
      <c r="A117" s="16" t="s">
        <v>1333</v>
      </c>
      <c r="B117" s="24" t="s">
        <v>1460</v>
      </c>
      <c r="C117" s="24" t="s">
        <v>200</v>
      </c>
      <c r="D117" s="60" t="s">
        <v>125</v>
      </c>
      <c r="E117" s="60" t="s">
        <v>1335</v>
      </c>
      <c r="F117" s="68">
        <v>239905.34728943749</v>
      </c>
      <c r="G117" s="60">
        <v>0.99779300000000004</v>
      </c>
      <c r="H117" s="83">
        <v>915.37394999999992</v>
      </c>
      <c r="I117" s="24">
        <v>-0.87632813422755096</v>
      </c>
      <c r="J117" s="24">
        <v>4.9016592843835151E-3</v>
      </c>
      <c r="K117" s="18"/>
      <c r="L117" s="18"/>
    </row>
    <row r="118" spans="1:14" x14ac:dyDescent="0.25">
      <c r="A118" s="16" t="s">
        <v>1336</v>
      </c>
      <c r="B118" s="24" t="s">
        <v>1461</v>
      </c>
      <c r="C118" s="24" t="s">
        <v>200</v>
      </c>
      <c r="D118" s="60" t="s">
        <v>126</v>
      </c>
      <c r="E118" s="60" t="s">
        <v>1335</v>
      </c>
      <c r="F118" s="68">
        <v>-216714.70654234153</v>
      </c>
      <c r="G118" s="60">
        <v>0.99839999999999995</v>
      </c>
      <c r="H118" s="83">
        <v>-876.96131000000003</v>
      </c>
      <c r="I118" s="24">
        <v>0.83955400804452551</v>
      </c>
      <c r="J118" s="24">
        <v>-4.6959666562574019E-3</v>
      </c>
      <c r="K118" s="18"/>
      <c r="L118" s="18"/>
    </row>
    <row r="119" spans="1:14" x14ac:dyDescent="0.25">
      <c r="A119" s="16" t="s">
        <v>1333</v>
      </c>
      <c r="B119" s="24" t="s">
        <v>1462</v>
      </c>
      <c r="C119" s="24" t="s">
        <v>200</v>
      </c>
      <c r="D119" s="60" t="s">
        <v>125</v>
      </c>
      <c r="E119" s="60" t="s">
        <v>1463</v>
      </c>
      <c r="F119" s="68">
        <v>14276.82961773967</v>
      </c>
      <c r="G119" s="60">
        <v>0.99779300000000004</v>
      </c>
      <c r="H119" s="83">
        <v>54.474139999999998</v>
      </c>
      <c r="I119" s="24">
        <v>-5.2150513426616966E-2</v>
      </c>
      <c r="J119" s="24">
        <v>2.9169900901135256E-4</v>
      </c>
      <c r="K119" s="18"/>
      <c r="L119" s="18"/>
    </row>
    <row r="120" spans="1:14" x14ac:dyDescent="0.25">
      <c r="A120" s="16" t="s">
        <v>1336</v>
      </c>
      <c r="B120" s="24" t="s">
        <v>1464</v>
      </c>
      <c r="C120" s="24" t="s">
        <v>200</v>
      </c>
      <c r="D120" s="60" t="s">
        <v>126</v>
      </c>
      <c r="E120" s="60" t="s">
        <v>1463</v>
      </c>
      <c r="F120" s="68">
        <v>-13170.50702743512</v>
      </c>
      <c r="G120" s="60">
        <v>0.99839999999999995</v>
      </c>
      <c r="H120" s="83">
        <v>-53.295989999999996</v>
      </c>
      <c r="I120" s="24">
        <v>5.1022618109801153E-2</v>
      </c>
      <c r="J120" s="24">
        <v>-2.8539023226945769E-4</v>
      </c>
      <c r="K120" s="18"/>
      <c r="L120" s="18"/>
    </row>
    <row r="121" spans="1:14" x14ac:dyDescent="0.25">
      <c r="A121" s="16" t="s">
        <v>1333</v>
      </c>
      <c r="B121" s="24" t="s">
        <v>1465</v>
      </c>
      <c r="C121" s="24" t="s">
        <v>200</v>
      </c>
      <c r="D121" s="60" t="s">
        <v>125</v>
      </c>
      <c r="E121" s="60" t="s">
        <v>427</v>
      </c>
      <c r="F121" s="68">
        <v>9093.887879985954</v>
      </c>
      <c r="G121" s="60">
        <v>0.99779300000000004</v>
      </c>
      <c r="H121" s="83">
        <v>34.698300000000003</v>
      </c>
      <c r="I121" s="24">
        <v>-3.3218223546636692E-2</v>
      </c>
      <c r="J121" s="24">
        <v>1.8580302000873472E-4</v>
      </c>
      <c r="K121" s="18"/>
      <c r="L121" s="18"/>
    </row>
    <row r="122" spans="1:14" x14ac:dyDescent="0.25">
      <c r="A122" s="16" t="s">
        <v>1336</v>
      </c>
      <c r="B122" s="24" t="s">
        <v>1466</v>
      </c>
      <c r="C122" s="24" t="s">
        <v>200</v>
      </c>
      <c r="D122" s="60" t="s">
        <v>126</v>
      </c>
      <c r="E122" s="60" t="s">
        <v>427</v>
      </c>
      <c r="F122" s="68">
        <v>-8381.2317447314399</v>
      </c>
      <c r="G122" s="60">
        <v>0.99839999999999995</v>
      </c>
      <c r="H122" s="83">
        <v>-33.91563</v>
      </c>
      <c r="I122" s="24">
        <v>3.2468938797146185E-2</v>
      </c>
      <c r="J122" s="24">
        <v>-1.8161196598965492E-4</v>
      </c>
      <c r="K122" s="18"/>
      <c r="L122" s="18"/>
    </row>
    <row r="123" spans="1:14" x14ac:dyDescent="0.25">
      <c r="A123" s="16" t="s">
        <v>1333</v>
      </c>
      <c r="B123" s="24" t="s">
        <v>1467</v>
      </c>
      <c r="C123" s="24" t="s">
        <v>200</v>
      </c>
      <c r="D123" s="60" t="s">
        <v>125</v>
      </c>
      <c r="E123" s="60" t="s">
        <v>1468</v>
      </c>
      <c r="F123" s="68">
        <v>9234.4267685192517</v>
      </c>
      <c r="G123" s="60">
        <v>0.99779300000000004</v>
      </c>
      <c r="H123" s="83">
        <v>35.234540000000003</v>
      </c>
      <c r="I123" s="24">
        <v>-3.3731589913134429E-2</v>
      </c>
      <c r="J123" s="24">
        <v>1.8867448666414676E-4</v>
      </c>
      <c r="K123" s="18"/>
      <c r="L123" s="18"/>
    </row>
    <row r="124" spans="1:14" x14ac:dyDescent="0.25">
      <c r="A124" s="16" t="s">
        <v>1336</v>
      </c>
      <c r="B124" s="24" t="s">
        <v>1469</v>
      </c>
      <c r="C124" s="24" t="s">
        <v>200</v>
      </c>
      <c r="D124" s="60" t="s">
        <v>126</v>
      </c>
      <c r="E124" s="60" t="s">
        <v>1468</v>
      </c>
      <c r="F124" s="68">
        <v>-8500.9636267990318</v>
      </c>
      <c r="G124" s="60">
        <v>0.99839999999999995</v>
      </c>
      <c r="H124" s="83">
        <v>-34.40014</v>
      </c>
      <c r="I124" s="24">
        <v>3.2932781737306974E-2</v>
      </c>
      <c r="J124" s="24">
        <v>-1.8420642800146621E-4</v>
      </c>
      <c r="K124" s="18"/>
      <c r="L124" s="18"/>
    </row>
    <row r="125" spans="1:14" x14ac:dyDescent="0.25">
      <c r="A125" s="16" t="s">
        <v>1333</v>
      </c>
      <c r="B125" s="24" t="s">
        <v>1470</v>
      </c>
      <c r="C125" s="24" t="s">
        <v>200</v>
      </c>
      <c r="D125" s="60" t="s">
        <v>125</v>
      </c>
      <c r="E125" s="60" t="s">
        <v>1471</v>
      </c>
      <c r="F125" s="68">
        <v>31330.912079166377</v>
      </c>
      <c r="G125" s="60">
        <v>0.99779300000000004</v>
      </c>
      <c r="H125" s="83">
        <v>119.54507000000001</v>
      </c>
      <c r="I125" s="24">
        <v>-0.11444580452524565</v>
      </c>
      <c r="J125" s="24">
        <v>6.4014188110528736E-4</v>
      </c>
      <c r="K125" s="18"/>
      <c r="L125" s="18"/>
    </row>
    <row r="126" spans="1:14" x14ac:dyDescent="0.25">
      <c r="A126" s="16" t="s">
        <v>1336</v>
      </c>
      <c r="B126" s="24" t="s">
        <v>1472</v>
      </c>
      <c r="C126" s="24" t="s">
        <v>200</v>
      </c>
      <c r="D126" s="60" t="s">
        <v>126</v>
      </c>
      <c r="E126" s="60" t="s">
        <v>1471</v>
      </c>
      <c r="F126" s="68">
        <v>-28735.651696222081</v>
      </c>
      <c r="G126" s="60">
        <v>0.99839999999999995</v>
      </c>
      <c r="H126" s="83">
        <v>-116.28216</v>
      </c>
      <c r="I126" s="24">
        <v>0.11132207587592979</v>
      </c>
      <c r="J126" s="24">
        <v>-6.2266959767881688E-4</v>
      </c>
      <c r="K126" s="18"/>
      <c r="L126" s="18"/>
    </row>
    <row r="127" spans="1:14" x14ac:dyDescent="0.25">
      <c r="A127" s="16" t="s">
        <v>1336</v>
      </c>
      <c r="B127" s="24" t="s">
        <v>1473</v>
      </c>
      <c r="C127" s="24" t="s">
        <v>200</v>
      </c>
      <c r="D127" s="60" t="s">
        <v>126</v>
      </c>
      <c r="E127" s="60" t="s">
        <v>845</v>
      </c>
      <c r="F127" s="68">
        <v>19995.224305287866</v>
      </c>
      <c r="G127" s="60">
        <v>0.99839999999999995</v>
      </c>
      <c r="H127" s="83">
        <v>80.912999999999997</v>
      </c>
      <c r="I127" s="24">
        <v>-7.7461608258301257E-2</v>
      </c>
      <c r="J127" s="24">
        <v>4.3327424565372803E-4</v>
      </c>
      <c r="K127" s="18"/>
      <c r="L127" s="18"/>
    </row>
    <row r="128" spans="1:14" x14ac:dyDescent="0.25">
      <c r="A128" s="16" t="s">
        <v>1333</v>
      </c>
      <c r="B128" s="24" t="s">
        <v>1474</v>
      </c>
      <c r="C128" s="24" t="s">
        <v>200</v>
      </c>
      <c r="D128" s="60" t="s">
        <v>125</v>
      </c>
      <c r="E128" s="60" t="s">
        <v>845</v>
      </c>
      <c r="F128" s="68">
        <v>-21907.767510088648</v>
      </c>
      <c r="G128" s="60">
        <v>0.99779300000000004</v>
      </c>
      <c r="H128" s="83">
        <v>-83.590469999999996</v>
      </c>
      <c r="I128" s="24">
        <v>8.0024869196140089E-2</v>
      </c>
      <c r="J128" s="24">
        <v>-4.4761160546624869E-4</v>
      </c>
      <c r="K128" s="18"/>
      <c r="L128" s="18"/>
    </row>
    <row r="129" spans="1:12" x14ac:dyDescent="0.25">
      <c r="A129" s="16" t="s">
        <v>1336</v>
      </c>
      <c r="B129" s="24" t="s">
        <v>1475</v>
      </c>
      <c r="C129" s="24" t="s">
        <v>200</v>
      </c>
      <c r="D129" s="60" t="s">
        <v>126</v>
      </c>
      <c r="E129" s="60" t="s">
        <v>1398</v>
      </c>
      <c r="F129" s="68">
        <v>20354.41995149064</v>
      </c>
      <c r="G129" s="60">
        <v>0.99839999999999995</v>
      </c>
      <c r="H129" s="83">
        <v>82.366529999999997</v>
      </c>
      <c r="I129" s="24">
        <v>-7.8853137078783608E-2</v>
      </c>
      <c r="J129" s="24">
        <v>4.4105763168916193E-4</v>
      </c>
      <c r="K129" s="18"/>
      <c r="L129" s="18"/>
    </row>
    <row r="130" spans="1:12" x14ac:dyDescent="0.25">
      <c r="A130" s="16" t="s">
        <v>1333</v>
      </c>
      <c r="B130" s="24" t="s">
        <v>1476</v>
      </c>
      <c r="C130" s="24" t="s">
        <v>200</v>
      </c>
      <c r="D130" s="60" t="s">
        <v>125</v>
      </c>
      <c r="E130" s="60" t="s">
        <v>1398</v>
      </c>
      <c r="F130" s="68">
        <v>-22668.310411576094</v>
      </c>
      <c r="G130" s="60">
        <v>0.99779300000000004</v>
      </c>
      <c r="H130" s="83">
        <v>-86.492360000000005</v>
      </c>
      <c r="I130" s="24">
        <v>8.2802977366504327E-2</v>
      </c>
      <c r="J130" s="24">
        <v>-4.6315069313720519E-4</v>
      </c>
      <c r="K130" s="18"/>
      <c r="L130" s="18"/>
    </row>
    <row r="131" spans="1:12" x14ac:dyDescent="0.25">
      <c r="A131" s="16" t="s">
        <v>1336</v>
      </c>
      <c r="B131" s="24" t="s">
        <v>1477</v>
      </c>
      <c r="C131" s="24" t="s">
        <v>200</v>
      </c>
      <c r="D131" s="60" t="s">
        <v>126</v>
      </c>
      <c r="E131" s="60" t="s">
        <v>1292</v>
      </c>
      <c r="F131" s="68">
        <v>11973.1882067592</v>
      </c>
      <c r="G131" s="60">
        <v>0.99839999999999995</v>
      </c>
      <c r="H131" s="83">
        <v>48.450900000000004</v>
      </c>
      <c r="I131" s="24">
        <v>-4.6384198281637416E-2</v>
      </c>
      <c r="J131" s="24">
        <v>2.5944566569950704E-4</v>
      </c>
      <c r="K131" s="18"/>
      <c r="L131" s="18"/>
    </row>
    <row r="132" spans="1:12" x14ac:dyDescent="0.25">
      <c r="A132" s="16" t="s">
        <v>1333</v>
      </c>
      <c r="B132" s="24" t="s">
        <v>1478</v>
      </c>
      <c r="C132" s="24" t="s">
        <v>200</v>
      </c>
      <c r="D132" s="60" t="s">
        <v>125</v>
      </c>
      <c r="E132" s="60" t="s">
        <v>1292</v>
      </c>
      <c r="F132" s="68">
        <v>-13178.768527297783</v>
      </c>
      <c r="G132" s="60">
        <v>0.99779300000000004</v>
      </c>
      <c r="H132" s="83">
        <v>-50.284419999999997</v>
      </c>
      <c r="I132" s="24">
        <v>4.8139508404531885E-2</v>
      </c>
      <c r="J132" s="24">
        <v>-2.6926382835434643E-4</v>
      </c>
      <c r="K132" s="18"/>
      <c r="L132" s="18"/>
    </row>
    <row r="133" spans="1:12" x14ac:dyDescent="0.25">
      <c r="A133" s="16" t="s">
        <v>1479</v>
      </c>
      <c r="B133" s="24" t="s">
        <v>1480</v>
      </c>
      <c r="C133" s="24" t="s">
        <v>200</v>
      </c>
      <c r="D133" s="60" t="s">
        <v>125</v>
      </c>
      <c r="E133" s="60" t="s">
        <v>1481</v>
      </c>
      <c r="F133" s="68">
        <v>16302.25604095378</v>
      </c>
      <c r="G133" s="60">
        <v>0.97838400000000003</v>
      </c>
      <c r="H133" s="83">
        <v>60.992339999999999</v>
      </c>
      <c r="I133" s="24">
        <v>-5.8390675760843343E-2</v>
      </c>
      <c r="J133" s="24">
        <v>3.2660277216461757E-4</v>
      </c>
      <c r="K133" s="18"/>
      <c r="L133" s="18"/>
    </row>
    <row r="134" spans="1:12" x14ac:dyDescent="0.25">
      <c r="A134" s="16" t="s">
        <v>1482</v>
      </c>
      <c r="B134" s="24" t="s">
        <v>1483</v>
      </c>
      <c r="C134" s="24" t="s">
        <v>200</v>
      </c>
      <c r="D134" s="60" t="s">
        <v>2</v>
      </c>
      <c r="E134" s="60" t="s">
        <v>1481</v>
      </c>
      <c r="F134" s="68">
        <v>-13170.50702743512</v>
      </c>
      <c r="G134" s="60">
        <v>0.97932300000000005</v>
      </c>
      <c r="H134" s="83">
        <v>-60.33643</v>
      </c>
      <c r="I134" s="24">
        <v>5.7762743988783206E-2</v>
      </c>
      <c r="J134" s="24">
        <v>-3.2309049465090856E-4</v>
      </c>
      <c r="K134" s="18"/>
      <c r="L134" s="18"/>
    </row>
    <row r="135" spans="1:12" x14ac:dyDescent="0.25">
      <c r="A135" s="16" t="s">
        <v>1336</v>
      </c>
      <c r="B135" s="24" t="s">
        <v>1484</v>
      </c>
      <c r="C135" s="24" t="s">
        <v>200</v>
      </c>
      <c r="D135" s="60" t="s">
        <v>126</v>
      </c>
      <c r="E135" s="60" t="s">
        <v>1061</v>
      </c>
      <c r="F135" s="68">
        <v>7722.7063933596837</v>
      </c>
      <c r="G135" s="60">
        <v>0.99839999999999995</v>
      </c>
      <c r="H135" s="83">
        <v>31.25085</v>
      </c>
      <c r="I135" s="24">
        <v>-2.9917826559872129E-2</v>
      </c>
      <c r="J135" s="24">
        <v>1.6734255879509853E-4</v>
      </c>
      <c r="K135" s="18"/>
      <c r="L135" s="18"/>
    </row>
    <row r="136" spans="1:12" x14ac:dyDescent="0.25">
      <c r="A136" s="16" t="s">
        <v>1333</v>
      </c>
      <c r="B136" s="24" t="s">
        <v>1485</v>
      </c>
      <c r="C136" s="24" t="s">
        <v>200</v>
      </c>
      <c r="D136" s="60" t="s">
        <v>125</v>
      </c>
      <c r="E136" s="60" t="s">
        <v>1061</v>
      </c>
      <c r="F136" s="68">
        <v>-8263.2958408948616</v>
      </c>
      <c r="G136" s="60">
        <v>0.99779300000000004</v>
      </c>
      <c r="H136" s="83">
        <v>-31.529130000000002</v>
      </c>
      <c r="I136" s="24">
        <v>3.0184236362328105E-2</v>
      </c>
      <c r="J136" s="24">
        <v>-1.6883269705570585E-4</v>
      </c>
      <c r="K136" s="18"/>
      <c r="L136" s="18"/>
    </row>
    <row r="137" spans="1:12" x14ac:dyDescent="0.25">
      <c r="A137" s="16" t="s">
        <v>1482</v>
      </c>
      <c r="B137" s="24" t="s">
        <v>1486</v>
      </c>
      <c r="C137" s="24" t="s">
        <v>200</v>
      </c>
      <c r="D137" s="60" t="s">
        <v>2</v>
      </c>
      <c r="E137" s="60" t="s">
        <v>1061</v>
      </c>
      <c r="F137" s="68">
        <v>2394.6376413518401</v>
      </c>
      <c r="G137" s="60">
        <v>0.97932300000000005</v>
      </c>
      <c r="H137" s="83">
        <v>10.97026</v>
      </c>
      <c r="I137" s="24">
        <v>-1.0502317088869674E-2</v>
      </c>
      <c r="J137" s="24">
        <v>5.8743726300165196E-5</v>
      </c>
      <c r="K137" s="18"/>
      <c r="L137" s="18"/>
    </row>
    <row r="138" spans="1:12" x14ac:dyDescent="0.25">
      <c r="A138" s="16" t="s">
        <v>1479</v>
      </c>
      <c r="B138" s="24" t="s">
        <v>1487</v>
      </c>
      <c r="C138" s="24" t="s">
        <v>200</v>
      </c>
      <c r="D138" s="60" t="s">
        <v>125</v>
      </c>
      <c r="E138" s="60" t="s">
        <v>1061</v>
      </c>
      <c r="F138" s="68">
        <v>-2965.6749064968067</v>
      </c>
      <c r="G138" s="60">
        <v>0.97838400000000003</v>
      </c>
      <c r="H138" s="83">
        <v>-11.095600000000001</v>
      </c>
      <c r="I138" s="24">
        <v>1.0622310637237618E-2</v>
      </c>
      <c r="J138" s="24">
        <v>-5.9414898966488764E-5</v>
      </c>
      <c r="K138" s="18"/>
      <c r="L138" s="18"/>
    </row>
    <row r="139" spans="1:12" x14ac:dyDescent="0.25">
      <c r="A139" s="16" t="s">
        <v>1336</v>
      </c>
      <c r="B139" s="24" t="s">
        <v>1488</v>
      </c>
      <c r="C139" s="24" t="s">
        <v>200</v>
      </c>
      <c r="D139" s="60" t="s">
        <v>126</v>
      </c>
      <c r="E139" s="60" t="s">
        <v>396</v>
      </c>
      <c r="F139" s="68">
        <v>215457.5217806318</v>
      </c>
      <c r="G139" s="60">
        <v>0.99839999999999995</v>
      </c>
      <c r="H139" s="83">
        <v>871.87437999999997</v>
      </c>
      <c r="I139" s="24">
        <v>-0.83468406404421147</v>
      </c>
      <c r="J139" s="24">
        <v>4.6687270809302808E-3</v>
      </c>
      <c r="K139" s="18"/>
      <c r="L139" s="18"/>
    </row>
    <row r="140" spans="1:12" x14ac:dyDescent="0.25">
      <c r="A140" s="16" t="s">
        <v>1333</v>
      </c>
      <c r="B140" s="24" t="s">
        <v>1489</v>
      </c>
      <c r="C140" s="24" t="s">
        <v>200</v>
      </c>
      <c r="D140" s="60" t="s">
        <v>125</v>
      </c>
      <c r="E140" s="60" t="s">
        <v>396</v>
      </c>
      <c r="F140" s="68">
        <v>-229718.65514729184</v>
      </c>
      <c r="G140" s="60">
        <v>0.99779300000000004</v>
      </c>
      <c r="H140" s="83">
        <v>-876.50603999999998</v>
      </c>
      <c r="I140" s="24">
        <v>0.83911815785491739</v>
      </c>
      <c r="J140" s="24">
        <v>-4.6935287690721686E-3</v>
      </c>
      <c r="K140" s="18"/>
      <c r="L140" s="18"/>
    </row>
    <row r="141" spans="1:12" x14ac:dyDescent="0.25">
      <c r="A141" s="16" t="s">
        <v>1342</v>
      </c>
      <c r="B141" s="24" t="s">
        <v>1490</v>
      </c>
      <c r="C141" s="24" t="s">
        <v>200</v>
      </c>
      <c r="D141" s="60" t="s">
        <v>125</v>
      </c>
      <c r="E141" s="60" t="s">
        <v>396</v>
      </c>
      <c r="F141" s="68">
        <v>231401.37839239856</v>
      </c>
      <c r="G141" s="60">
        <v>0.97537499999999999</v>
      </c>
      <c r="H141" s="83">
        <v>863.08915999999999</v>
      </c>
      <c r="I141" s="24">
        <v>-0.8262735827852915</v>
      </c>
      <c r="J141" s="24">
        <v>4.6216838422862803E-3</v>
      </c>
      <c r="K141" s="18"/>
      <c r="L141" s="18"/>
    </row>
    <row r="142" spans="1:12" x14ac:dyDescent="0.25">
      <c r="A142" s="16" t="s">
        <v>1344</v>
      </c>
      <c r="B142" s="24" t="s">
        <v>1491</v>
      </c>
      <c r="C142" s="24" t="s">
        <v>200</v>
      </c>
      <c r="D142" s="60" t="s">
        <v>126</v>
      </c>
      <c r="E142" s="60" t="s">
        <v>396</v>
      </c>
      <c r="F142" s="68">
        <v>-215457.5217806318</v>
      </c>
      <c r="G142" s="60">
        <v>0.98312600000000006</v>
      </c>
      <c r="H142" s="83">
        <v>-858.53598999999997</v>
      </c>
      <c r="I142" s="24">
        <v>0.82191463093733819</v>
      </c>
      <c r="J142" s="24">
        <v>-4.5973024536703194E-3</v>
      </c>
      <c r="K142" s="18"/>
      <c r="L142" s="18"/>
    </row>
    <row r="143" spans="1:12" x14ac:dyDescent="0.25">
      <c r="A143" s="16" t="s">
        <v>1482</v>
      </c>
      <c r="B143" s="24" t="s">
        <v>1492</v>
      </c>
      <c r="C143" s="24" t="s">
        <v>200</v>
      </c>
      <c r="D143" s="60" t="s">
        <v>2</v>
      </c>
      <c r="E143" s="60" t="s">
        <v>1325</v>
      </c>
      <c r="F143" s="68">
        <v>15565.144668786959</v>
      </c>
      <c r="G143" s="60">
        <v>0.979321</v>
      </c>
      <c r="H143" s="83">
        <v>71.306560000000005</v>
      </c>
      <c r="I143" s="24">
        <v>-6.8264936622879552E-2</v>
      </c>
      <c r="J143" s="24">
        <v>3.8183352482496386E-4</v>
      </c>
      <c r="K143" s="18"/>
      <c r="L143" s="18"/>
    </row>
    <row r="144" spans="1:12" x14ac:dyDescent="0.25">
      <c r="A144" s="16" t="s">
        <v>1479</v>
      </c>
      <c r="B144" s="24" t="s">
        <v>1493</v>
      </c>
      <c r="C144" s="24" t="s">
        <v>200</v>
      </c>
      <c r="D144" s="60" t="s">
        <v>125</v>
      </c>
      <c r="E144" s="60" t="s">
        <v>1325</v>
      </c>
      <c r="F144" s="68">
        <v>-18925.503751331376</v>
      </c>
      <c r="G144" s="60">
        <v>0.97838199999999997</v>
      </c>
      <c r="H144" s="83">
        <v>-70.806640000000002</v>
      </c>
      <c r="I144" s="24">
        <v>6.7786341005358394E-2</v>
      </c>
      <c r="J144" s="24">
        <v>-3.7915654509504144E-4</v>
      </c>
      <c r="K144" s="18"/>
      <c r="L144" s="18"/>
    </row>
    <row r="145" spans="1:14" s="117" customFormat="1" x14ac:dyDescent="0.25">
      <c r="A145" s="91" t="s">
        <v>1215</v>
      </c>
      <c r="B145" s="135" t="s">
        <v>249</v>
      </c>
      <c r="C145" s="135" t="s">
        <v>249</v>
      </c>
      <c r="D145" s="134" t="s">
        <v>249</v>
      </c>
      <c r="E145" s="134" t="s">
        <v>249</v>
      </c>
      <c r="F145" s="133" t="s">
        <v>249</v>
      </c>
      <c r="G145" s="134" t="s">
        <v>249</v>
      </c>
      <c r="H145" s="122">
        <v>-54.228289900000092</v>
      </c>
      <c r="I145" s="135">
        <v>5.1915150207647739E-2</v>
      </c>
      <c r="J145" s="135">
        <v>-2.9038252690561739E-4</v>
      </c>
      <c r="K145" s="157"/>
      <c r="L145" s="157"/>
      <c r="M145" s="128"/>
      <c r="N145" s="128"/>
    </row>
    <row r="146" spans="1:14" x14ac:dyDescent="0.25">
      <c r="A146" s="16" t="s">
        <v>1494</v>
      </c>
      <c r="B146" s="24" t="s">
        <v>1495</v>
      </c>
      <c r="C146" s="24" t="s">
        <v>200</v>
      </c>
      <c r="D146" s="60" t="s">
        <v>125</v>
      </c>
      <c r="E146" s="60" t="s">
        <v>1496</v>
      </c>
      <c r="F146" s="68">
        <v>258.6208652659987</v>
      </c>
      <c r="G146" s="60">
        <v>285.87189999999998</v>
      </c>
      <c r="H146" s="83">
        <v>282.71764000000002</v>
      </c>
      <c r="I146" s="24">
        <v>-0.27065815230422108</v>
      </c>
      <c r="J146" s="24">
        <v>1.5139010073041694E-3</v>
      </c>
      <c r="K146" s="18"/>
      <c r="L146" s="18"/>
    </row>
    <row r="147" spans="1:14" x14ac:dyDescent="0.25">
      <c r="A147" s="16" t="s">
        <v>1497</v>
      </c>
      <c r="B147" s="24" t="s">
        <v>1498</v>
      </c>
      <c r="C147" s="24" t="s">
        <v>200</v>
      </c>
      <c r="D147" s="60" t="s">
        <v>125</v>
      </c>
      <c r="E147" s="60" t="s">
        <v>1496</v>
      </c>
      <c r="F147" s="68">
        <v>-258.6208652659987</v>
      </c>
      <c r="G147" s="60">
        <v>294.93432899999999</v>
      </c>
      <c r="H147" s="83">
        <v>-291.68008000000003</v>
      </c>
      <c r="I147" s="24">
        <v>0.27923829413950751</v>
      </c>
      <c r="J147" s="24">
        <v>-1.5618932264805292E-3</v>
      </c>
      <c r="K147" s="18"/>
      <c r="L147" s="18"/>
    </row>
    <row r="148" spans="1:14" x14ac:dyDescent="0.25">
      <c r="A148" s="16" t="s">
        <v>1499</v>
      </c>
      <c r="B148" s="24" t="s">
        <v>1500</v>
      </c>
      <c r="C148" s="24" t="s">
        <v>200</v>
      </c>
      <c r="D148" s="60" t="s">
        <v>125</v>
      </c>
      <c r="E148" s="60" t="s">
        <v>1052</v>
      </c>
      <c r="F148" s="68">
        <v>909.96230371369916</v>
      </c>
      <c r="G148" s="60">
        <v>84.980999999999995</v>
      </c>
      <c r="H148" s="83">
        <v>295.70803000000001</v>
      </c>
      <c r="I148" s="24">
        <v>-0.28309442955636294</v>
      </c>
      <c r="J148" s="24">
        <v>1.5834621585159366E-3</v>
      </c>
      <c r="K148" s="18"/>
      <c r="L148" s="18"/>
    </row>
    <row r="149" spans="1:14" x14ac:dyDescent="0.25">
      <c r="A149" s="16" t="s">
        <v>1501</v>
      </c>
      <c r="B149" s="24" t="s">
        <v>1502</v>
      </c>
      <c r="C149" s="24" t="s">
        <v>200</v>
      </c>
      <c r="D149" s="60" t="s">
        <v>125</v>
      </c>
      <c r="E149" s="60" t="s">
        <v>1052</v>
      </c>
      <c r="F149" s="68">
        <v>-909.96230371369916</v>
      </c>
      <c r="G149" s="60">
        <v>87.227005000000005</v>
      </c>
      <c r="H149" s="83">
        <v>-303.52345000000003</v>
      </c>
      <c r="I149" s="24">
        <v>0.29057647820632143</v>
      </c>
      <c r="J149" s="24">
        <v>-1.6253122963796553E-3</v>
      </c>
      <c r="K149" s="18"/>
      <c r="L149" s="18"/>
    </row>
    <row r="150" spans="1:14" x14ac:dyDescent="0.25">
      <c r="A150" s="16" t="s">
        <v>1499</v>
      </c>
      <c r="B150" s="24" t="s">
        <v>1503</v>
      </c>
      <c r="C150" s="24" t="s">
        <v>200</v>
      </c>
      <c r="D150" s="60" t="s">
        <v>125</v>
      </c>
      <c r="E150" s="60" t="s">
        <v>1363</v>
      </c>
      <c r="F150" s="68">
        <v>838.12317447314399</v>
      </c>
      <c r="G150" s="60">
        <v>84.980999999999995</v>
      </c>
      <c r="H150" s="83">
        <v>272.36265999999995</v>
      </c>
      <c r="I150" s="24">
        <v>-0.26074487008402719</v>
      </c>
      <c r="J150" s="24">
        <v>1.45845199233427E-3</v>
      </c>
      <c r="K150" s="18"/>
      <c r="L150" s="18"/>
    </row>
    <row r="151" spans="1:14" x14ac:dyDescent="0.25">
      <c r="A151" s="16" t="s">
        <v>1501</v>
      </c>
      <c r="B151" s="24" t="s">
        <v>1504</v>
      </c>
      <c r="C151" s="24" t="s">
        <v>200</v>
      </c>
      <c r="D151" s="60" t="s">
        <v>125</v>
      </c>
      <c r="E151" s="60" t="s">
        <v>1363</v>
      </c>
      <c r="F151" s="68">
        <v>-838.12317447314399</v>
      </c>
      <c r="G151" s="60">
        <v>86.731295000000003</v>
      </c>
      <c r="H151" s="83">
        <v>-277.97233</v>
      </c>
      <c r="I151" s="24">
        <v>0.26611525630130189</v>
      </c>
      <c r="J151" s="24">
        <v>-1.4884907442976919E-3</v>
      </c>
      <c r="K151" s="18"/>
      <c r="L151" s="18"/>
    </row>
    <row r="152" spans="1:14" x14ac:dyDescent="0.25">
      <c r="A152" s="16" t="s">
        <v>1505</v>
      </c>
      <c r="B152" s="24" t="s">
        <v>1506</v>
      </c>
      <c r="C152" s="24" t="s">
        <v>200</v>
      </c>
      <c r="D152" s="60" t="s">
        <v>125</v>
      </c>
      <c r="E152" s="60" t="s">
        <v>1363</v>
      </c>
      <c r="F152" s="68">
        <v>234.67448885248032</v>
      </c>
      <c r="G152" s="60">
        <v>285.87189999999998</v>
      </c>
      <c r="H152" s="83">
        <v>256.54007999999999</v>
      </c>
      <c r="I152" s="24">
        <v>-0.24559721156690845</v>
      </c>
      <c r="J152" s="24">
        <v>1.3737249841428083E-3</v>
      </c>
      <c r="K152" s="18"/>
      <c r="L152" s="18"/>
    </row>
    <row r="153" spans="1:14" x14ac:dyDescent="0.25">
      <c r="A153" s="16" t="s">
        <v>1507</v>
      </c>
      <c r="B153" s="24" t="s">
        <v>1508</v>
      </c>
      <c r="C153" s="24" t="s">
        <v>200</v>
      </c>
      <c r="D153" s="60" t="s">
        <v>125</v>
      </c>
      <c r="E153" s="60" t="s">
        <v>1363</v>
      </c>
      <c r="F153" s="68">
        <v>-234.67448885248032</v>
      </c>
      <c r="G153" s="60">
        <v>295.535214</v>
      </c>
      <c r="H153" s="83">
        <v>-265.21190000000001</v>
      </c>
      <c r="I153" s="24">
        <v>0.2538991299697177</v>
      </c>
      <c r="J153" s="24">
        <v>-1.4201609866262772E-3</v>
      </c>
      <c r="K153" s="18"/>
      <c r="L153" s="18"/>
    </row>
    <row r="154" spans="1:14" x14ac:dyDescent="0.25">
      <c r="A154" s="16" t="s">
        <v>1509</v>
      </c>
      <c r="B154" s="24" t="s">
        <v>1510</v>
      </c>
      <c r="C154" s="24" t="s">
        <v>200</v>
      </c>
      <c r="D154" s="60" t="s">
        <v>125</v>
      </c>
      <c r="E154" s="60" t="s">
        <v>1406</v>
      </c>
      <c r="F154" s="68">
        <v>1221.2651970894383</v>
      </c>
      <c r="G154" s="60">
        <v>88.0886</v>
      </c>
      <c r="H154" s="83">
        <v>411.38416999999998</v>
      </c>
      <c r="I154" s="24">
        <v>-0.39383633557285486</v>
      </c>
      <c r="J154" s="24">
        <v>2.2028866304627812E-3</v>
      </c>
      <c r="K154" s="18"/>
      <c r="L154" s="18"/>
    </row>
    <row r="155" spans="1:14" x14ac:dyDescent="0.25">
      <c r="A155" s="16" t="s">
        <v>1511</v>
      </c>
      <c r="B155" s="24" t="s">
        <v>1512</v>
      </c>
      <c r="C155" s="24" t="s">
        <v>200</v>
      </c>
      <c r="D155" s="60" t="s">
        <v>125</v>
      </c>
      <c r="E155" s="60" t="s">
        <v>1406</v>
      </c>
      <c r="F155" s="68">
        <v>-1221.2651970894383</v>
      </c>
      <c r="G155" s="60">
        <v>93.049705000000003</v>
      </c>
      <c r="H155" s="83">
        <v>-434.55311</v>
      </c>
      <c r="I155" s="24">
        <v>0.41601699077090815</v>
      </c>
      <c r="J155" s="24">
        <v>-2.3269520464169109E-3</v>
      </c>
      <c r="K155" s="18"/>
      <c r="L155" s="18"/>
    </row>
    <row r="156" spans="1:14" s="117" customFormat="1" x14ac:dyDescent="0.25">
      <c r="A156" s="91" t="s">
        <v>141</v>
      </c>
      <c r="B156" s="135" t="s">
        <v>249</v>
      </c>
      <c r="C156" s="135" t="s">
        <v>249</v>
      </c>
      <c r="D156" s="134" t="s">
        <v>249</v>
      </c>
      <c r="E156" s="134" t="s">
        <v>249</v>
      </c>
      <c r="F156" s="133" t="s">
        <v>249</v>
      </c>
      <c r="G156" s="134" t="s">
        <v>249</v>
      </c>
      <c r="H156" s="122">
        <v>0</v>
      </c>
      <c r="I156" s="135">
        <v>0</v>
      </c>
      <c r="J156" s="135">
        <v>0</v>
      </c>
      <c r="K156" s="157"/>
      <c r="L156" s="157"/>
      <c r="M156" s="128"/>
      <c r="N156" s="128"/>
    </row>
    <row r="157" spans="1:14" s="117" customFormat="1" x14ac:dyDescent="0.25">
      <c r="A157" s="77" t="s">
        <v>241</v>
      </c>
      <c r="B157" s="123"/>
      <c r="C157" s="77"/>
      <c r="D157" s="124"/>
      <c r="E157" s="124"/>
      <c r="F157" s="124"/>
      <c r="G157" s="125"/>
      <c r="H157" s="126"/>
      <c r="I157" s="126"/>
      <c r="J157" s="127"/>
      <c r="K157" s="146"/>
      <c r="L157" s="146"/>
      <c r="M157" s="128"/>
      <c r="N157" s="128"/>
    </row>
    <row r="158" spans="1:14" s="117" customFormat="1" x14ac:dyDescent="0.25">
      <c r="A158" s="77" t="s">
        <v>242</v>
      </c>
      <c r="B158" s="123"/>
      <c r="C158" s="77"/>
      <c r="D158" s="124"/>
      <c r="E158" s="124"/>
      <c r="F158" s="124"/>
      <c r="G158" s="125"/>
      <c r="H158" s="126"/>
      <c r="I158" s="126"/>
      <c r="J158" s="127"/>
      <c r="K158" s="146"/>
      <c r="L158" s="146"/>
      <c r="M158" s="128"/>
      <c r="N158" s="128"/>
    </row>
    <row r="159" spans="1:14" s="117" customFormat="1" x14ac:dyDescent="0.25">
      <c r="A159" s="77" t="s">
        <v>243</v>
      </c>
      <c r="B159" s="123"/>
      <c r="C159" s="77"/>
      <c r="D159" s="124"/>
      <c r="E159" s="124"/>
      <c r="F159" s="124"/>
      <c r="G159" s="125"/>
      <c r="H159" s="126"/>
      <c r="I159" s="126"/>
      <c r="J159" s="127"/>
      <c r="K159" s="146"/>
      <c r="L159" s="146"/>
      <c r="M159" s="128"/>
      <c r="N159" s="128"/>
    </row>
    <row r="160" spans="1:14" s="117" customFormat="1" x14ac:dyDescent="0.25">
      <c r="A160" s="77" t="s">
        <v>244</v>
      </c>
      <c r="B160" s="123"/>
      <c r="C160" s="77"/>
      <c r="D160" s="124"/>
      <c r="E160" s="124"/>
      <c r="F160" s="124"/>
      <c r="G160" s="125"/>
      <c r="H160" s="126"/>
      <c r="I160" s="126"/>
      <c r="J160" s="127"/>
      <c r="K160" s="146"/>
      <c r="L160" s="146"/>
      <c r="M160" s="128"/>
      <c r="N160" s="128"/>
    </row>
    <row r="161" spans="1:14" s="117" customFormat="1" x14ac:dyDescent="0.25">
      <c r="A161" s="77" t="s">
        <v>245</v>
      </c>
      <c r="B161" s="123"/>
      <c r="C161" s="77"/>
      <c r="D161" s="124"/>
      <c r="E161" s="124"/>
      <c r="F161" s="124"/>
      <c r="G161" s="125"/>
      <c r="H161" s="126"/>
      <c r="I161" s="126"/>
      <c r="J161" s="127"/>
      <c r="K161" s="146"/>
      <c r="L161" s="146"/>
      <c r="M161" s="128"/>
      <c r="N161" s="128"/>
    </row>
  </sheetData>
  <mergeCells count="2">
    <mergeCell ref="A5:J5"/>
    <mergeCell ref="A4:J4"/>
  </mergeCells>
  <phoneticPr fontId="3" type="noConversion"/>
  <conditionalFormatting sqref="B10:E156 I10:J156">
    <cfRule type="expression" dxfId="46" priority="355" stopIfTrue="1">
      <formula>OR(LEFT(#REF!,3)="TIR",LEFT(#REF!,2)="IR")</formula>
    </cfRule>
  </conditionalFormatting>
  <conditionalFormatting sqref="H10:I156 A10:A156">
    <cfRule type="expression" dxfId="45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4" customWidth="1"/>
    <col min="15" max="15" width="25.44140625" style="64" customWidth="1"/>
    <col min="16" max="16" width="20.6640625" style="64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4"/>
      <c r="O1" s="64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4"/>
      <c r="O2" s="64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4"/>
      <c r="O3" s="64"/>
      <c r="P3" s="43"/>
    </row>
    <row r="4" spans="1:16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3"/>
    </row>
    <row r="5" spans="1:16" s="7" customFormat="1" x14ac:dyDescent="0.25">
      <c r="A5" s="224" t="s">
        <v>34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6"/>
    </row>
    <row r="6" spans="1:16" s="7" customFormat="1" ht="31.5" customHeight="1" x14ac:dyDescent="0.25">
      <c r="A6" s="85" t="s">
        <v>157</v>
      </c>
      <c r="B6" s="204" t="s">
        <v>69</v>
      </c>
      <c r="C6" s="204" t="s">
        <v>27</v>
      </c>
      <c r="D6" s="204" t="s">
        <v>70</v>
      </c>
      <c r="E6" s="204" t="s">
        <v>5</v>
      </c>
      <c r="F6" s="204" t="s">
        <v>13</v>
      </c>
      <c r="G6" s="204" t="s">
        <v>14</v>
      </c>
      <c r="H6" s="204" t="s">
        <v>6</v>
      </c>
      <c r="I6" s="205" t="s">
        <v>66</v>
      </c>
      <c r="J6" s="205" t="s">
        <v>71</v>
      </c>
      <c r="K6" s="205" t="s">
        <v>67</v>
      </c>
      <c r="L6" s="205" t="s">
        <v>68</v>
      </c>
      <c r="M6" s="205" t="s">
        <v>7</v>
      </c>
      <c r="N6" s="88" t="s">
        <v>17</v>
      </c>
      <c r="O6" s="88" t="s">
        <v>75</v>
      </c>
      <c r="P6" s="89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7" customFormat="1" ht="12.75" customHeight="1" thickBot="1" x14ac:dyDescent="0.3">
      <c r="A9" s="98" t="s">
        <v>57</v>
      </c>
      <c r="B9" s="66" t="s">
        <v>249</v>
      </c>
      <c r="C9" s="66" t="s">
        <v>249</v>
      </c>
      <c r="D9" s="99"/>
      <c r="E9" s="99" t="s">
        <v>249</v>
      </c>
      <c r="F9" s="99" t="s">
        <v>249</v>
      </c>
      <c r="G9" s="99" t="s">
        <v>249</v>
      </c>
      <c r="H9" s="99" t="s">
        <v>249</v>
      </c>
      <c r="I9" s="66" t="s">
        <v>249</v>
      </c>
      <c r="J9" s="66" t="s">
        <v>249</v>
      </c>
      <c r="K9" s="100" t="s">
        <v>249</v>
      </c>
      <c r="L9" s="99" t="s">
        <v>249</v>
      </c>
      <c r="M9" s="101">
        <v>1.2000000000000002E-6</v>
      </c>
      <c r="N9" s="66" t="s">
        <v>249</v>
      </c>
      <c r="O9" s="66">
        <v>0</v>
      </c>
      <c r="P9" s="80">
        <v>0</v>
      </c>
    </row>
    <row r="10" spans="1:16" s="117" customFormat="1" x14ac:dyDescent="0.25">
      <c r="A10" s="90" t="s">
        <v>137</v>
      </c>
      <c r="B10" s="119" t="s">
        <v>249</v>
      </c>
      <c r="C10" s="119" t="s">
        <v>249</v>
      </c>
      <c r="D10" s="120" t="s">
        <v>249</v>
      </c>
      <c r="E10" s="120" t="s">
        <v>249</v>
      </c>
      <c r="F10" s="120" t="s">
        <v>249</v>
      </c>
      <c r="G10" s="120" t="s">
        <v>249</v>
      </c>
      <c r="H10" s="120" t="s">
        <v>249</v>
      </c>
      <c r="I10" s="119" t="s">
        <v>249</v>
      </c>
      <c r="J10" s="119" t="s">
        <v>249</v>
      </c>
      <c r="K10" s="131" t="s">
        <v>249</v>
      </c>
      <c r="L10" s="120" t="s">
        <v>249</v>
      </c>
      <c r="M10" s="121">
        <v>0</v>
      </c>
      <c r="N10" s="119" t="s">
        <v>249</v>
      </c>
      <c r="O10" s="119">
        <v>0</v>
      </c>
      <c r="P10" s="119">
        <v>0</v>
      </c>
    </row>
    <row r="11" spans="1:16" s="117" customFormat="1" x14ac:dyDescent="0.25">
      <c r="A11" s="91" t="s">
        <v>1221</v>
      </c>
      <c r="B11" s="135" t="s">
        <v>249</v>
      </c>
      <c r="C11" s="135" t="s">
        <v>249</v>
      </c>
      <c r="D11" s="134" t="s">
        <v>249</v>
      </c>
      <c r="E11" s="134" t="s">
        <v>249</v>
      </c>
      <c r="F11" s="134" t="s">
        <v>249</v>
      </c>
      <c r="G11" s="134" t="s">
        <v>249</v>
      </c>
      <c r="H11" s="134" t="s">
        <v>249</v>
      </c>
      <c r="I11" s="135" t="s">
        <v>249</v>
      </c>
      <c r="J11" s="135" t="s">
        <v>249</v>
      </c>
      <c r="K11" s="133" t="s">
        <v>249</v>
      </c>
      <c r="L11" s="120" t="s">
        <v>249</v>
      </c>
      <c r="M11" s="122">
        <v>0</v>
      </c>
      <c r="N11" s="135"/>
      <c r="O11" s="135">
        <v>0</v>
      </c>
      <c r="P11" s="135">
        <v>0</v>
      </c>
    </row>
    <row r="12" spans="1:16" s="117" customFormat="1" x14ac:dyDescent="0.25">
      <c r="A12" s="91" t="s">
        <v>1222</v>
      </c>
      <c r="B12" s="135" t="s">
        <v>249</v>
      </c>
      <c r="C12" s="135" t="s">
        <v>249</v>
      </c>
      <c r="D12" s="134" t="s">
        <v>249</v>
      </c>
      <c r="E12" s="134" t="s">
        <v>249</v>
      </c>
      <c r="F12" s="134" t="s">
        <v>249</v>
      </c>
      <c r="G12" s="134" t="s">
        <v>249</v>
      </c>
      <c r="H12" s="134" t="s">
        <v>249</v>
      </c>
      <c r="I12" s="135" t="s">
        <v>249</v>
      </c>
      <c r="J12" s="135" t="s">
        <v>249</v>
      </c>
      <c r="K12" s="133" t="s">
        <v>249</v>
      </c>
      <c r="L12" s="120" t="s">
        <v>249</v>
      </c>
      <c r="M12" s="122">
        <v>0</v>
      </c>
      <c r="N12" s="135"/>
      <c r="O12" s="135">
        <v>0</v>
      </c>
      <c r="P12" s="135">
        <v>0</v>
      </c>
    </row>
    <row r="13" spans="1:16" s="117" customFormat="1" x14ac:dyDescent="0.25">
      <c r="A13" s="91" t="s">
        <v>1223</v>
      </c>
      <c r="B13" s="135" t="s">
        <v>249</v>
      </c>
      <c r="C13" s="135" t="s">
        <v>249</v>
      </c>
      <c r="D13" s="134" t="s">
        <v>249</v>
      </c>
      <c r="E13" s="134" t="s">
        <v>249</v>
      </c>
      <c r="F13" s="134" t="s">
        <v>249</v>
      </c>
      <c r="G13" s="134" t="s">
        <v>249</v>
      </c>
      <c r="H13" s="134" t="s">
        <v>249</v>
      </c>
      <c r="I13" s="135" t="s">
        <v>249</v>
      </c>
      <c r="J13" s="135" t="s">
        <v>249</v>
      </c>
      <c r="K13" s="133" t="s">
        <v>249</v>
      </c>
      <c r="L13" s="120" t="s">
        <v>249</v>
      </c>
      <c r="M13" s="122">
        <v>0</v>
      </c>
      <c r="N13" s="135"/>
      <c r="O13" s="135">
        <v>0</v>
      </c>
      <c r="P13" s="135">
        <v>0</v>
      </c>
    </row>
    <row r="14" spans="1:16" s="117" customFormat="1" x14ac:dyDescent="0.25">
      <c r="A14" s="91" t="s">
        <v>1224</v>
      </c>
      <c r="B14" s="135" t="s">
        <v>249</v>
      </c>
      <c r="C14" s="135" t="s">
        <v>249</v>
      </c>
      <c r="D14" s="134" t="s">
        <v>249</v>
      </c>
      <c r="E14" s="134" t="s">
        <v>249</v>
      </c>
      <c r="F14" s="134" t="s">
        <v>249</v>
      </c>
      <c r="G14" s="134" t="s">
        <v>249</v>
      </c>
      <c r="H14" s="134" t="s">
        <v>249</v>
      </c>
      <c r="I14" s="135" t="s">
        <v>249</v>
      </c>
      <c r="J14" s="135" t="s">
        <v>249</v>
      </c>
      <c r="K14" s="133" t="s">
        <v>249</v>
      </c>
      <c r="L14" s="120" t="s">
        <v>249</v>
      </c>
      <c r="M14" s="122">
        <v>0</v>
      </c>
      <c r="N14" s="135"/>
      <c r="O14" s="135">
        <v>0</v>
      </c>
      <c r="P14" s="135">
        <v>0</v>
      </c>
    </row>
    <row r="15" spans="1:16" s="117" customFormat="1" x14ac:dyDescent="0.25">
      <c r="A15" s="91" t="s">
        <v>1225</v>
      </c>
      <c r="B15" s="135" t="s">
        <v>249</v>
      </c>
      <c r="C15" s="135" t="s">
        <v>249</v>
      </c>
      <c r="D15" s="134" t="s">
        <v>249</v>
      </c>
      <c r="E15" s="134" t="s">
        <v>249</v>
      </c>
      <c r="F15" s="134" t="s">
        <v>249</v>
      </c>
      <c r="G15" s="134" t="s">
        <v>249</v>
      </c>
      <c r="H15" s="134" t="s">
        <v>249</v>
      </c>
      <c r="I15" s="135" t="s">
        <v>249</v>
      </c>
      <c r="J15" s="135" t="s">
        <v>249</v>
      </c>
      <c r="K15" s="133" t="s">
        <v>249</v>
      </c>
      <c r="L15" s="120" t="s">
        <v>249</v>
      </c>
      <c r="M15" s="122">
        <v>0</v>
      </c>
      <c r="N15" s="135"/>
      <c r="O15" s="135">
        <v>0</v>
      </c>
      <c r="P15" s="135">
        <v>0</v>
      </c>
    </row>
    <row r="16" spans="1:16" s="117" customFormat="1" x14ac:dyDescent="0.25">
      <c r="A16" s="91" t="s">
        <v>1226</v>
      </c>
      <c r="B16" s="135" t="s">
        <v>249</v>
      </c>
      <c r="C16" s="135" t="s">
        <v>249</v>
      </c>
      <c r="D16" s="134" t="s">
        <v>249</v>
      </c>
      <c r="E16" s="134" t="s">
        <v>249</v>
      </c>
      <c r="F16" s="134" t="s">
        <v>249</v>
      </c>
      <c r="G16" s="134" t="s">
        <v>249</v>
      </c>
      <c r="H16" s="134" t="s">
        <v>249</v>
      </c>
      <c r="I16" s="135" t="s">
        <v>249</v>
      </c>
      <c r="J16" s="135" t="s">
        <v>249</v>
      </c>
      <c r="K16" s="133" t="s">
        <v>249</v>
      </c>
      <c r="L16" s="120" t="s">
        <v>249</v>
      </c>
      <c r="M16" s="122">
        <v>0</v>
      </c>
      <c r="N16" s="135"/>
      <c r="O16" s="135">
        <v>0</v>
      </c>
      <c r="P16" s="135">
        <v>0</v>
      </c>
    </row>
    <row r="17" spans="1:16" s="117" customFormat="1" x14ac:dyDescent="0.25">
      <c r="A17" s="91" t="s">
        <v>1227</v>
      </c>
      <c r="B17" s="135" t="s">
        <v>249</v>
      </c>
      <c r="C17" s="135" t="s">
        <v>249</v>
      </c>
      <c r="D17" s="134" t="s">
        <v>249</v>
      </c>
      <c r="E17" s="134" t="s">
        <v>249</v>
      </c>
      <c r="F17" s="134" t="s">
        <v>249</v>
      </c>
      <c r="G17" s="134" t="s">
        <v>249</v>
      </c>
      <c r="H17" s="134" t="s">
        <v>249</v>
      </c>
      <c r="I17" s="135" t="s">
        <v>249</v>
      </c>
      <c r="J17" s="135" t="s">
        <v>249</v>
      </c>
      <c r="K17" s="133" t="s">
        <v>249</v>
      </c>
      <c r="L17" s="120" t="s">
        <v>249</v>
      </c>
      <c r="M17" s="122">
        <v>0</v>
      </c>
      <c r="N17" s="135"/>
      <c r="O17" s="135">
        <v>0</v>
      </c>
      <c r="P17" s="135">
        <v>0</v>
      </c>
    </row>
    <row r="18" spans="1:16" s="117" customFormat="1" x14ac:dyDescent="0.25">
      <c r="A18" s="91" t="s">
        <v>439</v>
      </c>
      <c r="B18" s="135" t="s">
        <v>249</v>
      </c>
      <c r="C18" s="135" t="s">
        <v>249</v>
      </c>
      <c r="D18" s="134" t="s">
        <v>249</v>
      </c>
      <c r="E18" s="134" t="s">
        <v>249</v>
      </c>
      <c r="F18" s="134" t="s">
        <v>249</v>
      </c>
      <c r="G18" s="134" t="s">
        <v>249</v>
      </c>
      <c r="H18" s="134" t="s">
        <v>249</v>
      </c>
      <c r="I18" s="135" t="s">
        <v>249</v>
      </c>
      <c r="J18" s="135" t="s">
        <v>249</v>
      </c>
      <c r="K18" s="133" t="s">
        <v>249</v>
      </c>
      <c r="L18" s="120" t="s">
        <v>249</v>
      </c>
      <c r="M18" s="122">
        <v>0</v>
      </c>
      <c r="N18" s="135"/>
      <c r="O18" s="135">
        <v>0</v>
      </c>
      <c r="P18" s="135">
        <v>0</v>
      </c>
    </row>
    <row r="19" spans="1:16" s="117" customFormat="1" x14ac:dyDescent="0.25">
      <c r="A19" s="91" t="s">
        <v>1221</v>
      </c>
      <c r="B19" s="135" t="s">
        <v>249</v>
      </c>
      <c r="C19" s="135" t="s">
        <v>249</v>
      </c>
      <c r="D19" s="134" t="s">
        <v>249</v>
      </c>
      <c r="E19" s="134" t="s">
        <v>249</v>
      </c>
      <c r="F19" s="134" t="s">
        <v>249</v>
      </c>
      <c r="G19" s="134" t="s">
        <v>249</v>
      </c>
      <c r="H19" s="134" t="s">
        <v>249</v>
      </c>
      <c r="I19" s="135" t="s">
        <v>249</v>
      </c>
      <c r="J19" s="135" t="s">
        <v>249</v>
      </c>
      <c r="K19" s="133" t="s">
        <v>249</v>
      </c>
      <c r="L19" s="120" t="s">
        <v>249</v>
      </c>
      <c r="M19" s="122">
        <v>0</v>
      </c>
      <c r="N19" s="135"/>
      <c r="O19" s="135">
        <v>0</v>
      </c>
      <c r="P19" s="135">
        <v>0</v>
      </c>
    </row>
    <row r="20" spans="1:16" s="117" customFormat="1" x14ac:dyDescent="0.25">
      <c r="A20" s="91" t="s">
        <v>1222</v>
      </c>
      <c r="B20" s="135" t="s">
        <v>249</v>
      </c>
      <c r="C20" s="135" t="s">
        <v>249</v>
      </c>
      <c r="D20" s="134" t="s">
        <v>249</v>
      </c>
      <c r="E20" s="134" t="s">
        <v>249</v>
      </c>
      <c r="F20" s="134" t="s">
        <v>249</v>
      </c>
      <c r="G20" s="134" t="s">
        <v>249</v>
      </c>
      <c r="H20" s="134" t="s">
        <v>249</v>
      </c>
      <c r="I20" s="135" t="s">
        <v>249</v>
      </c>
      <c r="J20" s="135" t="s">
        <v>249</v>
      </c>
      <c r="K20" s="133" t="s">
        <v>249</v>
      </c>
      <c r="L20" s="120" t="s">
        <v>249</v>
      </c>
      <c r="M20" s="122">
        <v>0</v>
      </c>
      <c r="N20" s="135"/>
      <c r="O20" s="135">
        <v>0</v>
      </c>
      <c r="P20" s="135">
        <v>0</v>
      </c>
    </row>
    <row r="21" spans="1:16" s="117" customFormat="1" x14ac:dyDescent="0.25">
      <c r="A21" s="91" t="s">
        <v>1223</v>
      </c>
      <c r="B21" s="135" t="s">
        <v>249</v>
      </c>
      <c r="C21" s="135" t="s">
        <v>249</v>
      </c>
      <c r="D21" s="134" t="s">
        <v>249</v>
      </c>
      <c r="E21" s="134" t="s">
        <v>249</v>
      </c>
      <c r="F21" s="134" t="s">
        <v>249</v>
      </c>
      <c r="G21" s="134" t="s">
        <v>249</v>
      </c>
      <c r="H21" s="134" t="s">
        <v>249</v>
      </c>
      <c r="I21" s="135" t="s">
        <v>249</v>
      </c>
      <c r="J21" s="135" t="s">
        <v>249</v>
      </c>
      <c r="K21" s="133" t="s">
        <v>249</v>
      </c>
      <c r="L21" s="120" t="s">
        <v>249</v>
      </c>
      <c r="M21" s="122">
        <v>0</v>
      </c>
      <c r="N21" s="135"/>
      <c r="O21" s="135">
        <v>0</v>
      </c>
      <c r="P21" s="135">
        <v>0</v>
      </c>
    </row>
    <row r="22" spans="1:16" s="117" customFormat="1" x14ac:dyDescent="0.25">
      <c r="A22" s="91" t="s">
        <v>1224</v>
      </c>
      <c r="B22" s="135" t="s">
        <v>249</v>
      </c>
      <c r="C22" s="135" t="s">
        <v>249</v>
      </c>
      <c r="D22" s="134" t="s">
        <v>249</v>
      </c>
      <c r="E22" s="134" t="s">
        <v>249</v>
      </c>
      <c r="F22" s="134" t="s">
        <v>249</v>
      </c>
      <c r="G22" s="134" t="s">
        <v>249</v>
      </c>
      <c r="H22" s="134" t="s">
        <v>249</v>
      </c>
      <c r="I22" s="135" t="s">
        <v>249</v>
      </c>
      <c r="J22" s="135" t="s">
        <v>249</v>
      </c>
      <c r="K22" s="133" t="s">
        <v>249</v>
      </c>
      <c r="L22" s="120" t="s">
        <v>249</v>
      </c>
      <c r="M22" s="122">
        <v>0</v>
      </c>
      <c r="N22" s="135"/>
      <c r="O22" s="135">
        <v>0</v>
      </c>
      <c r="P22" s="135">
        <v>0</v>
      </c>
    </row>
    <row r="23" spans="1:16" s="117" customFormat="1" x14ac:dyDescent="0.25">
      <c r="A23" s="91" t="s">
        <v>1225</v>
      </c>
      <c r="B23" s="135" t="s">
        <v>249</v>
      </c>
      <c r="C23" s="135" t="s">
        <v>249</v>
      </c>
      <c r="D23" s="134" t="s">
        <v>249</v>
      </c>
      <c r="E23" s="134" t="s">
        <v>249</v>
      </c>
      <c r="F23" s="134" t="s">
        <v>249</v>
      </c>
      <c r="G23" s="134" t="s">
        <v>249</v>
      </c>
      <c r="H23" s="134" t="s">
        <v>249</v>
      </c>
      <c r="I23" s="135" t="s">
        <v>249</v>
      </c>
      <c r="J23" s="135" t="s">
        <v>249</v>
      </c>
      <c r="K23" s="133" t="s">
        <v>249</v>
      </c>
      <c r="L23" s="120" t="s">
        <v>249</v>
      </c>
      <c r="M23" s="122">
        <v>0</v>
      </c>
      <c r="N23" s="135"/>
      <c r="O23" s="135">
        <v>0</v>
      </c>
      <c r="P23" s="135">
        <v>0</v>
      </c>
    </row>
    <row r="24" spans="1:16" s="117" customFormat="1" x14ac:dyDescent="0.25">
      <c r="A24" s="91" t="s">
        <v>1226</v>
      </c>
      <c r="B24" s="135" t="s">
        <v>249</v>
      </c>
      <c r="C24" s="135" t="s">
        <v>249</v>
      </c>
      <c r="D24" s="134" t="s">
        <v>249</v>
      </c>
      <c r="E24" s="134" t="s">
        <v>249</v>
      </c>
      <c r="F24" s="134" t="s">
        <v>249</v>
      </c>
      <c r="G24" s="134" t="s">
        <v>249</v>
      </c>
      <c r="H24" s="134" t="s">
        <v>249</v>
      </c>
      <c r="I24" s="135" t="s">
        <v>249</v>
      </c>
      <c r="J24" s="135" t="s">
        <v>249</v>
      </c>
      <c r="K24" s="133" t="s">
        <v>249</v>
      </c>
      <c r="L24" s="120" t="s">
        <v>249</v>
      </c>
      <c r="M24" s="122">
        <v>0</v>
      </c>
      <c r="N24" s="135"/>
      <c r="O24" s="135">
        <v>0</v>
      </c>
      <c r="P24" s="135">
        <v>0</v>
      </c>
    </row>
    <row r="25" spans="1:16" s="117" customFormat="1" x14ac:dyDescent="0.25">
      <c r="A25" s="91" t="s">
        <v>1227</v>
      </c>
      <c r="B25" s="135" t="s">
        <v>249</v>
      </c>
      <c r="C25" s="135" t="s">
        <v>249</v>
      </c>
      <c r="D25" s="134" t="s">
        <v>249</v>
      </c>
      <c r="E25" s="134" t="s">
        <v>249</v>
      </c>
      <c r="F25" s="134" t="s">
        <v>249</v>
      </c>
      <c r="G25" s="134" t="s">
        <v>249</v>
      </c>
      <c r="H25" s="134" t="s">
        <v>249</v>
      </c>
      <c r="I25" s="135" t="s">
        <v>249</v>
      </c>
      <c r="J25" s="135" t="s">
        <v>249</v>
      </c>
      <c r="K25" s="133" t="s">
        <v>249</v>
      </c>
      <c r="L25" s="120" t="s">
        <v>249</v>
      </c>
      <c r="M25" s="122">
        <v>0</v>
      </c>
      <c r="N25" s="135"/>
      <c r="O25" s="135">
        <v>0</v>
      </c>
      <c r="P25" s="135">
        <v>0</v>
      </c>
    </row>
    <row r="26" spans="1:16" s="117" customFormat="1" x14ac:dyDescent="0.25">
      <c r="A26" s="77" t="s">
        <v>241</v>
      </c>
      <c r="B26" s="123"/>
      <c r="C26" s="77"/>
      <c r="D26" s="124"/>
      <c r="E26" s="124"/>
      <c r="F26" s="124"/>
      <c r="G26" s="125"/>
      <c r="H26" s="126"/>
      <c r="I26" s="127"/>
      <c r="J26" s="127"/>
      <c r="K26" s="127"/>
      <c r="L26" s="126"/>
      <c r="M26" s="126"/>
      <c r="N26" s="136"/>
      <c r="O26" s="136"/>
      <c r="P26" s="136"/>
    </row>
    <row r="27" spans="1:16" s="117" customFormat="1" x14ac:dyDescent="0.25">
      <c r="A27" s="77" t="s">
        <v>242</v>
      </c>
      <c r="B27" s="123"/>
      <c r="C27" s="77"/>
      <c r="D27" s="124"/>
      <c r="E27" s="124"/>
      <c r="F27" s="124"/>
      <c r="G27" s="125"/>
      <c r="H27" s="126"/>
      <c r="I27" s="127"/>
      <c r="J27" s="127"/>
      <c r="K27" s="127"/>
      <c r="L27" s="126"/>
      <c r="M27" s="126"/>
      <c r="N27" s="136"/>
      <c r="O27" s="136"/>
      <c r="P27" s="136"/>
    </row>
    <row r="28" spans="1:16" s="117" customFormat="1" x14ac:dyDescent="0.25">
      <c r="A28" s="77" t="s">
        <v>243</v>
      </c>
      <c r="B28" s="123"/>
      <c r="C28" s="77"/>
      <c r="D28" s="124"/>
      <c r="E28" s="124"/>
      <c r="F28" s="124"/>
      <c r="G28" s="125"/>
      <c r="H28" s="126"/>
      <c r="I28" s="127"/>
      <c r="J28" s="127"/>
      <c r="K28" s="127"/>
      <c r="L28" s="126"/>
      <c r="M28" s="126"/>
      <c r="N28" s="136"/>
      <c r="O28" s="136"/>
      <c r="P28" s="136"/>
    </row>
    <row r="29" spans="1:16" s="117" customFormat="1" x14ac:dyDescent="0.25">
      <c r="A29" s="77" t="s">
        <v>244</v>
      </c>
      <c r="B29" s="123"/>
      <c r="C29" s="77"/>
      <c r="D29" s="124"/>
      <c r="E29" s="124"/>
      <c r="F29" s="124"/>
      <c r="G29" s="125"/>
      <c r="H29" s="126"/>
      <c r="I29" s="127"/>
      <c r="J29" s="127"/>
      <c r="K29" s="127"/>
      <c r="L29" s="126"/>
      <c r="M29" s="126"/>
      <c r="N29" s="136"/>
      <c r="O29" s="136"/>
      <c r="P29" s="136"/>
    </row>
    <row r="30" spans="1:16" s="117" customFormat="1" x14ac:dyDescent="0.25">
      <c r="A30" s="77" t="s">
        <v>245</v>
      </c>
      <c r="B30" s="123"/>
      <c r="C30" s="77"/>
      <c r="D30" s="124"/>
      <c r="E30" s="124"/>
      <c r="F30" s="124"/>
      <c r="G30" s="125"/>
      <c r="H30" s="126"/>
      <c r="I30" s="127"/>
      <c r="J30" s="127"/>
      <c r="K30" s="127"/>
      <c r="L30" s="126"/>
      <c r="M30" s="126"/>
      <c r="N30" s="136"/>
      <c r="O30" s="136"/>
      <c r="P30" s="136"/>
    </row>
  </sheetData>
  <mergeCells count="2">
    <mergeCell ref="A5:P5"/>
    <mergeCell ref="A4:P4"/>
  </mergeCells>
  <phoneticPr fontId="3" type="noConversion"/>
  <conditionalFormatting sqref="A10:A25 M10:M25">
    <cfRule type="expression" dxfId="44" priority="365" stopIfTrue="1">
      <formula>#REF!&gt;0</formula>
    </cfRule>
  </conditionalFormatting>
  <conditionalFormatting sqref="B10:F25 H10:H25 O10:P25">
    <cfRule type="expression" dxfId="43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71"/>
  <sheetViews>
    <sheetView rightToLeft="1" tabSelected="1" topLeftCell="A243" zoomScale="80" zoomScaleNormal="80" workbookViewId="0">
      <selection activeCell="C271" sqref="C271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3" style="8" bestFit="1" customWidth="1"/>
    <col min="4" max="4" width="16.44140625" style="8" bestFit="1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6.554687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3" style="63" bestFit="1" customWidth="1"/>
    <col min="14" max="14" width="9.33203125" style="63" bestFit="1" customWidth="1"/>
    <col min="15" max="15" width="10.44140625" style="63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34" t="e">
        <f>#REF!</f>
        <v>#REF!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3"/>
      <c r="R4" s="12"/>
      <c r="S4" s="12"/>
      <c r="T4" s="12"/>
    </row>
    <row r="5" spans="1:20" s="7" customFormat="1" ht="33.75" customHeight="1" x14ac:dyDescent="0.25">
      <c r="A5" s="85" t="s">
        <v>1995</v>
      </c>
      <c r="B5" s="204" t="s">
        <v>80</v>
      </c>
      <c r="C5" s="204" t="s">
        <v>69</v>
      </c>
      <c r="D5" s="204" t="s">
        <v>74</v>
      </c>
      <c r="E5" s="204" t="s">
        <v>70</v>
      </c>
      <c r="F5" s="204" t="s">
        <v>13</v>
      </c>
      <c r="G5" s="204" t="s">
        <v>5</v>
      </c>
      <c r="H5" s="204" t="s">
        <v>14</v>
      </c>
      <c r="I5" s="204" t="s">
        <v>160</v>
      </c>
      <c r="J5" s="204" t="s">
        <v>6</v>
      </c>
      <c r="K5" s="205" t="s">
        <v>36</v>
      </c>
      <c r="L5" s="205" t="s">
        <v>71</v>
      </c>
      <c r="M5" s="205" t="s">
        <v>67</v>
      </c>
      <c r="N5" s="205" t="s">
        <v>68</v>
      </c>
      <c r="O5" s="205" t="s">
        <v>29</v>
      </c>
      <c r="P5" s="88" t="s">
        <v>75</v>
      </c>
      <c r="Q5" s="89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7" customFormat="1" ht="12.75" customHeight="1" thickBot="1" x14ac:dyDescent="0.3">
      <c r="A8" s="98" t="s">
        <v>121</v>
      </c>
      <c r="B8" s="66" t="s">
        <v>249</v>
      </c>
      <c r="C8" s="66" t="s">
        <v>249</v>
      </c>
      <c r="D8" s="66"/>
      <c r="E8" s="99" t="s">
        <v>249</v>
      </c>
      <c r="F8" s="99"/>
      <c r="G8" s="99" t="s">
        <v>249</v>
      </c>
      <c r="H8" s="100" t="s">
        <v>249</v>
      </c>
      <c r="I8" s="100"/>
      <c r="J8" s="99" t="s">
        <v>249</v>
      </c>
      <c r="K8" s="66" t="s">
        <v>249</v>
      </c>
      <c r="L8" s="66" t="s">
        <v>249</v>
      </c>
      <c r="M8" s="109" t="s">
        <v>249</v>
      </c>
      <c r="N8" s="99" t="s">
        <v>249</v>
      </c>
      <c r="O8" s="101">
        <v>11979.312271300005</v>
      </c>
      <c r="P8" s="66">
        <v>1</v>
      </c>
      <c r="Q8" s="80">
        <v>6.4147015779886504E-2</v>
      </c>
    </row>
    <row r="9" spans="1:20" s="117" customFormat="1" x14ac:dyDescent="0.25">
      <c r="A9" s="90" t="s">
        <v>137</v>
      </c>
      <c r="B9" s="129" t="s">
        <v>249</v>
      </c>
      <c r="C9" s="129" t="s">
        <v>249</v>
      </c>
      <c r="D9" s="129" t="s">
        <v>249</v>
      </c>
      <c r="E9" s="129" t="s">
        <v>249</v>
      </c>
      <c r="F9" s="129" t="s">
        <v>249</v>
      </c>
      <c r="G9" s="129" t="s">
        <v>249</v>
      </c>
      <c r="H9" s="130" t="s">
        <v>249</v>
      </c>
      <c r="I9" s="129" t="s">
        <v>249</v>
      </c>
      <c r="J9" s="130" t="s">
        <v>249</v>
      </c>
      <c r="K9" s="129" t="s">
        <v>249</v>
      </c>
      <c r="L9" s="129" t="s">
        <v>249</v>
      </c>
      <c r="M9" s="158" t="s">
        <v>249</v>
      </c>
      <c r="N9" s="120" t="s">
        <v>249</v>
      </c>
      <c r="O9" s="121">
        <v>11590.601620900003</v>
      </c>
      <c r="P9" s="119">
        <v>0.96755150532879308</v>
      </c>
      <c r="Q9" s="119">
        <v>6.2065541680179033E-2</v>
      </c>
    </row>
    <row r="10" spans="1:20" s="117" customFormat="1" x14ac:dyDescent="0.25">
      <c r="A10" s="91" t="s">
        <v>1513</v>
      </c>
      <c r="B10" s="129" t="s">
        <v>249</v>
      </c>
      <c r="C10" s="129" t="s">
        <v>249</v>
      </c>
      <c r="D10" s="129"/>
      <c r="E10" s="129" t="s">
        <v>249</v>
      </c>
      <c r="F10" s="129" t="s">
        <v>249</v>
      </c>
      <c r="G10" s="129" t="s">
        <v>249</v>
      </c>
      <c r="H10" s="130" t="s">
        <v>249</v>
      </c>
      <c r="I10" s="129" t="s">
        <v>249</v>
      </c>
      <c r="J10" s="130" t="s">
        <v>249</v>
      </c>
      <c r="K10" s="129" t="s">
        <v>249</v>
      </c>
      <c r="L10" s="129" t="s">
        <v>249</v>
      </c>
      <c r="M10" s="159" t="s">
        <v>249</v>
      </c>
      <c r="N10" s="134" t="s">
        <v>249</v>
      </c>
      <c r="O10" s="122">
        <v>2322.2031201</v>
      </c>
      <c r="P10" s="135">
        <v>0.19385112162603244</v>
      </c>
      <c r="Q10" s="135">
        <v>1.2434970957893801E-2</v>
      </c>
    </row>
    <row r="11" spans="1:20" s="117" customFormat="1" x14ac:dyDescent="0.25">
      <c r="A11" s="176" t="s">
        <v>1996</v>
      </c>
      <c r="B11" s="115" t="s">
        <v>2051</v>
      </c>
      <c r="C11" s="173">
        <v>54939</v>
      </c>
      <c r="D11" s="173"/>
      <c r="E11" s="115" t="s">
        <v>663</v>
      </c>
      <c r="F11" s="129"/>
      <c r="G11" s="129" t="s">
        <v>663</v>
      </c>
      <c r="H11" s="116">
        <v>3.1</v>
      </c>
      <c r="I11" s="115" t="s">
        <v>218</v>
      </c>
      <c r="J11" s="116" t="s">
        <v>255</v>
      </c>
      <c r="K11" s="175">
        <v>5.7500000000000002E-2</v>
      </c>
      <c r="L11" s="175">
        <v>5.7500000000000002E-2</v>
      </c>
      <c r="M11" s="174">
        <v>910281.72611448413</v>
      </c>
      <c r="N11" s="60">
        <v>110.855822</v>
      </c>
      <c r="O11" s="83">
        <v>1009.1002900000001</v>
      </c>
      <c r="P11" s="24">
        <v>8.4236913367522703E-2</v>
      </c>
      <c r="Q11" s="24">
        <v>5.403546611035411E-3</v>
      </c>
    </row>
    <row r="12" spans="1:20" s="117" customFormat="1" x14ac:dyDescent="0.25">
      <c r="A12" s="176" t="s">
        <v>1997</v>
      </c>
      <c r="B12" s="115" t="s">
        <v>2051</v>
      </c>
      <c r="C12" s="173">
        <v>58645</v>
      </c>
      <c r="D12" s="173"/>
      <c r="E12" s="115" t="s">
        <v>663</v>
      </c>
      <c r="F12" s="129"/>
      <c r="G12" s="129" t="s">
        <v>663</v>
      </c>
      <c r="H12" s="116">
        <v>3.3</v>
      </c>
      <c r="I12" s="115" t="s">
        <v>218</v>
      </c>
      <c r="J12" s="116" t="s">
        <v>255</v>
      </c>
      <c r="K12" s="175">
        <v>5.7500000000000002E-2</v>
      </c>
      <c r="L12" s="175">
        <v>5.7500000000000002E-2</v>
      </c>
      <c r="M12" s="174">
        <v>250506.13038618758</v>
      </c>
      <c r="N12" s="60">
        <v>110.855822</v>
      </c>
      <c r="O12" s="83">
        <v>277.70062999999999</v>
      </c>
      <c r="P12" s="24">
        <v>2.3181683865551632E-2</v>
      </c>
      <c r="Q12" s="24">
        <v>1.487035840727881E-3</v>
      </c>
    </row>
    <row r="13" spans="1:20" s="117" customFormat="1" x14ac:dyDescent="0.25">
      <c r="A13" s="176" t="s">
        <v>1998</v>
      </c>
      <c r="B13" s="115" t="s">
        <v>2051</v>
      </c>
      <c r="C13" s="173">
        <v>58745</v>
      </c>
      <c r="D13" s="173"/>
      <c r="E13" s="115" t="s">
        <v>663</v>
      </c>
      <c r="F13" s="129"/>
      <c r="G13" s="129" t="s">
        <v>663</v>
      </c>
      <c r="H13" s="116">
        <v>3.4</v>
      </c>
      <c r="I13" s="115" t="s">
        <v>218</v>
      </c>
      <c r="J13" s="116" t="s">
        <v>255</v>
      </c>
      <c r="K13" s="175">
        <v>5.7500000000000002E-2</v>
      </c>
      <c r="L13" s="175">
        <v>5.7500000000000002E-2</v>
      </c>
      <c r="M13" s="174">
        <v>250524.03652737333</v>
      </c>
      <c r="N13" s="60">
        <v>110.855822</v>
      </c>
      <c r="O13" s="83">
        <v>277.72048000000001</v>
      </c>
      <c r="P13" s="24">
        <v>2.318334088888907E-2</v>
      </c>
      <c r="Q13" s="24">
        <v>1.4871421338300552E-3</v>
      </c>
    </row>
    <row r="14" spans="1:20" x14ac:dyDescent="0.25">
      <c r="A14" s="16" t="s">
        <v>1999</v>
      </c>
      <c r="B14" s="115" t="s">
        <v>2051</v>
      </c>
      <c r="C14" s="115" t="s">
        <v>1514</v>
      </c>
      <c r="D14" s="115"/>
      <c r="E14" s="115" t="s">
        <v>663</v>
      </c>
      <c r="F14" s="115" t="s">
        <v>249</v>
      </c>
      <c r="G14" s="115" t="s">
        <v>663</v>
      </c>
      <c r="H14" s="116">
        <v>2.3199999999999998</v>
      </c>
      <c r="I14" s="115" t="s">
        <v>218</v>
      </c>
      <c r="J14" s="116" t="s">
        <v>255</v>
      </c>
      <c r="K14" s="115">
        <v>6.0999999999999999E-2</v>
      </c>
      <c r="L14" s="115">
        <v>6.0999999999999992E-2</v>
      </c>
      <c r="M14" s="174">
        <v>683483.92211642244</v>
      </c>
      <c r="N14" s="60">
        <v>110.855822</v>
      </c>
      <c r="O14" s="83">
        <v>757.68172009999989</v>
      </c>
      <c r="P14" s="24">
        <v>6.3249183504069023E-2</v>
      </c>
      <c r="Q14" s="24">
        <v>4.0572463723004531E-3</v>
      </c>
      <c r="R14" s="14"/>
    </row>
    <row r="15" spans="1:20" s="117" customFormat="1" x14ac:dyDescent="0.25">
      <c r="A15" s="91" t="s">
        <v>1515</v>
      </c>
      <c r="B15" s="129" t="s">
        <v>249</v>
      </c>
      <c r="C15" s="129" t="s">
        <v>249</v>
      </c>
      <c r="D15" s="129"/>
      <c r="E15" s="129" t="s">
        <v>249</v>
      </c>
      <c r="F15" s="129" t="s">
        <v>249</v>
      </c>
      <c r="G15" s="129" t="s">
        <v>249</v>
      </c>
      <c r="H15" s="130" t="s">
        <v>249</v>
      </c>
      <c r="I15" s="129" t="s">
        <v>249</v>
      </c>
      <c r="J15" s="130" t="s">
        <v>249</v>
      </c>
      <c r="K15" s="129" t="s">
        <v>249</v>
      </c>
      <c r="L15" s="129" t="s">
        <v>249</v>
      </c>
      <c r="M15" s="159" t="s">
        <v>249</v>
      </c>
      <c r="N15" s="134" t="s">
        <v>249</v>
      </c>
      <c r="O15" s="122">
        <v>2562.2312600999994</v>
      </c>
      <c r="P15" s="135">
        <v>0.21388800976818881</v>
      </c>
      <c r="Q15" s="135">
        <v>1.3720277537728526E-2</v>
      </c>
      <c r="R15" s="14"/>
    </row>
    <row r="16" spans="1:20" x14ac:dyDescent="0.25">
      <c r="A16" s="16" t="s">
        <v>2000</v>
      </c>
      <c r="B16" s="115" t="s">
        <v>2051</v>
      </c>
      <c r="C16" s="115" t="s">
        <v>1516</v>
      </c>
      <c r="D16" s="115"/>
      <c r="E16" s="115" t="s">
        <v>663</v>
      </c>
      <c r="F16" s="115" t="s">
        <v>1517</v>
      </c>
      <c r="G16" s="115" t="s">
        <v>663</v>
      </c>
      <c r="H16" s="116">
        <v>5.75</v>
      </c>
      <c r="I16" s="115" t="s">
        <v>218</v>
      </c>
      <c r="J16" s="116" t="s">
        <v>255</v>
      </c>
      <c r="K16" s="115">
        <v>5.2999999999999999E-2</v>
      </c>
      <c r="L16" s="115">
        <v>5.79E-2</v>
      </c>
      <c r="M16" s="110">
        <v>3258.1175622206433</v>
      </c>
      <c r="N16" s="60">
        <v>98.51</v>
      </c>
      <c r="O16" s="83">
        <v>3.2095700000000003</v>
      </c>
      <c r="P16" s="24">
        <v>2.6792606514561583E-4</v>
      </c>
      <c r="Q16" s="24">
        <v>1.718665752873872E-5</v>
      </c>
      <c r="R16" s="14"/>
    </row>
    <row r="17" spans="1:18" x14ac:dyDescent="0.25">
      <c r="A17" s="16" t="s">
        <v>2000</v>
      </c>
      <c r="B17" s="115" t="s">
        <v>2051</v>
      </c>
      <c r="C17" s="115" t="s">
        <v>1518</v>
      </c>
      <c r="D17" s="115"/>
      <c r="E17" s="115" t="s">
        <v>663</v>
      </c>
      <c r="F17" s="115" t="s">
        <v>1517</v>
      </c>
      <c r="G17" s="115" t="s">
        <v>663</v>
      </c>
      <c r="H17" s="116">
        <v>7.02</v>
      </c>
      <c r="I17" s="115" t="s">
        <v>218</v>
      </c>
      <c r="J17" s="116" t="s">
        <v>255</v>
      </c>
      <c r="K17" s="115">
        <v>0.05</v>
      </c>
      <c r="L17" s="115">
        <v>5.8400000000000001E-2</v>
      </c>
      <c r="M17" s="110">
        <v>2516.1770359968573</v>
      </c>
      <c r="N17" s="60">
        <v>112.11</v>
      </c>
      <c r="O17" s="83">
        <v>2.8208800000000003</v>
      </c>
      <c r="P17" s="24">
        <v>2.3547929431293437E-4</v>
      </c>
      <c r="Q17" s="24">
        <v>1.5105294008128341E-5</v>
      </c>
      <c r="R17" s="14"/>
    </row>
    <row r="18" spans="1:18" x14ac:dyDescent="0.25">
      <c r="A18" s="16" t="s">
        <v>2000</v>
      </c>
      <c r="B18" s="115" t="s">
        <v>2051</v>
      </c>
      <c r="C18" s="115" t="s">
        <v>1519</v>
      </c>
      <c r="D18" s="115"/>
      <c r="E18" s="115" t="s">
        <v>663</v>
      </c>
      <c r="F18" s="115" t="s">
        <v>1517</v>
      </c>
      <c r="G18" s="115" t="s">
        <v>663</v>
      </c>
      <c r="H18" s="116">
        <v>6.5</v>
      </c>
      <c r="I18" s="115" t="s">
        <v>218</v>
      </c>
      <c r="J18" s="116" t="s">
        <v>255</v>
      </c>
      <c r="K18" s="115">
        <v>3.5000000000000003E-2</v>
      </c>
      <c r="L18" s="115">
        <v>7.6399999999999996E-2</v>
      </c>
      <c r="M18" s="110">
        <v>1179.9294749422006</v>
      </c>
      <c r="N18" s="60">
        <v>98.63</v>
      </c>
      <c r="O18" s="83">
        <v>1.1637599999999999</v>
      </c>
      <c r="P18" s="24">
        <v>9.7147480059279543E-5</v>
      </c>
      <c r="Q18" s="24">
        <v>6.2317209363388146E-6</v>
      </c>
      <c r="R18" s="14"/>
    </row>
    <row r="19" spans="1:18" x14ac:dyDescent="0.25">
      <c r="A19" s="16" t="s">
        <v>2000</v>
      </c>
      <c r="B19" s="115" t="s">
        <v>2051</v>
      </c>
      <c r="C19" s="115" t="s">
        <v>1520</v>
      </c>
      <c r="D19" s="115"/>
      <c r="E19" s="115" t="s">
        <v>663</v>
      </c>
      <c r="F19" s="115" t="s">
        <v>1517</v>
      </c>
      <c r="G19" s="115" t="s">
        <v>663</v>
      </c>
      <c r="H19" s="116">
        <v>6.85</v>
      </c>
      <c r="I19" s="115" t="s">
        <v>218</v>
      </c>
      <c r="J19" s="116" t="s">
        <v>255</v>
      </c>
      <c r="K19" s="115">
        <v>8.6979999542236328E-2</v>
      </c>
      <c r="L19" s="115">
        <v>7.3800000000000004E-2</v>
      </c>
      <c r="M19" s="110">
        <v>6443.782200475267</v>
      </c>
      <c r="N19" s="60">
        <v>107.06</v>
      </c>
      <c r="O19" s="83">
        <v>6.8987100000000003</v>
      </c>
      <c r="P19" s="24">
        <v>5.7588531326025329E-4</v>
      </c>
      <c r="Q19" s="24">
        <v>3.6941324277110356E-5</v>
      </c>
      <c r="R19" s="14"/>
    </row>
    <row r="20" spans="1:18" x14ac:dyDescent="0.25">
      <c r="A20" s="16" t="s">
        <v>2000</v>
      </c>
      <c r="B20" s="115" t="s">
        <v>2051</v>
      </c>
      <c r="C20" s="115" t="s">
        <v>1521</v>
      </c>
      <c r="D20" s="115"/>
      <c r="E20" s="115" t="s">
        <v>663</v>
      </c>
      <c r="F20" s="115" t="s">
        <v>1522</v>
      </c>
      <c r="G20" s="115" t="s">
        <v>663</v>
      </c>
      <c r="H20" s="116">
        <v>6.82</v>
      </c>
      <c r="I20" s="115" t="s">
        <v>218</v>
      </c>
      <c r="J20" s="116" t="s">
        <v>255</v>
      </c>
      <c r="K20" s="115">
        <v>4.87E-2</v>
      </c>
      <c r="L20" s="115">
        <v>6.0299999999999999E-2</v>
      </c>
      <c r="M20" s="110">
        <v>33952.483224357849</v>
      </c>
      <c r="N20" s="60">
        <v>93.36</v>
      </c>
      <c r="O20" s="83">
        <v>31.698029999999999</v>
      </c>
      <c r="P20" s="24">
        <v>2.6460642549524342E-3</v>
      </c>
      <c r="Q20" s="24">
        <v>1.6973712551702743E-4</v>
      </c>
      <c r="R20" s="14"/>
    </row>
    <row r="21" spans="1:18" x14ac:dyDescent="0.25">
      <c r="A21" s="16" t="s">
        <v>2000</v>
      </c>
      <c r="B21" s="115" t="s">
        <v>2051</v>
      </c>
      <c r="C21" s="115" t="s">
        <v>1523</v>
      </c>
      <c r="D21" s="115"/>
      <c r="E21" s="115" t="s">
        <v>663</v>
      </c>
      <c r="F21" s="115" t="s">
        <v>1522</v>
      </c>
      <c r="G21" s="115" t="s">
        <v>663</v>
      </c>
      <c r="H21" s="116">
        <v>7.45</v>
      </c>
      <c r="I21" s="115" t="s">
        <v>218</v>
      </c>
      <c r="J21" s="116" t="s">
        <v>255</v>
      </c>
      <c r="K21" s="115">
        <v>4.9299999999999997E-2</v>
      </c>
      <c r="L21" s="115">
        <v>6.2100000000000002E-2</v>
      </c>
      <c r="M21" s="110">
        <v>27563.524557259403</v>
      </c>
      <c r="N21" s="60">
        <v>112.14</v>
      </c>
      <c r="O21" s="83">
        <v>30.90973</v>
      </c>
      <c r="P21" s="24">
        <v>2.5802591417583651E-3</v>
      </c>
      <c r="Q21" s="24">
        <v>1.6551592388257025E-4</v>
      </c>
      <c r="R21" s="14"/>
    </row>
    <row r="22" spans="1:18" x14ac:dyDescent="0.25">
      <c r="A22" s="16" t="s">
        <v>2000</v>
      </c>
      <c r="B22" s="115" t="s">
        <v>2051</v>
      </c>
      <c r="C22" s="115" t="s">
        <v>1524</v>
      </c>
      <c r="D22" s="115"/>
      <c r="E22" s="115" t="s">
        <v>663</v>
      </c>
      <c r="F22" s="115" t="s">
        <v>1522</v>
      </c>
      <c r="G22" s="115" t="s">
        <v>663</v>
      </c>
      <c r="H22" s="116">
        <v>6.68</v>
      </c>
      <c r="I22" s="115" t="s">
        <v>218</v>
      </c>
      <c r="J22" s="116" t="s">
        <v>255</v>
      </c>
      <c r="K22" s="115">
        <v>3.7000000000000005E-2</v>
      </c>
      <c r="L22" s="115">
        <v>8.14E-2</v>
      </c>
      <c r="M22" s="110">
        <v>1257.794365708676</v>
      </c>
      <c r="N22" s="60">
        <v>98.53</v>
      </c>
      <c r="O22" s="83">
        <v>1.2392999999999998</v>
      </c>
      <c r="P22" s="24">
        <v>1.034533512386275E-4</v>
      </c>
      <c r="Q22" s="24">
        <v>6.6362237543863788E-6</v>
      </c>
      <c r="R22" s="14"/>
    </row>
    <row r="23" spans="1:18" x14ac:dyDescent="0.25">
      <c r="A23" s="16" t="s">
        <v>2000</v>
      </c>
      <c r="B23" s="115" t="s">
        <v>2051</v>
      </c>
      <c r="C23" s="115" t="s">
        <v>1525</v>
      </c>
      <c r="D23" s="115"/>
      <c r="E23" s="115" t="s">
        <v>663</v>
      </c>
      <c r="F23" s="115" t="s">
        <v>1522</v>
      </c>
      <c r="G23" s="115" t="s">
        <v>663</v>
      </c>
      <c r="H23" s="116">
        <v>7.24</v>
      </c>
      <c r="I23" s="115" t="s">
        <v>218</v>
      </c>
      <c r="J23" s="116" t="s">
        <v>255</v>
      </c>
      <c r="K23" s="115">
        <v>8.0199999809265135E-2</v>
      </c>
      <c r="L23" s="115">
        <v>7.5800000000000006E-2</v>
      </c>
      <c r="M23" s="110">
        <v>43411.822343274536</v>
      </c>
      <c r="N23" s="60">
        <v>101.49</v>
      </c>
      <c r="O23" s="83">
        <v>44.05865</v>
      </c>
      <c r="P23" s="24">
        <v>3.6778947741061534E-3</v>
      </c>
      <c r="Q23" s="24">
        <v>2.3592597411134953E-4</v>
      </c>
      <c r="R23" s="14"/>
    </row>
    <row r="24" spans="1:18" x14ac:dyDescent="0.25">
      <c r="A24" s="16" t="s">
        <v>2000</v>
      </c>
      <c r="B24" s="115" t="s">
        <v>2051</v>
      </c>
      <c r="C24" s="115" t="s">
        <v>1526</v>
      </c>
      <c r="D24" s="115"/>
      <c r="E24" s="115" t="s">
        <v>663</v>
      </c>
      <c r="F24" s="115" t="s">
        <v>1527</v>
      </c>
      <c r="G24" s="115" t="s">
        <v>663</v>
      </c>
      <c r="H24" s="116">
        <v>0</v>
      </c>
      <c r="I24" s="115" t="s">
        <v>218</v>
      </c>
      <c r="J24" s="116" t="s">
        <v>255</v>
      </c>
      <c r="K24" s="115">
        <v>9.0768001079559332E-2</v>
      </c>
      <c r="L24" s="115">
        <v>0</v>
      </c>
      <c r="M24" s="110">
        <v>-2.2951649719576001E-2</v>
      </c>
      <c r="N24" s="60">
        <v>8313.0400000000009</v>
      </c>
      <c r="O24" s="83">
        <v>-1.91E-3</v>
      </c>
      <c r="P24" s="24">
        <v>-1.5944154027739734E-7</v>
      </c>
      <c r="Q24" s="24">
        <v>-1.0227699000143617E-8</v>
      </c>
      <c r="R24" s="14"/>
    </row>
    <row r="25" spans="1:18" x14ac:dyDescent="0.25">
      <c r="A25" s="16" t="s">
        <v>2000</v>
      </c>
      <c r="B25" s="115" t="s">
        <v>2051</v>
      </c>
      <c r="C25" s="115" t="s">
        <v>1528</v>
      </c>
      <c r="D25" s="115"/>
      <c r="E25" s="115" t="s">
        <v>663</v>
      </c>
      <c r="F25" s="115" t="s">
        <v>1527</v>
      </c>
      <c r="G25" s="115" t="s">
        <v>663</v>
      </c>
      <c r="H25" s="116">
        <v>0</v>
      </c>
      <c r="I25" s="115" t="s">
        <v>218</v>
      </c>
      <c r="J25" s="116" t="s">
        <v>255</v>
      </c>
      <c r="K25" s="115">
        <v>9.0768001079559332E-2</v>
      </c>
      <c r="L25" s="115">
        <v>0</v>
      </c>
      <c r="M25" s="110">
        <v>-2.2947529919181E-2</v>
      </c>
      <c r="N25" s="60">
        <v>12217.32</v>
      </c>
      <c r="O25" s="83">
        <v>-2.8E-3</v>
      </c>
      <c r="P25" s="24">
        <v>-2.3373628941189138E-7</v>
      </c>
      <c r="Q25" s="24">
        <v>-1.4993485445236718E-8</v>
      </c>
      <c r="R25" s="14"/>
    </row>
    <row r="26" spans="1:18" x14ac:dyDescent="0.25">
      <c r="A26" s="16" t="s">
        <v>2000</v>
      </c>
      <c r="B26" s="115" t="s">
        <v>2051</v>
      </c>
      <c r="C26" s="115" t="s">
        <v>1529</v>
      </c>
      <c r="D26" s="115"/>
      <c r="E26" s="115" t="s">
        <v>663</v>
      </c>
      <c r="F26" s="115" t="s">
        <v>1527</v>
      </c>
      <c r="G26" s="115" t="s">
        <v>663</v>
      </c>
      <c r="H26" s="116">
        <v>0</v>
      </c>
      <c r="I26" s="115" t="s">
        <v>218</v>
      </c>
      <c r="J26" s="116" t="s">
        <v>255</v>
      </c>
      <c r="K26" s="115">
        <v>9.0768001079559332E-2</v>
      </c>
      <c r="L26" s="115">
        <v>0</v>
      </c>
      <c r="M26" s="110">
        <v>-2.2958016683823999E-2</v>
      </c>
      <c r="N26" s="60">
        <v>10735.32</v>
      </c>
      <c r="O26" s="83">
        <v>-2.4599999999999999E-3</v>
      </c>
      <c r="P26" s="24">
        <v>-2.053540256975903E-7</v>
      </c>
      <c r="Q26" s="24">
        <v>-1.3172847926886544E-8</v>
      </c>
      <c r="R26" s="14"/>
    </row>
    <row r="27" spans="1:18" x14ac:dyDescent="0.25">
      <c r="A27" s="16" t="s">
        <v>2000</v>
      </c>
      <c r="B27" s="115" t="s">
        <v>2051</v>
      </c>
      <c r="C27" s="115" t="s">
        <v>1530</v>
      </c>
      <c r="D27" s="115"/>
      <c r="E27" s="115" t="s">
        <v>663</v>
      </c>
      <c r="F27" s="115" t="s">
        <v>1531</v>
      </c>
      <c r="G27" s="115" t="s">
        <v>663</v>
      </c>
      <c r="H27" s="116">
        <v>7.4</v>
      </c>
      <c r="I27" s="115" t="s">
        <v>218</v>
      </c>
      <c r="J27" s="116" t="s">
        <v>255</v>
      </c>
      <c r="K27" s="115">
        <v>4.5199999999999997E-2</v>
      </c>
      <c r="L27" s="115">
        <v>6.5500000000000003E-2</v>
      </c>
      <c r="M27" s="110">
        <v>116913.46648624643</v>
      </c>
      <c r="N27" s="60">
        <v>85.93</v>
      </c>
      <c r="O27" s="83">
        <v>100.46374</v>
      </c>
      <c r="P27" s="24">
        <v>8.3864363600146472E-3</v>
      </c>
      <c r="Q27" s="24">
        <v>5.3796486552287347E-4</v>
      </c>
      <c r="R27" s="14"/>
    </row>
    <row r="28" spans="1:18" x14ac:dyDescent="0.25">
      <c r="A28" s="16" t="s">
        <v>2000</v>
      </c>
      <c r="B28" s="115" t="s">
        <v>2051</v>
      </c>
      <c r="C28" s="115" t="s">
        <v>1532</v>
      </c>
      <c r="D28" s="115"/>
      <c r="E28" s="115" t="s">
        <v>663</v>
      </c>
      <c r="F28" s="115" t="s">
        <v>1531</v>
      </c>
      <c r="G28" s="115" t="s">
        <v>663</v>
      </c>
      <c r="H28" s="116">
        <v>7.3</v>
      </c>
      <c r="I28" s="115" t="s">
        <v>218</v>
      </c>
      <c r="J28" s="116" t="s">
        <v>255</v>
      </c>
      <c r="K28" s="115">
        <v>3.0499999999999999E-2</v>
      </c>
      <c r="L28" s="115">
        <v>5.6399999999999999E-2</v>
      </c>
      <c r="M28" s="110">
        <v>9415.7022399261641</v>
      </c>
      <c r="N28" s="60">
        <v>99.85</v>
      </c>
      <c r="O28" s="83">
        <v>9.4015699999999995</v>
      </c>
      <c r="P28" s="24">
        <v>7.8481717373076994E-4</v>
      </c>
      <c r="Q28" s="24">
        <v>5.0343679627633626E-5</v>
      </c>
      <c r="R28" s="14"/>
    </row>
    <row r="29" spans="1:18" x14ac:dyDescent="0.25">
      <c r="A29" s="16" t="s">
        <v>2000</v>
      </c>
      <c r="B29" s="115" t="s">
        <v>2051</v>
      </c>
      <c r="C29" s="115" t="s">
        <v>1533</v>
      </c>
      <c r="D29" s="115"/>
      <c r="E29" s="115" t="s">
        <v>663</v>
      </c>
      <c r="F29" s="115" t="s">
        <v>1531</v>
      </c>
      <c r="G29" s="115" t="s">
        <v>663</v>
      </c>
      <c r="H29" s="116">
        <v>8.5399999999999991</v>
      </c>
      <c r="I29" s="115" t="s">
        <v>218</v>
      </c>
      <c r="J29" s="116" t="s">
        <v>255</v>
      </c>
      <c r="K29" s="115">
        <v>4.41E-2</v>
      </c>
      <c r="L29" s="115">
        <v>5.2400000000000002E-2</v>
      </c>
      <c r="M29" s="110">
        <v>64769.919696982499</v>
      </c>
      <c r="N29" s="60">
        <v>117.51</v>
      </c>
      <c r="O29" s="83">
        <v>76.111130000000003</v>
      </c>
      <c r="P29" s="24">
        <v>6.3535475389807465E-3</v>
      </c>
      <c r="Q29" s="24">
        <v>4.0756111424125705E-4</v>
      </c>
      <c r="R29" s="14"/>
    </row>
    <row r="30" spans="1:18" x14ac:dyDescent="0.25">
      <c r="A30" s="16" t="s">
        <v>2000</v>
      </c>
      <c r="B30" s="115" t="s">
        <v>2051</v>
      </c>
      <c r="C30" s="115" t="s">
        <v>1534</v>
      </c>
      <c r="D30" s="115"/>
      <c r="E30" s="115" t="s">
        <v>663</v>
      </c>
      <c r="F30" s="115" t="s">
        <v>1531</v>
      </c>
      <c r="G30" s="115" t="s">
        <v>663</v>
      </c>
      <c r="H30" s="116">
        <v>8.1199999999999992</v>
      </c>
      <c r="I30" s="115" t="s">
        <v>218</v>
      </c>
      <c r="J30" s="116" t="s">
        <v>255</v>
      </c>
      <c r="K30" s="115">
        <v>7.9233000278472895E-2</v>
      </c>
      <c r="L30" s="115">
        <v>6.8600000000000008E-2</v>
      </c>
      <c r="M30" s="110">
        <v>117513.22170556762</v>
      </c>
      <c r="N30" s="60">
        <v>105.81</v>
      </c>
      <c r="O30" s="83">
        <v>124.34072999999999</v>
      </c>
      <c r="P30" s="24">
        <v>1.0379621733202088E-2</v>
      </c>
      <c r="Q30" s="24">
        <v>6.6582175910896723E-4</v>
      </c>
      <c r="R30" s="14"/>
    </row>
    <row r="31" spans="1:18" x14ac:dyDescent="0.25">
      <c r="A31" s="16" t="s">
        <v>2001</v>
      </c>
      <c r="B31" s="115" t="s">
        <v>2051</v>
      </c>
      <c r="C31" s="115" t="s">
        <v>1535</v>
      </c>
      <c r="D31" s="115"/>
      <c r="E31" s="115" t="s">
        <v>663</v>
      </c>
      <c r="F31" s="115" t="s">
        <v>1536</v>
      </c>
      <c r="G31" s="115" t="s">
        <v>663</v>
      </c>
      <c r="H31" s="116">
        <v>9.9</v>
      </c>
      <c r="I31" s="115" t="s">
        <v>218</v>
      </c>
      <c r="J31" s="116" t="s">
        <v>255</v>
      </c>
      <c r="K31" s="115">
        <v>4.4199999999999996E-2</v>
      </c>
      <c r="L31" s="115">
        <v>4.8399999999999999E-2</v>
      </c>
      <c r="M31" s="110">
        <v>553598.36620882794</v>
      </c>
      <c r="N31" s="60">
        <v>94.97</v>
      </c>
      <c r="O31" s="83">
        <v>525.75237000000004</v>
      </c>
      <c r="P31" s="24">
        <v>4.3888360040467075E-2</v>
      </c>
      <c r="Q31" s="24">
        <v>2.815307324069182E-3</v>
      </c>
      <c r="R31" s="14"/>
    </row>
    <row r="32" spans="1:18" x14ac:dyDescent="0.25">
      <c r="A32" s="16" t="s">
        <v>2001</v>
      </c>
      <c r="B32" s="115" t="s">
        <v>2051</v>
      </c>
      <c r="C32" s="115" t="s">
        <v>1537</v>
      </c>
      <c r="D32" s="115"/>
      <c r="E32" s="115" t="s">
        <v>663</v>
      </c>
      <c r="F32" s="115" t="s">
        <v>1536</v>
      </c>
      <c r="G32" s="115" t="s">
        <v>663</v>
      </c>
      <c r="H32" s="116">
        <v>8.9600000000000009</v>
      </c>
      <c r="I32" s="115" t="s">
        <v>218</v>
      </c>
      <c r="J32" s="116" t="s">
        <v>255</v>
      </c>
      <c r="K32" s="115">
        <v>9.3560159206390381E-2</v>
      </c>
      <c r="L32" s="115">
        <v>6.0700000000000004E-2</v>
      </c>
      <c r="M32" s="110">
        <v>522318.31605223293</v>
      </c>
      <c r="N32" s="60">
        <v>95.4</v>
      </c>
      <c r="O32" s="83">
        <v>498.29167000000001</v>
      </c>
      <c r="P32" s="24">
        <v>4.1596016425233813E-2</v>
      </c>
      <c r="Q32" s="24">
        <v>2.6682603220098918E-3</v>
      </c>
      <c r="R32" s="14"/>
    </row>
    <row r="33" spans="1:18" x14ac:dyDescent="0.25">
      <c r="A33" s="16" t="s">
        <v>2001</v>
      </c>
      <c r="B33" s="115" t="s">
        <v>2051</v>
      </c>
      <c r="C33" s="115" t="s">
        <v>1538</v>
      </c>
      <c r="D33" s="115"/>
      <c r="E33" s="115" t="s">
        <v>663</v>
      </c>
      <c r="F33" s="115" t="s">
        <v>1536</v>
      </c>
      <c r="G33" s="115" t="s">
        <v>663</v>
      </c>
      <c r="H33" s="116">
        <v>9.31</v>
      </c>
      <c r="I33" s="115" t="s">
        <v>218</v>
      </c>
      <c r="J33" s="116" t="s">
        <v>255</v>
      </c>
      <c r="K33" s="115">
        <v>3.1099999999999999E-2</v>
      </c>
      <c r="L33" s="115">
        <v>5.74E-2</v>
      </c>
      <c r="M33" s="110">
        <v>165096.52309283966</v>
      </c>
      <c r="N33" s="60">
        <v>112.13</v>
      </c>
      <c r="O33" s="83">
        <v>185.12272000000002</v>
      </c>
      <c r="P33" s="24">
        <v>1.5453534878084476E-2</v>
      </c>
      <c r="Q33" s="24">
        <v>9.9129814567951147E-4</v>
      </c>
      <c r="R33" s="14"/>
    </row>
    <row r="34" spans="1:18" x14ac:dyDescent="0.25">
      <c r="A34" s="16" t="s">
        <v>2000</v>
      </c>
      <c r="B34" s="115" t="s">
        <v>2051</v>
      </c>
      <c r="C34" s="115" t="s">
        <v>1539</v>
      </c>
      <c r="D34" s="115"/>
      <c r="E34" s="115" t="s">
        <v>663</v>
      </c>
      <c r="F34" s="115" t="s">
        <v>1496</v>
      </c>
      <c r="G34" s="115" t="s">
        <v>663</v>
      </c>
      <c r="H34" s="116">
        <v>7.63</v>
      </c>
      <c r="I34" s="115" t="s">
        <v>218</v>
      </c>
      <c r="J34" s="116" t="s">
        <v>255</v>
      </c>
      <c r="K34" s="115">
        <v>4.4299999999999999E-2</v>
      </c>
      <c r="L34" s="115">
        <v>7.0499999999999993E-2</v>
      </c>
      <c r="M34" s="110">
        <v>1632.7227736299797</v>
      </c>
      <c r="N34" s="60">
        <v>81.349999999999994</v>
      </c>
      <c r="O34" s="83">
        <v>1.32822</v>
      </c>
      <c r="P34" s="24">
        <v>1.1087614797237943E-4</v>
      </c>
      <c r="Q34" s="24">
        <v>7.1123740135972543E-6</v>
      </c>
      <c r="R34" s="14"/>
    </row>
    <row r="35" spans="1:18" x14ac:dyDescent="0.25">
      <c r="A35" s="16" t="s">
        <v>2000</v>
      </c>
      <c r="B35" s="115" t="s">
        <v>2051</v>
      </c>
      <c r="C35" s="115" t="s">
        <v>1540</v>
      </c>
      <c r="D35" s="115"/>
      <c r="E35" s="115" t="s">
        <v>663</v>
      </c>
      <c r="F35" s="115" t="s">
        <v>1496</v>
      </c>
      <c r="G35" s="115" t="s">
        <v>663</v>
      </c>
      <c r="H35" s="116">
        <v>7.66</v>
      </c>
      <c r="I35" s="115" t="s">
        <v>218</v>
      </c>
      <c r="J35" s="116" t="s">
        <v>255</v>
      </c>
      <c r="K35" s="115">
        <v>4.4299999999999999E-2</v>
      </c>
      <c r="L35" s="115">
        <v>6.93E-2</v>
      </c>
      <c r="M35" s="110">
        <v>4050.1478633361598</v>
      </c>
      <c r="N35" s="60">
        <v>103.41</v>
      </c>
      <c r="O35" s="83">
        <v>4.1882600000000005</v>
      </c>
      <c r="P35" s="24">
        <v>3.4962441124723157E-4</v>
      </c>
      <c r="Q35" s="24">
        <v>2.2427362625309694E-5</v>
      </c>
      <c r="R35" s="14"/>
    </row>
    <row r="36" spans="1:18" x14ac:dyDescent="0.25">
      <c r="A36" s="16" t="s">
        <v>2000</v>
      </c>
      <c r="B36" s="115" t="s">
        <v>2051</v>
      </c>
      <c r="C36" s="115" t="s">
        <v>1541</v>
      </c>
      <c r="D36" s="115"/>
      <c r="E36" s="115" t="s">
        <v>663</v>
      </c>
      <c r="F36" s="115" t="s">
        <v>1496</v>
      </c>
      <c r="G36" s="115" t="s">
        <v>663</v>
      </c>
      <c r="H36" s="116">
        <v>8.0399999999999991</v>
      </c>
      <c r="I36" s="115" t="s">
        <v>218</v>
      </c>
      <c r="J36" s="116" t="s">
        <v>255</v>
      </c>
      <c r="K36" s="115">
        <v>4.4299999999999999E-2</v>
      </c>
      <c r="L36" s="115">
        <v>5.9900000000000002E-2</v>
      </c>
      <c r="M36" s="110">
        <v>493.30774124612884</v>
      </c>
      <c r="N36" s="60">
        <v>106.55</v>
      </c>
      <c r="O36" s="83">
        <v>0.52561999999999998</v>
      </c>
      <c r="P36" s="24">
        <v>4.3877310157385127E-5</v>
      </c>
      <c r="Q36" s="24">
        <v>2.814598507044758E-6</v>
      </c>
      <c r="R36" s="14"/>
    </row>
    <row r="37" spans="1:18" x14ac:dyDescent="0.25">
      <c r="A37" s="16" t="s">
        <v>2000</v>
      </c>
      <c r="B37" s="115" t="s">
        <v>2051</v>
      </c>
      <c r="C37" s="115" t="s">
        <v>1542</v>
      </c>
      <c r="D37" s="115"/>
      <c r="E37" s="115" t="s">
        <v>663</v>
      </c>
      <c r="F37" s="115" t="s">
        <v>1496</v>
      </c>
      <c r="G37" s="115" t="s">
        <v>663</v>
      </c>
      <c r="H37" s="116">
        <v>7.93</v>
      </c>
      <c r="I37" s="115" t="s">
        <v>218</v>
      </c>
      <c r="J37" s="116" t="s">
        <v>255</v>
      </c>
      <c r="K37" s="115">
        <v>0.10679181098937988</v>
      </c>
      <c r="L37" s="115">
        <v>6.8400000000000002E-2</v>
      </c>
      <c r="M37" s="110">
        <v>2736.1210948703865</v>
      </c>
      <c r="N37" s="60">
        <v>107.83</v>
      </c>
      <c r="O37" s="83">
        <v>2.9503600000000003</v>
      </c>
      <c r="P37" s="24">
        <v>2.4628792815331E-4</v>
      </c>
      <c r="Q37" s="24">
        <v>1.5798635613645931E-5</v>
      </c>
      <c r="R37" s="14"/>
    </row>
    <row r="38" spans="1:18" x14ac:dyDescent="0.25">
      <c r="A38" s="16" t="s">
        <v>2000</v>
      </c>
      <c r="B38" s="115" t="s">
        <v>2051</v>
      </c>
      <c r="C38" s="115" t="s">
        <v>1543</v>
      </c>
      <c r="D38" s="115"/>
      <c r="E38" s="115" t="s">
        <v>663</v>
      </c>
      <c r="F38" s="115" t="s">
        <v>1544</v>
      </c>
      <c r="G38" s="115" t="s">
        <v>663</v>
      </c>
      <c r="H38" s="116">
        <v>0</v>
      </c>
      <c r="I38" s="115" t="s">
        <v>218</v>
      </c>
      <c r="J38" s="116" t="s">
        <v>255</v>
      </c>
      <c r="K38" s="115">
        <v>0</v>
      </c>
      <c r="L38" s="115">
        <v>0</v>
      </c>
      <c r="M38" s="110">
        <v>-0.133719430702336</v>
      </c>
      <c r="N38" s="60">
        <v>5899.2</v>
      </c>
      <c r="O38" s="83">
        <v>-7.8799999999999999E-3</v>
      </c>
      <c r="P38" s="24">
        <v>-6.5780070020203724E-7</v>
      </c>
      <c r="Q38" s="24">
        <v>-4.2195951895880474E-8</v>
      </c>
      <c r="R38" s="14"/>
    </row>
    <row r="39" spans="1:18" x14ac:dyDescent="0.25">
      <c r="A39" s="16" t="s">
        <v>2000</v>
      </c>
      <c r="B39" s="115" t="s">
        <v>2051</v>
      </c>
      <c r="C39" s="115" t="s">
        <v>1545</v>
      </c>
      <c r="D39" s="115"/>
      <c r="E39" s="115" t="s">
        <v>663</v>
      </c>
      <c r="F39" s="115" t="s">
        <v>1544</v>
      </c>
      <c r="G39" s="115" t="s">
        <v>663</v>
      </c>
      <c r="H39" s="116">
        <v>0</v>
      </c>
      <c r="I39" s="115" t="s">
        <v>218</v>
      </c>
      <c r="J39" s="116" t="s">
        <v>255</v>
      </c>
      <c r="K39" s="115">
        <v>0</v>
      </c>
      <c r="L39" s="115">
        <v>0</v>
      </c>
      <c r="M39" s="110">
        <v>-0.133719430702336</v>
      </c>
      <c r="N39" s="60">
        <v>3104.2</v>
      </c>
      <c r="O39" s="83">
        <v>-4.15E-3</v>
      </c>
      <c r="P39" s="24">
        <v>-3.464305718069105E-7</v>
      </c>
      <c r="Q39" s="24">
        <v>-2.2222487356332992E-8</v>
      </c>
      <c r="R39" s="14"/>
    </row>
    <row r="40" spans="1:18" x14ac:dyDescent="0.25">
      <c r="A40" s="16" t="s">
        <v>2000</v>
      </c>
      <c r="B40" s="115" t="s">
        <v>2051</v>
      </c>
      <c r="C40" s="115" t="s">
        <v>1546</v>
      </c>
      <c r="D40" s="115"/>
      <c r="E40" s="115" t="s">
        <v>663</v>
      </c>
      <c r="F40" s="115" t="s">
        <v>1544</v>
      </c>
      <c r="G40" s="115" t="s">
        <v>663</v>
      </c>
      <c r="H40" s="116">
        <v>0</v>
      </c>
      <c r="I40" s="115" t="s">
        <v>218</v>
      </c>
      <c r="J40" s="116" t="s">
        <v>255</v>
      </c>
      <c r="K40" s="115">
        <v>0</v>
      </c>
      <c r="L40" s="115">
        <v>0</v>
      </c>
      <c r="M40" s="110">
        <v>-0.133719430702336</v>
      </c>
      <c r="N40" s="60">
        <v>5411.48</v>
      </c>
      <c r="O40" s="83">
        <v>-7.2300000000000003E-3</v>
      </c>
      <c r="P40" s="24">
        <v>-6.0354049015999102E-7</v>
      </c>
      <c r="Q40" s="24">
        <v>-3.871532134609338E-8</v>
      </c>
      <c r="R40" s="14"/>
    </row>
    <row r="41" spans="1:18" x14ac:dyDescent="0.25">
      <c r="A41" s="16" t="s">
        <v>2000</v>
      </c>
      <c r="B41" s="115" t="s">
        <v>2051</v>
      </c>
      <c r="C41" s="115" t="s">
        <v>1547</v>
      </c>
      <c r="D41" s="115"/>
      <c r="E41" s="115" t="s">
        <v>663</v>
      </c>
      <c r="F41" s="115" t="s">
        <v>1544</v>
      </c>
      <c r="G41" s="115" t="s">
        <v>663</v>
      </c>
      <c r="H41" s="116">
        <v>0</v>
      </c>
      <c r="I41" s="115" t="s">
        <v>218</v>
      </c>
      <c r="J41" s="116" t="s">
        <v>255</v>
      </c>
      <c r="K41" s="115">
        <v>0</v>
      </c>
      <c r="L41" s="115">
        <v>0</v>
      </c>
      <c r="M41" s="110">
        <v>-0.133719430702336</v>
      </c>
      <c r="N41" s="60">
        <v>5389.84</v>
      </c>
      <c r="O41" s="83">
        <v>-7.1999999999999998E-3</v>
      </c>
      <c r="P41" s="24">
        <v>-6.0103617277343507E-7</v>
      </c>
      <c r="Q41" s="24">
        <v>-3.8554676859180127E-8</v>
      </c>
      <c r="R41" s="14"/>
    </row>
    <row r="42" spans="1:18" x14ac:dyDescent="0.25">
      <c r="A42" s="16" t="s">
        <v>2000</v>
      </c>
      <c r="B42" s="115" t="s">
        <v>2051</v>
      </c>
      <c r="C42" s="115" t="s">
        <v>1548</v>
      </c>
      <c r="D42" s="115"/>
      <c r="E42" s="115" t="s">
        <v>663</v>
      </c>
      <c r="F42" s="115" t="s">
        <v>1544</v>
      </c>
      <c r="G42" s="115" t="s">
        <v>663</v>
      </c>
      <c r="H42" s="116">
        <v>0</v>
      </c>
      <c r="I42" s="115" t="s">
        <v>218</v>
      </c>
      <c r="J42" s="116" t="s">
        <v>255</v>
      </c>
      <c r="K42" s="115">
        <v>0</v>
      </c>
      <c r="L42" s="115">
        <v>0</v>
      </c>
      <c r="M42" s="110">
        <v>-0.133719430702336</v>
      </c>
      <c r="N42" s="60">
        <v>2644.12</v>
      </c>
      <c r="O42" s="83">
        <v>-3.5299999999999997E-3</v>
      </c>
      <c r="P42" s="24">
        <v>-2.9467467915142023E-7</v>
      </c>
      <c r="Q42" s="24">
        <v>-1.8902501293459144E-8</v>
      </c>
      <c r="R42" s="14"/>
    </row>
    <row r="43" spans="1:18" x14ac:dyDescent="0.25">
      <c r="A43" s="16" t="s">
        <v>2000</v>
      </c>
      <c r="B43" s="115" t="s">
        <v>2051</v>
      </c>
      <c r="C43" s="115" t="s">
        <v>1549</v>
      </c>
      <c r="D43" s="115"/>
      <c r="E43" s="115" t="s">
        <v>663</v>
      </c>
      <c r="F43" s="115" t="s">
        <v>1544</v>
      </c>
      <c r="G43" s="115" t="s">
        <v>663</v>
      </c>
      <c r="H43" s="116">
        <v>0</v>
      </c>
      <c r="I43" s="115" t="s">
        <v>218</v>
      </c>
      <c r="J43" s="116" t="s">
        <v>255</v>
      </c>
      <c r="K43" s="115">
        <v>0</v>
      </c>
      <c r="L43" s="115">
        <v>0</v>
      </c>
      <c r="M43" s="110">
        <v>-0.133719430702336</v>
      </c>
      <c r="N43" s="60">
        <v>2948.56</v>
      </c>
      <c r="O43" s="83">
        <v>-3.9399999999999999E-3</v>
      </c>
      <c r="P43" s="24">
        <v>-3.2890035010101862E-7</v>
      </c>
      <c r="Q43" s="24">
        <v>-2.1097975947940237E-8</v>
      </c>
      <c r="R43" s="14"/>
    </row>
    <row r="44" spans="1:18" x14ac:dyDescent="0.25">
      <c r="A44" s="16" t="s">
        <v>2000</v>
      </c>
      <c r="B44" s="115" t="s">
        <v>2051</v>
      </c>
      <c r="C44" s="115" t="s">
        <v>1550</v>
      </c>
      <c r="D44" s="115"/>
      <c r="E44" s="115" t="s">
        <v>663</v>
      </c>
      <c r="F44" s="115" t="s">
        <v>1517</v>
      </c>
      <c r="G44" s="115" t="s">
        <v>663</v>
      </c>
      <c r="H44" s="116">
        <v>7.65</v>
      </c>
      <c r="I44" s="115" t="s">
        <v>218</v>
      </c>
      <c r="J44" s="116" t="s">
        <v>255</v>
      </c>
      <c r="K44" s="115">
        <v>5.2999999999999999E-2</v>
      </c>
      <c r="L44" s="115">
        <v>2.41E-2</v>
      </c>
      <c r="M44" s="110">
        <v>6668.951628021844</v>
      </c>
      <c r="N44" s="60">
        <v>133.44999999999999</v>
      </c>
      <c r="O44" s="83">
        <v>8.8997099999999989</v>
      </c>
      <c r="P44" s="24">
        <v>7.4292328294353702E-4</v>
      </c>
      <c r="Q44" s="24">
        <v>4.7656311554224157E-5</v>
      </c>
      <c r="R44" s="14"/>
    </row>
    <row r="45" spans="1:18" x14ac:dyDescent="0.25">
      <c r="A45" s="16" t="s">
        <v>2000</v>
      </c>
      <c r="B45" s="115" t="s">
        <v>2051</v>
      </c>
      <c r="C45" s="115" t="s">
        <v>1551</v>
      </c>
      <c r="D45" s="115"/>
      <c r="E45" s="115" t="s">
        <v>663</v>
      </c>
      <c r="F45" s="115" t="s">
        <v>1517</v>
      </c>
      <c r="G45" s="115" t="s">
        <v>663</v>
      </c>
      <c r="H45" s="116">
        <v>8.1199999999999992</v>
      </c>
      <c r="I45" s="115" t="s">
        <v>218</v>
      </c>
      <c r="J45" s="116" t="s">
        <v>255</v>
      </c>
      <c r="K45" s="115">
        <v>5.2999999999999999E-2</v>
      </c>
      <c r="L45" s="115">
        <v>3.04E-2</v>
      </c>
      <c r="M45" s="110">
        <v>4359.1064613781809</v>
      </c>
      <c r="N45" s="60">
        <v>135.52000000000001</v>
      </c>
      <c r="O45" s="83">
        <v>5.9074600000000004</v>
      </c>
      <c r="P45" s="24">
        <v>4.9313849294613287E-4</v>
      </c>
      <c r="Q45" s="24">
        <v>3.1633362688685034E-5</v>
      </c>
      <c r="R45" s="14"/>
    </row>
    <row r="46" spans="1:18" x14ac:dyDescent="0.25">
      <c r="A46" s="16" t="s">
        <v>2000</v>
      </c>
      <c r="B46" s="115" t="s">
        <v>2051</v>
      </c>
      <c r="C46" s="115" t="s">
        <v>1552</v>
      </c>
      <c r="D46" s="115"/>
      <c r="E46" s="115" t="s">
        <v>663</v>
      </c>
      <c r="F46" s="115" t="s">
        <v>1522</v>
      </c>
      <c r="G46" s="115" t="s">
        <v>663</v>
      </c>
      <c r="H46" s="116">
        <v>7.85</v>
      </c>
      <c r="I46" s="115" t="s">
        <v>218</v>
      </c>
      <c r="J46" s="116" t="s">
        <v>255</v>
      </c>
      <c r="K46" s="115">
        <v>4.7199999999999999E-2</v>
      </c>
      <c r="L46" s="115">
        <v>3.8900000000000004E-2</v>
      </c>
      <c r="M46" s="110">
        <v>3883.1483264926151</v>
      </c>
      <c r="N46" s="60">
        <v>128.55000000000001</v>
      </c>
      <c r="O46" s="83">
        <v>4.9917799999999994</v>
      </c>
      <c r="P46" s="24">
        <v>4.1670004812874686E-4</v>
      </c>
      <c r="Q46" s="24">
        <v>2.6730064562794191E-5</v>
      </c>
      <c r="R46" s="14"/>
    </row>
    <row r="47" spans="1:18" x14ac:dyDescent="0.25">
      <c r="A47" s="16" t="s">
        <v>2000</v>
      </c>
      <c r="B47" s="115" t="s">
        <v>2051</v>
      </c>
      <c r="C47" s="115" t="s">
        <v>1553</v>
      </c>
      <c r="D47" s="115"/>
      <c r="E47" s="115" t="s">
        <v>663</v>
      </c>
      <c r="F47" s="115" t="s">
        <v>1522</v>
      </c>
      <c r="G47" s="115" t="s">
        <v>663</v>
      </c>
      <c r="H47" s="116">
        <v>7.87</v>
      </c>
      <c r="I47" s="115" t="s">
        <v>218</v>
      </c>
      <c r="J47" s="116" t="s">
        <v>255</v>
      </c>
      <c r="K47" s="115">
        <v>4.6500000000000007E-2</v>
      </c>
      <c r="L47" s="115">
        <v>2.75E-2</v>
      </c>
      <c r="M47" s="110">
        <v>17735.711854162138</v>
      </c>
      <c r="N47" s="60">
        <v>128</v>
      </c>
      <c r="O47" s="83">
        <v>22.701709999999999</v>
      </c>
      <c r="P47" s="24">
        <v>1.8950762352517247E-3</v>
      </c>
      <c r="Q47" s="24">
        <v>1.2156348516678029E-4</v>
      </c>
      <c r="R47" s="14"/>
    </row>
    <row r="48" spans="1:18" x14ac:dyDescent="0.25">
      <c r="A48" s="16" t="s">
        <v>2000</v>
      </c>
      <c r="B48" s="115" t="s">
        <v>2051</v>
      </c>
      <c r="C48" s="115" t="s">
        <v>1554</v>
      </c>
      <c r="D48" s="115"/>
      <c r="E48" s="115" t="s">
        <v>663</v>
      </c>
      <c r="F48" s="115" t="s">
        <v>1522</v>
      </c>
      <c r="G48" s="115" t="s">
        <v>663</v>
      </c>
      <c r="H48" s="116">
        <v>7.85</v>
      </c>
      <c r="I48" s="115" t="s">
        <v>218</v>
      </c>
      <c r="J48" s="116" t="s">
        <v>255</v>
      </c>
      <c r="K48" s="115">
        <v>4.5700000000000005E-2</v>
      </c>
      <c r="L48" s="115">
        <v>3.8900000000000004E-2</v>
      </c>
      <c r="M48" s="110">
        <v>8282.7051421624546</v>
      </c>
      <c r="N48" s="60">
        <v>128.55000000000001</v>
      </c>
      <c r="O48" s="83">
        <v>10.64742</v>
      </c>
      <c r="P48" s="24">
        <v>8.888173009321288E-4</v>
      </c>
      <c r="Q48" s="24">
        <v>5.7014977428329402E-5</v>
      </c>
      <c r="R48" s="14"/>
    </row>
    <row r="49" spans="1:18" x14ac:dyDescent="0.25">
      <c r="A49" s="16" t="s">
        <v>2000</v>
      </c>
      <c r="B49" s="115" t="s">
        <v>2051</v>
      </c>
      <c r="C49" s="115" t="s">
        <v>1555</v>
      </c>
      <c r="D49" s="115"/>
      <c r="E49" s="115" t="s">
        <v>663</v>
      </c>
      <c r="F49" s="115" t="s">
        <v>1531</v>
      </c>
      <c r="G49" s="115" t="s">
        <v>663</v>
      </c>
      <c r="H49" s="116">
        <v>8.85</v>
      </c>
      <c r="I49" s="115" t="s">
        <v>218</v>
      </c>
      <c r="J49" s="116" t="s">
        <v>255</v>
      </c>
      <c r="K49" s="115">
        <v>4.4400000000000002E-2</v>
      </c>
      <c r="L49" s="115">
        <v>2.6800000000000001E-2</v>
      </c>
      <c r="M49" s="110">
        <v>33689.327129769961</v>
      </c>
      <c r="N49" s="60">
        <v>122.21</v>
      </c>
      <c r="O49" s="83">
        <v>41.171720000000001</v>
      </c>
      <c r="P49" s="24">
        <v>3.436901807680485E-3</v>
      </c>
      <c r="Q49" s="24">
        <v>2.2046699449120052E-4</v>
      </c>
      <c r="R49" s="14"/>
    </row>
    <row r="50" spans="1:18" x14ac:dyDescent="0.25">
      <c r="A50" s="16" t="s">
        <v>2000</v>
      </c>
      <c r="B50" s="115" t="s">
        <v>2051</v>
      </c>
      <c r="C50" s="115" t="s">
        <v>1556</v>
      </c>
      <c r="D50" s="115"/>
      <c r="E50" s="115" t="s">
        <v>663</v>
      </c>
      <c r="F50" s="115" t="s">
        <v>1531</v>
      </c>
      <c r="G50" s="115" t="s">
        <v>663</v>
      </c>
      <c r="H50" s="116">
        <v>9.7100000000000009</v>
      </c>
      <c r="I50" s="115" t="s">
        <v>218</v>
      </c>
      <c r="J50" s="116" t="s">
        <v>255</v>
      </c>
      <c r="K50" s="115">
        <v>4.2099999999999999E-2</v>
      </c>
      <c r="L50" s="115">
        <v>2.4199999999999999E-2</v>
      </c>
      <c r="M50" s="110">
        <v>41610.393661626353</v>
      </c>
      <c r="N50" s="60">
        <v>142.77000000000001</v>
      </c>
      <c r="O50" s="83">
        <v>59.407150000000001</v>
      </c>
      <c r="P50" s="24">
        <v>4.9591452876913012E-3</v>
      </c>
      <c r="Q50" s="24">
        <v>3.1811437102428371E-4</v>
      </c>
      <c r="R50" s="14"/>
    </row>
    <row r="51" spans="1:18" x14ac:dyDescent="0.25">
      <c r="A51" s="16" t="s">
        <v>2000</v>
      </c>
      <c r="B51" s="115" t="s">
        <v>2051</v>
      </c>
      <c r="C51" s="115" t="s">
        <v>1557</v>
      </c>
      <c r="D51" s="115"/>
      <c r="E51" s="115" t="s">
        <v>663</v>
      </c>
      <c r="F51" s="115" t="s">
        <v>1531</v>
      </c>
      <c r="G51" s="115" t="s">
        <v>663</v>
      </c>
      <c r="H51" s="116">
        <v>9.7100000000000009</v>
      </c>
      <c r="I51" s="115" t="s">
        <v>218</v>
      </c>
      <c r="J51" s="116" t="s">
        <v>255</v>
      </c>
      <c r="K51" s="115">
        <v>4.2599999999999999E-2</v>
      </c>
      <c r="L51" s="115">
        <v>2.4199999999999999E-2</v>
      </c>
      <c r="M51" s="110">
        <v>1219.5176249368872</v>
      </c>
      <c r="N51" s="60">
        <v>142.77000000000001</v>
      </c>
      <c r="O51" s="83">
        <v>1.7410999999999999</v>
      </c>
      <c r="P51" s="24">
        <v>1.4534223339108718E-4</v>
      </c>
      <c r="Q51" s="24">
        <v>9.3232705388220156E-6</v>
      </c>
      <c r="R51" s="14"/>
    </row>
    <row r="52" spans="1:18" x14ac:dyDescent="0.25">
      <c r="A52" s="16" t="s">
        <v>2001</v>
      </c>
      <c r="B52" s="115" t="s">
        <v>2051</v>
      </c>
      <c r="C52" s="115" t="s">
        <v>1558</v>
      </c>
      <c r="D52" s="115"/>
      <c r="E52" s="115" t="s">
        <v>663</v>
      </c>
      <c r="F52" s="115" t="s">
        <v>1536</v>
      </c>
      <c r="G52" s="115" t="s">
        <v>663</v>
      </c>
      <c r="H52" s="116">
        <v>11.03</v>
      </c>
      <c r="I52" s="115" t="s">
        <v>218</v>
      </c>
      <c r="J52" s="116" t="s">
        <v>255</v>
      </c>
      <c r="K52" s="115">
        <v>3.1099999999999999E-2</v>
      </c>
      <c r="L52" s="115">
        <v>2.5699999999999997E-2</v>
      </c>
      <c r="M52" s="110">
        <v>214203.72177988401</v>
      </c>
      <c r="N52" s="60">
        <v>123.84</v>
      </c>
      <c r="O52" s="83">
        <v>265.26988</v>
      </c>
      <c r="P52" s="24">
        <v>2.2143999087120607E-2</v>
      </c>
      <c r="Q52" s="24">
        <v>1.4204714588713181E-3</v>
      </c>
      <c r="R52" s="14"/>
    </row>
    <row r="53" spans="1:18" x14ac:dyDescent="0.25">
      <c r="A53" s="16" t="s">
        <v>2001</v>
      </c>
      <c r="B53" s="115" t="s">
        <v>2051</v>
      </c>
      <c r="C53" s="115" t="s">
        <v>1559</v>
      </c>
      <c r="D53" s="115"/>
      <c r="E53" s="115" t="s">
        <v>663</v>
      </c>
      <c r="F53" s="115" t="s">
        <v>1536</v>
      </c>
      <c r="G53" s="115" t="s">
        <v>663</v>
      </c>
      <c r="H53" s="116">
        <v>10.78</v>
      </c>
      <c r="I53" s="115" t="s">
        <v>218</v>
      </c>
      <c r="J53" s="116" t="s">
        <v>255</v>
      </c>
      <c r="K53" s="115">
        <v>3.1699999999999999E-2</v>
      </c>
      <c r="L53" s="115">
        <v>2.9900000000000003E-2</v>
      </c>
      <c r="M53" s="110">
        <v>371091.88117765984</v>
      </c>
      <c r="N53" s="60">
        <v>130.88</v>
      </c>
      <c r="O53" s="83">
        <v>485.68504999999999</v>
      </c>
      <c r="P53" s="24">
        <v>4.0543650503510338E-2</v>
      </c>
      <c r="Q53" s="24">
        <v>2.600754188622881E-3</v>
      </c>
      <c r="R53" s="14"/>
    </row>
    <row r="54" spans="1:18" x14ac:dyDescent="0.25">
      <c r="A54" s="16" t="s">
        <v>2000</v>
      </c>
      <c r="B54" s="115" t="s">
        <v>2051</v>
      </c>
      <c r="C54" s="115" t="s">
        <v>1560</v>
      </c>
      <c r="D54" s="115"/>
      <c r="E54" s="115" t="s">
        <v>663</v>
      </c>
      <c r="F54" s="115" t="s">
        <v>1496</v>
      </c>
      <c r="G54" s="115" t="s">
        <v>663</v>
      </c>
      <c r="H54" s="116">
        <v>9.02</v>
      </c>
      <c r="I54" s="115" t="s">
        <v>218</v>
      </c>
      <c r="J54" s="116" t="s">
        <v>255</v>
      </c>
      <c r="K54" s="115">
        <v>4.4400000000000002E-2</v>
      </c>
      <c r="L54" s="115">
        <v>2.8300000000000002E-2</v>
      </c>
      <c r="M54" s="110">
        <v>3198.7288457338323</v>
      </c>
      <c r="N54" s="60">
        <v>111.19</v>
      </c>
      <c r="O54" s="83">
        <v>3.55667</v>
      </c>
      <c r="P54" s="24">
        <v>2.9690101730806852E-4</v>
      </c>
      <c r="Q54" s="24">
        <v>1.9045314242325027E-5</v>
      </c>
      <c r="R54" s="14"/>
    </row>
    <row r="55" spans="1:18" x14ac:dyDescent="0.25">
      <c r="A55" s="16" t="s">
        <v>2000</v>
      </c>
      <c r="B55" s="115" t="s">
        <v>2051</v>
      </c>
      <c r="C55" s="115" t="s">
        <v>1561</v>
      </c>
      <c r="D55" s="115"/>
      <c r="E55" s="115" t="s">
        <v>663</v>
      </c>
      <c r="F55" s="115" t="s">
        <v>1496</v>
      </c>
      <c r="G55" s="115" t="s">
        <v>663</v>
      </c>
      <c r="H55" s="116">
        <v>9.4700000000000006</v>
      </c>
      <c r="I55" s="115" t="s">
        <v>218</v>
      </c>
      <c r="J55" s="116" t="s">
        <v>255</v>
      </c>
      <c r="K55" s="115">
        <v>4.4299999999999999E-2</v>
      </c>
      <c r="L55" s="115">
        <v>1.01E-2</v>
      </c>
      <c r="M55" s="110">
        <v>828.34111974311634</v>
      </c>
      <c r="N55" s="60">
        <v>138.41</v>
      </c>
      <c r="O55" s="83">
        <v>1.1465099999999999</v>
      </c>
      <c r="P55" s="24">
        <v>9.570749756200986E-5</v>
      </c>
      <c r="Q55" s="24">
        <v>6.1393503563636956E-6</v>
      </c>
      <c r="R55" s="14"/>
    </row>
    <row r="56" spans="1:18" x14ac:dyDescent="0.25">
      <c r="A56" s="16" t="s">
        <v>2000</v>
      </c>
      <c r="B56" s="115" t="s">
        <v>2051</v>
      </c>
      <c r="C56" s="115" t="s">
        <v>1562</v>
      </c>
      <c r="D56" s="115"/>
      <c r="E56" s="115" t="s">
        <v>663</v>
      </c>
      <c r="F56" s="115" t="s">
        <v>1496</v>
      </c>
      <c r="G56" s="115" t="s">
        <v>663</v>
      </c>
      <c r="H56" s="116">
        <v>9.14</v>
      </c>
      <c r="I56" s="115" t="s">
        <v>218</v>
      </c>
      <c r="J56" s="116" t="s">
        <v>255</v>
      </c>
      <c r="K56" s="115">
        <v>4.4299999999999999E-2</v>
      </c>
      <c r="L56" s="115">
        <v>2.3300000000000001E-2</v>
      </c>
      <c r="M56" s="110">
        <v>479.7566203809813</v>
      </c>
      <c r="N56" s="60">
        <v>130.87</v>
      </c>
      <c r="O56" s="83">
        <v>0.62785999999999997</v>
      </c>
      <c r="P56" s="24">
        <v>5.2412023810767904E-5</v>
      </c>
      <c r="Q56" s="24">
        <v>3.3620749184451161E-6</v>
      </c>
      <c r="R56" s="14"/>
    </row>
    <row r="57" spans="1:18" x14ac:dyDescent="0.25">
      <c r="A57" s="16" t="s">
        <v>2000</v>
      </c>
      <c r="B57" s="115" t="s">
        <v>2051</v>
      </c>
      <c r="C57" s="115" t="s">
        <v>1563</v>
      </c>
      <c r="D57" s="115"/>
      <c r="E57" s="115" t="s">
        <v>663</v>
      </c>
      <c r="F57" s="115" t="s">
        <v>1496</v>
      </c>
      <c r="G57" s="115" t="s">
        <v>663</v>
      </c>
      <c r="H57" s="116">
        <v>9.14</v>
      </c>
      <c r="I57" s="115" t="s">
        <v>218</v>
      </c>
      <c r="J57" s="116" t="s">
        <v>255</v>
      </c>
      <c r="K57" s="115">
        <v>4.4299999999999999E-2</v>
      </c>
      <c r="L57" s="115">
        <v>2.3300000000000001E-2</v>
      </c>
      <c r="M57" s="110">
        <v>33.105254571051503</v>
      </c>
      <c r="N57" s="60">
        <v>130.87</v>
      </c>
      <c r="O57" s="83">
        <v>4.3319999999999997E-2</v>
      </c>
      <c r="P57" s="24">
        <v>3.6162343061868342E-6</v>
      </c>
      <c r="Q57" s="24">
        <v>2.3197063910273376E-7</v>
      </c>
      <c r="R57" s="14"/>
    </row>
    <row r="58" spans="1:18" s="117" customFormat="1" x14ac:dyDescent="0.25">
      <c r="A58" s="91" t="s">
        <v>1564</v>
      </c>
      <c r="B58" s="129" t="s">
        <v>249</v>
      </c>
      <c r="C58" s="129" t="s">
        <v>249</v>
      </c>
      <c r="D58" s="129"/>
      <c r="E58" s="129" t="s">
        <v>249</v>
      </c>
      <c r="F58" s="129" t="s">
        <v>249</v>
      </c>
      <c r="G58" s="129" t="s">
        <v>249</v>
      </c>
      <c r="H58" s="130" t="s">
        <v>249</v>
      </c>
      <c r="I58" s="129" t="s">
        <v>249</v>
      </c>
      <c r="J58" s="130" t="s">
        <v>249</v>
      </c>
      <c r="K58" s="129" t="s">
        <v>249</v>
      </c>
      <c r="L58" s="129" t="s">
        <v>249</v>
      </c>
      <c r="M58" s="159" t="s">
        <v>249</v>
      </c>
      <c r="N58" s="134" t="s">
        <v>249</v>
      </c>
      <c r="O58" s="122">
        <v>6706.1672401000042</v>
      </c>
      <c r="P58" s="135">
        <v>0.55981237388448557</v>
      </c>
      <c r="Q58" s="135">
        <v>3.5910293181343818E-2</v>
      </c>
      <c r="R58" s="14"/>
    </row>
    <row r="59" spans="1:18" x14ac:dyDescent="0.25">
      <c r="A59" s="16" t="s">
        <v>2002</v>
      </c>
      <c r="B59" s="115" t="s">
        <v>2051</v>
      </c>
      <c r="C59" s="115" t="s">
        <v>1587</v>
      </c>
      <c r="D59" s="115"/>
      <c r="E59" s="115" t="s">
        <v>564</v>
      </c>
      <c r="F59" s="115" t="s">
        <v>1588</v>
      </c>
      <c r="G59" s="115" t="s">
        <v>465</v>
      </c>
      <c r="H59" s="116">
        <v>7.9</v>
      </c>
      <c r="I59" s="115" t="s">
        <v>221</v>
      </c>
      <c r="J59" s="116" t="s">
        <v>255</v>
      </c>
      <c r="K59" s="115">
        <v>3.0800000000000001E-2</v>
      </c>
      <c r="L59" s="115">
        <v>5.45E-2</v>
      </c>
      <c r="M59" s="110">
        <v>168734.54565867383</v>
      </c>
      <c r="N59" s="60">
        <v>83.84</v>
      </c>
      <c r="O59" s="83">
        <v>141.46704</v>
      </c>
      <c r="P59" s="24">
        <v>1.1809278929887007E-2</v>
      </c>
      <c r="Q59" s="24">
        <v>7.5753000186454299E-4</v>
      </c>
      <c r="R59" s="14"/>
    </row>
    <row r="60" spans="1:18" x14ac:dyDescent="0.25">
      <c r="A60" s="16" t="s">
        <v>2002</v>
      </c>
      <c r="B60" s="115" t="s">
        <v>2051</v>
      </c>
      <c r="C60" s="115" t="s">
        <v>1595</v>
      </c>
      <c r="D60" s="115"/>
      <c r="E60" s="115" t="s">
        <v>564</v>
      </c>
      <c r="F60" s="115" t="s">
        <v>1596</v>
      </c>
      <c r="G60" s="115" t="s">
        <v>465</v>
      </c>
      <c r="H60" s="116">
        <v>7.63</v>
      </c>
      <c r="I60" s="115" t="s">
        <v>221</v>
      </c>
      <c r="J60" s="116" t="s">
        <v>255</v>
      </c>
      <c r="K60" s="115">
        <v>3.1300000000000001E-2</v>
      </c>
      <c r="L60" s="115">
        <v>6.4100000000000004E-2</v>
      </c>
      <c r="M60" s="110">
        <v>138125.87022775086</v>
      </c>
      <c r="N60" s="60">
        <v>78.489999999999995</v>
      </c>
      <c r="O60" s="83">
        <v>108.41499</v>
      </c>
      <c r="P60" s="24">
        <v>9.0501848140097547E-3</v>
      </c>
      <c r="Q60" s="24">
        <v>5.8054234807517293E-4</v>
      </c>
      <c r="R60" s="14"/>
    </row>
    <row r="61" spans="1:18" x14ac:dyDescent="0.25">
      <c r="A61" s="16" t="s">
        <v>2002</v>
      </c>
      <c r="B61" s="115" t="s">
        <v>2051</v>
      </c>
      <c r="C61" s="115" t="s">
        <v>1601</v>
      </c>
      <c r="D61" s="115"/>
      <c r="E61" s="115" t="s">
        <v>564</v>
      </c>
      <c r="F61" s="115" t="s">
        <v>1602</v>
      </c>
      <c r="G61" s="115" t="s">
        <v>465</v>
      </c>
      <c r="H61" s="116">
        <v>7.67</v>
      </c>
      <c r="I61" s="115" t="s">
        <v>221</v>
      </c>
      <c r="J61" s="116" t="s">
        <v>255</v>
      </c>
      <c r="K61" s="115">
        <v>3.1899999999999998E-2</v>
      </c>
      <c r="L61" s="115">
        <v>6.2699999999999992E-2</v>
      </c>
      <c r="M61" s="110">
        <v>136594.17192267915</v>
      </c>
      <c r="N61" s="60">
        <v>79.680000000000007</v>
      </c>
      <c r="O61" s="83">
        <v>108.83823</v>
      </c>
      <c r="P61" s="24">
        <v>9.0855157236992851E-3</v>
      </c>
      <c r="Q61" s="24">
        <v>5.82808720496545E-4</v>
      </c>
      <c r="R61" s="14"/>
    </row>
    <row r="62" spans="1:18" x14ac:dyDescent="0.25">
      <c r="A62" s="16" t="s">
        <v>2002</v>
      </c>
      <c r="B62" s="115" t="s">
        <v>2051</v>
      </c>
      <c r="C62" s="115" t="s">
        <v>1640</v>
      </c>
      <c r="D62" s="115"/>
      <c r="E62" s="115" t="s">
        <v>564</v>
      </c>
      <c r="F62" s="115" t="s">
        <v>1641</v>
      </c>
      <c r="G62" s="115" t="s">
        <v>465</v>
      </c>
      <c r="H62" s="116">
        <v>7.84</v>
      </c>
      <c r="I62" s="115" t="s">
        <v>221</v>
      </c>
      <c r="J62" s="116" t="s">
        <v>255</v>
      </c>
      <c r="K62" s="115">
        <v>3.2400000000000005E-2</v>
      </c>
      <c r="L62" s="115">
        <v>5.67E-2</v>
      </c>
      <c r="M62" s="110">
        <v>134511.1667381826</v>
      </c>
      <c r="N62" s="60">
        <v>83.59</v>
      </c>
      <c r="O62" s="83">
        <v>112.43788000000001</v>
      </c>
      <c r="P62" s="24">
        <v>9.3860045930498279E-3</v>
      </c>
      <c r="Q62" s="24">
        <v>6.0208418474045451E-4</v>
      </c>
      <c r="R62" s="14"/>
    </row>
    <row r="63" spans="1:18" x14ac:dyDescent="0.25">
      <c r="A63" s="16" t="s">
        <v>2002</v>
      </c>
      <c r="B63" s="115" t="s">
        <v>2051</v>
      </c>
      <c r="C63" s="115" t="s">
        <v>1667</v>
      </c>
      <c r="D63" s="115"/>
      <c r="E63" s="115" t="s">
        <v>564</v>
      </c>
      <c r="F63" s="115" t="s">
        <v>1668</v>
      </c>
      <c r="G63" s="115" t="s">
        <v>465</v>
      </c>
      <c r="H63" s="116">
        <v>8.16</v>
      </c>
      <c r="I63" s="115" t="s">
        <v>221</v>
      </c>
      <c r="J63" s="116" t="s">
        <v>255</v>
      </c>
      <c r="K63" s="115">
        <v>3.3000000000000002E-2</v>
      </c>
      <c r="L63" s="115">
        <v>4.5199999999999997E-2</v>
      </c>
      <c r="M63" s="110">
        <v>132401.30354218566</v>
      </c>
      <c r="N63" s="60">
        <v>91.69</v>
      </c>
      <c r="O63" s="83">
        <v>121.39875000000001</v>
      </c>
      <c r="P63" s="24">
        <v>1.0134033344372089E-2</v>
      </c>
      <c r="Q63" s="24">
        <v>6.5006799685533249E-4</v>
      </c>
      <c r="R63" s="14"/>
    </row>
    <row r="64" spans="1:18" x14ac:dyDescent="0.25">
      <c r="A64" s="16" t="s">
        <v>2003</v>
      </c>
      <c r="B64" s="115" t="s">
        <v>1565</v>
      </c>
      <c r="C64" s="115" t="s">
        <v>1758</v>
      </c>
      <c r="D64" s="115"/>
      <c r="E64" s="115" t="s">
        <v>1759</v>
      </c>
      <c r="F64" s="115" t="s">
        <v>1760</v>
      </c>
      <c r="G64" s="115" t="s">
        <v>254</v>
      </c>
      <c r="H64" s="116">
        <v>0.33</v>
      </c>
      <c r="I64" s="115" t="s">
        <v>220</v>
      </c>
      <c r="J64" s="116" t="s">
        <v>255</v>
      </c>
      <c r="K64" s="115">
        <v>0.03</v>
      </c>
      <c r="L64" s="115">
        <v>3.0299999999999997E-2</v>
      </c>
      <c r="M64" s="110">
        <v>85627.48</v>
      </c>
      <c r="N64" s="60">
        <v>113.02</v>
      </c>
      <c r="O64" s="83">
        <v>96.776169999999993</v>
      </c>
      <c r="P64" s="24">
        <v>8.0786081711765722E-3</v>
      </c>
      <c r="Q64" s="24">
        <v>5.1821860583598357E-4</v>
      </c>
      <c r="R64" s="14"/>
    </row>
    <row r="65" spans="1:18" x14ac:dyDescent="0.25">
      <c r="A65" s="16" t="s">
        <v>2004</v>
      </c>
      <c r="B65" s="115" t="s">
        <v>1565</v>
      </c>
      <c r="C65" s="115" t="s">
        <v>1761</v>
      </c>
      <c r="D65" s="115"/>
      <c r="E65" s="115" t="s">
        <v>1759</v>
      </c>
      <c r="F65" s="115" t="s">
        <v>1760</v>
      </c>
      <c r="G65" s="115" t="s">
        <v>254</v>
      </c>
      <c r="H65" s="116">
        <v>0.33</v>
      </c>
      <c r="I65" s="115" t="s">
        <v>220</v>
      </c>
      <c r="J65" s="116" t="s">
        <v>255</v>
      </c>
      <c r="K65" s="115">
        <v>0.03</v>
      </c>
      <c r="L65" s="115">
        <v>3.0299999999999997E-2</v>
      </c>
      <c r="M65" s="110">
        <v>85627.48</v>
      </c>
      <c r="N65" s="60">
        <v>113.02</v>
      </c>
      <c r="O65" s="83">
        <v>96.776169999999993</v>
      </c>
      <c r="P65" s="24">
        <v>8.0786081711765722E-3</v>
      </c>
      <c r="Q65" s="24">
        <v>5.1821860583598357E-4</v>
      </c>
      <c r="R65" s="14"/>
    </row>
    <row r="66" spans="1:18" x14ac:dyDescent="0.25">
      <c r="A66" s="16" t="s">
        <v>2005</v>
      </c>
      <c r="B66" s="216" t="s">
        <v>2051</v>
      </c>
      <c r="C66" s="115" t="s">
        <v>1789</v>
      </c>
      <c r="D66" s="115"/>
      <c r="E66" s="115" t="s">
        <v>370</v>
      </c>
      <c r="F66" s="115" t="s">
        <v>1790</v>
      </c>
      <c r="G66" s="115" t="s">
        <v>1676</v>
      </c>
      <c r="H66" s="116">
        <v>4.3099999999999996</v>
      </c>
      <c r="I66" s="115" t="s">
        <v>223</v>
      </c>
      <c r="J66" s="116" t="s">
        <v>255</v>
      </c>
      <c r="K66" s="115">
        <v>6.9999999999999993E-3</v>
      </c>
      <c r="L66" s="115">
        <v>3.85E-2</v>
      </c>
      <c r="M66" s="110">
        <v>360334.92422163574</v>
      </c>
      <c r="N66" s="60">
        <v>96.49</v>
      </c>
      <c r="O66" s="83">
        <v>347.68716999999998</v>
      </c>
      <c r="P66" s="24">
        <v>2.9023967497114816E-2</v>
      </c>
      <c r="Q66" s="24">
        <v>1.8618009010323371E-3</v>
      </c>
      <c r="R66" s="14"/>
    </row>
    <row r="67" spans="1:18" x14ac:dyDescent="0.25">
      <c r="A67" s="16" t="s">
        <v>2006</v>
      </c>
      <c r="B67" s="115" t="s">
        <v>1565</v>
      </c>
      <c r="C67" s="115" t="s">
        <v>1583</v>
      </c>
      <c r="D67" s="115"/>
      <c r="E67" s="115" t="s">
        <v>584</v>
      </c>
      <c r="F67" s="115" t="s">
        <v>1584</v>
      </c>
      <c r="G67" s="115" t="s">
        <v>254</v>
      </c>
      <c r="H67" s="116">
        <v>7.13</v>
      </c>
      <c r="I67" s="115" t="s">
        <v>211</v>
      </c>
      <c r="J67" s="116" t="s">
        <v>255</v>
      </c>
      <c r="K67" s="115">
        <v>7.1999999880790713E-2</v>
      </c>
      <c r="L67" s="115">
        <v>6.6100000000000006E-2</v>
      </c>
      <c r="M67" s="110">
        <v>2764.4650043715774</v>
      </c>
      <c r="N67" s="60">
        <v>99.69</v>
      </c>
      <c r="O67" s="83">
        <v>2.75589</v>
      </c>
      <c r="P67" s="24">
        <v>2.3005410808119191E-4</v>
      </c>
      <c r="Q67" s="24">
        <v>1.4757284501311933E-5</v>
      </c>
      <c r="R67" s="14"/>
    </row>
    <row r="68" spans="1:18" x14ac:dyDescent="0.25">
      <c r="A68" s="16" t="s">
        <v>2006</v>
      </c>
      <c r="B68" s="115" t="s">
        <v>1565</v>
      </c>
      <c r="C68" s="115" t="s">
        <v>1621</v>
      </c>
      <c r="D68" s="115"/>
      <c r="E68" s="115" t="s">
        <v>584</v>
      </c>
      <c r="F68" s="115" t="s">
        <v>1622</v>
      </c>
      <c r="G68" s="115" t="s">
        <v>254</v>
      </c>
      <c r="H68" s="116">
        <v>7.09</v>
      </c>
      <c r="I68" s="115" t="s">
        <v>211</v>
      </c>
      <c r="J68" s="116" t="s">
        <v>255</v>
      </c>
      <c r="K68" s="115">
        <v>7.1999999880790713E-2</v>
      </c>
      <c r="L68" s="115">
        <v>6.7900000000000002E-2</v>
      </c>
      <c r="M68" s="110">
        <v>3910.1479326563717</v>
      </c>
      <c r="N68" s="60">
        <v>98.56</v>
      </c>
      <c r="O68" s="83">
        <v>3.8538299999999999</v>
      </c>
      <c r="P68" s="24">
        <v>3.2170711579436765E-4</v>
      </c>
      <c r="Q68" s="24">
        <v>2.0636551433363077E-5</v>
      </c>
      <c r="R68" s="14"/>
    </row>
    <row r="69" spans="1:18" x14ac:dyDescent="0.25">
      <c r="A69" s="16" t="s">
        <v>2006</v>
      </c>
      <c r="B69" s="115" t="s">
        <v>1565</v>
      </c>
      <c r="C69" s="115" t="s">
        <v>1629</v>
      </c>
      <c r="D69" s="115"/>
      <c r="E69" s="115" t="s">
        <v>584</v>
      </c>
      <c r="F69" s="115" t="s">
        <v>1630</v>
      </c>
      <c r="G69" s="115" t="s">
        <v>254</v>
      </c>
      <c r="H69" s="116">
        <v>7.05</v>
      </c>
      <c r="I69" s="115" t="s">
        <v>211</v>
      </c>
      <c r="J69" s="116" t="s">
        <v>255</v>
      </c>
      <c r="K69" s="115">
        <v>7.1999999880790713E-2</v>
      </c>
      <c r="L69" s="115">
        <v>6.9199999999999998E-2</v>
      </c>
      <c r="M69" s="110">
        <v>3160.2392056180101</v>
      </c>
      <c r="N69" s="60">
        <v>97.68</v>
      </c>
      <c r="O69" s="83">
        <v>3.0869200000000001</v>
      </c>
      <c r="P69" s="24">
        <v>2.5768758089691281E-4</v>
      </c>
      <c r="Q69" s="24">
        <v>1.6529889318075047E-5</v>
      </c>
      <c r="R69" s="14"/>
    </row>
    <row r="70" spans="1:18" x14ac:dyDescent="0.25">
      <c r="A70" s="16" t="s">
        <v>2006</v>
      </c>
      <c r="B70" s="115" t="s">
        <v>1565</v>
      </c>
      <c r="C70" s="115" t="s">
        <v>1636</v>
      </c>
      <c r="D70" s="115"/>
      <c r="E70" s="115" t="s">
        <v>584</v>
      </c>
      <c r="F70" s="115" t="s">
        <v>1637</v>
      </c>
      <c r="G70" s="115" t="s">
        <v>254</v>
      </c>
      <c r="H70" s="116">
        <v>7.05</v>
      </c>
      <c r="I70" s="115" t="s">
        <v>211</v>
      </c>
      <c r="J70" s="116" t="s">
        <v>255</v>
      </c>
      <c r="K70" s="115">
        <v>7.1999999880790713E-2</v>
      </c>
      <c r="L70" s="115">
        <v>6.9500000000000006E-2</v>
      </c>
      <c r="M70" s="110">
        <v>5469.7657441552046</v>
      </c>
      <c r="N70" s="60">
        <v>97.49</v>
      </c>
      <c r="O70" s="83">
        <v>5.3324699999999998</v>
      </c>
      <c r="P70" s="24">
        <v>4.4513991114293876E-4</v>
      </c>
      <c r="Q70" s="24">
        <v>2.8554396904343371E-5</v>
      </c>
      <c r="R70" s="14"/>
    </row>
    <row r="71" spans="1:18" x14ac:dyDescent="0.25">
      <c r="A71" s="16" t="s">
        <v>2006</v>
      </c>
      <c r="B71" s="115" t="s">
        <v>1565</v>
      </c>
      <c r="C71" s="115" t="s">
        <v>1645</v>
      </c>
      <c r="D71" s="115"/>
      <c r="E71" s="115" t="s">
        <v>584</v>
      </c>
      <c r="F71" s="115" t="s">
        <v>497</v>
      </c>
      <c r="G71" s="115" t="s">
        <v>254</v>
      </c>
      <c r="H71" s="116">
        <v>7.15</v>
      </c>
      <c r="I71" s="115" t="s">
        <v>211</v>
      </c>
      <c r="J71" s="116" t="s">
        <v>255</v>
      </c>
      <c r="K71" s="115">
        <v>7.1999999880790713E-2</v>
      </c>
      <c r="L71" s="115">
        <v>6.54E-2</v>
      </c>
      <c r="M71" s="110">
        <v>10929.903699766743</v>
      </c>
      <c r="N71" s="60">
        <v>100.2</v>
      </c>
      <c r="O71" s="83">
        <v>10.95176</v>
      </c>
      <c r="P71" s="24">
        <v>9.142227660462771E-4</v>
      </c>
      <c r="Q71" s="24">
        <v>5.8644662199902026E-5</v>
      </c>
      <c r="R71" s="14"/>
    </row>
    <row r="72" spans="1:18" x14ac:dyDescent="0.25">
      <c r="A72" s="16" t="s">
        <v>2006</v>
      </c>
      <c r="B72" s="115" t="s">
        <v>1565</v>
      </c>
      <c r="C72" s="115" t="s">
        <v>1654</v>
      </c>
      <c r="D72" s="115"/>
      <c r="E72" s="115" t="s">
        <v>584</v>
      </c>
      <c r="F72" s="115" t="s">
        <v>1655</v>
      </c>
      <c r="G72" s="115" t="s">
        <v>254</v>
      </c>
      <c r="H72" s="116">
        <v>7.16</v>
      </c>
      <c r="I72" s="115" t="s">
        <v>211</v>
      </c>
      <c r="J72" s="116" t="s">
        <v>255</v>
      </c>
      <c r="K72" s="115">
        <v>7.1999999880790713E-2</v>
      </c>
      <c r="L72" s="115">
        <v>6.4899999999999999E-2</v>
      </c>
      <c r="M72" s="110">
        <v>4503.2208728054256</v>
      </c>
      <c r="N72" s="60">
        <v>100.55</v>
      </c>
      <c r="O72" s="83">
        <v>4.52799</v>
      </c>
      <c r="P72" s="24">
        <v>3.779841361050536E-4</v>
      </c>
      <c r="Q72" s="24">
        <v>2.4246554343277642E-5</v>
      </c>
      <c r="R72" s="14"/>
    </row>
    <row r="73" spans="1:18" x14ac:dyDescent="0.25">
      <c r="A73" s="16" t="s">
        <v>2006</v>
      </c>
      <c r="B73" s="115" t="s">
        <v>1565</v>
      </c>
      <c r="C73" s="115" t="s">
        <v>1665</v>
      </c>
      <c r="D73" s="115"/>
      <c r="E73" s="115" t="s">
        <v>584</v>
      </c>
      <c r="F73" s="115" t="s">
        <v>1666</v>
      </c>
      <c r="G73" s="115" t="s">
        <v>254</v>
      </c>
      <c r="H73" s="116">
        <v>7.17</v>
      </c>
      <c r="I73" s="115" t="s">
        <v>211</v>
      </c>
      <c r="J73" s="116" t="s">
        <v>255</v>
      </c>
      <c r="K73" s="115">
        <v>7.1999999880790713E-2</v>
      </c>
      <c r="L73" s="115">
        <v>6.4399999999999999E-2</v>
      </c>
      <c r="M73" s="110">
        <v>5641.4453041812558</v>
      </c>
      <c r="N73" s="60">
        <v>100.84</v>
      </c>
      <c r="O73" s="83">
        <v>5.6888300000000003</v>
      </c>
      <c r="P73" s="24">
        <v>4.7488786260537505E-4</v>
      </c>
      <c r="Q73" s="24">
        <v>3.046263921622357E-5</v>
      </c>
      <c r="R73" s="14"/>
    </row>
    <row r="74" spans="1:18" x14ac:dyDescent="0.25">
      <c r="A74" s="16" t="s">
        <v>2006</v>
      </c>
      <c r="B74" s="115" t="s">
        <v>1565</v>
      </c>
      <c r="C74" s="115" t="s">
        <v>1693</v>
      </c>
      <c r="D74" s="115"/>
      <c r="E74" s="115" t="s">
        <v>584</v>
      </c>
      <c r="F74" s="115" t="s">
        <v>1694</v>
      </c>
      <c r="G74" s="115" t="s">
        <v>254</v>
      </c>
      <c r="H74" s="116">
        <v>7.16</v>
      </c>
      <c r="I74" s="115" t="s">
        <v>211</v>
      </c>
      <c r="J74" s="116" t="s">
        <v>255</v>
      </c>
      <c r="K74" s="115">
        <v>7.1999999880790713E-2</v>
      </c>
      <c r="L74" s="115">
        <v>6.4899999999999999E-2</v>
      </c>
      <c r="M74" s="110">
        <v>3875.4864500916137</v>
      </c>
      <c r="N74" s="60">
        <v>100.54</v>
      </c>
      <c r="O74" s="83">
        <v>3.8964099999999999</v>
      </c>
      <c r="P74" s="24">
        <v>3.2526157693835275E-4</v>
      </c>
      <c r="Q74" s="24">
        <v>2.0864559508455285E-5</v>
      </c>
      <c r="R74" s="14"/>
    </row>
    <row r="75" spans="1:18" x14ac:dyDescent="0.25">
      <c r="A75" s="16" t="s">
        <v>2006</v>
      </c>
      <c r="B75" s="115" t="s">
        <v>1565</v>
      </c>
      <c r="C75" s="115" t="s">
        <v>1701</v>
      </c>
      <c r="D75" s="115"/>
      <c r="E75" s="115" t="s">
        <v>584</v>
      </c>
      <c r="F75" s="115" t="s">
        <v>1702</v>
      </c>
      <c r="G75" s="115" t="s">
        <v>254</v>
      </c>
      <c r="H75" s="116">
        <v>7.14</v>
      </c>
      <c r="I75" s="115" t="s">
        <v>211</v>
      </c>
      <c r="J75" s="116" t="s">
        <v>255</v>
      </c>
      <c r="K75" s="115">
        <v>7.1999999880790713E-2</v>
      </c>
      <c r="L75" s="115">
        <v>6.5700000000000008E-2</v>
      </c>
      <c r="M75" s="110">
        <v>3111.9573861776421</v>
      </c>
      <c r="N75" s="60">
        <v>99.97</v>
      </c>
      <c r="O75" s="83">
        <v>3.1110199999999999</v>
      </c>
      <c r="P75" s="24">
        <v>2.5969938253077941E-4</v>
      </c>
      <c r="Q75" s="24">
        <v>1.6658940389228688E-5</v>
      </c>
      <c r="R75" s="14"/>
    </row>
    <row r="76" spans="1:18" x14ac:dyDescent="0.25">
      <c r="A76" s="16" t="s">
        <v>2006</v>
      </c>
      <c r="B76" s="115" t="s">
        <v>1565</v>
      </c>
      <c r="C76" s="115" t="s">
        <v>1712</v>
      </c>
      <c r="D76" s="115"/>
      <c r="E76" s="115" t="s">
        <v>584</v>
      </c>
      <c r="F76" s="115" t="s">
        <v>1713</v>
      </c>
      <c r="G76" s="115" t="s">
        <v>254</v>
      </c>
      <c r="H76" s="116">
        <v>7.17</v>
      </c>
      <c r="I76" s="115" t="s">
        <v>211</v>
      </c>
      <c r="J76" s="116" t="s">
        <v>255</v>
      </c>
      <c r="K76" s="115">
        <v>7.1999999880790713E-2</v>
      </c>
      <c r="L76" s="115">
        <v>6.4399999999999999E-2</v>
      </c>
      <c r="M76" s="110">
        <v>6938.523908353206</v>
      </c>
      <c r="N76" s="60">
        <v>100.84</v>
      </c>
      <c r="O76" s="83">
        <v>6.9968000000000004</v>
      </c>
      <c r="P76" s="24">
        <v>5.8407359634182917E-4</v>
      </c>
      <c r="Q76" s="24">
        <v>3.7466578201154378E-5</v>
      </c>
      <c r="R76" s="14"/>
    </row>
    <row r="77" spans="1:18" x14ac:dyDescent="0.25">
      <c r="A77" s="16" t="s">
        <v>2006</v>
      </c>
      <c r="B77" s="115" t="s">
        <v>1565</v>
      </c>
      <c r="C77" s="115" t="s">
        <v>1719</v>
      </c>
      <c r="D77" s="115"/>
      <c r="E77" s="115" t="s">
        <v>584</v>
      </c>
      <c r="F77" s="115" t="s">
        <v>1720</v>
      </c>
      <c r="G77" s="115" t="s">
        <v>254</v>
      </c>
      <c r="H77" s="116">
        <v>7.17</v>
      </c>
      <c r="I77" s="115" t="s">
        <v>211</v>
      </c>
      <c r="J77" s="116" t="s">
        <v>255</v>
      </c>
      <c r="K77" s="115">
        <v>7.1999999880790713E-2</v>
      </c>
      <c r="L77" s="115">
        <v>6.4399999999999999E-2</v>
      </c>
      <c r="M77" s="110">
        <v>4796.24189171535</v>
      </c>
      <c r="N77" s="60">
        <v>100.84</v>
      </c>
      <c r="O77" s="83">
        <v>4.8365299999999998</v>
      </c>
      <c r="P77" s="24">
        <v>4.0374020565331966E-4</v>
      </c>
      <c r="Q77" s="24">
        <v>2.5898729343018121E-5</v>
      </c>
      <c r="R77" s="14"/>
    </row>
    <row r="78" spans="1:18" x14ac:dyDescent="0.25">
      <c r="A78" s="16" t="s">
        <v>2006</v>
      </c>
      <c r="B78" s="115" t="s">
        <v>1565</v>
      </c>
      <c r="C78" s="115" t="s">
        <v>1589</v>
      </c>
      <c r="D78" s="115"/>
      <c r="E78" s="115" t="s">
        <v>584</v>
      </c>
      <c r="F78" s="115" t="s">
        <v>1590</v>
      </c>
      <c r="G78" s="115" t="s">
        <v>254</v>
      </c>
      <c r="H78" s="116">
        <v>7.17</v>
      </c>
      <c r="I78" s="115" t="s">
        <v>211</v>
      </c>
      <c r="J78" s="116" t="s">
        <v>255</v>
      </c>
      <c r="K78" s="115">
        <v>7.1999999880790713E-2</v>
      </c>
      <c r="L78" s="115">
        <v>6.4399999999999999E-2</v>
      </c>
      <c r="M78" s="110">
        <v>2624.5639937107053</v>
      </c>
      <c r="N78" s="60">
        <v>100.84</v>
      </c>
      <c r="O78" s="83">
        <v>2.6465999999999998</v>
      </c>
      <c r="P78" s="24">
        <v>2.2093087984196847E-4</v>
      </c>
      <c r="Q78" s="24">
        <v>1.4172056635486962E-5</v>
      </c>
      <c r="R78" s="14"/>
    </row>
    <row r="79" spans="1:18" x14ac:dyDescent="0.25">
      <c r="A79" s="16" t="s">
        <v>2006</v>
      </c>
      <c r="B79" s="115" t="s">
        <v>1565</v>
      </c>
      <c r="C79" s="115" t="s">
        <v>1732</v>
      </c>
      <c r="D79" s="115"/>
      <c r="E79" s="115" t="s">
        <v>584</v>
      </c>
      <c r="F79" s="115" t="s">
        <v>1383</v>
      </c>
      <c r="G79" s="115" t="s">
        <v>254</v>
      </c>
      <c r="H79" s="116">
        <v>7.17</v>
      </c>
      <c r="I79" s="115" t="s">
        <v>211</v>
      </c>
      <c r="J79" s="116" t="s">
        <v>255</v>
      </c>
      <c r="K79" s="115">
        <v>7.1999999880790713E-2</v>
      </c>
      <c r="L79" s="115">
        <v>6.4500000000000002E-2</v>
      </c>
      <c r="M79" s="110">
        <v>2463.7061190030072</v>
      </c>
      <c r="N79" s="60">
        <v>100.81</v>
      </c>
      <c r="O79" s="83">
        <v>2.48366</v>
      </c>
      <c r="P79" s="24">
        <v>2.0732909734312078E-4</v>
      </c>
      <c r="Q79" s="24">
        <v>1.3299542878898794E-5</v>
      </c>
      <c r="R79" s="14"/>
    </row>
    <row r="80" spans="1:18" x14ac:dyDescent="0.25">
      <c r="A80" s="16" t="s">
        <v>2006</v>
      </c>
      <c r="B80" s="115" t="s">
        <v>1565</v>
      </c>
      <c r="C80" s="115" t="s">
        <v>1591</v>
      </c>
      <c r="D80" s="115"/>
      <c r="E80" s="115" t="s">
        <v>584</v>
      </c>
      <c r="F80" s="115" t="s">
        <v>1592</v>
      </c>
      <c r="G80" s="115" t="s">
        <v>254</v>
      </c>
      <c r="H80" s="116">
        <v>7.17</v>
      </c>
      <c r="I80" s="115" t="s">
        <v>211</v>
      </c>
      <c r="J80" s="116" t="s">
        <v>255</v>
      </c>
      <c r="K80" s="115">
        <v>7.1999999880790713E-2</v>
      </c>
      <c r="L80" s="115">
        <v>6.4399999999999999E-2</v>
      </c>
      <c r="M80" s="110">
        <v>9572.2732044594504</v>
      </c>
      <c r="N80" s="60">
        <v>100.84</v>
      </c>
      <c r="O80" s="83">
        <v>9.6526800000000001</v>
      </c>
      <c r="P80" s="24">
        <v>8.0577914502870569E-4</v>
      </c>
      <c r="Q80" s="24">
        <v>5.1688327531259842E-5</v>
      </c>
      <c r="R80" s="14"/>
    </row>
    <row r="81" spans="1:18" x14ac:dyDescent="0.25">
      <c r="A81" s="16" t="s">
        <v>2006</v>
      </c>
      <c r="B81" s="115" t="s">
        <v>1565</v>
      </c>
      <c r="C81" s="115" t="s">
        <v>1593</v>
      </c>
      <c r="D81" s="115"/>
      <c r="E81" s="115" t="s">
        <v>584</v>
      </c>
      <c r="F81" s="115" t="s">
        <v>1594</v>
      </c>
      <c r="G81" s="115" t="s">
        <v>254</v>
      </c>
      <c r="H81" s="116">
        <v>7.17</v>
      </c>
      <c r="I81" s="115" t="s">
        <v>211</v>
      </c>
      <c r="J81" s="116" t="s">
        <v>255</v>
      </c>
      <c r="K81" s="115">
        <v>7.1999999880790713E-2</v>
      </c>
      <c r="L81" s="115">
        <v>6.4500000000000002E-2</v>
      </c>
      <c r="M81" s="110">
        <v>5420.7336479899823</v>
      </c>
      <c r="N81" s="60">
        <v>100.82</v>
      </c>
      <c r="O81" s="83">
        <v>5.4651800000000001</v>
      </c>
      <c r="P81" s="24">
        <v>4.5621817648860025E-4</v>
      </c>
      <c r="Q81" s="24">
        <v>2.9265034566285288E-5</v>
      </c>
      <c r="R81" s="14"/>
    </row>
    <row r="82" spans="1:18" x14ac:dyDescent="0.25">
      <c r="A82" s="16" t="s">
        <v>2006</v>
      </c>
      <c r="B82" s="115" t="s">
        <v>1565</v>
      </c>
      <c r="C82" s="115" t="s">
        <v>1597</v>
      </c>
      <c r="D82" s="115"/>
      <c r="E82" s="115" t="s">
        <v>584</v>
      </c>
      <c r="F82" s="115" t="s">
        <v>1598</v>
      </c>
      <c r="G82" s="115" t="s">
        <v>254</v>
      </c>
      <c r="H82" s="116">
        <v>7.08</v>
      </c>
      <c r="I82" s="115" t="s">
        <v>211</v>
      </c>
      <c r="J82" s="116" t="s">
        <v>255</v>
      </c>
      <c r="K82" s="115">
        <v>7.1999999880790713E-2</v>
      </c>
      <c r="L82" s="115">
        <v>6.8199999999999997E-2</v>
      </c>
      <c r="M82" s="110">
        <v>8098.0560934110308</v>
      </c>
      <c r="N82" s="60">
        <v>98.32</v>
      </c>
      <c r="O82" s="83">
        <v>7.9620100000000003</v>
      </c>
      <c r="P82" s="24">
        <v>6.6464666916441905E-4</v>
      </c>
      <c r="Q82" s="24">
        <v>4.2635100374939E-5</v>
      </c>
      <c r="R82" s="14"/>
    </row>
    <row r="83" spans="1:18" x14ac:dyDescent="0.25">
      <c r="A83" s="16" t="s">
        <v>2006</v>
      </c>
      <c r="B83" s="115" t="s">
        <v>1565</v>
      </c>
      <c r="C83" s="115" t="s">
        <v>1607</v>
      </c>
      <c r="D83" s="115"/>
      <c r="E83" s="115" t="s">
        <v>584</v>
      </c>
      <c r="F83" s="115" t="s">
        <v>1608</v>
      </c>
      <c r="G83" s="115" t="s">
        <v>254</v>
      </c>
      <c r="H83" s="116">
        <v>7.09</v>
      </c>
      <c r="I83" s="115" t="s">
        <v>211</v>
      </c>
      <c r="J83" s="116" t="s">
        <v>255</v>
      </c>
      <c r="K83" s="115">
        <v>7.1999999880790713E-2</v>
      </c>
      <c r="L83" s="115">
        <v>6.7500000000000004E-2</v>
      </c>
      <c r="M83" s="110">
        <v>6896.741600068679</v>
      </c>
      <c r="N83" s="60">
        <v>98.81</v>
      </c>
      <c r="O83" s="83">
        <v>6.8146599999999999</v>
      </c>
      <c r="P83" s="24">
        <v>5.6886905071558565E-4</v>
      </c>
      <c r="Q83" s="24">
        <v>3.6491251972941732E-5</v>
      </c>
      <c r="R83" s="14"/>
    </row>
    <row r="84" spans="1:18" x14ac:dyDescent="0.25">
      <c r="A84" s="16" t="s">
        <v>2006</v>
      </c>
      <c r="B84" s="115" t="s">
        <v>1565</v>
      </c>
      <c r="C84" s="115" t="s">
        <v>1611</v>
      </c>
      <c r="D84" s="115"/>
      <c r="E84" s="115" t="s">
        <v>584</v>
      </c>
      <c r="F84" s="115" t="s">
        <v>1612</v>
      </c>
      <c r="G84" s="115" t="s">
        <v>254</v>
      </c>
      <c r="H84" s="116">
        <v>7.12</v>
      </c>
      <c r="I84" s="115" t="s">
        <v>211</v>
      </c>
      <c r="J84" s="116" t="s">
        <v>255</v>
      </c>
      <c r="K84" s="115">
        <v>7.1999999880790713E-2</v>
      </c>
      <c r="L84" s="115">
        <v>6.6400000000000001E-2</v>
      </c>
      <c r="M84" s="110">
        <v>7123.0786095447456</v>
      </c>
      <c r="N84" s="60">
        <v>99.49</v>
      </c>
      <c r="O84" s="83">
        <v>7.0867500000000003</v>
      </c>
      <c r="P84" s="24">
        <v>5.9158237463918621E-4</v>
      </c>
      <c r="Q84" s="24">
        <v>3.7948243921082608E-5</v>
      </c>
      <c r="R84" s="14"/>
    </row>
    <row r="85" spans="1:18" x14ac:dyDescent="0.25">
      <c r="A85" s="16" t="s">
        <v>2006</v>
      </c>
      <c r="B85" s="115" t="s">
        <v>1565</v>
      </c>
      <c r="C85" s="115" t="s">
        <v>1615</v>
      </c>
      <c r="D85" s="115"/>
      <c r="E85" s="115" t="s">
        <v>584</v>
      </c>
      <c r="F85" s="115" t="s">
        <v>1616</v>
      </c>
      <c r="G85" s="115" t="s">
        <v>254</v>
      </c>
      <c r="H85" s="116">
        <v>7.12</v>
      </c>
      <c r="I85" s="115" t="s">
        <v>211</v>
      </c>
      <c r="J85" s="116" t="s">
        <v>255</v>
      </c>
      <c r="K85" s="115">
        <v>7.1999999880790713E-2</v>
      </c>
      <c r="L85" s="115">
        <v>6.6500000000000004E-2</v>
      </c>
      <c r="M85" s="110">
        <v>5833.8580317904543</v>
      </c>
      <c r="N85" s="60">
        <v>99.44</v>
      </c>
      <c r="O85" s="83">
        <v>5.8011800000000004</v>
      </c>
      <c r="P85" s="24">
        <v>4.8426653121802721E-4</v>
      </c>
      <c r="Q85" s="24">
        <v>3.1064252819713697E-5</v>
      </c>
      <c r="R85" s="14"/>
    </row>
    <row r="86" spans="1:18" x14ac:dyDescent="0.25">
      <c r="A86" s="16" t="s">
        <v>2006</v>
      </c>
      <c r="B86" s="115" t="s">
        <v>1565</v>
      </c>
      <c r="C86" s="115" t="s">
        <v>1619</v>
      </c>
      <c r="D86" s="115"/>
      <c r="E86" s="115" t="s">
        <v>584</v>
      </c>
      <c r="F86" s="115" t="s">
        <v>1620</v>
      </c>
      <c r="G86" s="115" t="s">
        <v>254</v>
      </c>
      <c r="H86" s="116">
        <v>7.09</v>
      </c>
      <c r="I86" s="115" t="s">
        <v>211</v>
      </c>
      <c r="J86" s="116" t="s">
        <v>255</v>
      </c>
      <c r="K86" s="115">
        <v>7.1999999880790713E-2</v>
      </c>
      <c r="L86" s="115">
        <v>6.7599999999999993E-2</v>
      </c>
      <c r="M86" s="110">
        <v>2115.9614341179386</v>
      </c>
      <c r="N86" s="60">
        <v>98.7</v>
      </c>
      <c r="O86" s="83">
        <v>2.0884499999999999</v>
      </c>
      <c r="P86" s="24">
        <v>1.7433805486509449E-4</v>
      </c>
      <c r="Q86" s="24">
        <v>1.1183265956465936E-5</v>
      </c>
      <c r="R86" s="14"/>
    </row>
    <row r="87" spans="1:18" x14ac:dyDescent="0.25">
      <c r="A87" s="16" t="s">
        <v>2007</v>
      </c>
      <c r="B87" s="216" t="s">
        <v>1565</v>
      </c>
      <c r="C87" s="115" t="s">
        <v>1835</v>
      </c>
      <c r="D87" s="115"/>
      <c r="E87" s="115" t="s">
        <v>623</v>
      </c>
      <c r="F87" s="115" t="s">
        <v>1836</v>
      </c>
      <c r="G87" s="115" t="s">
        <v>465</v>
      </c>
      <c r="H87" s="116">
        <v>6.21</v>
      </c>
      <c r="I87" s="115" t="s">
        <v>211</v>
      </c>
      <c r="J87" s="116" t="s">
        <v>126</v>
      </c>
      <c r="K87" s="115">
        <v>2.35E-2</v>
      </c>
      <c r="L87" s="115">
        <v>6.1200000000000004E-2</v>
      </c>
      <c r="M87" s="110">
        <v>110275.78477449197</v>
      </c>
      <c r="N87" s="60">
        <v>79.19</v>
      </c>
      <c r="O87" s="83">
        <v>353.94665000000003</v>
      </c>
      <c r="P87" s="24">
        <v>2.9546491650274797E-2</v>
      </c>
      <c r="Q87" s="24">
        <v>1.8953192661304624E-3</v>
      </c>
      <c r="R87" s="14"/>
    </row>
    <row r="88" spans="1:18" x14ac:dyDescent="0.25">
      <c r="A88" s="16" t="s">
        <v>2008</v>
      </c>
      <c r="B88" s="115" t="s">
        <v>1565</v>
      </c>
      <c r="C88" s="115" t="s">
        <v>1679</v>
      </c>
      <c r="D88" s="115"/>
      <c r="E88" s="115" t="s">
        <v>1674</v>
      </c>
      <c r="F88" s="115" t="s">
        <v>1675</v>
      </c>
      <c r="G88" s="115" t="s">
        <v>1676</v>
      </c>
      <c r="H88" s="116">
        <v>4.55</v>
      </c>
      <c r="I88" s="115" t="s">
        <v>221</v>
      </c>
      <c r="J88" s="116" t="s">
        <v>255</v>
      </c>
      <c r="K88" s="115">
        <v>7.0000000000000007E-2</v>
      </c>
      <c r="L88" s="115">
        <v>6.6199999999999995E-2</v>
      </c>
      <c r="M88" s="110">
        <v>55300.193623657142</v>
      </c>
      <c r="N88" s="60">
        <v>100.33</v>
      </c>
      <c r="O88" s="83">
        <v>55.482680000000002</v>
      </c>
      <c r="P88" s="24">
        <v>4.6315413392240563E-3</v>
      </c>
      <c r="Q88" s="24">
        <v>2.9709955537240225E-4</v>
      </c>
      <c r="R88" s="14"/>
    </row>
    <row r="89" spans="1:18" x14ac:dyDescent="0.25">
      <c r="A89" s="16" t="s">
        <v>2009</v>
      </c>
      <c r="B89" s="115" t="s">
        <v>1565</v>
      </c>
      <c r="C89" s="115" t="s">
        <v>1678</v>
      </c>
      <c r="D89" s="115"/>
      <c r="E89" s="115" t="s">
        <v>1674</v>
      </c>
      <c r="F89" s="115" t="s">
        <v>1675</v>
      </c>
      <c r="G89" s="115" t="s">
        <v>1676</v>
      </c>
      <c r="H89" s="116">
        <v>4.55</v>
      </c>
      <c r="I89" s="115" t="s">
        <v>221</v>
      </c>
      <c r="J89" s="116" t="s">
        <v>255</v>
      </c>
      <c r="K89" s="115">
        <v>7.0000000000000007E-2</v>
      </c>
      <c r="L89" s="115">
        <v>6.6199999999999995E-2</v>
      </c>
      <c r="M89" s="110">
        <v>11239.879516096093</v>
      </c>
      <c r="N89" s="60">
        <v>100.33</v>
      </c>
      <c r="O89" s="83">
        <v>11.276969999999999</v>
      </c>
      <c r="P89" s="24">
        <v>9.4137040128900601E-4</v>
      </c>
      <c r="Q89" s="24">
        <v>6.0386101986203954E-5</v>
      </c>
      <c r="R89" s="14"/>
    </row>
    <row r="90" spans="1:18" x14ac:dyDescent="0.25">
      <c r="A90" s="16" t="s">
        <v>2010</v>
      </c>
      <c r="B90" s="115" t="s">
        <v>1565</v>
      </c>
      <c r="C90" s="115" t="s">
        <v>1680</v>
      </c>
      <c r="D90" s="115"/>
      <c r="E90" s="115" t="s">
        <v>1674</v>
      </c>
      <c r="F90" s="115" t="s">
        <v>1675</v>
      </c>
      <c r="G90" s="115" t="s">
        <v>1676</v>
      </c>
      <c r="H90" s="116">
        <v>4.55</v>
      </c>
      <c r="I90" s="115" t="s">
        <v>221</v>
      </c>
      <c r="J90" s="116" t="s">
        <v>255</v>
      </c>
      <c r="K90" s="115">
        <v>7.0000000000000007E-2</v>
      </c>
      <c r="L90" s="115">
        <v>6.6199999999999995E-2</v>
      </c>
      <c r="M90" s="110">
        <v>12363.884468679475</v>
      </c>
      <c r="N90" s="60">
        <v>100.33</v>
      </c>
      <c r="O90" s="83">
        <v>12.404680000000001</v>
      </c>
      <c r="P90" s="24">
        <v>1.0355085266221076E-3</v>
      </c>
      <c r="Q90" s="24">
        <v>6.6424781797435356E-5</v>
      </c>
      <c r="R90" s="14"/>
    </row>
    <row r="91" spans="1:18" x14ac:dyDescent="0.25">
      <c r="A91" s="16" t="s">
        <v>2011</v>
      </c>
      <c r="B91" s="115" t="s">
        <v>1565</v>
      </c>
      <c r="C91" s="115" t="s">
        <v>1677</v>
      </c>
      <c r="D91" s="115"/>
      <c r="E91" s="115" t="s">
        <v>1674</v>
      </c>
      <c r="F91" s="115" t="s">
        <v>1675</v>
      </c>
      <c r="G91" s="115" t="s">
        <v>1676</v>
      </c>
      <c r="H91" s="116">
        <v>4.55</v>
      </c>
      <c r="I91" s="115" t="s">
        <v>221</v>
      </c>
      <c r="J91" s="116" t="s">
        <v>255</v>
      </c>
      <c r="K91" s="115">
        <v>7.0000000000000007E-2</v>
      </c>
      <c r="L91" s="115">
        <v>6.6199999999999995E-2</v>
      </c>
      <c r="M91" s="110">
        <v>110600.38724656524</v>
      </c>
      <c r="N91" s="60">
        <v>100.33</v>
      </c>
      <c r="O91" s="83">
        <v>110.96536999999999</v>
      </c>
      <c r="P91" s="24">
        <v>9.2630835132205755E-3</v>
      </c>
      <c r="Q91" s="24">
        <v>5.9419916429296672E-4</v>
      </c>
      <c r="R91" s="14"/>
    </row>
    <row r="92" spans="1:18" x14ac:dyDescent="0.25">
      <c r="A92" s="16" t="s">
        <v>2012</v>
      </c>
      <c r="B92" s="115" t="s">
        <v>1565</v>
      </c>
      <c r="C92" s="115" t="s">
        <v>1673</v>
      </c>
      <c r="D92" s="115"/>
      <c r="E92" s="115" t="s">
        <v>1674</v>
      </c>
      <c r="F92" s="115" t="s">
        <v>1675</v>
      </c>
      <c r="G92" s="115" t="s">
        <v>1676</v>
      </c>
      <c r="H92" s="116">
        <v>4.55</v>
      </c>
      <c r="I92" s="115" t="s">
        <v>221</v>
      </c>
      <c r="J92" s="116" t="s">
        <v>255</v>
      </c>
      <c r="K92" s="115">
        <v>7.0000000000000007E-2</v>
      </c>
      <c r="L92" s="115">
        <v>6.6199999999999995E-2</v>
      </c>
      <c r="M92" s="110">
        <v>49455.477874343371</v>
      </c>
      <c r="N92" s="60">
        <v>100.33</v>
      </c>
      <c r="O92" s="83">
        <v>49.618670000000002</v>
      </c>
      <c r="P92" s="24">
        <v>4.1420299326261189E-3</v>
      </c>
      <c r="Q92" s="24">
        <v>2.6569885944892991E-4</v>
      </c>
      <c r="R92" s="14"/>
    </row>
    <row r="93" spans="1:18" x14ac:dyDescent="0.25">
      <c r="A93" s="16" t="s">
        <v>2013</v>
      </c>
      <c r="B93" s="115" t="s">
        <v>1565</v>
      </c>
      <c r="C93" s="115" t="s">
        <v>1743</v>
      </c>
      <c r="D93" s="115"/>
      <c r="E93" s="115" t="s">
        <v>623</v>
      </c>
      <c r="F93" s="115" t="s">
        <v>1744</v>
      </c>
      <c r="G93" s="115" t="s">
        <v>465</v>
      </c>
      <c r="H93" s="116">
        <v>3.95</v>
      </c>
      <c r="I93" s="115" t="s">
        <v>211</v>
      </c>
      <c r="J93" s="116" t="s">
        <v>255</v>
      </c>
      <c r="K93" s="115">
        <v>4.7E-2</v>
      </c>
      <c r="L93" s="115">
        <v>2.53E-2</v>
      </c>
      <c r="M93" s="110">
        <v>14230.62</v>
      </c>
      <c r="N93" s="60">
        <v>124.46</v>
      </c>
      <c r="O93" s="83">
        <v>17.711419999999997</v>
      </c>
      <c r="P93" s="24">
        <v>1.4785005682198434E-3</v>
      </c>
      <c r="Q93" s="24">
        <v>9.4841399280169443E-5</v>
      </c>
      <c r="R93" s="14"/>
    </row>
    <row r="94" spans="1:18" x14ac:dyDescent="0.25">
      <c r="A94" s="16" t="s">
        <v>2013</v>
      </c>
      <c r="B94" s="115" t="s">
        <v>1565</v>
      </c>
      <c r="C94" s="115" t="s">
        <v>1745</v>
      </c>
      <c r="D94" s="115"/>
      <c r="E94" s="115" t="s">
        <v>623</v>
      </c>
      <c r="F94" s="115" t="s">
        <v>1746</v>
      </c>
      <c r="G94" s="115" t="s">
        <v>465</v>
      </c>
      <c r="H94" s="116">
        <v>3.95</v>
      </c>
      <c r="I94" s="115" t="s">
        <v>211</v>
      </c>
      <c r="J94" s="116" t="s">
        <v>255</v>
      </c>
      <c r="K94" s="115">
        <v>4.6100000000000002E-2</v>
      </c>
      <c r="L94" s="115">
        <v>2.53E-2</v>
      </c>
      <c r="M94" s="110">
        <v>21216.959999999999</v>
      </c>
      <c r="N94" s="60">
        <v>123.56</v>
      </c>
      <c r="O94" s="83">
        <v>26.215669999999999</v>
      </c>
      <c r="P94" s="24">
        <v>2.1884119393737996E-3</v>
      </c>
      <c r="Q94" s="24">
        <v>1.4038009520790315E-4</v>
      </c>
      <c r="R94" s="14"/>
    </row>
    <row r="95" spans="1:18" x14ac:dyDescent="0.25">
      <c r="A95" s="16" t="s">
        <v>2013</v>
      </c>
      <c r="B95" s="115" t="s">
        <v>1565</v>
      </c>
      <c r="C95" s="115" t="s">
        <v>1747</v>
      </c>
      <c r="D95" s="115"/>
      <c r="E95" s="115" t="s">
        <v>623</v>
      </c>
      <c r="F95" s="115" t="s">
        <v>1748</v>
      </c>
      <c r="G95" s="115" t="s">
        <v>465</v>
      </c>
      <c r="H95" s="116">
        <v>3.94</v>
      </c>
      <c r="I95" s="115" t="s">
        <v>211</v>
      </c>
      <c r="J95" s="116" t="s">
        <v>255</v>
      </c>
      <c r="K95" s="115">
        <v>4.7699999999999992E-2</v>
      </c>
      <c r="L95" s="115">
        <v>2.53E-2</v>
      </c>
      <c r="M95" s="110">
        <v>24077.09</v>
      </c>
      <c r="N95" s="60">
        <v>123.24</v>
      </c>
      <c r="O95" s="83">
        <v>29.672599999999999</v>
      </c>
      <c r="P95" s="24">
        <v>2.4769869361440317E-3</v>
      </c>
      <c r="Q95" s="24">
        <v>1.5889132007940393E-4</v>
      </c>
      <c r="R95" s="14"/>
    </row>
    <row r="96" spans="1:18" x14ac:dyDescent="0.25">
      <c r="A96" s="16" t="s">
        <v>2013</v>
      </c>
      <c r="B96" s="115" t="s">
        <v>1565</v>
      </c>
      <c r="C96" s="115" t="s">
        <v>1749</v>
      </c>
      <c r="D96" s="115"/>
      <c r="E96" s="115" t="s">
        <v>623</v>
      </c>
      <c r="F96" s="115" t="s">
        <v>1750</v>
      </c>
      <c r="G96" s="115" t="s">
        <v>465</v>
      </c>
      <c r="H96" s="116">
        <v>3.94</v>
      </c>
      <c r="I96" s="115" t="s">
        <v>211</v>
      </c>
      <c r="J96" s="116" t="s">
        <v>255</v>
      </c>
      <c r="K96" s="115">
        <v>4.7800000000000002E-2</v>
      </c>
      <c r="L96" s="115">
        <v>2.53E-2</v>
      </c>
      <c r="M96" s="110">
        <v>25712.799999999999</v>
      </c>
      <c r="N96" s="60">
        <v>123.28</v>
      </c>
      <c r="O96" s="83">
        <v>31.698730000000001</v>
      </c>
      <c r="P96" s="24">
        <v>2.6461226890247872E-3</v>
      </c>
      <c r="Q96" s="24">
        <v>1.6974087388838875E-4</v>
      </c>
      <c r="R96" s="14"/>
    </row>
    <row r="97" spans="1:18" x14ac:dyDescent="0.25">
      <c r="A97" s="16" t="s">
        <v>2013</v>
      </c>
      <c r="B97" s="115" t="s">
        <v>1565</v>
      </c>
      <c r="C97" s="115" t="s">
        <v>1751</v>
      </c>
      <c r="D97" s="115"/>
      <c r="E97" s="115" t="s">
        <v>623</v>
      </c>
      <c r="F97" s="115" t="s">
        <v>1752</v>
      </c>
      <c r="G97" s="115" t="s">
        <v>465</v>
      </c>
      <c r="H97" s="116">
        <v>3.95</v>
      </c>
      <c r="I97" s="115" t="s">
        <v>211</v>
      </c>
      <c r="J97" s="116" t="s">
        <v>255</v>
      </c>
      <c r="K97" s="115">
        <v>4.5899999999999996E-2</v>
      </c>
      <c r="L97" s="115">
        <v>2.53E-2</v>
      </c>
      <c r="M97" s="110">
        <v>11741.78</v>
      </c>
      <c r="N97" s="60">
        <v>121.73</v>
      </c>
      <c r="O97" s="83">
        <v>14.29326</v>
      </c>
      <c r="P97" s="24">
        <v>1.1931619842855039E-3</v>
      </c>
      <c r="Q97" s="24">
        <v>7.6537780633922917E-5</v>
      </c>
      <c r="R97" s="14"/>
    </row>
    <row r="98" spans="1:18" x14ac:dyDescent="0.25">
      <c r="A98" s="16" t="s">
        <v>2013</v>
      </c>
      <c r="B98" s="115" t="s">
        <v>1565</v>
      </c>
      <c r="C98" s="115" t="s">
        <v>1753</v>
      </c>
      <c r="D98" s="115"/>
      <c r="E98" s="115" t="s">
        <v>623</v>
      </c>
      <c r="F98" s="115" t="s">
        <v>1754</v>
      </c>
      <c r="G98" s="115" t="s">
        <v>465</v>
      </c>
      <c r="H98" s="116">
        <v>3.97</v>
      </c>
      <c r="I98" s="115" t="s">
        <v>211</v>
      </c>
      <c r="J98" s="116" t="s">
        <v>255</v>
      </c>
      <c r="K98" s="115">
        <v>4.2000000000000003E-2</v>
      </c>
      <c r="L98" s="115">
        <v>2.53E-2</v>
      </c>
      <c r="M98" s="110">
        <v>15088.43</v>
      </c>
      <c r="N98" s="60">
        <v>120.82</v>
      </c>
      <c r="O98" s="83">
        <v>18.229839999999999</v>
      </c>
      <c r="P98" s="24">
        <v>1.5217768422044551E-3</v>
      </c>
      <c r="Q98" s="24">
        <v>9.7617443110355033E-5</v>
      </c>
      <c r="R98" s="14"/>
    </row>
    <row r="99" spans="1:18" x14ac:dyDescent="0.25">
      <c r="A99" s="16" t="s">
        <v>2013</v>
      </c>
      <c r="B99" s="115" t="s">
        <v>1565</v>
      </c>
      <c r="C99" s="115" t="s">
        <v>1755</v>
      </c>
      <c r="D99" s="115"/>
      <c r="E99" s="115" t="s">
        <v>623</v>
      </c>
      <c r="F99" s="115" t="s">
        <v>1756</v>
      </c>
      <c r="G99" s="115" t="s">
        <v>465</v>
      </c>
      <c r="H99" s="116">
        <v>1.64</v>
      </c>
      <c r="I99" s="115" t="s">
        <v>211</v>
      </c>
      <c r="J99" s="116" t="s">
        <v>255</v>
      </c>
      <c r="K99" s="115">
        <v>4.5199999999999997E-2</v>
      </c>
      <c r="L99" s="115">
        <v>2.7000000000000003E-2</v>
      </c>
      <c r="M99" s="110">
        <v>10157.09</v>
      </c>
      <c r="N99" s="60">
        <v>115.97</v>
      </c>
      <c r="O99" s="83">
        <v>11.779170000000001</v>
      </c>
      <c r="P99" s="24">
        <v>9.8329267433995321E-4</v>
      </c>
      <c r="Q99" s="24">
        <v>6.3075290697131787E-5</v>
      </c>
      <c r="R99" s="14"/>
    </row>
    <row r="100" spans="1:18" x14ac:dyDescent="0.25">
      <c r="A100" s="16" t="s">
        <v>2014</v>
      </c>
      <c r="B100" s="216" t="s">
        <v>2051</v>
      </c>
      <c r="C100" s="115" t="s">
        <v>1697</v>
      </c>
      <c r="D100" s="115"/>
      <c r="E100" s="115" t="s">
        <v>1674</v>
      </c>
      <c r="F100" s="115" t="s">
        <v>1698</v>
      </c>
      <c r="G100" s="115" t="s">
        <v>1676</v>
      </c>
      <c r="H100" s="116">
        <v>1.19</v>
      </c>
      <c r="I100" s="115" t="s">
        <v>204</v>
      </c>
      <c r="J100" s="116" t="s">
        <v>255</v>
      </c>
      <c r="K100" s="115">
        <v>6.8999999761581415E-2</v>
      </c>
      <c r="L100" s="115">
        <v>6.8499999999999991E-2</v>
      </c>
      <c r="M100" s="110">
        <v>9790.7851564407556</v>
      </c>
      <c r="N100" s="60">
        <v>100.24</v>
      </c>
      <c r="O100" s="83">
        <v>9.8142800000000001</v>
      </c>
      <c r="P100" s="24">
        <v>8.1926906801762058E-4</v>
      </c>
      <c r="Q100" s="24">
        <v>5.2553665834099217E-5</v>
      </c>
      <c r="R100" s="14"/>
    </row>
    <row r="101" spans="1:18" x14ac:dyDescent="0.25">
      <c r="A101" s="16" t="s">
        <v>2015</v>
      </c>
      <c r="B101" s="216" t="s">
        <v>2051</v>
      </c>
      <c r="C101" s="115" t="s">
        <v>1795</v>
      </c>
      <c r="D101" s="115"/>
      <c r="E101" s="115" t="s">
        <v>623</v>
      </c>
      <c r="F101" s="115" t="s">
        <v>1796</v>
      </c>
      <c r="G101" s="115" t="s">
        <v>465</v>
      </c>
      <c r="H101" s="116">
        <v>12.22</v>
      </c>
      <c r="I101" s="115" t="s">
        <v>220</v>
      </c>
      <c r="J101" s="116" t="s">
        <v>255</v>
      </c>
      <c r="K101" s="115">
        <v>2.9700000000000001E-2</v>
      </c>
      <c r="L101" s="115">
        <v>2.9100000000000001E-2</v>
      </c>
      <c r="M101" s="110">
        <v>181851.15818267048</v>
      </c>
      <c r="N101" s="60">
        <v>96.89</v>
      </c>
      <c r="O101" s="83">
        <v>176.19559000000001</v>
      </c>
      <c r="P101" s="24">
        <v>1.4708322649049628E-2</v>
      </c>
      <c r="Q101" s="24">
        <v>9.4349500506424864E-4</v>
      </c>
      <c r="R101" s="14"/>
    </row>
    <row r="102" spans="1:18" x14ac:dyDescent="0.25">
      <c r="A102" s="16" t="s">
        <v>2016</v>
      </c>
      <c r="B102" s="115" t="s">
        <v>1565</v>
      </c>
      <c r="C102" s="115" t="s">
        <v>1791</v>
      </c>
      <c r="D102" s="115"/>
      <c r="E102" s="115" t="s">
        <v>623</v>
      </c>
      <c r="F102" s="115" t="s">
        <v>1792</v>
      </c>
      <c r="G102" s="115" t="s">
        <v>465</v>
      </c>
      <c r="H102" s="116">
        <v>7.7</v>
      </c>
      <c r="I102" s="115" t="s">
        <v>211</v>
      </c>
      <c r="J102" s="116" t="s">
        <v>255</v>
      </c>
      <c r="K102" s="115">
        <v>0.03</v>
      </c>
      <c r="L102" s="115">
        <v>4.2099999999999999E-2</v>
      </c>
      <c r="M102" s="110">
        <v>172783.58</v>
      </c>
      <c r="N102" s="60">
        <v>101.78</v>
      </c>
      <c r="O102" s="83">
        <v>175.85911999999999</v>
      </c>
      <c r="P102" s="24">
        <v>1.4680235060014478E-2</v>
      </c>
      <c r="Q102" s="24">
        <v>9.4169327004719181E-4</v>
      </c>
      <c r="R102" s="14"/>
    </row>
    <row r="103" spans="1:18" x14ac:dyDescent="0.25">
      <c r="A103" s="16" t="s">
        <v>2016</v>
      </c>
      <c r="B103" s="115" t="s">
        <v>1565</v>
      </c>
      <c r="C103" s="115" t="s">
        <v>1574</v>
      </c>
      <c r="D103" s="115"/>
      <c r="E103" s="115" t="s">
        <v>623</v>
      </c>
      <c r="F103" s="115" t="s">
        <v>1575</v>
      </c>
      <c r="G103" s="115" t="s">
        <v>465</v>
      </c>
      <c r="H103" s="116">
        <v>6.44</v>
      </c>
      <c r="I103" s="115" t="s">
        <v>211</v>
      </c>
      <c r="J103" s="116" t="s">
        <v>255</v>
      </c>
      <c r="K103" s="115">
        <v>8.0499999523162835E-2</v>
      </c>
      <c r="L103" s="115">
        <v>6.9800000000000001E-2</v>
      </c>
      <c r="M103" s="110">
        <v>54394.44</v>
      </c>
      <c r="N103" s="60">
        <v>107.06</v>
      </c>
      <c r="O103" s="83">
        <v>58.234679999999997</v>
      </c>
      <c r="P103" s="24">
        <v>4.8612707208174587E-3</v>
      </c>
      <c r="Q103" s="24">
        <v>3.1183600963857776E-4</v>
      </c>
      <c r="R103" s="14"/>
    </row>
    <row r="104" spans="1:18" x14ac:dyDescent="0.25">
      <c r="A104" s="16" t="s">
        <v>2016</v>
      </c>
      <c r="B104" s="115" t="s">
        <v>1565</v>
      </c>
      <c r="C104" s="115" t="s">
        <v>1627</v>
      </c>
      <c r="D104" s="115"/>
      <c r="E104" s="115" t="s">
        <v>623</v>
      </c>
      <c r="F104" s="115" t="s">
        <v>1628</v>
      </c>
      <c r="G104" s="115" t="s">
        <v>465</v>
      </c>
      <c r="H104" s="116">
        <v>6.44</v>
      </c>
      <c r="I104" s="115" t="s">
        <v>211</v>
      </c>
      <c r="J104" s="116" t="s">
        <v>255</v>
      </c>
      <c r="K104" s="115">
        <v>8.0499999523162835E-2</v>
      </c>
      <c r="L104" s="115">
        <v>6.9800000000000001E-2</v>
      </c>
      <c r="M104" s="110">
        <v>96105.9</v>
      </c>
      <c r="N104" s="60">
        <v>107.06</v>
      </c>
      <c r="O104" s="83">
        <v>102.89097</v>
      </c>
      <c r="P104" s="24">
        <v>8.5890548363536552E-3</v>
      </c>
      <c r="Q104" s="24">
        <v>5.5096223612188843E-4</v>
      </c>
      <c r="R104" s="14"/>
    </row>
    <row r="105" spans="1:18" x14ac:dyDescent="0.25">
      <c r="A105" s="16" t="s">
        <v>2016</v>
      </c>
      <c r="B105" s="115" t="s">
        <v>1565</v>
      </c>
      <c r="C105" s="115" t="s">
        <v>1568</v>
      </c>
      <c r="D105" s="115"/>
      <c r="E105" s="115" t="s">
        <v>623</v>
      </c>
      <c r="F105" s="115" t="s">
        <v>1569</v>
      </c>
      <c r="G105" s="115" t="s">
        <v>465</v>
      </c>
      <c r="H105" s="116">
        <v>6.44</v>
      </c>
      <c r="I105" s="115" t="s">
        <v>211</v>
      </c>
      <c r="J105" s="116" t="s">
        <v>255</v>
      </c>
      <c r="K105" s="115">
        <v>8.0499999523162835E-2</v>
      </c>
      <c r="L105" s="115">
        <v>6.9800000000000001E-2</v>
      </c>
      <c r="M105" s="110">
        <v>71650.539999999994</v>
      </c>
      <c r="N105" s="60">
        <v>107.07</v>
      </c>
      <c r="O105" s="83">
        <v>76.716229999999996</v>
      </c>
      <c r="P105" s="24">
        <v>6.40405962066758E-3</v>
      </c>
      <c r="Q105" s="24">
        <v>4.1080131354229724E-4</v>
      </c>
      <c r="R105" s="14"/>
    </row>
    <row r="106" spans="1:18" x14ac:dyDescent="0.25">
      <c r="A106" s="16" t="s">
        <v>2016</v>
      </c>
      <c r="B106" s="115" t="s">
        <v>1565</v>
      </c>
      <c r="C106" s="115" t="s">
        <v>1570</v>
      </c>
      <c r="D106" s="115"/>
      <c r="E106" s="115" t="s">
        <v>623</v>
      </c>
      <c r="F106" s="115" t="s">
        <v>1571</v>
      </c>
      <c r="G106" s="115" t="s">
        <v>465</v>
      </c>
      <c r="H106" s="116">
        <v>6.44</v>
      </c>
      <c r="I106" s="115" t="s">
        <v>211</v>
      </c>
      <c r="J106" s="116" t="s">
        <v>255</v>
      </c>
      <c r="K106" s="115">
        <v>8.0499999523162835E-2</v>
      </c>
      <c r="L106" s="115">
        <v>6.9800000000000001E-2</v>
      </c>
      <c r="M106" s="110">
        <v>65725.83</v>
      </c>
      <c r="N106" s="60">
        <v>107.06</v>
      </c>
      <c r="O106" s="83">
        <v>70.366070000000008</v>
      </c>
      <c r="P106" s="24">
        <v>5.8739657508205039E-3</v>
      </c>
      <c r="Q106" s="24">
        <v>3.7679737370839578E-4</v>
      </c>
      <c r="R106" s="14"/>
    </row>
    <row r="107" spans="1:18" x14ac:dyDescent="0.25">
      <c r="A107" s="16" t="s">
        <v>2016</v>
      </c>
      <c r="B107" s="115" t="s">
        <v>1565</v>
      </c>
      <c r="C107" s="115" t="s">
        <v>1566</v>
      </c>
      <c r="D107" s="115"/>
      <c r="E107" s="115" t="s">
        <v>623</v>
      </c>
      <c r="F107" s="115" t="s">
        <v>1567</v>
      </c>
      <c r="G107" s="115" t="s">
        <v>465</v>
      </c>
      <c r="H107" s="116">
        <v>6.44</v>
      </c>
      <c r="I107" s="115" t="s">
        <v>211</v>
      </c>
      <c r="J107" s="116" t="s">
        <v>255</v>
      </c>
      <c r="K107" s="115">
        <v>8.0499999523162835E-2</v>
      </c>
      <c r="L107" s="115">
        <v>6.9800000000000001E-2</v>
      </c>
      <c r="M107" s="110">
        <v>17034.2</v>
      </c>
      <c r="N107" s="60">
        <v>107.06</v>
      </c>
      <c r="O107" s="83">
        <v>18.236810000000002</v>
      </c>
      <c r="P107" s="24">
        <v>1.5223586786105984E-3</v>
      </c>
      <c r="Q107" s="24">
        <v>9.7654766179481226E-5</v>
      </c>
      <c r="R107" s="14"/>
    </row>
    <row r="108" spans="1:18" x14ac:dyDescent="0.25">
      <c r="A108" s="16" t="s">
        <v>2016</v>
      </c>
      <c r="B108" s="115" t="s">
        <v>1565</v>
      </c>
      <c r="C108" s="115" t="s">
        <v>1572</v>
      </c>
      <c r="D108" s="115"/>
      <c r="E108" s="115" t="s">
        <v>623</v>
      </c>
      <c r="F108" s="115" t="s">
        <v>1573</v>
      </c>
      <c r="G108" s="115" t="s">
        <v>465</v>
      </c>
      <c r="H108" s="116">
        <v>6.44</v>
      </c>
      <c r="I108" s="115" t="s">
        <v>211</v>
      </c>
      <c r="J108" s="116" t="s">
        <v>255</v>
      </c>
      <c r="K108" s="115">
        <v>8.0499999523162835E-2</v>
      </c>
      <c r="L108" s="115">
        <v>6.9800000000000001E-2</v>
      </c>
      <c r="M108" s="110">
        <v>45920.9</v>
      </c>
      <c r="N108" s="60">
        <v>107.06</v>
      </c>
      <c r="O108" s="83">
        <v>49.162910000000004</v>
      </c>
      <c r="P108" s="24">
        <v>4.1039843428895611E-3</v>
      </c>
      <c r="Q108" s="24">
        <v>2.6325834840374384E-4</v>
      </c>
      <c r="R108" s="14"/>
    </row>
    <row r="109" spans="1:18" x14ac:dyDescent="0.25">
      <c r="A109" s="16" t="s">
        <v>2016</v>
      </c>
      <c r="B109" s="115" t="s">
        <v>1565</v>
      </c>
      <c r="C109" s="115" t="s">
        <v>1579</v>
      </c>
      <c r="D109" s="115"/>
      <c r="E109" s="115" t="s">
        <v>623</v>
      </c>
      <c r="F109" s="115" t="s">
        <v>1580</v>
      </c>
      <c r="G109" s="115" t="s">
        <v>465</v>
      </c>
      <c r="H109" s="116">
        <v>6.44</v>
      </c>
      <c r="I109" s="115" t="s">
        <v>211</v>
      </c>
      <c r="J109" s="116" t="s">
        <v>255</v>
      </c>
      <c r="K109" s="115">
        <v>8.0499999523162835E-2</v>
      </c>
      <c r="L109" s="115">
        <v>6.9800000000000001E-2</v>
      </c>
      <c r="M109" s="110">
        <v>33752.050000000003</v>
      </c>
      <c r="N109" s="60">
        <v>107.06</v>
      </c>
      <c r="O109" s="83">
        <v>36.13494</v>
      </c>
      <c r="P109" s="24">
        <v>3.0164452834719039E-3</v>
      </c>
      <c r="Q109" s="24">
        <v>1.9349596319803646E-4</v>
      </c>
      <c r="R109" s="14"/>
    </row>
    <row r="110" spans="1:18" x14ac:dyDescent="0.25">
      <c r="A110" s="16" t="s">
        <v>2017</v>
      </c>
      <c r="B110" s="115" t="s">
        <v>1565</v>
      </c>
      <c r="C110" s="115" t="s">
        <v>1599</v>
      </c>
      <c r="D110" s="115"/>
      <c r="E110" s="115" t="s">
        <v>478</v>
      </c>
      <c r="F110" s="115" t="s">
        <v>1600</v>
      </c>
      <c r="G110" s="115" t="s">
        <v>254</v>
      </c>
      <c r="H110" s="116">
        <v>9.27</v>
      </c>
      <c r="I110" s="115" t="s">
        <v>204</v>
      </c>
      <c r="J110" s="116" t="s">
        <v>255</v>
      </c>
      <c r="K110" s="115">
        <v>7.399999976158142E-2</v>
      </c>
      <c r="L110" s="115">
        <v>7.17E-2</v>
      </c>
      <c r="M110" s="110">
        <v>286376.93115751119</v>
      </c>
      <c r="N110" s="60">
        <v>99.06</v>
      </c>
      <c r="O110" s="83">
        <v>283.68498</v>
      </c>
      <c r="P110" s="24">
        <v>2.3681240923959505E-2</v>
      </c>
      <c r="Q110" s="24">
        <v>1.5190809352365246E-3</v>
      </c>
      <c r="R110" s="14"/>
    </row>
    <row r="111" spans="1:18" x14ac:dyDescent="0.25">
      <c r="A111" s="16" t="s">
        <v>2017</v>
      </c>
      <c r="B111" s="115" t="s">
        <v>1565</v>
      </c>
      <c r="C111" s="115" t="s">
        <v>1613</v>
      </c>
      <c r="D111" s="115"/>
      <c r="E111" s="115" t="s">
        <v>478</v>
      </c>
      <c r="F111" s="115" t="s">
        <v>1614</v>
      </c>
      <c r="G111" s="115" t="s">
        <v>254</v>
      </c>
      <c r="H111" s="116">
        <v>9.27</v>
      </c>
      <c r="I111" s="115" t="s">
        <v>204</v>
      </c>
      <c r="J111" s="116" t="s">
        <v>255</v>
      </c>
      <c r="K111" s="115">
        <v>7.399999976158142E-2</v>
      </c>
      <c r="L111" s="115">
        <v>7.1599999999999997E-2</v>
      </c>
      <c r="M111" s="110">
        <v>49431.014371920479</v>
      </c>
      <c r="N111" s="60">
        <v>99.11</v>
      </c>
      <c r="O111" s="83">
        <v>48.991070000000001</v>
      </c>
      <c r="P111" s="24">
        <v>4.0896396128993684E-3</v>
      </c>
      <c r="Q111" s="24">
        <v>2.6233817678270472E-4</v>
      </c>
      <c r="R111" s="14"/>
    </row>
    <row r="112" spans="1:18" x14ac:dyDescent="0.25">
      <c r="A112" s="16" t="s">
        <v>2017</v>
      </c>
      <c r="B112" s="115" t="s">
        <v>1565</v>
      </c>
      <c r="C112" s="115" t="s">
        <v>1687</v>
      </c>
      <c r="D112" s="115"/>
      <c r="E112" s="115" t="s">
        <v>478</v>
      </c>
      <c r="F112" s="115" t="s">
        <v>1688</v>
      </c>
      <c r="G112" s="115" t="s">
        <v>254</v>
      </c>
      <c r="H112" s="116">
        <v>9.26</v>
      </c>
      <c r="I112" s="115" t="s">
        <v>204</v>
      </c>
      <c r="J112" s="116" t="s">
        <v>255</v>
      </c>
      <c r="K112" s="115">
        <v>7.399999976158142E-2</v>
      </c>
      <c r="L112" s="115">
        <v>6.8699999999999997E-2</v>
      </c>
      <c r="M112" s="110">
        <v>150448.42345023208</v>
      </c>
      <c r="N112" s="60">
        <v>101.65</v>
      </c>
      <c r="O112" s="83">
        <v>152.93082000000001</v>
      </c>
      <c r="P112" s="24">
        <v>1.2766243715542096E-2</v>
      </c>
      <c r="Q112" s="24">
        <v>8.1891643707075583E-4</v>
      </c>
      <c r="R112" s="14"/>
    </row>
    <row r="113" spans="1:18" x14ac:dyDescent="0.25">
      <c r="A113" s="16" t="s">
        <v>2018</v>
      </c>
      <c r="B113" s="216" t="s">
        <v>2051</v>
      </c>
      <c r="C113" s="115" t="s">
        <v>1782</v>
      </c>
      <c r="D113" s="115"/>
      <c r="E113" s="115" t="s">
        <v>623</v>
      </c>
      <c r="F113" s="115" t="s">
        <v>1781</v>
      </c>
      <c r="G113" s="115" t="s">
        <v>465</v>
      </c>
      <c r="H113" s="116">
        <v>8.35</v>
      </c>
      <c r="I113" s="115" t="s">
        <v>211</v>
      </c>
      <c r="J113" s="116" t="s">
        <v>255</v>
      </c>
      <c r="K113" s="115">
        <v>1.7899999999999999E-2</v>
      </c>
      <c r="L113" s="115">
        <v>3.9E-2</v>
      </c>
      <c r="M113" s="110">
        <v>439.36223218366018</v>
      </c>
      <c r="N113" s="60">
        <v>95.44</v>
      </c>
      <c r="O113" s="83">
        <v>0.41932999999999998</v>
      </c>
      <c r="P113" s="24">
        <v>3.5004513656817288E-5</v>
      </c>
      <c r="Q113" s="24">
        <v>2.2454350899111117E-6</v>
      </c>
      <c r="R113" s="14"/>
    </row>
    <row r="114" spans="1:18" x14ac:dyDescent="0.25">
      <c r="A114" s="16" t="s">
        <v>2019</v>
      </c>
      <c r="B114" s="216" t="s">
        <v>2051</v>
      </c>
      <c r="C114" s="115" t="s">
        <v>1780</v>
      </c>
      <c r="D114" s="115"/>
      <c r="E114" s="115" t="s">
        <v>623</v>
      </c>
      <c r="F114" s="115" t="s">
        <v>1781</v>
      </c>
      <c r="G114" s="115" t="s">
        <v>465</v>
      </c>
      <c r="H114" s="116">
        <v>8.3800000000000008</v>
      </c>
      <c r="I114" s="115" t="s">
        <v>211</v>
      </c>
      <c r="J114" s="116" t="s">
        <v>255</v>
      </c>
      <c r="K114" s="115">
        <v>1.7899999999999999E-2</v>
      </c>
      <c r="L114" s="115">
        <v>3.8399999999999997E-2</v>
      </c>
      <c r="M114" s="110">
        <v>667.12854044537858</v>
      </c>
      <c r="N114" s="60">
        <v>95.9</v>
      </c>
      <c r="O114" s="83">
        <v>0.63978000000000002</v>
      </c>
      <c r="P114" s="24">
        <v>5.3407072585692813E-5</v>
      </c>
      <c r="Q114" s="24">
        <v>3.4259043279119811E-6</v>
      </c>
      <c r="R114" s="14"/>
    </row>
    <row r="115" spans="1:18" x14ac:dyDescent="0.25">
      <c r="A115" s="16" t="s">
        <v>2020</v>
      </c>
      <c r="B115" s="115" t="s">
        <v>1565</v>
      </c>
      <c r="C115" s="115" t="s">
        <v>1638</v>
      </c>
      <c r="D115" s="115"/>
      <c r="E115" s="115" t="s">
        <v>623</v>
      </c>
      <c r="F115" s="115" t="s">
        <v>1639</v>
      </c>
      <c r="G115" s="115" t="s">
        <v>465</v>
      </c>
      <c r="H115" s="116">
        <v>7.96</v>
      </c>
      <c r="I115" s="115" t="s">
        <v>219</v>
      </c>
      <c r="J115" s="116" t="s">
        <v>255</v>
      </c>
      <c r="K115" s="115">
        <v>6.8499999046325685E-2</v>
      </c>
      <c r="L115" s="115">
        <v>6.5599999999999992E-2</v>
      </c>
      <c r="M115" s="110">
        <v>93.93729163879587</v>
      </c>
      <c r="N115" s="60">
        <v>99.11</v>
      </c>
      <c r="O115" s="83">
        <v>9.3099999999999988E-2</v>
      </c>
      <c r="P115" s="24">
        <v>7.7717316229453889E-6</v>
      </c>
      <c r="Q115" s="24">
        <v>4.9853339105412082E-7</v>
      </c>
      <c r="R115" s="14"/>
    </row>
    <row r="116" spans="1:18" x14ac:dyDescent="0.25">
      <c r="A116" s="16" t="s">
        <v>2020</v>
      </c>
      <c r="B116" s="115" t="s">
        <v>1565</v>
      </c>
      <c r="C116" s="115" t="s">
        <v>1714</v>
      </c>
      <c r="D116" s="115"/>
      <c r="E116" s="115" t="s">
        <v>623</v>
      </c>
      <c r="F116" s="115" t="s">
        <v>1715</v>
      </c>
      <c r="G116" s="115" t="s">
        <v>465</v>
      </c>
      <c r="H116" s="116">
        <v>8.0299999999999994</v>
      </c>
      <c r="I116" s="115" t="s">
        <v>219</v>
      </c>
      <c r="J116" s="116" t="s">
        <v>255</v>
      </c>
      <c r="K116" s="115">
        <v>6.8499999046325685E-2</v>
      </c>
      <c r="L116" s="115">
        <v>6.3600000000000004E-2</v>
      </c>
      <c r="M116" s="110">
        <v>360.80462507775457</v>
      </c>
      <c r="N116" s="60">
        <v>100.65</v>
      </c>
      <c r="O116" s="83">
        <v>0.36314999999999997</v>
      </c>
      <c r="P116" s="24">
        <v>3.0314761964260128E-5</v>
      </c>
      <c r="Q116" s="24">
        <v>1.9446015140848974E-6</v>
      </c>
      <c r="R116" s="14"/>
    </row>
    <row r="117" spans="1:18" x14ac:dyDescent="0.25">
      <c r="A117" s="16" t="s">
        <v>2020</v>
      </c>
      <c r="B117" s="115" t="s">
        <v>1565</v>
      </c>
      <c r="C117" s="115" t="s">
        <v>1716</v>
      </c>
      <c r="D117" s="115"/>
      <c r="E117" s="115" t="s">
        <v>623</v>
      </c>
      <c r="F117" s="115" t="s">
        <v>387</v>
      </c>
      <c r="G117" s="115" t="s">
        <v>465</v>
      </c>
      <c r="H117" s="116">
        <v>8.0299999999999994</v>
      </c>
      <c r="I117" s="115" t="s">
        <v>219</v>
      </c>
      <c r="J117" s="116" t="s">
        <v>255</v>
      </c>
      <c r="K117" s="115">
        <v>6.8499999046325685E-2</v>
      </c>
      <c r="L117" s="115">
        <v>6.3600000000000004E-2</v>
      </c>
      <c r="M117" s="110">
        <v>299.74760983022338</v>
      </c>
      <c r="N117" s="60">
        <v>100.66</v>
      </c>
      <c r="O117" s="83">
        <v>0.30173</v>
      </c>
      <c r="P117" s="24">
        <v>2.5187589501517856E-5</v>
      </c>
      <c r="Q117" s="24">
        <v>1.6157087012111695E-6</v>
      </c>
      <c r="R117" s="14"/>
    </row>
    <row r="118" spans="1:18" x14ac:dyDescent="0.25">
      <c r="A118" s="16" t="s">
        <v>2020</v>
      </c>
      <c r="B118" s="115" t="s">
        <v>1565</v>
      </c>
      <c r="C118" s="115" t="s">
        <v>1717</v>
      </c>
      <c r="D118" s="115"/>
      <c r="E118" s="115" t="s">
        <v>623</v>
      </c>
      <c r="F118" s="115" t="s">
        <v>1100</v>
      </c>
      <c r="G118" s="115" t="s">
        <v>465</v>
      </c>
      <c r="H118" s="116">
        <v>8.0299999999999994</v>
      </c>
      <c r="I118" s="115" t="s">
        <v>219</v>
      </c>
      <c r="J118" s="116" t="s">
        <v>255</v>
      </c>
      <c r="K118" s="115">
        <v>6.8499999046325685E-2</v>
      </c>
      <c r="L118" s="115">
        <v>6.3600000000000004E-2</v>
      </c>
      <c r="M118" s="110">
        <v>311.70334885358398</v>
      </c>
      <c r="N118" s="60">
        <v>100.65</v>
      </c>
      <c r="O118" s="83">
        <v>0.31373000000000001</v>
      </c>
      <c r="P118" s="24">
        <v>2.6189316456140246E-5</v>
      </c>
      <c r="Q118" s="24">
        <v>1.6799664959764699E-6</v>
      </c>
      <c r="R118" s="14"/>
    </row>
    <row r="119" spans="1:18" x14ac:dyDescent="0.25">
      <c r="A119" s="16" t="s">
        <v>2020</v>
      </c>
      <c r="B119" s="115" t="s">
        <v>1565</v>
      </c>
      <c r="C119" s="115" t="s">
        <v>1723</v>
      </c>
      <c r="D119" s="115"/>
      <c r="E119" s="115" t="s">
        <v>623</v>
      </c>
      <c r="F119" s="115" t="s">
        <v>1724</v>
      </c>
      <c r="G119" s="115" t="s">
        <v>465</v>
      </c>
      <c r="H119" s="116">
        <v>8.02</v>
      </c>
      <c r="I119" s="115" t="s">
        <v>219</v>
      </c>
      <c r="J119" s="116" t="s">
        <v>255</v>
      </c>
      <c r="K119" s="115">
        <v>6.8499999046325685E-2</v>
      </c>
      <c r="L119" s="115">
        <v>6.3700000000000007E-2</v>
      </c>
      <c r="M119" s="110">
        <v>400.09045064321748</v>
      </c>
      <c r="N119" s="60">
        <v>100.54</v>
      </c>
      <c r="O119" s="83">
        <v>0.40225</v>
      </c>
      <c r="P119" s="24">
        <v>3.3578722291404756E-5</v>
      </c>
      <c r="Q119" s="24">
        <v>2.1539748286951678E-6</v>
      </c>
      <c r="R119" s="14"/>
    </row>
    <row r="120" spans="1:18" x14ac:dyDescent="0.25">
      <c r="A120" s="16" t="s">
        <v>2020</v>
      </c>
      <c r="B120" s="115" t="s">
        <v>1565</v>
      </c>
      <c r="C120" s="115" t="s">
        <v>1642</v>
      </c>
      <c r="D120" s="115"/>
      <c r="E120" s="115" t="s">
        <v>623</v>
      </c>
      <c r="F120" s="115" t="s">
        <v>1068</v>
      </c>
      <c r="G120" s="115" t="s">
        <v>465</v>
      </c>
      <c r="H120" s="116">
        <v>7.97</v>
      </c>
      <c r="I120" s="115" t="s">
        <v>219</v>
      </c>
      <c r="J120" s="116" t="s">
        <v>255</v>
      </c>
      <c r="K120" s="115">
        <v>6.8499999046325685E-2</v>
      </c>
      <c r="L120" s="115">
        <v>6.5299999999999997E-2</v>
      </c>
      <c r="M120" s="110">
        <v>143.10066748696133</v>
      </c>
      <c r="N120" s="60">
        <v>99.34</v>
      </c>
      <c r="O120" s="83">
        <v>0.14216000000000001</v>
      </c>
      <c r="P120" s="24">
        <v>1.18671253224266E-5</v>
      </c>
      <c r="Q120" s="24">
        <v>7.6124067531958994E-7</v>
      </c>
      <c r="R120" s="14"/>
    </row>
    <row r="121" spans="1:18" x14ac:dyDescent="0.25">
      <c r="A121" s="16" t="s">
        <v>2020</v>
      </c>
      <c r="B121" s="115" t="s">
        <v>1565</v>
      </c>
      <c r="C121" s="115" t="s">
        <v>1646</v>
      </c>
      <c r="D121" s="115"/>
      <c r="E121" s="115" t="s">
        <v>623</v>
      </c>
      <c r="F121" s="115" t="s">
        <v>1647</v>
      </c>
      <c r="G121" s="115" t="s">
        <v>465</v>
      </c>
      <c r="H121" s="116">
        <v>8</v>
      </c>
      <c r="I121" s="115" t="s">
        <v>219</v>
      </c>
      <c r="J121" s="116" t="s">
        <v>255</v>
      </c>
      <c r="K121" s="115">
        <v>6.8499999046325685E-2</v>
      </c>
      <c r="L121" s="115">
        <v>6.4199999999999993E-2</v>
      </c>
      <c r="M121" s="110">
        <v>135.78206680110068</v>
      </c>
      <c r="N121" s="60">
        <v>100.14</v>
      </c>
      <c r="O121" s="83">
        <v>0.13597000000000001</v>
      </c>
      <c r="P121" s="24">
        <v>1.1350401168333883E-5</v>
      </c>
      <c r="Q121" s="24">
        <v>7.2809436285315588E-7</v>
      </c>
      <c r="R121" s="14"/>
    </row>
    <row r="122" spans="1:18" x14ac:dyDescent="0.25">
      <c r="A122" s="16" t="s">
        <v>2020</v>
      </c>
      <c r="B122" s="115" t="s">
        <v>1565</v>
      </c>
      <c r="C122" s="115" t="s">
        <v>1652</v>
      </c>
      <c r="D122" s="115"/>
      <c r="E122" s="115" t="s">
        <v>623</v>
      </c>
      <c r="F122" s="115" t="s">
        <v>1653</v>
      </c>
      <c r="G122" s="115" t="s">
        <v>465</v>
      </c>
      <c r="H122" s="116">
        <v>8</v>
      </c>
      <c r="I122" s="115" t="s">
        <v>219</v>
      </c>
      <c r="J122" s="116" t="s">
        <v>255</v>
      </c>
      <c r="K122" s="115">
        <v>6.8499999046325685E-2</v>
      </c>
      <c r="L122" s="115">
        <v>6.4299999999999996E-2</v>
      </c>
      <c r="M122" s="110">
        <v>157.13147806018992</v>
      </c>
      <c r="N122" s="60">
        <v>100.11</v>
      </c>
      <c r="O122" s="83">
        <v>0.15730000000000002</v>
      </c>
      <c r="P122" s="24">
        <v>1.3130970830175185E-5</v>
      </c>
      <c r="Q122" s="24">
        <v>8.4231259304847708E-7</v>
      </c>
      <c r="R122" s="14"/>
    </row>
    <row r="123" spans="1:18" x14ac:dyDescent="0.25">
      <c r="A123" s="16" t="s">
        <v>2020</v>
      </c>
      <c r="B123" s="115" t="s">
        <v>1565</v>
      </c>
      <c r="C123" s="115" t="s">
        <v>1689</v>
      </c>
      <c r="D123" s="115"/>
      <c r="E123" s="115" t="s">
        <v>623</v>
      </c>
      <c r="F123" s="115" t="s">
        <v>1688</v>
      </c>
      <c r="G123" s="115" t="s">
        <v>465</v>
      </c>
      <c r="H123" s="116">
        <v>8.01</v>
      </c>
      <c r="I123" s="115" t="s">
        <v>219</v>
      </c>
      <c r="J123" s="116" t="s">
        <v>255</v>
      </c>
      <c r="K123" s="115">
        <v>6.8499999046325685E-2</v>
      </c>
      <c r="L123" s="115">
        <v>6.4000000000000001E-2</v>
      </c>
      <c r="M123" s="110">
        <v>18.411716427033777</v>
      </c>
      <c r="N123" s="60">
        <v>100.32</v>
      </c>
      <c r="O123" s="83">
        <v>1.847E-2</v>
      </c>
      <c r="P123" s="24">
        <v>1.5418247376562977E-6</v>
      </c>
      <c r="Q123" s="24">
        <v>9.8903455776257923E-8</v>
      </c>
      <c r="R123" s="14"/>
    </row>
    <row r="124" spans="1:18" x14ac:dyDescent="0.25">
      <c r="A124" s="16" t="s">
        <v>2020</v>
      </c>
      <c r="B124" s="115" t="s">
        <v>1565</v>
      </c>
      <c r="C124" s="115" t="s">
        <v>1692</v>
      </c>
      <c r="D124" s="115"/>
      <c r="E124" s="115" t="s">
        <v>623</v>
      </c>
      <c r="F124" s="115" t="s">
        <v>1111</v>
      </c>
      <c r="G124" s="115" t="s">
        <v>465</v>
      </c>
      <c r="H124" s="116">
        <v>8.01</v>
      </c>
      <c r="I124" s="115" t="s">
        <v>219</v>
      </c>
      <c r="J124" s="116" t="s">
        <v>255</v>
      </c>
      <c r="K124" s="115">
        <v>6.8499999046325685E-2</v>
      </c>
      <c r="L124" s="115">
        <v>6.3899999999999998E-2</v>
      </c>
      <c r="M124" s="110">
        <v>211.35891030709109</v>
      </c>
      <c r="N124" s="60">
        <v>100.36</v>
      </c>
      <c r="O124" s="83">
        <v>0.21212</v>
      </c>
      <c r="P124" s="24">
        <v>1.7707193467875145E-5</v>
      </c>
      <c r="Q124" s="24">
        <v>1.1358636188012902E-6</v>
      </c>
      <c r="R124" s="14"/>
    </row>
    <row r="125" spans="1:18" x14ac:dyDescent="0.25">
      <c r="A125" s="16" t="s">
        <v>2020</v>
      </c>
      <c r="B125" s="115" t="s">
        <v>1565</v>
      </c>
      <c r="C125" s="115" t="s">
        <v>1695</v>
      </c>
      <c r="D125" s="115"/>
      <c r="E125" s="115" t="s">
        <v>623</v>
      </c>
      <c r="F125" s="115" t="s">
        <v>1696</v>
      </c>
      <c r="G125" s="115" t="s">
        <v>465</v>
      </c>
      <c r="H125" s="116">
        <v>8.01</v>
      </c>
      <c r="I125" s="115" t="s">
        <v>219</v>
      </c>
      <c r="J125" s="116" t="s">
        <v>255</v>
      </c>
      <c r="K125" s="115">
        <v>6.8499999046325685E-2</v>
      </c>
      <c r="L125" s="115">
        <v>6.4000000000000001E-2</v>
      </c>
      <c r="M125" s="110">
        <v>170.79509456945877</v>
      </c>
      <c r="N125" s="60">
        <v>100.32</v>
      </c>
      <c r="O125" s="83">
        <v>0.17133999999999999</v>
      </c>
      <c r="P125" s="24">
        <v>1.4302991367083383E-5</v>
      </c>
      <c r="Q125" s="24">
        <v>9.1749421292387818E-7</v>
      </c>
      <c r="R125" s="14"/>
    </row>
    <row r="126" spans="1:18" x14ac:dyDescent="0.25">
      <c r="A126" s="16" t="s">
        <v>2020</v>
      </c>
      <c r="B126" s="115" t="s">
        <v>1565</v>
      </c>
      <c r="C126" s="115" t="s">
        <v>1699</v>
      </c>
      <c r="D126" s="115"/>
      <c r="E126" s="115" t="s">
        <v>623</v>
      </c>
      <c r="F126" s="115" t="s">
        <v>1700</v>
      </c>
      <c r="G126" s="115" t="s">
        <v>465</v>
      </c>
      <c r="H126" s="116">
        <v>7.98</v>
      </c>
      <c r="I126" s="115" t="s">
        <v>219</v>
      </c>
      <c r="J126" s="116" t="s">
        <v>255</v>
      </c>
      <c r="K126" s="115">
        <v>6.8499999046325685E-2</v>
      </c>
      <c r="L126" s="115">
        <v>6.4899999999999999E-2</v>
      </c>
      <c r="M126" s="110">
        <v>311.70103464934374</v>
      </c>
      <c r="N126" s="60">
        <v>99.62</v>
      </c>
      <c r="O126" s="83">
        <v>0.31051999999999996</v>
      </c>
      <c r="P126" s="24">
        <v>2.5921354495778755E-5</v>
      </c>
      <c r="Q126" s="24">
        <v>1.6627775358767516E-6</v>
      </c>
      <c r="R126" s="14"/>
    </row>
    <row r="127" spans="1:18" x14ac:dyDescent="0.25">
      <c r="A127" s="16" t="s">
        <v>2020</v>
      </c>
      <c r="B127" s="115" t="s">
        <v>1565</v>
      </c>
      <c r="C127" s="115" t="s">
        <v>1703</v>
      </c>
      <c r="D127" s="115"/>
      <c r="E127" s="115" t="s">
        <v>623</v>
      </c>
      <c r="F127" s="115" t="s">
        <v>1076</v>
      </c>
      <c r="G127" s="115" t="s">
        <v>465</v>
      </c>
      <c r="H127" s="116">
        <v>8</v>
      </c>
      <c r="I127" s="115" t="s">
        <v>219</v>
      </c>
      <c r="J127" s="116" t="s">
        <v>255</v>
      </c>
      <c r="K127" s="115">
        <v>6.8499999046325685E-2</v>
      </c>
      <c r="L127" s="115">
        <v>6.4500000000000002E-2</v>
      </c>
      <c r="M127" s="110">
        <v>245.94492937860468</v>
      </c>
      <c r="N127" s="60">
        <v>99.92</v>
      </c>
      <c r="O127" s="83">
        <v>0.24575</v>
      </c>
      <c r="P127" s="24">
        <v>2.0514533258204396E-5</v>
      </c>
      <c r="Q127" s="24">
        <v>1.3159460886310441E-6</v>
      </c>
      <c r="R127" s="14"/>
    </row>
    <row r="128" spans="1:18" x14ac:dyDescent="0.25">
      <c r="A128" s="16" t="s">
        <v>2020</v>
      </c>
      <c r="B128" s="216" t="s">
        <v>2051</v>
      </c>
      <c r="C128" s="115" t="s">
        <v>1581</v>
      </c>
      <c r="D128" s="115"/>
      <c r="E128" s="115" t="s">
        <v>623</v>
      </c>
      <c r="F128" s="115" t="s">
        <v>1582</v>
      </c>
      <c r="G128" s="115" t="s">
        <v>465</v>
      </c>
      <c r="H128" s="116">
        <v>0</v>
      </c>
      <c r="I128" s="115" t="s">
        <v>219</v>
      </c>
      <c r="J128" s="116" t="s">
        <v>255</v>
      </c>
      <c r="K128" s="115">
        <v>6.0000000000000001E-3</v>
      </c>
      <c r="L128" s="115">
        <v>0</v>
      </c>
      <c r="M128" s="110">
        <v>-24.850355088952419</v>
      </c>
      <c r="N128" s="60">
        <v>1.9230769999999999</v>
      </c>
      <c r="O128" s="83">
        <v>0</v>
      </c>
      <c r="P128" s="24">
        <v>0</v>
      </c>
      <c r="Q128" s="24">
        <v>0</v>
      </c>
      <c r="R128" s="14"/>
    </row>
    <row r="129" spans="1:18" x14ac:dyDescent="0.25">
      <c r="A129" s="16" t="s">
        <v>2021</v>
      </c>
      <c r="B129" s="216" t="s">
        <v>2051</v>
      </c>
      <c r="C129" s="115" t="s">
        <v>1770</v>
      </c>
      <c r="D129" s="115"/>
      <c r="E129" s="115" t="s">
        <v>551</v>
      </c>
      <c r="F129" s="115" t="s">
        <v>599</v>
      </c>
      <c r="G129" s="115" t="s">
        <v>465</v>
      </c>
      <c r="H129" s="116">
        <v>8.2100000000000009</v>
      </c>
      <c r="I129" s="115" t="s">
        <v>211</v>
      </c>
      <c r="J129" s="116" t="s">
        <v>255</v>
      </c>
      <c r="K129" s="115">
        <v>2.4300000000000002E-2</v>
      </c>
      <c r="L129" s="115">
        <v>2.8500000000000001E-2</v>
      </c>
      <c r="M129" s="110">
        <v>212.03674518592979</v>
      </c>
      <c r="N129" s="60">
        <v>104.49</v>
      </c>
      <c r="O129" s="83">
        <v>0.22156000000000001</v>
      </c>
      <c r="P129" s="24">
        <v>1.8495218672178091E-5</v>
      </c>
      <c r="Q129" s="24">
        <v>1.1864130840166597E-6</v>
      </c>
      <c r="R129" s="14"/>
    </row>
    <row r="130" spans="1:18" x14ac:dyDescent="0.25">
      <c r="A130" s="16" t="s">
        <v>2022</v>
      </c>
      <c r="B130" s="216" t="s">
        <v>2051</v>
      </c>
      <c r="C130" s="115" t="s">
        <v>1767</v>
      </c>
      <c r="D130" s="115"/>
      <c r="E130" s="115" t="s">
        <v>551</v>
      </c>
      <c r="F130" s="115" t="s">
        <v>1768</v>
      </c>
      <c r="G130" s="115" t="s">
        <v>465</v>
      </c>
      <c r="H130" s="116">
        <v>5.12</v>
      </c>
      <c r="I130" s="115" t="s">
        <v>211</v>
      </c>
      <c r="J130" s="116" t="s">
        <v>255</v>
      </c>
      <c r="K130" s="115">
        <v>2.2099999999999998E-2</v>
      </c>
      <c r="L130" s="115">
        <v>2.8399999999999998E-2</v>
      </c>
      <c r="M130" s="110">
        <v>48.063812733007154</v>
      </c>
      <c r="N130" s="60">
        <v>107.73</v>
      </c>
      <c r="O130" s="83">
        <v>5.178E-2</v>
      </c>
      <c r="P130" s="24">
        <v>4.3224518091956203E-6</v>
      </c>
      <c r="Q130" s="24">
        <v>2.7727238441227043E-7</v>
      </c>
      <c r="R130" s="14"/>
    </row>
    <row r="131" spans="1:18" x14ac:dyDescent="0.25">
      <c r="A131" s="16" t="s">
        <v>2023</v>
      </c>
      <c r="B131" s="216" t="s">
        <v>2051</v>
      </c>
      <c r="C131" s="115" t="s">
        <v>1784</v>
      </c>
      <c r="D131" s="115"/>
      <c r="E131" s="115" t="s">
        <v>551</v>
      </c>
      <c r="F131" s="115" t="s">
        <v>1785</v>
      </c>
      <c r="G131" s="115" t="s">
        <v>465</v>
      </c>
      <c r="H131" s="116">
        <v>8.3699999999999992</v>
      </c>
      <c r="I131" s="115" t="s">
        <v>211</v>
      </c>
      <c r="J131" s="116" t="s">
        <v>255</v>
      </c>
      <c r="K131" s="115">
        <v>1.6500000000000001E-2</v>
      </c>
      <c r="L131" s="115">
        <v>3.15E-2</v>
      </c>
      <c r="M131" s="110">
        <v>274.45091331928057</v>
      </c>
      <c r="N131" s="60">
        <v>97.75</v>
      </c>
      <c r="O131" s="83">
        <v>0.26827999999999996</v>
      </c>
      <c r="P131" s="24">
        <v>2.2395275615507933E-5</v>
      </c>
      <c r="Q131" s="24">
        <v>1.436590098302895E-6</v>
      </c>
      <c r="R131" s="14"/>
    </row>
    <row r="132" spans="1:18" x14ac:dyDescent="0.25">
      <c r="A132" s="16" t="s">
        <v>2024</v>
      </c>
      <c r="B132" s="115" t="s">
        <v>1565</v>
      </c>
      <c r="C132" s="115" t="s">
        <v>1764</v>
      </c>
      <c r="D132" s="115"/>
      <c r="E132" s="115" t="s">
        <v>551</v>
      </c>
      <c r="F132" s="115" t="s">
        <v>1763</v>
      </c>
      <c r="G132" s="115" t="s">
        <v>465</v>
      </c>
      <c r="H132" s="116">
        <v>7.82</v>
      </c>
      <c r="I132" s="115" t="s">
        <v>211</v>
      </c>
      <c r="J132" s="116" t="s">
        <v>255</v>
      </c>
      <c r="K132" s="115">
        <v>2.81E-2</v>
      </c>
      <c r="L132" s="115">
        <v>3.1099999999999999E-2</v>
      </c>
      <c r="M132" s="110">
        <v>727.98487572132706</v>
      </c>
      <c r="N132" s="60">
        <v>110.48</v>
      </c>
      <c r="O132" s="83">
        <v>0.80427999999999999</v>
      </c>
      <c r="P132" s="24">
        <v>6.7139079588641432E-5</v>
      </c>
      <c r="Q132" s="24">
        <v>4.3067715978196384E-6</v>
      </c>
      <c r="R132" s="14"/>
    </row>
    <row r="133" spans="1:18" x14ac:dyDescent="0.25">
      <c r="A133" s="16" t="s">
        <v>2025</v>
      </c>
      <c r="B133" s="216" t="s">
        <v>2051</v>
      </c>
      <c r="C133" s="115" t="s">
        <v>1765</v>
      </c>
      <c r="D133" s="115"/>
      <c r="E133" s="115" t="s">
        <v>551</v>
      </c>
      <c r="F133" s="115" t="s">
        <v>1766</v>
      </c>
      <c r="G133" s="115" t="s">
        <v>465</v>
      </c>
      <c r="H133" s="116">
        <v>5.4</v>
      </c>
      <c r="I133" s="115" t="s">
        <v>211</v>
      </c>
      <c r="J133" s="116" t="s">
        <v>255</v>
      </c>
      <c r="K133" s="115">
        <v>2.2700000000000001E-2</v>
      </c>
      <c r="L133" s="115">
        <v>2.8399999999999998E-2</v>
      </c>
      <c r="M133" s="110">
        <v>209.11740855896306</v>
      </c>
      <c r="N133" s="60">
        <v>107.9</v>
      </c>
      <c r="O133" s="83">
        <v>0.22563999999999998</v>
      </c>
      <c r="P133" s="24">
        <v>1.8835805836749703E-5</v>
      </c>
      <c r="Q133" s="24">
        <v>1.2082607342368616E-6</v>
      </c>
      <c r="R133" s="14"/>
    </row>
    <row r="134" spans="1:18" x14ac:dyDescent="0.25">
      <c r="A134" s="16" t="s">
        <v>2026</v>
      </c>
      <c r="B134" s="216" t="s">
        <v>2051</v>
      </c>
      <c r="C134" s="115" t="s">
        <v>1769</v>
      </c>
      <c r="D134" s="115"/>
      <c r="E134" s="115" t="s">
        <v>551</v>
      </c>
      <c r="F134" s="115" t="s">
        <v>1768</v>
      </c>
      <c r="G134" s="115" t="s">
        <v>465</v>
      </c>
      <c r="H134" s="116">
        <v>5.24</v>
      </c>
      <c r="I134" s="115" t="s">
        <v>211</v>
      </c>
      <c r="J134" s="116" t="s">
        <v>255</v>
      </c>
      <c r="K134" s="115">
        <v>2.23E-2</v>
      </c>
      <c r="L134" s="115">
        <v>2.8399999999999998E-2</v>
      </c>
      <c r="M134" s="110">
        <v>58.824124256756619</v>
      </c>
      <c r="N134" s="60">
        <v>107.76</v>
      </c>
      <c r="O134" s="83">
        <v>6.3390000000000002E-2</v>
      </c>
      <c r="P134" s="24">
        <v>5.291622637792784E-6</v>
      </c>
      <c r="Q134" s="24">
        <v>3.3944180084769839E-7</v>
      </c>
      <c r="R134" s="14"/>
    </row>
    <row r="135" spans="1:18" x14ac:dyDescent="0.25">
      <c r="A135" s="16" t="s">
        <v>2027</v>
      </c>
      <c r="B135" s="115" t="s">
        <v>1565</v>
      </c>
      <c r="C135" s="115" t="s">
        <v>1762</v>
      </c>
      <c r="D135" s="115"/>
      <c r="E135" s="115" t="s">
        <v>551</v>
      </c>
      <c r="F135" s="115" t="s">
        <v>1763</v>
      </c>
      <c r="G135" s="115" t="s">
        <v>465</v>
      </c>
      <c r="H135" s="116">
        <v>7.79</v>
      </c>
      <c r="I135" s="115" t="s">
        <v>211</v>
      </c>
      <c r="J135" s="116" t="s">
        <v>255</v>
      </c>
      <c r="K135" s="115">
        <v>2.81E-2</v>
      </c>
      <c r="L135" s="115">
        <v>3.1899999999999998E-2</v>
      </c>
      <c r="M135" s="110">
        <v>818.24834809154493</v>
      </c>
      <c r="N135" s="60">
        <v>109.81</v>
      </c>
      <c r="O135" s="83">
        <v>0.89851999999999999</v>
      </c>
      <c r="P135" s="24">
        <v>7.5005975272275947E-5</v>
      </c>
      <c r="Q135" s="24">
        <v>4.8114094793764625E-6</v>
      </c>
      <c r="R135" s="14"/>
    </row>
    <row r="136" spans="1:18" x14ac:dyDescent="0.25">
      <c r="A136" s="16" t="s">
        <v>2028</v>
      </c>
      <c r="B136" s="216" t="s">
        <v>2051</v>
      </c>
      <c r="C136" s="115" t="s">
        <v>1778</v>
      </c>
      <c r="D136" s="115"/>
      <c r="E136" s="115" t="s">
        <v>496</v>
      </c>
      <c r="F136" s="115" t="s">
        <v>1779</v>
      </c>
      <c r="G136" s="115" t="s">
        <v>465</v>
      </c>
      <c r="H136" s="116">
        <v>6.07</v>
      </c>
      <c r="I136" s="115" t="s">
        <v>221</v>
      </c>
      <c r="J136" s="116" t="s">
        <v>255</v>
      </c>
      <c r="K136" s="115">
        <v>1.24E-2</v>
      </c>
      <c r="L136" s="115">
        <v>3.6600000000000001E-2</v>
      </c>
      <c r="M136" s="110">
        <v>12578.344359966479</v>
      </c>
      <c r="N136" s="60">
        <v>95.77</v>
      </c>
      <c r="O136" s="83">
        <v>12.046280000000001</v>
      </c>
      <c r="P136" s="24">
        <v>1.0055902815773855E-3</v>
      </c>
      <c r="Q136" s="24">
        <v>6.4505615660445062E-5</v>
      </c>
      <c r="R136" s="14"/>
    </row>
    <row r="137" spans="1:18" x14ac:dyDescent="0.25">
      <c r="A137" s="16" t="s">
        <v>2028</v>
      </c>
      <c r="B137" s="216" t="s">
        <v>2051</v>
      </c>
      <c r="C137" s="115" t="s">
        <v>1783</v>
      </c>
      <c r="D137" s="115"/>
      <c r="E137" s="115" t="s">
        <v>496</v>
      </c>
      <c r="F137" s="115" t="s">
        <v>1588</v>
      </c>
      <c r="G137" s="115" t="s">
        <v>465</v>
      </c>
      <c r="H137" s="116">
        <v>5.55</v>
      </c>
      <c r="I137" s="115" t="s">
        <v>221</v>
      </c>
      <c r="J137" s="116" t="s">
        <v>255</v>
      </c>
      <c r="K137" s="115">
        <v>9.4999999999999998E-3</v>
      </c>
      <c r="L137" s="115">
        <v>1.8600000000000002E-2</v>
      </c>
      <c r="M137" s="110">
        <v>13667.628471641618</v>
      </c>
      <c r="N137" s="60">
        <v>105.62</v>
      </c>
      <c r="O137" s="83">
        <v>14.435750000000001</v>
      </c>
      <c r="P137" s="24">
        <v>1.2050566570991825E-3</v>
      </c>
      <c r="Q137" s="24">
        <v>7.7300788398598557E-5</v>
      </c>
      <c r="R137" s="14"/>
    </row>
    <row r="138" spans="1:18" x14ac:dyDescent="0.25">
      <c r="A138" s="16" t="s">
        <v>2028</v>
      </c>
      <c r="B138" s="216" t="s">
        <v>2051</v>
      </c>
      <c r="C138" s="115" t="s">
        <v>1811</v>
      </c>
      <c r="D138" s="115"/>
      <c r="E138" s="115" t="s">
        <v>496</v>
      </c>
      <c r="F138" s="115" t="s">
        <v>1812</v>
      </c>
      <c r="G138" s="115" t="s">
        <v>465</v>
      </c>
      <c r="H138" s="116">
        <v>3.12</v>
      </c>
      <c r="I138" s="115" t="s">
        <v>221</v>
      </c>
      <c r="J138" s="116" t="s">
        <v>255</v>
      </c>
      <c r="K138" s="115">
        <v>2.6000000000000002E-2</v>
      </c>
      <c r="L138" s="115">
        <v>2.7200000000000002E-2</v>
      </c>
      <c r="M138" s="110">
        <v>3526.0443920404891</v>
      </c>
      <c r="N138" s="60">
        <v>102.79</v>
      </c>
      <c r="O138" s="83">
        <v>3.6244200000000002</v>
      </c>
      <c r="P138" s="24">
        <v>3.0255660073937409E-4</v>
      </c>
      <c r="Q138" s="24">
        <v>1.9408103041937451E-5</v>
      </c>
      <c r="R138" s="14"/>
    </row>
    <row r="139" spans="1:18" x14ac:dyDescent="0.25">
      <c r="A139" s="16" t="s">
        <v>2029</v>
      </c>
      <c r="B139" s="216" t="s">
        <v>2051</v>
      </c>
      <c r="C139" s="115" t="s">
        <v>1786</v>
      </c>
      <c r="D139" s="115"/>
      <c r="E139" s="115" t="s">
        <v>496</v>
      </c>
      <c r="F139" s="115" t="s">
        <v>1787</v>
      </c>
      <c r="G139" s="115" t="s">
        <v>465</v>
      </c>
      <c r="H139" s="116">
        <v>13.98</v>
      </c>
      <c r="I139" s="115" t="s">
        <v>223</v>
      </c>
      <c r="J139" s="116" t="s">
        <v>255</v>
      </c>
      <c r="K139" s="115">
        <v>2.7200000000000002E-2</v>
      </c>
      <c r="L139" s="115">
        <v>4.2099999999999999E-2</v>
      </c>
      <c r="M139" s="110">
        <v>266963.39261805819</v>
      </c>
      <c r="N139" s="60">
        <v>88.1</v>
      </c>
      <c r="O139" s="83">
        <v>235.19475</v>
      </c>
      <c r="P139" s="24">
        <v>1.9633410055056231E-2</v>
      </c>
      <c r="Q139" s="24">
        <v>1.2594246646146744E-3</v>
      </c>
      <c r="R139" s="14"/>
    </row>
    <row r="140" spans="1:18" x14ac:dyDescent="0.25">
      <c r="A140" s="16" t="s">
        <v>2029</v>
      </c>
      <c r="B140" s="216" t="s">
        <v>2051</v>
      </c>
      <c r="C140" s="115" t="s">
        <v>1803</v>
      </c>
      <c r="D140" s="115"/>
      <c r="E140" s="115" t="s">
        <v>496</v>
      </c>
      <c r="F140" s="115" t="s">
        <v>1804</v>
      </c>
      <c r="G140" s="115" t="s">
        <v>465</v>
      </c>
      <c r="H140" s="116">
        <v>13.46</v>
      </c>
      <c r="I140" s="115" t="s">
        <v>223</v>
      </c>
      <c r="J140" s="116" t="s">
        <v>255</v>
      </c>
      <c r="K140" s="115">
        <v>3.4300000000000004E-2</v>
      </c>
      <c r="L140" s="115">
        <v>3.9199999999999999E-2</v>
      </c>
      <c r="M140" s="110">
        <v>65201.720055386308</v>
      </c>
      <c r="N140" s="60">
        <v>95.9</v>
      </c>
      <c r="O140" s="83">
        <v>62.528440000000003</v>
      </c>
      <c r="P140" s="24">
        <v>5.2197019815407456E-3</v>
      </c>
      <c r="Q140" s="24">
        <v>3.3482830537619906E-4</v>
      </c>
      <c r="R140" s="14"/>
    </row>
    <row r="141" spans="1:18" x14ac:dyDescent="0.25">
      <c r="A141" s="16" t="s">
        <v>2029</v>
      </c>
      <c r="B141" s="216" t="s">
        <v>2051</v>
      </c>
      <c r="C141" s="115" t="s">
        <v>1788</v>
      </c>
      <c r="D141" s="115"/>
      <c r="E141" s="115" t="s">
        <v>496</v>
      </c>
      <c r="F141" s="115" t="s">
        <v>1787</v>
      </c>
      <c r="G141" s="115" t="s">
        <v>465</v>
      </c>
      <c r="H141" s="116">
        <v>0</v>
      </c>
      <c r="I141" s="115" t="s">
        <v>223</v>
      </c>
      <c r="J141" s="116" t="s">
        <v>255</v>
      </c>
      <c r="K141" s="115">
        <v>2.7000000000000003E-2</v>
      </c>
      <c r="L141" s="115">
        <v>0</v>
      </c>
      <c r="M141" s="110">
        <v>-2092.5477275919056</v>
      </c>
      <c r="N141" s="60">
        <v>87.812241999999998</v>
      </c>
      <c r="O141" s="83">
        <v>-1.83751</v>
      </c>
      <c r="P141" s="24">
        <v>-1.5339027469901591E-4</v>
      </c>
      <c r="Q141" s="24">
        <v>-9.8395283715988998E-6</v>
      </c>
      <c r="R141" s="14"/>
    </row>
    <row r="142" spans="1:18" x14ac:dyDescent="0.25">
      <c r="A142" s="16" t="s">
        <v>2029</v>
      </c>
      <c r="B142" s="216" t="s">
        <v>2051</v>
      </c>
      <c r="C142" s="115" t="s">
        <v>1805</v>
      </c>
      <c r="D142" s="115"/>
      <c r="E142" s="115" t="s">
        <v>496</v>
      </c>
      <c r="F142" s="115" t="s">
        <v>1804</v>
      </c>
      <c r="G142" s="115" t="s">
        <v>465</v>
      </c>
      <c r="H142" s="116">
        <v>0</v>
      </c>
      <c r="I142" s="115" t="s">
        <v>223</v>
      </c>
      <c r="J142" s="116" t="s">
        <v>255</v>
      </c>
      <c r="K142" s="115">
        <v>2.7000000000000003E-2</v>
      </c>
      <c r="L142" s="115">
        <v>0</v>
      </c>
      <c r="M142" s="110">
        <v>-390.8164111100059</v>
      </c>
      <c r="N142" s="60">
        <v>94.435423999999998</v>
      </c>
      <c r="O142" s="83">
        <v>-0.36907000000000001</v>
      </c>
      <c r="P142" s="24">
        <v>-3.080894726187384E-5</v>
      </c>
      <c r="Q142" s="24">
        <v>-1.9763020261691126E-6</v>
      </c>
      <c r="R142" s="14"/>
    </row>
    <row r="143" spans="1:18" x14ac:dyDescent="0.25">
      <c r="A143" s="16" t="s">
        <v>2030</v>
      </c>
      <c r="B143" s="216" t="s">
        <v>2051</v>
      </c>
      <c r="C143" s="115" t="s">
        <v>1773</v>
      </c>
      <c r="D143" s="115"/>
      <c r="E143" s="115" t="s">
        <v>1774</v>
      </c>
      <c r="F143" s="115" t="s">
        <v>1775</v>
      </c>
      <c r="G143" s="115" t="s">
        <v>254</v>
      </c>
      <c r="H143" s="116">
        <v>6.74</v>
      </c>
      <c r="I143" s="115" t="s">
        <v>204</v>
      </c>
      <c r="J143" s="116" t="s">
        <v>255</v>
      </c>
      <c r="K143" s="115">
        <v>4.4500000000000005E-2</v>
      </c>
      <c r="L143" s="115">
        <v>7.85E-2</v>
      </c>
      <c r="M143" s="110">
        <v>4142.1714399018974</v>
      </c>
      <c r="N143" s="60">
        <v>88.82</v>
      </c>
      <c r="O143" s="83">
        <v>3.6790799999999999</v>
      </c>
      <c r="P143" s="24">
        <v>3.0711946701767904E-4</v>
      </c>
      <c r="Q143" s="24">
        <v>1.9700797297093392E-5</v>
      </c>
      <c r="R143" s="14"/>
    </row>
    <row r="144" spans="1:18" x14ac:dyDescent="0.25">
      <c r="A144" s="16" t="s">
        <v>2031</v>
      </c>
      <c r="B144" s="216" t="s">
        <v>2051</v>
      </c>
      <c r="C144" s="115" t="s">
        <v>1776</v>
      </c>
      <c r="D144" s="115"/>
      <c r="E144" s="115" t="s">
        <v>997</v>
      </c>
      <c r="F144" s="115" t="s">
        <v>1777</v>
      </c>
      <c r="G144" s="115" t="s">
        <v>1676</v>
      </c>
      <c r="H144" s="116">
        <v>4.96</v>
      </c>
      <c r="I144" s="115" t="s">
        <v>220</v>
      </c>
      <c r="J144" s="116" t="s">
        <v>255</v>
      </c>
      <c r="K144" s="115">
        <v>1.8200000000000001E-2</v>
      </c>
      <c r="L144" s="115">
        <v>3.6400000000000002E-2</v>
      </c>
      <c r="M144" s="110">
        <v>2816.4529400833862</v>
      </c>
      <c r="N144" s="60">
        <v>101.12</v>
      </c>
      <c r="O144" s="83">
        <v>2.8479999999999999</v>
      </c>
      <c r="P144" s="24">
        <v>2.3774319723038096E-4</v>
      </c>
      <c r="Q144" s="24">
        <v>1.5250516624297917E-5</v>
      </c>
      <c r="R144" s="14"/>
    </row>
    <row r="145" spans="1:18" x14ac:dyDescent="0.25">
      <c r="A145" s="16" t="s">
        <v>2032</v>
      </c>
      <c r="B145" s="216" t="s">
        <v>2051</v>
      </c>
      <c r="C145" s="115" t="s">
        <v>1684</v>
      </c>
      <c r="D145" s="115"/>
      <c r="E145" s="115" t="s">
        <v>1685</v>
      </c>
      <c r="F145" s="115" t="s">
        <v>1686</v>
      </c>
      <c r="G145" s="115" t="s">
        <v>254</v>
      </c>
      <c r="H145" s="116">
        <v>1.8</v>
      </c>
      <c r="I145" s="115" t="s">
        <v>221</v>
      </c>
      <c r="J145" s="116" t="s">
        <v>255</v>
      </c>
      <c r="K145" s="115">
        <v>0.09</v>
      </c>
      <c r="L145" s="115">
        <v>0.11269999999999999</v>
      </c>
      <c r="M145" s="110">
        <v>228685.49429001086</v>
      </c>
      <c r="N145" s="60">
        <v>99.46</v>
      </c>
      <c r="O145" s="83">
        <v>227.45059000000001</v>
      </c>
      <c r="P145" s="24">
        <v>1.8986948903980519E-2</v>
      </c>
      <c r="Q145" s="24">
        <v>1.2179561109555371E-3</v>
      </c>
      <c r="R145" s="14"/>
    </row>
    <row r="146" spans="1:18" x14ac:dyDescent="0.25">
      <c r="A146" s="16" t="s">
        <v>2033</v>
      </c>
      <c r="B146" s="216" t="s">
        <v>2051</v>
      </c>
      <c r="C146" s="115" t="s">
        <v>1793</v>
      </c>
      <c r="D146" s="115"/>
      <c r="E146" s="115" t="s">
        <v>1685</v>
      </c>
      <c r="F146" s="115" t="s">
        <v>1794</v>
      </c>
      <c r="G146" s="115" t="s">
        <v>254</v>
      </c>
      <c r="H146" s="116">
        <v>4.49</v>
      </c>
      <c r="I146" s="115" t="s">
        <v>223</v>
      </c>
      <c r="J146" s="116" t="s">
        <v>255</v>
      </c>
      <c r="K146" s="115">
        <v>1.37E-2</v>
      </c>
      <c r="L146" s="115">
        <v>5.8299999999999998E-2</v>
      </c>
      <c r="M146" s="110">
        <v>62835.570466800775</v>
      </c>
      <c r="N146" s="60">
        <v>89.71</v>
      </c>
      <c r="O146" s="83">
        <v>56.369779999999999</v>
      </c>
      <c r="P146" s="24">
        <v>4.7055940043445165E-3</v>
      </c>
      <c r="Q146" s="24">
        <v>3.0184981285042708E-4</v>
      </c>
      <c r="R146" s="14"/>
    </row>
    <row r="147" spans="1:18" x14ac:dyDescent="0.25">
      <c r="A147" s="16" t="s">
        <v>2033</v>
      </c>
      <c r="B147" s="216" t="s">
        <v>2051</v>
      </c>
      <c r="C147" s="115" t="s">
        <v>1806</v>
      </c>
      <c r="D147" s="115"/>
      <c r="E147" s="115" t="s">
        <v>1685</v>
      </c>
      <c r="F147" s="115" t="s">
        <v>1807</v>
      </c>
      <c r="G147" s="115" t="s">
        <v>254</v>
      </c>
      <c r="H147" s="116">
        <v>4.2699999999999996</v>
      </c>
      <c r="I147" s="115" t="s">
        <v>221</v>
      </c>
      <c r="J147" s="116" t="s">
        <v>255</v>
      </c>
      <c r="K147" s="115">
        <v>3.6400000000000002E-2</v>
      </c>
      <c r="L147" s="115">
        <v>4.0999999999999995E-2</v>
      </c>
      <c r="M147" s="110">
        <v>12832.409044729176</v>
      </c>
      <c r="N147" s="60">
        <v>102.39</v>
      </c>
      <c r="O147" s="83">
        <v>13.139100000000001</v>
      </c>
      <c r="P147" s="24">
        <v>1.0968158857899222E-3</v>
      </c>
      <c r="Q147" s="24">
        <v>7.0357465933396348E-5</v>
      </c>
      <c r="R147" s="14"/>
    </row>
    <row r="148" spans="1:18" x14ac:dyDescent="0.25">
      <c r="A148" s="16" t="s">
        <v>2033</v>
      </c>
      <c r="B148" s="216" t="s">
        <v>2051</v>
      </c>
      <c r="C148" s="115" t="s">
        <v>1813</v>
      </c>
      <c r="D148" s="115"/>
      <c r="E148" s="115" t="s">
        <v>1685</v>
      </c>
      <c r="F148" s="115" t="s">
        <v>1814</v>
      </c>
      <c r="G148" s="115" t="s">
        <v>254</v>
      </c>
      <c r="H148" s="116">
        <v>4.26</v>
      </c>
      <c r="I148" s="115" t="s">
        <v>221</v>
      </c>
      <c r="J148" s="116" t="s">
        <v>255</v>
      </c>
      <c r="K148" s="115">
        <v>3.9100000000000003E-2</v>
      </c>
      <c r="L148" s="115">
        <v>3.6499999999999998E-2</v>
      </c>
      <c r="M148" s="110">
        <v>12812.177035161745</v>
      </c>
      <c r="N148" s="60">
        <v>104.32</v>
      </c>
      <c r="O148" s="83">
        <v>13.36565</v>
      </c>
      <c r="P148" s="24">
        <v>1.1157276559207309E-3</v>
      </c>
      <c r="Q148" s="24">
        <v>7.1570599550402903E-5</v>
      </c>
      <c r="R148" s="14"/>
    </row>
    <row r="149" spans="1:18" x14ac:dyDescent="0.25">
      <c r="A149" s="16" t="s">
        <v>2033</v>
      </c>
      <c r="B149" s="216" t="s">
        <v>2051</v>
      </c>
      <c r="C149" s="115" t="s">
        <v>1822</v>
      </c>
      <c r="D149" s="115"/>
      <c r="E149" s="115" t="s">
        <v>1685</v>
      </c>
      <c r="F149" s="115" t="s">
        <v>1370</v>
      </c>
      <c r="G149" s="115" t="s">
        <v>254</v>
      </c>
      <c r="H149" s="116">
        <v>4.24</v>
      </c>
      <c r="I149" s="115" t="s">
        <v>221</v>
      </c>
      <c r="J149" s="116" t="s">
        <v>255</v>
      </c>
      <c r="K149" s="115">
        <v>3.9900000000000005E-2</v>
      </c>
      <c r="L149" s="115">
        <v>4.1100000000000005E-2</v>
      </c>
      <c r="M149" s="110">
        <v>12973.222171758507</v>
      </c>
      <c r="N149" s="60">
        <v>101.72</v>
      </c>
      <c r="O149" s="83">
        <v>13.19636</v>
      </c>
      <c r="P149" s="24">
        <v>1.1015957929083955E-3</v>
      </c>
      <c r="Q149" s="24">
        <v>7.0664082710751428E-5</v>
      </c>
      <c r="R149" s="14"/>
    </row>
    <row r="150" spans="1:18" x14ac:dyDescent="0.25">
      <c r="A150" s="16" t="s">
        <v>2033</v>
      </c>
      <c r="B150" s="216" t="s">
        <v>2051</v>
      </c>
      <c r="C150" s="115" t="s">
        <v>1828</v>
      </c>
      <c r="D150" s="115"/>
      <c r="E150" s="115" t="s">
        <v>1685</v>
      </c>
      <c r="F150" s="115" t="s">
        <v>882</v>
      </c>
      <c r="G150" s="115" t="s">
        <v>254</v>
      </c>
      <c r="H150" s="116">
        <v>4.26</v>
      </c>
      <c r="I150" s="115" t="s">
        <v>221</v>
      </c>
      <c r="J150" s="116" t="s">
        <v>255</v>
      </c>
      <c r="K150" s="115">
        <v>4.0899999999999999E-2</v>
      </c>
      <c r="L150" s="115">
        <v>4.3899999999999995E-2</v>
      </c>
      <c r="M150" s="110">
        <v>13043.674366726214</v>
      </c>
      <c r="N150" s="60">
        <v>99.72</v>
      </c>
      <c r="O150" s="83">
        <v>13.007149999999999</v>
      </c>
      <c r="P150" s="24">
        <v>1.0858010631513869E-3</v>
      </c>
      <c r="Q150" s="24">
        <v>6.965089793178955E-5</v>
      </c>
      <c r="R150" s="14"/>
    </row>
    <row r="151" spans="1:18" x14ac:dyDescent="0.25">
      <c r="A151" s="16" t="s">
        <v>2034</v>
      </c>
      <c r="B151" s="216" t="s">
        <v>2051</v>
      </c>
      <c r="C151" s="115" t="s">
        <v>1797</v>
      </c>
      <c r="D151" s="115"/>
      <c r="E151" s="115" t="s">
        <v>1685</v>
      </c>
      <c r="F151" s="115" t="s">
        <v>1798</v>
      </c>
      <c r="G151" s="115" t="s">
        <v>254</v>
      </c>
      <c r="H151" s="116">
        <v>4.34</v>
      </c>
      <c r="I151" s="115" t="s">
        <v>223</v>
      </c>
      <c r="J151" s="116" t="s">
        <v>255</v>
      </c>
      <c r="K151" s="115">
        <v>3.0699999999999998E-2</v>
      </c>
      <c r="L151" s="115">
        <v>4.1100000000000005E-2</v>
      </c>
      <c r="M151" s="110">
        <v>112430.74945009428</v>
      </c>
      <c r="N151" s="60">
        <v>101.55</v>
      </c>
      <c r="O151" s="83">
        <v>114.17341999999999</v>
      </c>
      <c r="P151" s="24">
        <v>9.5308826929519398E-3</v>
      </c>
      <c r="Q151" s="24">
        <v>6.1137768250103526E-4</v>
      </c>
      <c r="R151" s="14"/>
    </row>
    <row r="152" spans="1:18" x14ac:dyDescent="0.25">
      <c r="A152" s="16" t="s">
        <v>2034</v>
      </c>
      <c r="B152" s="216" t="s">
        <v>2051</v>
      </c>
      <c r="C152" s="115" t="s">
        <v>1799</v>
      </c>
      <c r="D152" s="115"/>
      <c r="E152" s="115" t="s">
        <v>1685</v>
      </c>
      <c r="F152" s="115" t="s">
        <v>1800</v>
      </c>
      <c r="G152" s="115" t="s">
        <v>254</v>
      </c>
      <c r="H152" s="116">
        <v>4.37</v>
      </c>
      <c r="I152" s="115" t="s">
        <v>223</v>
      </c>
      <c r="J152" s="116" t="s">
        <v>255</v>
      </c>
      <c r="K152" s="115">
        <v>2.6000000000000002E-2</v>
      </c>
      <c r="L152" s="115">
        <v>5.3200000000000004E-2</v>
      </c>
      <c r="M152" s="110">
        <v>270.27943448480926</v>
      </c>
      <c r="N152" s="60">
        <v>94.36</v>
      </c>
      <c r="O152" s="83">
        <v>0.25502999999999998</v>
      </c>
      <c r="P152" s="24">
        <v>2.1289202103112378E-5</v>
      </c>
      <c r="Q152" s="24">
        <v>1.3656387832495428E-6</v>
      </c>
      <c r="R152" s="14"/>
    </row>
    <row r="153" spans="1:18" x14ac:dyDescent="0.25">
      <c r="A153" s="16" t="s">
        <v>2034</v>
      </c>
      <c r="B153" s="216" t="s">
        <v>2051</v>
      </c>
      <c r="C153" s="115" t="s">
        <v>1808</v>
      </c>
      <c r="D153" s="115"/>
      <c r="E153" s="115" t="s">
        <v>1685</v>
      </c>
      <c r="F153" s="115" t="s">
        <v>1807</v>
      </c>
      <c r="G153" s="115" t="s">
        <v>254</v>
      </c>
      <c r="H153" s="116">
        <v>4.38</v>
      </c>
      <c r="I153" s="115" t="s">
        <v>221</v>
      </c>
      <c r="J153" s="116" t="s">
        <v>255</v>
      </c>
      <c r="K153" s="115">
        <v>3.6400000000000002E-2</v>
      </c>
      <c r="L153" s="115">
        <v>3.3099999999999997E-2</v>
      </c>
      <c r="M153" s="110">
        <v>29722.863592220343</v>
      </c>
      <c r="N153" s="60">
        <v>100.93</v>
      </c>
      <c r="O153" s="83">
        <v>29.999279999999999</v>
      </c>
      <c r="P153" s="24">
        <v>2.5042572829387017E-3</v>
      </c>
      <c r="Q153" s="24">
        <v>1.6064063144556463E-4</v>
      </c>
      <c r="R153" s="14"/>
    </row>
    <row r="154" spans="1:18" x14ac:dyDescent="0.25">
      <c r="A154" s="16" t="s">
        <v>2034</v>
      </c>
      <c r="B154" s="216" t="s">
        <v>2051</v>
      </c>
      <c r="C154" s="115" t="s">
        <v>1820</v>
      </c>
      <c r="D154" s="115"/>
      <c r="E154" s="115" t="s">
        <v>1685</v>
      </c>
      <c r="F154" s="115" t="s">
        <v>1821</v>
      </c>
      <c r="G154" s="115" t="s">
        <v>254</v>
      </c>
      <c r="H154" s="116">
        <v>4.26</v>
      </c>
      <c r="I154" s="115" t="s">
        <v>221</v>
      </c>
      <c r="J154" s="116" t="s">
        <v>255</v>
      </c>
      <c r="K154" s="115">
        <v>3.9399999999999998E-2</v>
      </c>
      <c r="L154" s="115">
        <v>4.2099999999999999E-2</v>
      </c>
      <c r="M154" s="110">
        <v>36579.065862763062</v>
      </c>
      <c r="N154" s="60">
        <v>101.54</v>
      </c>
      <c r="O154" s="83">
        <v>37.142379999999996</v>
      </c>
      <c r="P154" s="24">
        <v>3.1005436004023024E-3</v>
      </c>
      <c r="Q154" s="24">
        <v>1.9889061926123259E-4</v>
      </c>
      <c r="R154" s="14"/>
    </row>
    <row r="155" spans="1:18" x14ac:dyDescent="0.25">
      <c r="A155" s="16" t="s">
        <v>2035</v>
      </c>
      <c r="B155" s="216" t="s">
        <v>2051</v>
      </c>
      <c r="C155" s="115" t="s">
        <v>1801</v>
      </c>
      <c r="D155" s="115"/>
      <c r="E155" s="115" t="s">
        <v>928</v>
      </c>
      <c r="F155" s="115" t="s">
        <v>1802</v>
      </c>
      <c r="G155" s="115" t="s">
        <v>1676</v>
      </c>
      <c r="H155" s="116">
        <v>2.67</v>
      </c>
      <c r="I155" s="115" t="s">
        <v>221</v>
      </c>
      <c r="J155" s="116" t="s">
        <v>255</v>
      </c>
      <c r="K155" s="115">
        <v>3.73E-2</v>
      </c>
      <c r="L155" s="115">
        <v>5.8499999999999996E-2</v>
      </c>
      <c r="M155" s="110">
        <v>246792.38475693707</v>
      </c>
      <c r="N155" s="60">
        <v>95.28</v>
      </c>
      <c r="O155" s="83">
        <v>235.14377999999999</v>
      </c>
      <c r="P155" s="24">
        <v>1.9629155219816473E-2</v>
      </c>
      <c r="Q155" s="24">
        <v>1.2591517296314087E-3</v>
      </c>
      <c r="R155" s="14"/>
    </row>
    <row r="156" spans="1:18" x14ac:dyDescent="0.25">
      <c r="A156" s="16" t="s">
        <v>2035</v>
      </c>
      <c r="B156" s="216" t="s">
        <v>2051</v>
      </c>
      <c r="C156" s="115" t="s">
        <v>1818</v>
      </c>
      <c r="D156" s="115"/>
      <c r="E156" s="115" t="s">
        <v>928</v>
      </c>
      <c r="F156" s="115" t="s">
        <v>1819</v>
      </c>
      <c r="G156" s="115" t="s">
        <v>1676</v>
      </c>
      <c r="H156" s="116">
        <v>2.99</v>
      </c>
      <c r="I156" s="115" t="s">
        <v>221</v>
      </c>
      <c r="J156" s="116" t="s">
        <v>255</v>
      </c>
      <c r="K156" s="115">
        <v>4.7899999999999998E-2</v>
      </c>
      <c r="L156" s="115">
        <v>6.88E-2</v>
      </c>
      <c r="M156" s="110">
        <v>1484.3959172468897</v>
      </c>
      <c r="N156" s="60">
        <v>98.07</v>
      </c>
      <c r="O156" s="83">
        <v>1.4557500000000001</v>
      </c>
      <c r="P156" s="24">
        <v>1.215220011826289E-4</v>
      </c>
      <c r="Q156" s="24">
        <v>7.7952737274654825E-6</v>
      </c>
      <c r="R156" s="14"/>
    </row>
    <row r="157" spans="1:18" x14ac:dyDescent="0.25">
      <c r="A157" s="16" t="s">
        <v>2036</v>
      </c>
      <c r="B157" s="216" t="s">
        <v>2051</v>
      </c>
      <c r="C157" s="115" t="s">
        <v>1833</v>
      </c>
      <c r="D157" s="115"/>
      <c r="E157" s="115" t="s">
        <v>663</v>
      </c>
      <c r="F157" s="115" t="s">
        <v>1834</v>
      </c>
      <c r="G157" s="115" t="s">
        <v>663</v>
      </c>
      <c r="H157" s="116">
        <v>2.5</v>
      </c>
      <c r="I157" s="115" t="s">
        <v>221</v>
      </c>
      <c r="J157" s="116" t="s">
        <v>125</v>
      </c>
      <c r="K157" s="115">
        <v>0.10059999999999998</v>
      </c>
      <c r="L157" s="115">
        <v>0.10880000000000001</v>
      </c>
      <c r="M157" s="110">
        <v>665.23802733909167</v>
      </c>
      <c r="N157" s="60">
        <v>100.46</v>
      </c>
      <c r="O157" s="83">
        <v>2.5555700000000003</v>
      </c>
      <c r="P157" s="24">
        <v>2.1333194611869547E-4</v>
      </c>
      <c r="Q157" s="24">
        <v>1.3684607714029857E-5</v>
      </c>
      <c r="R157" s="14"/>
    </row>
    <row r="158" spans="1:18" x14ac:dyDescent="0.25">
      <c r="A158" s="16" t="s">
        <v>2037</v>
      </c>
      <c r="B158" s="216" t="s">
        <v>2051</v>
      </c>
      <c r="C158" s="115" t="s">
        <v>1730</v>
      </c>
      <c r="D158" s="115"/>
      <c r="E158" s="115" t="s">
        <v>663</v>
      </c>
      <c r="F158" s="115" t="s">
        <v>1471</v>
      </c>
      <c r="G158" s="115" t="s">
        <v>663</v>
      </c>
      <c r="H158" s="116">
        <v>5.56</v>
      </c>
      <c r="I158" s="115" t="s">
        <v>221</v>
      </c>
      <c r="J158" s="116" t="s">
        <v>255</v>
      </c>
      <c r="K158" s="115">
        <v>7.4999999999999997E-2</v>
      </c>
      <c r="L158" s="115">
        <v>8.6899999999999991E-2</v>
      </c>
      <c r="M158" s="110">
        <v>106864.83521907013</v>
      </c>
      <c r="N158" s="60">
        <v>102.79</v>
      </c>
      <c r="O158" s="83">
        <v>109.84636</v>
      </c>
      <c r="P158" s="24">
        <v>9.1696716399295754E-3</v>
      </c>
      <c r="Q158" s="24">
        <v>5.8820707138294024E-4</v>
      </c>
      <c r="R158" s="14"/>
    </row>
    <row r="159" spans="1:18" x14ac:dyDescent="0.25">
      <c r="A159" s="16" t="s">
        <v>2037</v>
      </c>
      <c r="B159" s="216" t="s">
        <v>2051</v>
      </c>
      <c r="C159" s="115" t="s">
        <v>1742</v>
      </c>
      <c r="D159" s="115"/>
      <c r="E159" s="115" t="s">
        <v>663</v>
      </c>
      <c r="F159" s="115" t="s">
        <v>1457</v>
      </c>
      <c r="G159" s="115" t="s">
        <v>663</v>
      </c>
      <c r="H159" s="116">
        <v>5.23</v>
      </c>
      <c r="I159" s="115" t="s">
        <v>221</v>
      </c>
      <c r="J159" s="116" t="s">
        <v>255</v>
      </c>
      <c r="K159" s="115">
        <v>7.4999999999999997E-2</v>
      </c>
      <c r="L159" s="115">
        <v>8.7899999999999992E-2</v>
      </c>
      <c r="M159" s="110">
        <v>1331.1654913170651</v>
      </c>
      <c r="N159" s="60">
        <v>100.01</v>
      </c>
      <c r="O159" s="83">
        <v>1.3312999999999999</v>
      </c>
      <c r="P159" s="24">
        <v>1.111332578907325E-4</v>
      </c>
      <c r="Q159" s="24">
        <v>7.1288668475870143E-6</v>
      </c>
      <c r="R159" s="14"/>
    </row>
    <row r="160" spans="1:18" x14ac:dyDescent="0.25">
      <c r="A160" s="16" t="s">
        <v>2037</v>
      </c>
      <c r="B160" s="216" t="s">
        <v>2051</v>
      </c>
      <c r="C160" s="115" t="s">
        <v>1725</v>
      </c>
      <c r="D160" s="115"/>
      <c r="E160" s="115" t="s">
        <v>663</v>
      </c>
      <c r="F160" s="115" t="s">
        <v>1726</v>
      </c>
      <c r="G160" s="115" t="s">
        <v>663</v>
      </c>
      <c r="H160" s="116">
        <v>7.45</v>
      </c>
      <c r="I160" s="115" t="s">
        <v>221</v>
      </c>
      <c r="J160" s="116" t="s">
        <v>255</v>
      </c>
      <c r="K160" s="115">
        <v>7.4999999999999997E-2</v>
      </c>
      <c r="L160" s="115">
        <v>8.5699999999999998E-2</v>
      </c>
      <c r="M160" s="110">
        <v>7795.3150890857842</v>
      </c>
      <c r="N160" s="60">
        <v>103.75</v>
      </c>
      <c r="O160" s="83">
        <v>8.0876300000000008</v>
      </c>
      <c r="P160" s="24">
        <v>6.7513308083439123E-4</v>
      </c>
      <c r="Q160" s="24">
        <v>4.3307772389807086E-5</v>
      </c>
      <c r="R160" s="14"/>
    </row>
    <row r="161" spans="1:18" x14ac:dyDescent="0.25">
      <c r="A161" s="16" t="s">
        <v>2037</v>
      </c>
      <c r="B161" s="216" t="s">
        <v>2051</v>
      </c>
      <c r="C161" s="115" t="s">
        <v>1635</v>
      </c>
      <c r="D161" s="115"/>
      <c r="E161" s="115" t="s">
        <v>663</v>
      </c>
      <c r="F161" s="115" t="s">
        <v>1634</v>
      </c>
      <c r="G161" s="115" t="s">
        <v>663</v>
      </c>
      <c r="H161" s="116">
        <v>5.55</v>
      </c>
      <c r="I161" s="115" t="s">
        <v>221</v>
      </c>
      <c r="J161" s="116" t="s">
        <v>255</v>
      </c>
      <c r="K161" s="115">
        <v>7.4999999999999997E-2</v>
      </c>
      <c r="L161" s="115">
        <v>9.0200000000000002E-2</v>
      </c>
      <c r="M161" s="110">
        <v>14654.55275189454</v>
      </c>
      <c r="N161" s="60">
        <v>92.43</v>
      </c>
      <c r="O161" s="83">
        <v>13.545200000000001</v>
      </c>
      <c r="P161" s="24">
        <v>1.1307159954792685E-3</v>
      </c>
      <c r="Q161" s="24">
        <v>7.2532056804578717E-5</v>
      </c>
      <c r="R161" s="14"/>
    </row>
    <row r="162" spans="1:18" x14ac:dyDescent="0.25">
      <c r="A162" s="16" t="s">
        <v>2037</v>
      </c>
      <c r="B162" s="216" t="s">
        <v>2051</v>
      </c>
      <c r="C162" s="115" t="s">
        <v>1625</v>
      </c>
      <c r="D162" s="115"/>
      <c r="E162" s="115" t="s">
        <v>663</v>
      </c>
      <c r="F162" s="115" t="s">
        <v>1626</v>
      </c>
      <c r="G162" s="115" t="s">
        <v>663</v>
      </c>
      <c r="H162" s="116">
        <v>5.48</v>
      </c>
      <c r="I162" s="115" t="s">
        <v>221</v>
      </c>
      <c r="J162" s="116" t="s">
        <v>255</v>
      </c>
      <c r="K162" s="115">
        <v>7.4999999999999997E-2</v>
      </c>
      <c r="L162" s="115">
        <v>8.929999999999999E-2</v>
      </c>
      <c r="M162" s="110">
        <v>36115.69083833613</v>
      </c>
      <c r="N162" s="60">
        <v>92.95</v>
      </c>
      <c r="O162" s="83">
        <v>33.56953</v>
      </c>
      <c r="P162" s="24">
        <v>2.8022919212504181E-3</v>
      </c>
      <c r="Q162" s="24">
        <v>1.7975866409229905E-4</v>
      </c>
      <c r="R162" s="14"/>
    </row>
    <row r="163" spans="1:18" x14ac:dyDescent="0.25">
      <c r="A163" s="16" t="s">
        <v>2037</v>
      </c>
      <c r="B163" s="216" t="s">
        <v>2051</v>
      </c>
      <c r="C163" s="115" t="s">
        <v>1643</v>
      </c>
      <c r="D163" s="115"/>
      <c r="E163" s="115" t="s">
        <v>663</v>
      </c>
      <c r="F163" s="115" t="s">
        <v>1644</v>
      </c>
      <c r="G163" s="115" t="s">
        <v>663</v>
      </c>
      <c r="H163" s="116">
        <v>6.28</v>
      </c>
      <c r="I163" s="115" t="s">
        <v>221</v>
      </c>
      <c r="J163" s="116" t="s">
        <v>255</v>
      </c>
      <c r="K163" s="115">
        <v>7.4999999999999997E-2</v>
      </c>
      <c r="L163" s="115">
        <v>8.9200000000000002E-2</v>
      </c>
      <c r="M163" s="110">
        <v>15464.080147300221</v>
      </c>
      <c r="N163" s="60">
        <v>91.79</v>
      </c>
      <c r="O163" s="83">
        <v>14.19448</v>
      </c>
      <c r="P163" s="24">
        <v>1.1849161019040371E-3</v>
      </c>
      <c r="Q163" s="24">
        <v>7.6008831886679884E-5</v>
      </c>
      <c r="R163" s="14"/>
    </row>
    <row r="164" spans="1:18" x14ac:dyDescent="0.25">
      <c r="A164" s="16" t="s">
        <v>2037</v>
      </c>
      <c r="B164" s="216" t="s">
        <v>2051</v>
      </c>
      <c r="C164" s="115" t="s">
        <v>1648</v>
      </c>
      <c r="D164" s="115"/>
      <c r="E164" s="115" t="s">
        <v>663</v>
      </c>
      <c r="F164" s="115" t="s">
        <v>1649</v>
      </c>
      <c r="G164" s="115" t="s">
        <v>663</v>
      </c>
      <c r="H164" s="116">
        <v>6.37</v>
      </c>
      <c r="I164" s="115" t="s">
        <v>221</v>
      </c>
      <c r="J164" s="116" t="s">
        <v>255</v>
      </c>
      <c r="K164" s="115">
        <v>7.4999999999999997E-2</v>
      </c>
      <c r="L164" s="115">
        <v>8.8900000000000007E-2</v>
      </c>
      <c r="M164" s="110">
        <v>12906.076399753076</v>
      </c>
      <c r="N164" s="60">
        <v>91.81</v>
      </c>
      <c r="O164" s="83">
        <v>11.84906</v>
      </c>
      <c r="P164" s="24">
        <v>9.8912689907816641E-4</v>
      </c>
      <c r="Q164" s="24">
        <v>6.3449538803477348E-5</v>
      </c>
      <c r="R164" s="14"/>
    </row>
    <row r="165" spans="1:18" x14ac:dyDescent="0.25">
      <c r="A165" s="16" t="s">
        <v>2037</v>
      </c>
      <c r="B165" s="216" t="s">
        <v>2051</v>
      </c>
      <c r="C165" s="115" t="s">
        <v>1605</v>
      </c>
      <c r="D165" s="115"/>
      <c r="E165" s="115" t="s">
        <v>663</v>
      </c>
      <c r="F165" s="115" t="s">
        <v>1606</v>
      </c>
      <c r="G165" s="115" t="s">
        <v>663</v>
      </c>
      <c r="H165" s="116">
        <v>5.65</v>
      </c>
      <c r="I165" s="115" t="s">
        <v>221</v>
      </c>
      <c r="J165" s="116" t="s">
        <v>255</v>
      </c>
      <c r="K165" s="115">
        <v>7.4999999999999997E-2</v>
      </c>
      <c r="L165" s="115">
        <v>9.5600000000000004E-2</v>
      </c>
      <c r="M165" s="110">
        <v>42816.999059691581</v>
      </c>
      <c r="N165" s="60">
        <v>89.69</v>
      </c>
      <c r="O165" s="83">
        <v>38.402560000000001</v>
      </c>
      <c r="P165" s="24">
        <v>3.2057399565419728E-3</v>
      </c>
      <c r="Q165" s="24">
        <v>2.0563865157851061E-4</v>
      </c>
      <c r="R165" s="14"/>
    </row>
    <row r="166" spans="1:18" x14ac:dyDescent="0.25">
      <c r="A166" s="16" t="s">
        <v>2037</v>
      </c>
      <c r="B166" s="216" t="s">
        <v>2051</v>
      </c>
      <c r="C166" s="115" t="s">
        <v>1609</v>
      </c>
      <c r="D166" s="115"/>
      <c r="E166" s="115" t="s">
        <v>663</v>
      </c>
      <c r="F166" s="115" t="s">
        <v>1610</v>
      </c>
      <c r="G166" s="115" t="s">
        <v>663</v>
      </c>
      <c r="H166" s="116">
        <v>5.35</v>
      </c>
      <c r="I166" s="115" t="s">
        <v>221</v>
      </c>
      <c r="J166" s="116" t="s">
        <v>255</v>
      </c>
      <c r="K166" s="115">
        <v>7.4999999999999997E-2</v>
      </c>
      <c r="L166" s="115">
        <v>7.6100000000000001E-2</v>
      </c>
      <c r="M166" s="110">
        <v>29035.536699120123</v>
      </c>
      <c r="N166" s="60">
        <v>99.49</v>
      </c>
      <c r="O166" s="83">
        <v>28.887450000000001</v>
      </c>
      <c r="P166" s="24">
        <v>2.4114447762755508E-3</v>
      </c>
      <c r="Q166" s="24">
        <v>1.5468698611607266E-4</v>
      </c>
      <c r="R166" s="14"/>
    </row>
    <row r="167" spans="1:18" x14ac:dyDescent="0.25">
      <c r="A167" s="16" t="s">
        <v>2037</v>
      </c>
      <c r="B167" s="216" t="s">
        <v>2051</v>
      </c>
      <c r="C167" s="115" t="s">
        <v>1662</v>
      </c>
      <c r="D167" s="115"/>
      <c r="E167" s="115" t="s">
        <v>663</v>
      </c>
      <c r="F167" s="115" t="s">
        <v>1663</v>
      </c>
      <c r="G167" s="115" t="s">
        <v>663</v>
      </c>
      <c r="H167" s="116">
        <v>5.88</v>
      </c>
      <c r="I167" s="115" t="s">
        <v>221</v>
      </c>
      <c r="J167" s="116" t="s">
        <v>255</v>
      </c>
      <c r="K167" s="115">
        <v>7.4999999999999997E-2</v>
      </c>
      <c r="L167" s="115">
        <v>6.9900000000000004E-2</v>
      </c>
      <c r="M167" s="110">
        <v>14681.75732232571</v>
      </c>
      <c r="N167" s="60">
        <v>102.7</v>
      </c>
      <c r="O167" s="83">
        <v>15.07816</v>
      </c>
      <c r="P167" s="24">
        <v>1.2586832748424301E-3</v>
      </c>
      <c r="Q167" s="24">
        <v>8.0740775893196591E-5</v>
      </c>
      <c r="R167" s="14"/>
    </row>
    <row r="168" spans="1:18" x14ac:dyDescent="0.25">
      <c r="A168" s="16" t="s">
        <v>2037</v>
      </c>
      <c r="B168" s="216" t="s">
        <v>2051</v>
      </c>
      <c r="C168" s="115" t="s">
        <v>1603</v>
      </c>
      <c r="D168" s="115"/>
      <c r="E168" s="115" t="s">
        <v>663</v>
      </c>
      <c r="F168" s="115" t="s">
        <v>1604</v>
      </c>
      <c r="G168" s="115" t="s">
        <v>663</v>
      </c>
      <c r="H168" s="116">
        <v>5.67</v>
      </c>
      <c r="I168" s="115" t="s">
        <v>221</v>
      </c>
      <c r="J168" s="116" t="s">
        <v>255</v>
      </c>
      <c r="K168" s="115">
        <v>7.4999999999999997E-2</v>
      </c>
      <c r="L168" s="115">
        <v>8.6999999999999994E-2</v>
      </c>
      <c r="M168" s="110">
        <v>10905.656368873137</v>
      </c>
      <c r="N168" s="60">
        <v>93.79</v>
      </c>
      <c r="O168" s="83">
        <v>10.22841</v>
      </c>
      <c r="P168" s="24">
        <v>8.5383949999410147E-4</v>
      </c>
      <c r="Q168" s="24">
        <v>5.4771255879612035E-5</v>
      </c>
      <c r="R168" s="14"/>
    </row>
    <row r="169" spans="1:18" x14ac:dyDescent="0.25">
      <c r="A169" s="16" t="s">
        <v>2037</v>
      </c>
      <c r="B169" s="216" t="s">
        <v>2051</v>
      </c>
      <c r="C169" s="115" t="s">
        <v>1728</v>
      </c>
      <c r="D169" s="115"/>
      <c r="E169" s="115" t="s">
        <v>663</v>
      </c>
      <c r="F169" s="115" t="s">
        <v>1729</v>
      </c>
      <c r="G169" s="115" t="s">
        <v>663</v>
      </c>
      <c r="H169" s="116">
        <v>7.45</v>
      </c>
      <c r="I169" s="115" t="s">
        <v>221</v>
      </c>
      <c r="J169" s="116" t="s">
        <v>255</v>
      </c>
      <c r="K169" s="115">
        <v>7.4999999999999997E-2</v>
      </c>
      <c r="L169" s="115">
        <v>8.5699999999999998E-2</v>
      </c>
      <c r="M169" s="110">
        <v>18963.022332539629</v>
      </c>
      <c r="N169" s="60">
        <v>103.76</v>
      </c>
      <c r="O169" s="83">
        <v>19.676020000000001</v>
      </c>
      <c r="P169" s="24">
        <v>1.6424999661407726E-3</v>
      </c>
      <c r="Q169" s="24">
        <v>1.0536147124649521E-4</v>
      </c>
      <c r="R169" s="14"/>
    </row>
    <row r="170" spans="1:18" x14ac:dyDescent="0.25">
      <c r="A170" s="16" t="s">
        <v>2037</v>
      </c>
      <c r="B170" s="216" t="s">
        <v>2051</v>
      </c>
      <c r="C170" s="115" t="s">
        <v>1669</v>
      </c>
      <c r="D170" s="115"/>
      <c r="E170" s="115" t="s">
        <v>663</v>
      </c>
      <c r="F170" s="115" t="s">
        <v>1670</v>
      </c>
      <c r="G170" s="115" t="s">
        <v>663</v>
      </c>
      <c r="H170" s="116">
        <v>5.65</v>
      </c>
      <c r="I170" s="115" t="s">
        <v>221</v>
      </c>
      <c r="J170" s="116" t="s">
        <v>255</v>
      </c>
      <c r="K170" s="115">
        <v>7.4999999999999997E-2</v>
      </c>
      <c r="L170" s="115">
        <v>7.0999999999999994E-2</v>
      </c>
      <c r="M170" s="110">
        <v>24072.712400100383</v>
      </c>
      <c r="N170" s="60">
        <v>102.11</v>
      </c>
      <c r="O170" s="83">
        <v>24.580639999999999</v>
      </c>
      <c r="P170" s="24">
        <v>2.0519241374891122E-3</v>
      </c>
      <c r="Q170" s="24">
        <v>1.3162481002664409E-4</v>
      </c>
      <c r="R170" s="14"/>
    </row>
    <row r="171" spans="1:18" x14ac:dyDescent="0.25">
      <c r="A171" s="16" t="s">
        <v>2037</v>
      </c>
      <c r="B171" s="216" t="s">
        <v>2051</v>
      </c>
      <c r="C171" s="115" t="s">
        <v>1658</v>
      </c>
      <c r="D171" s="115"/>
      <c r="E171" s="115" t="s">
        <v>663</v>
      </c>
      <c r="F171" s="115" t="s">
        <v>1659</v>
      </c>
      <c r="G171" s="115" t="s">
        <v>663</v>
      </c>
      <c r="H171" s="116">
        <v>6.15</v>
      </c>
      <c r="I171" s="115" t="s">
        <v>221</v>
      </c>
      <c r="J171" s="116" t="s">
        <v>255</v>
      </c>
      <c r="K171" s="115">
        <v>7.4999999999999997E-2</v>
      </c>
      <c r="L171" s="115">
        <v>7.2900000000000006E-2</v>
      </c>
      <c r="M171" s="110">
        <v>36196.264378532876</v>
      </c>
      <c r="N171" s="60">
        <v>100.94</v>
      </c>
      <c r="O171" s="83">
        <v>36.536499999999997</v>
      </c>
      <c r="P171" s="24">
        <v>3.0499664064634179E-3</v>
      </c>
      <c r="Q171" s="24">
        <v>1.9564624320353259E-4</v>
      </c>
      <c r="R171" s="14"/>
    </row>
    <row r="172" spans="1:18" x14ac:dyDescent="0.25">
      <c r="A172" s="16" t="s">
        <v>2037</v>
      </c>
      <c r="B172" s="216" t="s">
        <v>2051</v>
      </c>
      <c r="C172" s="115" t="s">
        <v>1660</v>
      </c>
      <c r="D172" s="115"/>
      <c r="E172" s="115" t="s">
        <v>663</v>
      </c>
      <c r="F172" s="115" t="s">
        <v>1661</v>
      </c>
      <c r="G172" s="115" t="s">
        <v>663</v>
      </c>
      <c r="H172" s="116">
        <v>5.61</v>
      </c>
      <c r="I172" s="115" t="s">
        <v>221</v>
      </c>
      <c r="J172" s="116" t="s">
        <v>255</v>
      </c>
      <c r="K172" s="115">
        <v>7.4999999999999997E-2</v>
      </c>
      <c r="L172" s="115">
        <v>9.2799999999999994E-2</v>
      </c>
      <c r="M172" s="110">
        <v>10242.038290630975</v>
      </c>
      <c r="N172" s="60">
        <v>91.05</v>
      </c>
      <c r="O172" s="83">
        <v>9.3253700000000013</v>
      </c>
      <c r="P172" s="24">
        <v>7.7845620756891785E-4</v>
      </c>
      <c r="Q172" s="24">
        <v>4.993564263087398E-5</v>
      </c>
      <c r="R172" s="14"/>
    </row>
    <row r="173" spans="1:18" x14ac:dyDescent="0.25">
      <c r="A173" s="16" t="s">
        <v>2037</v>
      </c>
      <c r="B173" s="216" t="s">
        <v>2051</v>
      </c>
      <c r="C173" s="115" t="s">
        <v>1731</v>
      </c>
      <c r="D173" s="115"/>
      <c r="E173" s="115" t="s">
        <v>663</v>
      </c>
      <c r="F173" s="115" t="s">
        <v>1471</v>
      </c>
      <c r="G173" s="115" t="s">
        <v>663</v>
      </c>
      <c r="H173" s="116">
        <v>5.48</v>
      </c>
      <c r="I173" s="115" t="s">
        <v>221</v>
      </c>
      <c r="J173" s="116" t="s">
        <v>255</v>
      </c>
      <c r="K173" s="115">
        <v>7.4999999999999997E-2</v>
      </c>
      <c r="L173" s="115">
        <v>8.6300000000000002E-2</v>
      </c>
      <c r="M173" s="110">
        <v>2981.1167590454957</v>
      </c>
      <c r="N173" s="60">
        <v>103.1</v>
      </c>
      <c r="O173" s="83">
        <v>3.0735199999999998</v>
      </c>
      <c r="P173" s="24">
        <v>2.5656898579758445E-4</v>
      </c>
      <c r="Q173" s="24">
        <v>1.6458134780587126E-5</v>
      </c>
      <c r="R173" s="14"/>
    </row>
    <row r="174" spans="1:18" x14ac:dyDescent="0.25">
      <c r="A174" s="16" t="s">
        <v>2037</v>
      </c>
      <c r="B174" s="216" t="s">
        <v>2051</v>
      </c>
      <c r="C174" s="115" t="s">
        <v>1617</v>
      </c>
      <c r="D174" s="115"/>
      <c r="E174" s="115" t="s">
        <v>663</v>
      </c>
      <c r="F174" s="115" t="s">
        <v>1618</v>
      </c>
      <c r="G174" s="115" t="s">
        <v>663</v>
      </c>
      <c r="H174" s="116">
        <v>5.66</v>
      </c>
      <c r="I174" s="115" t="s">
        <v>221</v>
      </c>
      <c r="J174" s="116" t="s">
        <v>255</v>
      </c>
      <c r="K174" s="115">
        <v>7.4999999999999997E-2</v>
      </c>
      <c r="L174" s="115">
        <v>9.2799999999999994E-2</v>
      </c>
      <c r="M174" s="110">
        <v>30250.705288678579</v>
      </c>
      <c r="N174" s="60">
        <v>91.04</v>
      </c>
      <c r="O174" s="83">
        <v>27.540240000000001</v>
      </c>
      <c r="P174" s="24">
        <v>2.2989833953974814E-3</v>
      </c>
      <c r="Q174" s="24">
        <v>1.474729241422593E-4</v>
      </c>
      <c r="R174" s="14"/>
    </row>
    <row r="175" spans="1:18" x14ac:dyDescent="0.25">
      <c r="A175" s="16" t="s">
        <v>2037</v>
      </c>
      <c r="B175" s="216" t="s">
        <v>2051</v>
      </c>
      <c r="C175" s="115" t="s">
        <v>1631</v>
      </c>
      <c r="D175" s="115"/>
      <c r="E175" s="115" t="s">
        <v>663</v>
      </c>
      <c r="F175" s="115" t="s">
        <v>1632</v>
      </c>
      <c r="G175" s="115" t="s">
        <v>663</v>
      </c>
      <c r="H175" s="116">
        <v>5.29</v>
      </c>
      <c r="I175" s="115" t="s">
        <v>221</v>
      </c>
      <c r="J175" s="116" t="s">
        <v>255</v>
      </c>
      <c r="K175" s="115">
        <v>7.4999999999999997E-2</v>
      </c>
      <c r="L175" s="115">
        <v>8.900000000000001E-2</v>
      </c>
      <c r="M175" s="110">
        <v>47786.240876932839</v>
      </c>
      <c r="N175" s="60">
        <v>93.39</v>
      </c>
      <c r="O175" s="83">
        <v>44.627559999999995</v>
      </c>
      <c r="P175" s="24">
        <v>3.7253858142523382E-3</v>
      </c>
      <c r="Q175" s="24">
        <v>2.3897238261301007E-4</v>
      </c>
      <c r="R175" s="14"/>
    </row>
    <row r="176" spans="1:18" x14ac:dyDescent="0.25">
      <c r="A176" s="16" t="s">
        <v>2037</v>
      </c>
      <c r="B176" s="216" t="s">
        <v>2051</v>
      </c>
      <c r="C176" s="115" t="s">
        <v>1710</v>
      </c>
      <c r="D176" s="115"/>
      <c r="E176" s="115" t="s">
        <v>663</v>
      </c>
      <c r="F176" s="115" t="s">
        <v>384</v>
      </c>
      <c r="G176" s="115" t="s">
        <v>663</v>
      </c>
      <c r="H176" s="116">
        <v>5.9</v>
      </c>
      <c r="I176" s="115" t="s">
        <v>221</v>
      </c>
      <c r="J176" s="116" t="s">
        <v>255</v>
      </c>
      <c r="K176" s="115">
        <v>7.4999999999999997E-2</v>
      </c>
      <c r="L176" s="115">
        <v>6.7299999999999999E-2</v>
      </c>
      <c r="M176" s="110">
        <v>26258.417760705215</v>
      </c>
      <c r="N176" s="60">
        <v>104.19</v>
      </c>
      <c r="O176" s="83">
        <v>27.358640000000001</v>
      </c>
      <c r="P176" s="24">
        <v>2.2838239274841957E-3</v>
      </c>
      <c r="Q176" s="24">
        <v>1.465004895148111E-4</v>
      </c>
      <c r="R176" s="14"/>
    </row>
    <row r="177" spans="1:18" x14ac:dyDescent="0.25">
      <c r="A177" s="16" t="s">
        <v>2037</v>
      </c>
      <c r="B177" s="216" t="s">
        <v>2051</v>
      </c>
      <c r="C177" s="115" t="s">
        <v>1623</v>
      </c>
      <c r="D177" s="115"/>
      <c r="E177" s="115" t="s">
        <v>663</v>
      </c>
      <c r="F177" s="115" t="s">
        <v>1624</v>
      </c>
      <c r="G177" s="115" t="s">
        <v>663</v>
      </c>
      <c r="H177" s="116">
        <v>5.65</v>
      </c>
      <c r="I177" s="115" t="s">
        <v>221</v>
      </c>
      <c r="J177" s="116" t="s">
        <v>255</v>
      </c>
      <c r="K177" s="115">
        <v>7.4999999999999997E-2</v>
      </c>
      <c r="L177" s="115">
        <v>9.3000000000000013E-2</v>
      </c>
      <c r="M177" s="110">
        <v>9406.9043452222468</v>
      </c>
      <c r="N177" s="60">
        <v>90.9</v>
      </c>
      <c r="O177" s="83">
        <v>8.5508799999999994</v>
      </c>
      <c r="P177" s="24">
        <v>7.1380391514512629E-4</v>
      </c>
      <c r="Q177" s="24">
        <v>4.5788391008559186E-5</v>
      </c>
      <c r="R177" s="14"/>
    </row>
    <row r="178" spans="1:18" x14ac:dyDescent="0.25">
      <c r="A178" s="16" t="s">
        <v>2037</v>
      </c>
      <c r="B178" s="216" t="s">
        <v>2051</v>
      </c>
      <c r="C178" s="115" t="s">
        <v>1711</v>
      </c>
      <c r="D178" s="115"/>
      <c r="E178" s="115" t="s">
        <v>663</v>
      </c>
      <c r="F178" s="115" t="s">
        <v>384</v>
      </c>
      <c r="G178" s="115" t="s">
        <v>663</v>
      </c>
      <c r="H178" s="116">
        <v>5.67</v>
      </c>
      <c r="I178" s="115" t="s">
        <v>221</v>
      </c>
      <c r="J178" s="116" t="s">
        <v>255</v>
      </c>
      <c r="K178" s="115">
        <v>7.4999999999999997E-2</v>
      </c>
      <c r="L178" s="115">
        <v>6.7299999999999999E-2</v>
      </c>
      <c r="M178" s="110">
        <v>23243.621716163489</v>
      </c>
      <c r="N178" s="60">
        <v>104.11</v>
      </c>
      <c r="O178" s="83">
        <v>24.198930000000001</v>
      </c>
      <c r="P178" s="24">
        <v>2.0200600378350361E-3</v>
      </c>
      <c r="Q178" s="24">
        <v>1.295808231233222E-4</v>
      </c>
      <c r="R178" s="14"/>
    </row>
    <row r="179" spans="1:18" x14ac:dyDescent="0.25">
      <c r="A179" s="16" t="s">
        <v>2037</v>
      </c>
      <c r="B179" s="216" t="s">
        <v>2051</v>
      </c>
      <c r="C179" s="115" t="s">
        <v>1707</v>
      </c>
      <c r="D179" s="115"/>
      <c r="E179" s="115" t="s">
        <v>663</v>
      </c>
      <c r="F179" s="115" t="s">
        <v>1708</v>
      </c>
      <c r="G179" s="115" t="s">
        <v>663</v>
      </c>
      <c r="H179" s="116">
        <v>5.58</v>
      </c>
      <c r="I179" s="115" t="s">
        <v>221</v>
      </c>
      <c r="J179" s="116" t="s">
        <v>255</v>
      </c>
      <c r="K179" s="115">
        <v>7.4999999999999997E-2</v>
      </c>
      <c r="L179" s="115">
        <v>7.0699999999999999E-2</v>
      </c>
      <c r="M179" s="110">
        <v>34263.914725115537</v>
      </c>
      <c r="N179" s="60">
        <v>102.23</v>
      </c>
      <c r="O179" s="83">
        <v>35.027999999999999</v>
      </c>
      <c r="P179" s="24">
        <v>2.9240409805427613E-3</v>
      </c>
      <c r="Q179" s="24">
        <v>1.8756850291991133E-4</v>
      </c>
      <c r="R179" s="14"/>
    </row>
    <row r="180" spans="1:18" x14ac:dyDescent="0.25">
      <c r="A180" s="16" t="s">
        <v>2037</v>
      </c>
      <c r="B180" s="216" t="s">
        <v>2051</v>
      </c>
      <c r="C180" s="115" t="s">
        <v>1650</v>
      </c>
      <c r="D180" s="115"/>
      <c r="E180" s="115" t="s">
        <v>663</v>
      </c>
      <c r="F180" s="115" t="s">
        <v>1651</v>
      </c>
      <c r="G180" s="115" t="s">
        <v>663</v>
      </c>
      <c r="H180" s="116">
        <v>5.77</v>
      </c>
      <c r="I180" s="115" t="s">
        <v>221</v>
      </c>
      <c r="J180" s="116" t="s">
        <v>255</v>
      </c>
      <c r="K180" s="115">
        <v>7.4999999999999997E-2</v>
      </c>
      <c r="L180" s="115">
        <v>8.929999999999999E-2</v>
      </c>
      <c r="M180" s="110">
        <v>29850.919277078629</v>
      </c>
      <c r="N180" s="60">
        <v>92.54</v>
      </c>
      <c r="O180" s="83">
        <v>27.624040000000001</v>
      </c>
      <c r="P180" s="24">
        <v>2.3059787886305946E-3</v>
      </c>
      <c r="Q180" s="24">
        <v>1.4792165774237033E-4</v>
      </c>
      <c r="R180" s="14"/>
    </row>
    <row r="181" spans="1:18" x14ac:dyDescent="0.25">
      <c r="A181" s="16" t="s">
        <v>2037</v>
      </c>
      <c r="B181" s="216" t="s">
        <v>2051</v>
      </c>
      <c r="C181" s="115" t="s">
        <v>1633</v>
      </c>
      <c r="D181" s="115"/>
      <c r="E181" s="115" t="s">
        <v>663</v>
      </c>
      <c r="F181" s="115" t="s">
        <v>1634</v>
      </c>
      <c r="G181" s="115" t="s">
        <v>663</v>
      </c>
      <c r="H181" s="116">
        <v>5.53</v>
      </c>
      <c r="I181" s="115" t="s">
        <v>221</v>
      </c>
      <c r="J181" s="116" t="s">
        <v>255</v>
      </c>
      <c r="K181" s="115">
        <v>7.4999999999999997E-2</v>
      </c>
      <c r="L181" s="115">
        <v>9.3100000000000002E-2</v>
      </c>
      <c r="M181" s="110">
        <v>10504.834356720528</v>
      </c>
      <c r="N181" s="60">
        <v>91.06</v>
      </c>
      <c r="O181" s="83">
        <v>9.5657000000000014</v>
      </c>
      <c r="P181" s="24">
        <v>7.9851829415261775E-4</v>
      </c>
      <c r="Q181" s="24">
        <v>5.1222565615536028E-5</v>
      </c>
      <c r="R181" s="14"/>
    </row>
    <row r="182" spans="1:18" x14ac:dyDescent="0.25">
      <c r="A182" s="16" t="s">
        <v>2037</v>
      </c>
      <c r="B182" s="216" t="s">
        <v>2051</v>
      </c>
      <c r="C182" s="115" t="s">
        <v>1740</v>
      </c>
      <c r="D182" s="115"/>
      <c r="E182" s="115" t="s">
        <v>663</v>
      </c>
      <c r="F182" s="115" t="s">
        <v>1741</v>
      </c>
      <c r="G182" s="115" t="s">
        <v>663</v>
      </c>
      <c r="H182" s="116">
        <v>7.16</v>
      </c>
      <c r="I182" s="115" t="s">
        <v>221</v>
      </c>
      <c r="J182" s="116" t="s">
        <v>255</v>
      </c>
      <c r="K182" s="115">
        <v>7.4999999999999997E-2</v>
      </c>
      <c r="L182" s="115">
        <v>8.6099999999999996E-2</v>
      </c>
      <c r="M182" s="110">
        <v>66847.513509428376</v>
      </c>
      <c r="N182" s="60">
        <v>99.74</v>
      </c>
      <c r="O182" s="83">
        <v>66.673699999999997</v>
      </c>
      <c r="P182" s="24">
        <v>5.5657368712005795E-3</v>
      </c>
      <c r="Q182" s="24">
        <v>3.5702541090359974E-4</v>
      </c>
      <c r="R182" s="14"/>
    </row>
    <row r="183" spans="1:18" x14ac:dyDescent="0.25">
      <c r="A183" s="16" t="s">
        <v>2037</v>
      </c>
      <c r="B183" s="216" t="s">
        <v>2051</v>
      </c>
      <c r="C183" s="115" t="s">
        <v>1709</v>
      </c>
      <c r="D183" s="115"/>
      <c r="E183" s="115" t="s">
        <v>663</v>
      </c>
      <c r="F183" s="115" t="s">
        <v>1708</v>
      </c>
      <c r="G183" s="115" t="s">
        <v>663</v>
      </c>
      <c r="H183" s="116">
        <v>5.72</v>
      </c>
      <c r="I183" s="115" t="s">
        <v>221</v>
      </c>
      <c r="J183" s="116" t="s">
        <v>255</v>
      </c>
      <c r="K183" s="115">
        <v>7.4999999999999997E-2</v>
      </c>
      <c r="L183" s="115">
        <v>6.9599999999999995E-2</v>
      </c>
      <c r="M183" s="110">
        <v>30005.72336634032</v>
      </c>
      <c r="N183" s="60">
        <v>103.25</v>
      </c>
      <c r="O183" s="83">
        <v>30.980900000000002</v>
      </c>
      <c r="P183" s="24">
        <v>2.5862002173717381E-3</v>
      </c>
      <c r="Q183" s="24">
        <v>1.6589702615369079E-4</v>
      </c>
      <c r="R183" s="14"/>
    </row>
    <row r="184" spans="1:18" x14ac:dyDescent="0.25">
      <c r="A184" s="16" t="s">
        <v>2037</v>
      </c>
      <c r="B184" s="216" t="s">
        <v>2051</v>
      </c>
      <c r="C184" s="115" t="s">
        <v>1656</v>
      </c>
      <c r="D184" s="115"/>
      <c r="E184" s="115" t="s">
        <v>663</v>
      </c>
      <c r="F184" s="115" t="s">
        <v>1657</v>
      </c>
      <c r="G184" s="115" t="s">
        <v>663</v>
      </c>
      <c r="H184" s="116">
        <v>5.69</v>
      </c>
      <c r="I184" s="115" t="s">
        <v>221</v>
      </c>
      <c r="J184" s="116" t="s">
        <v>255</v>
      </c>
      <c r="K184" s="115">
        <v>7.4999999999999997E-2</v>
      </c>
      <c r="L184" s="115">
        <v>7.8899999999999998E-2</v>
      </c>
      <c r="M184" s="110">
        <v>9273.4205025523606</v>
      </c>
      <c r="N184" s="60">
        <v>97.9</v>
      </c>
      <c r="O184" s="83">
        <v>9.0786800000000003</v>
      </c>
      <c r="P184" s="24">
        <v>7.5786320569926795E-4</v>
      </c>
      <c r="Q184" s="24">
        <v>4.8614663014986316E-5</v>
      </c>
      <c r="R184" s="14"/>
    </row>
    <row r="185" spans="1:18" x14ac:dyDescent="0.25">
      <c r="A185" s="16" t="s">
        <v>2037</v>
      </c>
      <c r="B185" s="216" t="s">
        <v>2051</v>
      </c>
      <c r="C185" s="115" t="s">
        <v>1718</v>
      </c>
      <c r="D185" s="115"/>
      <c r="E185" s="115" t="s">
        <v>663</v>
      </c>
      <c r="F185" s="115" t="s">
        <v>1100</v>
      </c>
      <c r="G185" s="115" t="s">
        <v>663</v>
      </c>
      <c r="H185" s="116">
        <v>5.72</v>
      </c>
      <c r="I185" s="115" t="s">
        <v>221</v>
      </c>
      <c r="J185" s="116" t="s">
        <v>255</v>
      </c>
      <c r="K185" s="115">
        <v>7.4999999999999997E-2</v>
      </c>
      <c r="L185" s="115">
        <v>6.9699999999999998E-2</v>
      </c>
      <c r="M185" s="110">
        <v>13571.813047744226</v>
      </c>
      <c r="N185" s="60">
        <v>103.5</v>
      </c>
      <c r="O185" s="83">
        <v>14.04682</v>
      </c>
      <c r="P185" s="24">
        <v>1.1725898517274086E-3</v>
      </c>
      <c r="Q185" s="24">
        <v>7.5218139722092861E-5</v>
      </c>
      <c r="R185" s="14"/>
    </row>
    <row r="186" spans="1:18" x14ac:dyDescent="0.25">
      <c r="A186" s="16" t="s">
        <v>2037</v>
      </c>
      <c r="B186" s="216" t="s">
        <v>2051</v>
      </c>
      <c r="C186" s="115" t="s">
        <v>1664</v>
      </c>
      <c r="D186" s="115"/>
      <c r="E186" s="115" t="s">
        <v>663</v>
      </c>
      <c r="F186" s="115" t="s">
        <v>1531</v>
      </c>
      <c r="G186" s="115" t="s">
        <v>663</v>
      </c>
      <c r="H186" s="116">
        <v>6.2</v>
      </c>
      <c r="I186" s="115" t="s">
        <v>221</v>
      </c>
      <c r="J186" s="116" t="s">
        <v>255</v>
      </c>
      <c r="K186" s="115">
        <v>7.4999999999999997E-2</v>
      </c>
      <c r="L186" s="115">
        <v>8.5900000000000004E-2</v>
      </c>
      <c r="M186" s="110">
        <v>11079.884725184051</v>
      </c>
      <c r="N186" s="60">
        <v>93.64</v>
      </c>
      <c r="O186" s="83">
        <v>10.375200000000001</v>
      </c>
      <c r="P186" s="24">
        <v>8.6609312496651995E-4</v>
      </c>
      <c r="Q186" s="24">
        <v>5.555728935407857E-5</v>
      </c>
      <c r="R186" s="14"/>
    </row>
    <row r="187" spans="1:18" x14ac:dyDescent="0.25">
      <c r="A187" s="16" t="s">
        <v>2037</v>
      </c>
      <c r="B187" s="216" t="s">
        <v>2051</v>
      </c>
      <c r="C187" s="115" t="s">
        <v>1727</v>
      </c>
      <c r="D187" s="115"/>
      <c r="E187" s="115" t="s">
        <v>663</v>
      </c>
      <c r="F187" s="115" t="s">
        <v>1726</v>
      </c>
      <c r="G187" s="115" t="s">
        <v>663</v>
      </c>
      <c r="H187" s="116">
        <v>5.53</v>
      </c>
      <c r="I187" s="115" t="s">
        <v>221</v>
      </c>
      <c r="J187" s="116" t="s">
        <v>255</v>
      </c>
      <c r="K187" s="115">
        <v>7.4999999999999997E-2</v>
      </c>
      <c r="L187" s="115">
        <v>8.5699999999999998E-2</v>
      </c>
      <c r="M187" s="110">
        <v>13457.320427835477</v>
      </c>
      <c r="N187" s="60">
        <v>103.43</v>
      </c>
      <c r="O187" s="83">
        <v>13.918899999999999</v>
      </c>
      <c r="P187" s="24">
        <v>1.161911442391134E-3</v>
      </c>
      <c r="Q187" s="24">
        <v>7.4533151629894756E-5</v>
      </c>
      <c r="R187" s="14"/>
    </row>
    <row r="188" spans="1:18" x14ac:dyDescent="0.25">
      <c r="A188" s="16" t="s">
        <v>2037</v>
      </c>
      <c r="B188" s="216" t="s">
        <v>2051</v>
      </c>
      <c r="C188" s="115" t="s">
        <v>1671</v>
      </c>
      <c r="D188" s="115"/>
      <c r="E188" s="115" t="s">
        <v>663</v>
      </c>
      <c r="F188" s="115" t="s">
        <v>1672</v>
      </c>
      <c r="G188" s="115" t="s">
        <v>663</v>
      </c>
      <c r="H188" s="116">
        <v>6.2</v>
      </c>
      <c r="I188" s="115" t="s">
        <v>221</v>
      </c>
      <c r="J188" s="116" t="s">
        <v>255</v>
      </c>
      <c r="K188" s="115">
        <v>7.4999999999999997E-2</v>
      </c>
      <c r="L188" s="115">
        <v>8.5699999999999998E-2</v>
      </c>
      <c r="M188" s="110">
        <v>11040.756371659289</v>
      </c>
      <c r="N188" s="60">
        <v>93.77</v>
      </c>
      <c r="O188" s="83">
        <v>10.35291</v>
      </c>
      <c r="P188" s="24">
        <v>8.6423241714830878E-4</v>
      </c>
      <c r="Q188" s="24">
        <v>5.5437930500302018E-5</v>
      </c>
      <c r="R188" s="14"/>
    </row>
    <row r="189" spans="1:18" x14ac:dyDescent="0.25">
      <c r="A189" s="16" t="s">
        <v>2037</v>
      </c>
      <c r="B189" s="216" t="s">
        <v>2051</v>
      </c>
      <c r="C189" s="115" t="s">
        <v>1721</v>
      </c>
      <c r="D189" s="115"/>
      <c r="E189" s="115" t="s">
        <v>663</v>
      </c>
      <c r="F189" s="115" t="s">
        <v>1722</v>
      </c>
      <c r="G189" s="115" t="s">
        <v>663</v>
      </c>
      <c r="H189" s="116">
        <v>4.28</v>
      </c>
      <c r="I189" s="115" t="s">
        <v>221</v>
      </c>
      <c r="J189" s="116" t="s">
        <v>255</v>
      </c>
      <c r="K189" s="115">
        <v>7.4999999999999997E-2</v>
      </c>
      <c r="L189" s="115">
        <v>9.8900000000000002E-2</v>
      </c>
      <c r="M189" s="110">
        <v>226685.87874841463</v>
      </c>
      <c r="N189" s="60">
        <v>91.41</v>
      </c>
      <c r="O189" s="83">
        <v>207.21356</v>
      </c>
      <c r="P189" s="24">
        <v>1.7297617367938688E-2</v>
      </c>
      <c r="Q189" s="24">
        <v>1.1095905342556019E-3</v>
      </c>
      <c r="R189" s="14"/>
    </row>
    <row r="190" spans="1:18" x14ac:dyDescent="0.25">
      <c r="A190" s="16" t="s">
        <v>2038</v>
      </c>
      <c r="B190" s="216" t="s">
        <v>2051</v>
      </c>
      <c r="C190" s="115" t="s">
        <v>1871</v>
      </c>
      <c r="D190" s="115"/>
      <c r="E190" s="115" t="s">
        <v>663</v>
      </c>
      <c r="F190" s="115" t="s">
        <v>1872</v>
      </c>
      <c r="G190" s="115" t="s">
        <v>663</v>
      </c>
      <c r="H190" s="116">
        <v>4.9400000000000004</v>
      </c>
      <c r="I190" s="115" t="s">
        <v>221</v>
      </c>
      <c r="J190" s="116" t="s">
        <v>255</v>
      </c>
      <c r="K190" s="115">
        <v>0.05</v>
      </c>
      <c r="L190" s="115">
        <v>7.0999999999999994E-2</v>
      </c>
      <c r="M190" s="110">
        <v>80712.026613998038</v>
      </c>
      <c r="N190" s="60">
        <v>95.35</v>
      </c>
      <c r="O190" s="83">
        <v>76.958919999999992</v>
      </c>
      <c r="P190" s="24">
        <v>6.4243187135523561E-3</v>
      </c>
      <c r="Q190" s="24">
        <v>4.1210087389326313E-4</v>
      </c>
      <c r="R190" s="14"/>
    </row>
    <row r="191" spans="1:18" x14ac:dyDescent="0.25">
      <c r="A191" s="16" t="s">
        <v>2038</v>
      </c>
      <c r="B191" s="216" t="s">
        <v>2051</v>
      </c>
      <c r="C191" s="115" t="s">
        <v>1873</v>
      </c>
      <c r="D191" s="115"/>
      <c r="E191" s="115" t="s">
        <v>663</v>
      </c>
      <c r="F191" s="115" t="s">
        <v>1816</v>
      </c>
      <c r="G191" s="115" t="s">
        <v>663</v>
      </c>
      <c r="H191" s="116">
        <v>4.9400000000000004</v>
      </c>
      <c r="I191" s="115" t="s">
        <v>221</v>
      </c>
      <c r="J191" s="116" t="s">
        <v>255</v>
      </c>
      <c r="K191" s="115">
        <v>0.05</v>
      </c>
      <c r="L191" s="115">
        <v>6.7400000000000002E-2</v>
      </c>
      <c r="M191" s="110">
        <v>58704.455098877675</v>
      </c>
      <c r="N191" s="60">
        <v>96.06</v>
      </c>
      <c r="O191" s="83">
        <v>56.391500000000001</v>
      </c>
      <c r="P191" s="24">
        <v>4.7074071301323834E-3</v>
      </c>
      <c r="Q191" s="24">
        <v>3.0196611945895225E-4</v>
      </c>
      <c r="R191" s="14"/>
    </row>
    <row r="192" spans="1:18" x14ac:dyDescent="0.25">
      <c r="A192" s="16" t="s">
        <v>2038</v>
      </c>
      <c r="B192" s="216" t="s">
        <v>2051</v>
      </c>
      <c r="C192" s="115" t="s">
        <v>1874</v>
      </c>
      <c r="D192" s="115"/>
      <c r="E192" s="115" t="s">
        <v>663</v>
      </c>
      <c r="F192" s="115" t="s">
        <v>1722</v>
      </c>
      <c r="G192" s="115" t="s">
        <v>663</v>
      </c>
      <c r="H192" s="116">
        <v>4.9400000000000004</v>
      </c>
      <c r="I192" s="115" t="s">
        <v>202</v>
      </c>
      <c r="J192" s="116" t="s">
        <v>255</v>
      </c>
      <c r="K192" s="115">
        <v>0.05</v>
      </c>
      <c r="L192" s="115">
        <v>4.3899999999999995E-2</v>
      </c>
      <c r="M192" s="110">
        <v>27772.91210543421</v>
      </c>
      <c r="N192" s="60">
        <v>106.41</v>
      </c>
      <c r="O192" s="83">
        <v>29.553150000000002</v>
      </c>
      <c r="P192" s="24">
        <v>2.4670155790832279E-3</v>
      </c>
      <c r="Q192" s="24">
        <v>1.582516872806777E-4</v>
      </c>
      <c r="R192" s="14"/>
    </row>
    <row r="193" spans="1:18" x14ac:dyDescent="0.25">
      <c r="A193" s="16" t="s">
        <v>2038</v>
      </c>
      <c r="B193" s="216" t="s">
        <v>2051</v>
      </c>
      <c r="C193" s="115" t="s">
        <v>1875</v>
      </c>
      <c r="D193" s="115"/>
      <c r="E193" s="115" t="s">
        <v>663</v>
      </c>
      <c r="F193" s="115" t="s">
        <v>1824</v>
      </c>
      <c r="G193" s="115" t="s">
        <v>663</v>
      </c>
      <c r="H193" s="116">
        <v>4.9400000000000004</v>
      </c>
      <c r="I193" s="115" t="s">
        <v>221</v>
      </c>
      <c r="J193" s="116" t="s">
        <v>255</v>
      </c>
      <c r="K193" s="115">
        <v>0.05</v>
      </c>
      <c r="L193" s="115">
        <v>5.3200000000000004E-2</v>
      </c>
      <c r="M193" s="110">
        <v>25069.952313702765</v>
      </c>
      <c r="N193" s="60">
        <v>100.45</v>
      </c>
      <c r="O193" s="83">
        <v>25.182759999999998</v>
      </c>
      <c r="P193" s="24">
        <v>2.1021874569822148E-3</v>
      </c>
      <c r="Q193" s="24">
        <v>1.3484905197531764E-4</v>
      </c>
      <c r="R193" s="14"/>
    </row>
    <row r="194" spans="1:18" x14ac:dyDescent="0.25">
      <c r="A194" s="16" t="s">
        <v>2038</v>
      </c>
      <c r="B194" s="216" t="s">
        <v>2051</v>
      </c>
      <c r="C194" s="115" t="s">
        <v>1815</v>
      </c>
      <c r="D194" s="115"/>
      <c r="E194" s="115" t="s">
        <v>663</v>
      </c>
      <c r="F194" s="115" t="s">
        <v>1816</v>
      </c>
      <c r="G194" s="115" t="s">
        <v>663</v>
      </c>
      <c r="H194" s="116">
        <v>4.96</v>
      </c>
      <c r="I194" s="115" t="s">
        <v>221</v>
      </c>
      <c r="J194" s="116" t="s">
        <v>255</v>
      </c>
      <c r="K194" s="115">
        <v>0.04</v>
      </c>
      <c r="L194" s="115">
        <v>4.7E-2</v>
      </c>
      <c r="M194" s="110">
        <v>11655.552922900617</v>
      </c>
      <c r="N194" s="60">
        <v>100.4</v>
      </c>
      <c r="O194" s="83">
        <v>11.702170000000001</v>
      </c>
      <c r="P194" s="24">
        <v>9.7686492638112614E-4</v>
      </c>
      <c r="Q194" s="24">
        <v>6.2662969847387774E-5</v>
      </c>
      <c r="R194" s="14"/>
    </row>
    <row r="195" spans="1:18" x14ac:dyDescent="0.25">
      <c r="A195" s="16" t="s">
        <v>2038</v>
      </c>
      <c r="B195" s="216" t="s">
        <v>2051</v>
      </c>
      <c r="C195" s="115" t="s">
        <v>1817</v>
      </c>
      <c r="D195" s="115"/>
      <c r="E195" s="115" t="s">
        <v>663</v>
      </c>
      <c r="F195" s="115" t="s">
        <v>1722</v>
      </c>
      <c r="G195" s="115" t="s">
        <v>663</v>
      </c>
      <c r="H195" s="116">
        <v>4.9400000000000004</v>
      </c>
      <c r="I195" s="115" t="s">
        <v>202</v>
      </c>
      <c r="J195" s="116" t="s">
        <v>255</v>
      </c>
      <c r="K195" s="115">
        <v>0.04</v>
      </c>
      <c r="L195" s="115">
        <v>3.4200000000000001E-2</v>
      </c>
      <c r="M195" s="110">
        <v>12308.429078230534</v>
      </c>
      <c r="N195" s="60">
        <v>106.33</v>
      </c>
      <c r="O195" s="83">
        <v>13.087540000000001</v>
      </c>
      <c r="P195" s="24">
        <v>1.0925117989748947E-3</v>
      </c>
      <c r="Q195" s="24">
        <v>7.0081371608554768E-5</v>
      </c>
      <c r="R195" s="14"/>
    </row>
    <row r="196" spans="1:18" x14ac:dyDescent="0.25">
      <c r="A196" s="16" t="s">
        <v>2038</v>
      </c>
      <c r="B196" s="216" t="s">
        <v>2051</v>
      </c>
      <c r="C196" s="115" t="s">
        <v>1823</v>
      </c>
      <c r="D196" s="115"/>
      <c r="E196" s="115" t="s">
        <v>663</v>
      </c>
      <c r="F196" s="115" t="s">
        <v>1824</v>
      </c>
      <c r="G196" s="115" t="s">
        <v>663</v>
      </c>
      <c r="H196" s="116">
        <v>4.46</v>
      </c>
      <c r="I196" s="115" t="s">
        <v>221</v>
      </c>
      <c r="J196" s="116" t="s">
        <v>255</v>
      </c>
      <c r="K196" s="115">
        <v>0.04</v>
      </c>
      <c r="L196" s="115">
        <v>4.1700000000000001E-2</v>
      </c>
      <c r="M196" s="110">
        <v>11138.920056783489</v>
      </c>
      <c r="N196" s="60">
        <v>101.27</v>
      </c>
      <c r="O196" s="83">
        <v>11.280379999999999</v>
      </c>
      <c r="P196" s="24">
        <v>9.4165505869861119E-4</v>
      </c>
      <c r="Q196" s="24">
        <v>6.0404361909549766E-5</v>
      </c>
      <c r="R196" s="14"/>
    </row>
    <row r="197" spans="1:18" x14ac:dyDescent="0.25">
      <c r="A197" s="16" t="s">
        <v>2038</v>
      </c>
      <c r="B197" s="216" t="s">
        <v>2051</v>
      </c>
      <c r="C197" s="115" t="s">
        <v>1867</v>
      </c>
      <c r="D197" s="115"/>
      <c r="E197" s="115" t="s">
        <v>663</v>
      </c>
      <c r="F197" s="115" t="s">
        <v>1668</v>
      </c>
      <c r="G197" s="115" t="s">
        <v>663</v>
      </c>
      <c r="H197" s="116">
        <v>1.0900000000000001</v>
      </c>
      <c r="I197" s="115" t="s">
        <v>221</v>
      </c>
      <c r="J197" s="116" t="s">
        <v>255</v>
      </c>
      <c r="K197" s="115">
        <v>6.5000000000000002E-2</v>
      </c>
      <c r="L197" s="115">
        <v>7.1099999999999997E-2</v>
      </c>
      <c r="M197" s="110">
        <v>455.06960654760843</v>
      </c>
      <c r="N197" s="60">
        <v>105.35</v>
      </c>
      <c r="O197" s="83">
        <v>0.47941</v>
      </c>
      <c r="P197" s="24">
        <v>4.0019826609626733E-5</v>
      </c>
      <c r="Q197" s="24">
        <v>2.567152449036048E-6</v>
      </c>
      <c r="R197" s="14"/>
    </row>
    <row r="198" spans="1:18" x14ac:dyDescent="0.25">
      <c r="A198" s="16" t="s">
        <v>2038</v>
      </c>
      <c r="B198" s="216" t="s">
        <v>2051</v>
      </c>
      <c r="C198" s="115" t="s">
        <v>1870</v>
      </c>
      <c r="D198" s="115"/>
      <c r="E198" s="115" t="s">
        <v>663</v>
      </c>
      <c r="F198" s="115" t="s">
        <v>1869</v>
      </c>
      <c r="G198" s="115" t="s">
        <v>663</v>
      </c>
      <c r="H198" s="116">
        <v>1.0900000000000001</v>
      </c>
      <c r="I198" s="115" t="s">
        <v>221</v>
      </c>
      <c r="J198" s="116" t="s">
        <v>255</v>
      </c>
      <c r="K198" s="115">
        <v>6.5000000000000002E-2</v>
      </c>
      <c r="L198" s="115">
        <v>6.1399999999999996E-2</v>
      </c>
      <c r="M198" s="110">
        <v>869.62996789953695</v>
      </c>
      <c r="N198" s="60">
        <v>105.11</v>
      </c>
      <c r="O198" s="83">
        <v>0.91407000000000005</v>
      </c>
      <c r="P198" s="24">
        <v>7.6304046450974137E-5</v>
      </c>
      <c r="Q198" s="24">
        <v>4.8946768717598313E-6</v>
      </c>
      <c r="R198" s="14"/>
    </row>
    <row r="199" spans="1:18" x14ac:dyDescent="0.25">
      <c r="A199" s="16" t="s">
        <v>2038</v>
      </c>
      <c r="B199" s="216" t="s">
        <v>2051</v>
      </c>
      <c r="C199" s="115" t="s">
        <v>1848</v>
      </c>
      <c r="D199" s="115"/>
      <c r="E199" s="115" t="s">
        <v>663</v>
      </c>
      <c r="F199" s="115" t="s">
        <v>1845</v>
      </c>
      <c r="G199" s="115" t="s">
        <v>663</v>
      </c>
      <c r="H199" s="116">
        <v>1.1399999999999999</v>
      </c>
      <c r="I199" s="115" t="s">
        <v>221</v>
      </c>
      <c r="J199" s="116" t="s">
        <v>255</v>
      </c>
      <c r="K199" s="115">
        <v>6.5000000000000002E-2</v>
      </c>
      <c r="L199" s="115">
        <v>7.0999999999999994E-2</v>
      </c>
      <c r="M199" s="110">
        <v>149.62998197373125</v>
      </c>
      <c r="N199" s="60">
        <v>111.23</v>
      </c>
      <c r="O199" s="83">
        <v>0.16642999999999999</v>
      </c>
      <c r="P199" s="24">
        <v>1.3893118088150389E-5</v>
      </c>
      <c r="Q199" s="24">
        <v>8.9120206523240955E-7</v>
      </c>
      <c r="R199" s="14"/>
    </row>
    <row r="200" spans="1:18" x14ac:dyDescent="0.25">
      <c r="A200" s="16" t="s">
        <v>2038</v>
      </c>
      <c r="B200" s="216" t="s">
        <v>2051</v>
      </c>
      <c r="C200" s="115" t="s">
        <v>1849</v>
      </c>
      <c r="D200" s="115"/>
      <c r="E200" s="115" t="s">
        <v>663</v>
      </c>
      <c r="F200" s="115" t="s">
        <v>1850</v>
      </c>
      <c r="G200" s="115" t="s">
        <v>663</v>
      </c>
      <c r="H200" s="116">
        <v>1.1399999999999999</v>
      </c>
      <c r="I200" s="115" t="s">
        <v>221</v>
      </c>
      <c r="J200" s="116" t="s">
        <v>255</v>
      </c>
      <c r="K200" s="115">
        <v>6.5000000000000002E-2</v>
      </c>
      <c r="L200" s="115">
        <v>7.0999999999999994E-2</v>
      </c>
      <c r="M200" s="110">
        <v>473.23135866059357</v>
      </c>
      <c r="N200" s="60">
        <v>111.34</v>
      </c>
      <c r="O200" s="83">
        <v>0.52688999999999997</v>
      </c>
      <c r="P200" s="24">
        <v>4.398332626008266E-5</v>
      </c>
      <c r="Q200" s="24">
        <v>2.8213991236574192E-6</v>
      </c>
      <c r="R200" s="14"/>
    </row>
    <row r="201" spans="1:18" x14ac:dyDescent="0.25">
      <c r="A201" s="16" t="s">
        <v>2038</v>
      </c>
      <c r="B201" s="216" t="s">
        <v>2051</v>
      </c>
      <c r="C201" s="115" t="s">
        <v>1854</v>
      </c>
      <c r="D201" s="115"/>
      <c r="E201" s="115" t="s">
        <v>663</v>
      </c>
      <c r="F201" s="115" t="s">
        <v>1853</v>
      </c>
      <c r="G201" s="115" t="s">
        <v>663</v>
      </c>
      <c r="H201" s="116">
        <v>1.1399999999999999</v>
      </c>
      <c r="I201" s="115" t="s">
        <v>221</v>
      </c>
      <c r="J201" s="116" t="s">
        <v>255</v>
      </c>
      <c r="K201" s="115">
        <v>6.5000000000000002E-2</v>
      </c>
      <c r="L201" s="115">
        <v>7.1099999999999997E-2</v>
      </c>
      <c r="M201" s="110">
        <v>524.99856651793948</v>
      </c>
      <c r="N201" s="60">
        <v>111.34</v>
      </c>
      <c r="O201" s="83">
        <v>0.58451999999999993</v>
      </c>
      <c r="P201" s="24">
        <v>4.8794119959656697E-5</v>
      </c>
      <c r="Q201" s="24">
        <v>3.129997183017773E-6</v>
      </c>
      <c r="R201" s="14"/>
    </row>
    <row r="202" spans="1:18" x14ac:dyDescent="0.25">
      <c r="A202" s="16" t="s">
        <v>2038</v>
      </c>
      <c r="B202" s="216" t="s">
        <v>2051</v>
      </c>
      <c r="C202" s="115" t="s">
        <v>1856</v>
      </c>
      <c r="D202" s="115"/>
      <c r="E202" s="115" t="s">
        <v>663</v>
      </c>
      <c r="F202" s="115" t="s">
        <v>1602</v>
      </c>
      <c r="G202" s="115" t="s">
        <v>663</v>
      </c>
      <c r="H202" s="116">
        <v>1.1399999999999999</v>
      </c>
      <c r="I202" s="115" t="s">
        <v>221</v>
      </c>
      <c r="J202" s="116" t="s">
        <v>255</v>
      </c>
      <c r="K202" s="115">
        <v>6.5000000000000002E-2</v>
      </c>
      <c r="L202" s="115">
        <v>7.0999999999999994E-2</v>
      </c>
      <c r="M202" s="110">
        <v>1128.47256253775</v>
      </c>
      <c r="N202" s="60">
        <v>110.04</v>
      </c>
      <c r="O202" s="83">
        <v>1.24177</v>
      </c>
      <c r="P202" s="24">
        <v>1.0365954003678728E-4</v>
      </c>
      <c r="Q202" s="24">
        <v>6.6494501504755711E-6</v>
      </c>
      <c r="R202" s="14"/>
    </row>
    <row r="203" spans="1:18" x14ac:dyDescent="0.25">
      <c r="A203" s="16" t="s">
        <v>2038</v>
      </c>
      <c r="B203" s="216" t="s">
        <v>2051</v>
      </c>
      <c r="C203" s="115" t="s">
        <v>1859</v>
      </c>
      <c r="D203" s="115"/>
      <c r="E203" s="115" t="s">
        <v>663</v>
      </c>
      <c r="F203" s="115" t="s">
        <v>1858</v>
      </c>
      <c r="G203" s="115" t="s">
        <v>663</v>
      </c>
      <c r="H203" s="116">
        <v>1.1399999999999999</v>
      </c>
      <c r="I203" s="115" t="s">
        <v>221</v>
      </c>
      <c r="J203" s="116" t="s">
        <v>255</v>
      </c>
      <c r="K203" s="115">
        <v>6.5000000000000002E-2</v>
      </c>
      <c r="L203" s="115">
        <v>7.0999999999999994E-2</v>
      </c>
      <c r="M203" s="110">
        <v>691.72407565931223</v>
      </c>
      <c r="N203" s="60">
        <v>109.19</v>
      </c>
      <c r="O203" s="83">
        <v>0.75529000000000002</v>
      </c>
      <c r="P203" s="24">
        <v>6.3049529296395517E-5</v>
      </c>
      <c r="Q203" s="24">
        <v>4.0444391506903002E-6</v>
      </c>
      <c r="R203" s="14"/>
    </row>
    <row r="204" spans="1:18" x14ac:dyDescent="0.25">
      <c r="A204" s="16" t="s">
        <v>2038</v>
      </c>
      <c r="B204" s="216" t="s">
        <v>2051</v>
      </c>
      <c r="C204" s="115" t="s">
        <v>1862</v>
      </c>
      <c r="D204" s="115"/>
      <c r="E204" s="115" t="s">
        <v>663</v>
      </c>
      <c r="F204" s="115" t="s">
        <v>1861</v>
      </c>
      <c r="G204" s="115" t="s">
        <v>663</v>
      </c>
      <c r="H204" s="116">
        <v>1.1399999999999999</v>
      </c>
      <c r="I204" s="115" t="s">
        <v>221</v>
      </c>
      <c r="J204" s="116" t="s">
        <v>255</v>
      </c>
      <c r="K204" s="115">
        <v>6.5000000000000002E-2</v>
      </c>
      <c r="L204" s="115">
        <v>7.0999999999999994E-2</v>
      </c>
      <c r="M204" s="110">
        <v>374.79317384513615</v>
      </c>
      <c r="N204" s="60">
        <v>109.1</v>
      </c>
      <c r="O204" s="83">
        <v>0.40889999999999999</v>
      </c>
      <c r="P204" s="24">
        <v>3.4133845978757993E-5</v>
      </c>
      <c r="Q204" s="24">
        <v>2.1895843566276046E-6</v>
      </c>
      <c r="R204" s="14"/>
    </row>
    <row r="205" spans="1:18" x14ac:dyDescent="0.25">
      <c r="A205" s="16" t="s">
        <v>2038</v>
      </c>
      <c r="B205" s="216" t="s">
        <v>2051</v>
      </c>
      <c r="C205" s="115" t="s">
        <v>1865</v>
      </c>
      <c r="D205" s="115"/>
      <c r="E205" s="115" t="s">
        <v>663</v>
      </c>
      <c r="F205" s="115" t="s">
        <v>1864</v>
      </c>
      <c r="G205" s="115" t="s">
        <v>663</v>
      </c>
      <c r="H205" s="116">
        <v>1.1399999999999999</v>
      </c>
      <c r="I205" s="115" t="s">
        <v>221</v>
      </c>
      <c r="J205" s="116" t="s">
        <v>255</v>
      </c>
      <c r="K205" s="115">
        <v>6.5000000000000002E-2</v>
      </c>
      <c r="L205" s="115">
        <v>7.0999999999999994E-2</v>
      </c>
      <c r="M205" s="110">
        <v>719.90941713968255</v>
      </c>
      <c r="N205" s="60">
        <v>107.96</v>
      </c>
      <c r="O205" s="83">
        <v>0.77721000000000007</v>
      </c>
      <c r="P205" s="24">
        <v>6.4879350533505759E-5</v>
      </c>
      <c r="Q205" s="24">
        <v>4.1618167224615821E-6</v>
      </c>
      <c r="R205" s="14"/>
    </row>
    <row r="206" spans="1:18" x14ac:dyDescent="0.25">
      <c r="A206" s="16" t="s">
        <v>2038</v>
      </c>
      <c r="B206" s="216" t="s">
        <v>2051</v>
      </c>
      <c r="C206" s="115" t="s">
        <v>1844</v>
      </c>
      <c r="D206" s="115"/>
      <c r="E206" s="115" t="s">
        <v>663</v>
      </c>
      <c r="F206" s="115" t="s">
        <v>1845</v>
      </c>
      <c r="G206" s="115" t="s">
        <v>663</v>
      </c>
      <c r="H206" s="116">
        <v>1.0900000000000001</v>
      </c>
      <c r="I206" s="115" t="s">
        <v>221</v>
      </c>
      <c r="J206" s="116" t="s">
        <v>255</v>
      </c>
      <c r="K206" s="115">
        <v>6.5000000000000002E-2</v>
      </c>
      <c r="L206" s="115">
        <v>7.0499999999999993E-2</v>
      </c>
      <c r="M206" s="110">
        <v>511.37528919425108</v>
      </c>
      <c r="N206" s="60">
        <v>112.41</v>
      </c>
      <c r="O206" s="83">
        <v>0.57484000000000002</v>
      </c>
      <c r="P206" s="24">
        <v>4.798606021626131E-5</v>
      </c>
      <c r="Q206" s="24">
        <v>3.0781625619070982E-6</v>
      </c>
      <c r="R206" s="14"/>
    </row>
    <row r="207" spans="1:18" x14ac:dyDescent="0.25">
      <c r="A207" s="16" t="s">
        <v>2038</v>
      </c>
      <c r="B207" s="216" t="s">
        <v>2051</v>
      </c>
      <c r="C207" s="115" t="s">
        <v>1866</v>
      </c>
      <c r="D207" s="115"/>
      <c r="E207" s="115" t="s">
        <v>663</v>
      </c>
      <c r="F207" s="115" t="s">
        <v>1668</v>
      </c>
      <c r="G207" s="115" t="s">
        <v>663</v>
      </c>
      <c r="H207" s="116">
        <v>1.0900000000000001</v>
      </c>
      <c r="I207" s="115" t="s">
        <v>221</v>
      </c>
      <c r="J207" s="116" t="s">
        <v>255</v>
      </c>
      <c r="K207" s="115">
        <v>6.5000000000000002E-2</v>
      </c>
      <c r="L207" s="115">
        <v>7.0599999999999996E-2</v>
      </c>
      <c r="M207" s="110">
        <v>570.6694521644414</v>
      </c>
      <c r="N207" s="60">
        <v>106.64</v>
      </c>
      <c r="O207" s="83">
        <v>0.60855999999999999</v>
      </c>
      <c r="P207" s="24">
        <v>5.080091295875022E-5</v>
      </c>
      <c r="Q207" s="24">
        <v>3.2587269651975917E-6</v>
      </c>
      <c r="R207" s="14"/>
    </row>
    <row r="208" spans="1:18" x14ac:dyDescent="0.25">
      <c r="A208" s="16" t="s">
        <v>2038</v>
      </c>
      <c r="B208" s="216" t="s">
        <v>2051</v>
      </c>
      <c r="C208" s="115" t="s">
        <v>1868</v>
      </c>
      <c r="D208" s="115"/>
      <c r="E208" s="115" t="s">
        <v>663</v>
      </c>
      <c r="F208" s="115" t="s">
        <v>1869</v>
      </c>
      <c r="G208" s="115" t="s">
        <v>663</v>
      </c>
      <c r="H208" s="116">
        <v>1.0900000000000001</v>
      </c>
      <c r="I208" s="115" t="s">
        <v>221</v>
      </c>
      <c r="J208" s="116" t="s">
        <v>255</v>
      </c>
      <c r="K208" s="115">
        <v>6.5000000000000002E-2</v>
      </c>
      <c r="L208" s="115">
        <v>7.0599999999999996E-2</v>
      </c>
      <c r="M208" s="110">
        <v>709.10191329787222</v>
      </c>
      <c r="N208" s="60">
        <v>105.34</v>
      </c>
      <c r="O208" s="83">
        <v>0.74697000000000002</v>
      </c>
      <c r="P208" s="24">
        <v>6.2354998607857328E-5</v>
      </c>
      <c r="Q208" s="24">
        <v>3.999887079653025E-6</v>
      </c>
      <c r="R208" s="14"/>
    </row>
    <row r="209" spans="1:18" x14ac:dyDescent="0.25">
      <c r="A209" s="16" t="s">
        <v>2038</v>
      </c>
      <c r="B209" s="216" t="s">
        <v>2051</v>
      </c>
      <c r="C209" s="115" t="s">
        <v>1846</v>
      </c>
      <c r="D209" s="115"/>
      <c r="E209" s="115" t="s">
        <v>663</v>
      </c>
      <c r="F209" s="115" t="s">
        <v>1845</v>
      </c>
      <c r="G209" s="115" t="s">
        <v>663</v>
      </c>
      <c r="H209" s="116">
        <v>1.0900000000000001</v>
      </c>
      <c r="I209" s="115" t="s">
        <v>221</v>
      </c>
      <c r="J209" s="116" t="s">
        <v>255</v>
      </c>
      <c r="K209" s="115">
        <v>6.5000000000000002E-2</v>
      </c>
      <c r="L209" s="115">
        <v>7.0400000000000004E-2</v>
      </c>
      <c r="M209" s="110">
        <v>158.23657697191965</v>
      </c>
      <c r="N209" s="60">
        <v>112.75</v>
      </c>
      <c r="O209" s="83">
        <v>0.1784</v>
      </c>
      <c r="P209" s="24">
        <v>1.4892340725386223E-5</v>
      </c>
      <c r="Q209" s="24">
        <v>9.5529921551079665E-7</v>
      </c>
      <c r="R209" s="14"/>
    </row>
    <row r="210" spans="1:18" x14ac:dyDescent="0.25">
      <c r="A210" s="16" t="s">
        <v>2038</v>
      </c>
      <c r="B210" s="216" t="s">
        <v>2051</v>
      </c>
      <c r="C210" s="115" t="s">
        <v>1847</v>
      </c>
      <c r="D210" s="115"/>
      <c r="E210" s="115" t="s">
        <v>663</v>
      </c>
      <c r="F210" s="115" t="s">
        <v>1845</v>
      </c>
      <c r="G210" s="115" t="s">
        <v>663</v>
      </c>
      <c r="H210" s="116">
        <v>1.0900000000000001</v>
      </c>
      <c r="I210" s="115" t="s">
        <v>221</v>
      </c>
      <c r="J210" s="116" t="s">
        <v>255</v>
      </c>
      <c r="K210" s="115">
        <v>6.5000000000000002E-2</v>
      </c>
      <c r="L210" s="115">
        <v>7.0499999999999993E-2</v>
      </c>
      <c r="M210" s="110">
        <v>398.09353535943427</v>
      </c>
      <c r="N210" s="60">
        <v>112.63</v>
      </c>
      <c r="O210" s="83">
        <v>0.44836999999999999</v>
      </c>
      <c r="P210" s="24">
        <v>3.7428692887003484E-5</v>
      </c>
      <c r="Q210" s="24">
        <v>2.4009389532431382E-6</v>
      </c>
      <c r="R210" s="14"/>
    </row>
    <row r="211" spans="1:18" x14ac:dyDescent="0.25">
      <c r="A211" s="16" t="s">
        <v>2038</v>
      </c>
      <c r="B211" s="216" t="s">
        <v>2051</v>
      </c>
      <c r="C211" s="115" t="s">
        <v>1851</v>
      </c>
      <c r="D211" s="115"/>
      <c r="E211" s="115" t="s">
        <v>663</v>
      </c>
      <c r="F211" s="115" t="s">
        <v>1850</v>
      </c>
      <c r="G211" s="115" t="s">
        <v>663</v>
      </c>
      <c r="H211" s="116">
        <v>1.0900000000000001</v>
      </c>
      <c r="I211" s="115" t="s">
        <v>221</v>
      </c>
      <c r="J211" s="116" t="s">
        <v>255</v>
      </c>
      <c r="K211" s="115">
        <v>6.5000000000000002E-2</v>
      </c>
      <c r="L211" s="115">
        <v>7.0499999999999993E-2</v>
      </c>
      <c r="M211" s="110">
        <v>460.27542335244937</v>
      </c>
      <c r="N211" s="60">
        <v>112.63</v>
      </c>
      <c r="O211" s="83">
        <v>0.51839999999999997</v>
      </c>
      <c r="P211" s="24">
        <v>4.327460443968732E-5</v>
      </c>
      <c r="Q211" s="24">
        <v>2.7759367338609693E-6</v>
      </c>
      <c r="R211" s="14"/>
    </row>
    <row r="212" spans="1:18" x14ac:dyDescent="0.25">
      <c r="A212" s="16" t="s">
        <v>2038</v>
      </c>
      <c r="B212" s="216" t="s">
        <v>2051</v>
      </c>
      <c r="C212" s="115" t="s">
        <v>1852</v>
      </c>
      <c r="D212" s="115"/>
      <c r="E212" s="115" t="s">
        <v>663</v>
      </c>
      <c r="F212" s="115" t="s">
        <v>1853</v>
      </c>
      <c r="G212" s="115" t="s">
        <v>663</v>
      </c>
      <c r="H212" s="116">
        <v>1.0900000000000001</v>
      </c>
      <c r="I212" s="115" t="s">
        <v>221</v>
      </c>
      <c r="J212" s="116" t="s">
        <v>255</v>
      </c>
      <c r="K212" s="115">
        <v>6.5000000000000002E-2</v>
      </c>
      <c r="L212" s="115">
        <v>7.0499999999999993E-2</v>
      </c>
      <c r="M212" s="110">
        <v>604.04663971112609</v>
      </c>
      <c r="N212" s="60">
        <v>112.52</v>
      </c>
      <c r="O212" s="83">
        <v>0.67965999999999993</v>
      </c>
      <c r="P212" s="24">
        <v>5.6736145164887896E-5</v>
      </c>
      <c r="Q212" s="24">
        <v>3.6394543991819951E-6</v>
      </c>
      <c r="R212" s="14"/>
    </row>
    <row r="213" spans="1:18" x14ac:dyDescent="0.25">
      <c r="A213" s="16" t="s">
        <v>2038</v>
      </c>
      <c r="B213" s="216" t="s">
        <v>2051</v>
      </c>
      <c r="C213" s="115" t="s">
        <v>1855</v>
      </c>
      <c r="D213" s="115"/>
      <c r="E213" s="115" t="s">
        <v>663</v>
      </c>
      <c r="F213" s="115" t="s">
        <v>1602</v>
      </c>
      <c r="G213" s="115" t="s">
        <v>663</v>
      </c>
      <c r="H213" s="116">
        <v>1.0900000000000001</v>
      </c>
      <c r="I213" s="115" t="s">
        <v>221</v>
      </c>
      <c r="J213" s="116" t="s">
        <v>255</v>
      </c>
      <c r="K213" s="115">
        <v>6.5000000000000002E-2</v>
      </c>
      <c r="L213" s="115">
        <v>7.0499999999999993E-2</v>
      </c>
      <c r="M213" s="110">
        <v>323.42867259969375</v>
      </c>
      <c r="N213" s="60">
        <v>111.08</v>
      </c>
      <c r="O213" s="83">
        <v>0.35925999999999997</v>
      </c>
      <c r="P213" s="24">
        <v>2.9990035476470038E-5</v>
      </c>
      <c r="Q213" s="24">
        <v>1.9237712789484794E-6</v>
      </c>
      <c r="R213" s="14"/>
    </row>
    <row r="214" spans="1:18" x14ac:dyDescent="0.25">
      <c r="A214" s="16" t="s">
        <v>2038</v>
      </c>
      <c r="B214" s="216" t="s">
        <v>2051</v>
      </c>
      <c r="C214" s="115" t="s">
        <v>1857</v>
      </c>
      <c r="D214" s="115"/>
      <c r="E214" s="115" t="s">
        <v>663</v>
      </c>
      <c r="F214" s="115" t="s">
        <v>1858</v>
      </c>
      <c r="G214" s="115" t="s">
        <v>663</v>
      </c>
      <c r="H214" s="116">
        <v>1.0900000000000001</v>
      </c>
      <c r="I214" s="115" t="s">
        <v>221</v>
      </c>
      <c r="J214" s="116" t="s">
        <v>255</v>
      </c>
      <c r="K214" s="115">
        <v>6.5000000000000002E-2</v>
      </c>
      <c r="L214" s="115">
        <v>7.0599999999999996E-2</v>
      </c>
      <c r="M214" s="110">
        <v>735.42729289636929</v>
      </c>
      <c r="N214" s="60">
        <v>110.19</v>
      </c>
      <c r="O214" s="83">
        <v>0.81037000000000003</v>
      </c>
      <c r="P214" s="24">
        <v>6.7647456018112294E-5</v>
      </c>
      <c r="Q214" s="24">
        <v>4.3393824286630283E-6</v>
      </c>
      <c r="R214" s="14"/>
    </row>
    <row r="215" spans="1:18" x14ac:dyDescent="0.25">
      <c r="A215" s="16" t="s">
        <v>2038</v>
      </c>
      <c r="B215" s="216" t="s">
        <v>2051</v>
      </c>
      <c r="C215" s="115" t="s">
        <v>1860</v>
      </c>
      <c r="D215" s="115"/>
      <c r="E215" s="115" t="s">
        <v>663</v>
      </c>
      <c r="F215" s="115" t="s">
        <v>1861</v>
      </c>
      <c r="G215" s="115" t="s">
        <v>663</v>
      </c>
      <c r="H215" s="116">
        <v>1.0900000000000001</v>
      </c>
      <c r="I215" s="115" t="s">
        <v>221</v>
      </c>
      <c r="J215" s="116" t="s">
        <v>255</v>
      </c>
      <c r="K215" s="115">
        <v>6.5000000000000002E-2</v>
      </c>
      <c r="L215" s="115">
        <v>7.0699999999999999E-2</v>
      </c>
      <c r="M215" s="110">
        <v>474.8782565465059</v>
      </c>
      <c r="N215" s="60">
        <v>109.97</v>
      </c>
      <c r="O215" s="83">
        <v>0.52222000000000002</v>
      </c>
      <c r="P215" s="24">
        <v>4.359348752024212E-5</v>
      </c>
      <c r="Q215" s="24">
        <v>2.7963921318612567E-6</v>
      </c>
      <c r="R215" s="14"/>
    </row>
    <row r="216" spans="1:18" x14ac:dyDescent="0.25">
      <c r="A216" s="16" t="s">
        <v>2038</v>
      </c>
      <c r="B216" s="216" t="s">
        <v>2051</v>
      </c>
      <c r="C216" s="115" t="s">
        <v>1863</v>
      </c>
      <c r="D216" s="115"/>
      <c r="E216" s="115" t="s">
        <v>663</v>
      </c>
      <c r="F216" s="115" t="s">
        <v>1864</v>
      </c>
      <c r="G216" s="115" t="s">
        <v>663</v>
      </c>
      <c r="H216" s="116">
        <v>1.0900000000000001</v>
      </c>
      <c r="I216" s="115" t="s">
        <v>221</v>
      </c>
      <c r="J216" s="116" t="s">
        <v>255</v>
      </c>
      <c r="K216" s="115">
        <v>6.5000000000000002E-2</v>
      </c>
      <c r="L216" s="115">
        <v>7.0599999999999996E-2</v>
      </c>
      <c r="M216" s="110">
        <v>881.25383487531656</v>
      </c>
      <c r="N216" s="60">
        <v>108.7</v>
      </c>
      <c r="O216" s="83">
        <v>0.95791999999999999</v>
      </c>
      <c r="P216" s="24">
        <v>7.9964523697656782E-5</v>
      </c>
      <c r="Q216" s="24">
        <v>5.1294855634646984E-6</v>
      </c>
      <c r="R216" s="14"/>
    </row>
    <row r="217" spans="1:18" x14ac:dyDescent="0.25">
      <c r="A217" s="16" t="s">
        <v>2039</v>
      </c>
      <c r="B217" s="115" t="s">
        <v>1565</v>
      </c>
      <c r="C217" s="115" t="s">
        <v>1830</v>
      </c>
      <c r="D217" s="115"/>
      <c r="E217" s="115" t="s">
        <v>663</v>
      </c>
      <c r="F217" s="115" t="s">
        <v>396</v>
      </c>
      <c r="G217" s="115" t="s">
        <v>663</v>
      </c>
      <c r="H217" s="116">
        <v>8.86</v>
      </c>
      <c r="I217" s="115" t="s">
        <v>225</v>
      </c>
      <c r="J217" s="116" t="s">
        <v>255</v>
      </c>
      <c r="K217" s="115">
        <v>3.9399999999999998E-2</v>
      </c>
      <c r="L217" s="115">
        <v>4.0300000000000002E-2</v>
      </c>
      <c r="M217" s="110">
        <v>640.0044922370638</v>
      </c>
      <c r="N217" s="60">
        <v>100</v>
      </c>
      <c r="O217" s="83">
        <v>0.64</v>
      </c>
      <c r="P217" s="24">
        <v>5.3425437579860893E-5</v>
      </c>
      <c r="Q217" s="24">
        <v>3.4270823874826783E-6</v>
      </c>
      <c r="R217" s="14"/>
    </row>
    <row r="218" spans="1:18" x14ac:dyDescent="0.25">
      <c r="A218" s="16" t="s">
        <v>2039</v>
      </c>
      <c r="B218" s="115" t="s">
        <v>1565</v>
      </c>
      <c r="C218" s="115" t="s">
        <v>1831</v>
      </c>
      <c r="D218" s="115"/>
      <c r="E218" s="115" t="s">
        <v>663</v>
      </c>
      <c r="F218" s="115" t="s">
        <v>396</v>
      </c>
      <c r="G218" s="115" t="s">
        <v>663</v>
      </c>
      <c r="H218" s="116">
        <v>8.2899999999999991</v>
      </c>
      <c r="I218" s="115" t="s">
        <v>225</v>
      </c>
      <c r="J218" s="116" t="s">
        <v>255</v>
      </c>
      <c r="K218" s="115">
        <v>3.9399999999999998E-2</v>
      </c>
      <c r="L218" s="115">
        <v>4.0399999999999998E-2</v>
      </c>
      <c r="M218" s="110">
        <v>291.47008814962641</v>
      </c>
      <c r="N218" s="60">
        <v>100</v>
      </c>
      <c r="O218" s="83">
        <v>0.29147000000000001</v>
      </c>
      <c r="P218" s="24">
        <v>2.4331112955315712E-5</v>
      </c>
      <c r="Q218" s="24">
        <v>1.5607682866868379E-6</v>
      </c>
      <c r="R218" s="14"/>
    </row>
    <row r="219" spans="1:18" x14ac:dyDescent="0.25">
      <c r="A219" s="16" t="s">
        <v>2039</v>
      </c>
      <c r="B219" s="115" t="s">
        <v>1565</v>
      </c>
      <c r="C219" s="115" t="s">
        <v>1832</v>
      </c>
      <c r="D219" s="115"/>
      <c r="E219" s="115" t="s">
        <v>663</v>
      </c>
      <c r="F219" s="115" t="s">
        <v>396</v>
      </c>
      <c r="G219" s="115" t="s">
        <v>663</v>
      </c>
      <c r="H219" s="116">
        <v>8.7100000000000009</v>
      </c>
      <c r="I219" s="115" t="s">
        <v>225</v>
      </c>
      <c r="J219" s="116" t="s">
        <v>255</v>
      </c>
      <c r="K219" s="115">
        <v>3.9300000000000002E-2</v>
      </c>
      <c r="L219" s="115">
        <v>4.0099999999999997E-2</v>
      </c>
      <c r="M219" s="110">
        <v>864.74892915599548</v>
      </c>
      <c r="N219" s="60">
        <v>100</v>
      </c>
      <c r="O219" s="83">
        <v>0.86475000000000002</v>
      </c>
      <c r="P219" s="24">
        <v>7.2186948667476108E-5</v>
      </c>
      <c r="Q219" s="24">
        <v>4.630577335274447E-6</v>
      </c>
      <c r="R219" s="14"/>
    </row>
    <row r="220" spans="1:18" x14ac:dyDescent="0.25">
      <c r="A220" s="16" t="s">
        <v>2040</v>
      </c>
      <c r="B220" s="216" t="s">
        <v>2051</v>
      </c>
      <c r="C220" s="115" t="s">
        <v>1578</v>
      </c>
      <c r="D220" s="115"/>
      <c r="E220" s="115" t="s">
        <v>663</v>
      </c>
      <c r="F220" s="115" t="s">
        <v>1577</v>
      </c>
      <c r="G220" s="115" t="s">
        <v>663</v>
      </c>
      <c r="H220" s="116">
        <v>2.41</v>
      </c>
      <c r="I220" s="115" t="s">
        <v>222</v>
      </c>
      <c r="J220" s="116" t="s">
        <v>255</v>
      </c>
      <c r="K220" s="115">
        <v>1.72E-2</v>
      </c>
      <c r="L220" s="115">
        <v>6.4000000000000001E-2</v>
      </c>
      <c r="M220" s="110">
        <v>386557.34</v>
      </c>
      <c r="N220" s="60">
        <v>100.98</v>
      </c>
      <c r="O220" s="83">
        <v>390.34559999999999</v>
      </c>
      <c r="P220" s="24">
        <v>3.2584975761520855E-2</v>
      </c>
      <c r="Q220" s="24">
        <v>2.0902289543614978E-3</v>
      </c>
      <c r="R220" s="14"/>
    </row>
    <row r="221" spans="1:18" x14ac:dyDescent="0.25">
      <c r="A221" s="16" t="s">
        <v>2040</v>
      </c>
      <c r="B221" s="216" t="s">
        <v>2051</v>
      </c>
      <c r="C221" s="115" t="s">
        <v>1757</v>
      </c>
      <c r="D221" s="115"/>
      <c r="E221" s="115" t="s">
        <v>663</v>
      </c>
      <c r="F221" s="115" t="s">
        <v>1577</v>
      </c>
      <c r="G221" s="115" t="s">
        <v>663</v>
      </c>
      <c r="H221" s="116">
        <v>2.21</v>
      </c>
      <c r="I221" s="115" t="s">
        <v>222</v>
      </c>
      <c r="J221" s="116" t="s">
        <v>255</v>
      </c>
      <c r="K221" s="115">
        <v>2.8300000000000002E-2</v>
      </c>
      <c r="L221" s="115">
        <v>2.6699999999999998E-2</v>
      </c>
      <c r="M221" s="110">
        <v>256642.8</v>
      </c>
      <c r="N221" s="60">
        <v>112.72</v>
      </c>
      <c r="O221" s="83">
        <v>289.28775999999999</v>
      </c>
      <c r="P221" s="24">
        <v>2.4148945569527781E-2</v>
      </c>
      <c r="Q221" s="24">
        <v>1.5490827925161187E-3</v>
      </c>
      <c r="R221" s="14"/>
    </row>
    <row r="222" spans="1:18" x14ac:dyDescent="0.25">
      <c r="A222" s="16" t="s">
        <v>2040</v>
      </c>
      <c r="B222" s="216" t="s">
        <v>2051</v>
      </c>
      <c r="C222" s="115" t="s">
        <v>1576</v>
      </c>
      <c r="D222" s="115"/>
      <c r="E222" s="115" t="s">
        <v>663</v>
      </c>
      <c r="F222" s="115" t="s">
        <v>1577</v>
      </c>
      <c r="G222" s="115" t="s">
        <v>663</v>
      </c>
      <c r="H222" s="116">
        <v>2.39</v>
      </c>
      <c r="I222" s="115" t="s">
        <v>222</v>
      </c>
      <c r="J222" s="116" t="s">
        <v>255</v>
      </c>
      <c r="K222" s="115">
        <v>3.78E-2</v>
      </c>
      <c r="L222" s="115">
        <v>5.7800000000000004E-2</v>
      </c>
      <c r="M222" s="110">
        <v>35988.29</v>
      </c>
      <c r="N222" s="60">
        <v>95.82</v>
      </c>
      <c r="O222" s="83">
        <v>34.483980000000003</v>
      </c>
      <c r="P222" s="24">
        <v>2.8786276890549554E-3</v>
      </c>
      <c r="Q222" s="24">
        <v>1.8465537579422645E-4</v>
      </c>
      <c r="R222" s="14"/>
    </row>
    <row r="223" spans="1:18" x14ac:dyDescent="0.25">
      <c r="A223" s="16" t="s">
        <v>2041</v>
      </c>
      <c r="B223" s="216" t="s">
        <v>2051</v>
      </c>
      <c r="C223" s="115" t="s">
        <v>1840</v>
      </c>
      <c r="D223" s="115"/>
      <c r="E223" s="115" t="s">
        <v>663</v>
      </c>
      <c r="F223" s="115" t="s">
        <v>1841</v>
      </c>
      <c r="G223" s="115" t="s">
        <v>663</v>
      </c>
      <c r="H223" s="116">
        <v>0.69</v>
      </c>
      <c r="I223" s="115" t="s">
        <v>202</v>
      </c>
      <c r="J223" s="116" t="s">
        <v>255</v>
      </c>
      <c r="K223" s="115">
        <v>0.05</v>
      </c>
      <c r="L223" s="115">
        <v>9.8900000000000002E-2</v>
      </c>
      <c r="M223" s="110">
        <v>673.26</v>
      </c>
      <c r="N223" s="60">
        <v>12340.18</v>
      </c>
      <c r="O223" s="83">
        <v>83.082350000000005</v>
      </c>
      <c r="P223" s="24">
        <v>6.9354857873643056E-3</v>
      </c>
      <c r="Q223" s="24">
        <v>4.4489071624323674E-4</v>
      </c>
      <c r="R223" s="14"/>
    </row>
    <row r="224" spans="1:18" x14ac:dyDescent="0.25">
      <c r="A224" s="16" t="s">
        <v>2041</v>
      </c>
      <c r="B224" s="216" t="s">
        <v>2051</v>
      </c>
      <c r="C224" s="115" t="s">
        <v>1837</v>
      </c>
      <c r="D224" s="115"/>
      <c r="E224" s="115" t="s">
        <v>663</v>
      </c>
      <c r="F224" s="115" t="s">
        <v>1838</v>
      </c>
      <c r="G224" s="115" t="s">
        <v>663</v>
      </c>
      <c r="H224" s="116">
        <v>0</v>
      </c>
      <c r="I224" s="115" t="s">
        <v>202</v>
      </c>
      <c r="J224" s="116" t="s">
        <v>255</v>
      </c>
      <c r="K224" s="115">
        <v>0</v>
      </c>
      <c r="L224" s="115">
        <v>0</v>
      </c>
      <c r="M224" s="110">
        <v>3766.81</v>
      </c>
      <c r="N224" s="60">
        <v>22.357655000000001</v>
      </c>
      <c r="O224" s="83">
        <v>84.217029999999994</v>
      </c>
      <c r="P224" s="24">
        <v>7.0302057491035503E-3</v>
      </c>
      <c r="Q224" s="24">
        <v>4.5096671912359424E-4</v>
      </c>
      <c r="R224" s="14"/>
    </row>
    <row r="225" spans="1:18" x14ac:dyDescent="0.25">
      <c r="A225" s="16" t="s">
        <v>2042</v>
      </c>
      <c r="B225" s="216" t="s">
        <v>2051</v>
      </c>
      <c r="C225" s="115" t="s">
        <v>1681</v>
      </c>
      <c r="D225" s="115"/>
      <c r="E225" s="115" t="s">
        <v>663</v>
      </c>
      <c r="F225" s="115" t="s">
        <v>1682</v>
      </c>
      <c r="G225" s="115" t="s">
        <v>663</v>
      </c>
      <c r="H225" s="116">
        <v>3.33</v>
      </c>
      <c r="I225" s="115" t="s">
        <v>202</v>
      </c>
      <c r="J225" s="116" t="s">
        <v>255</v>
      </c>
      <c r="K225" s="115">
        <v>8.7499999999999994E-2</v>
      </c>
      <c r="L225" s="115">
        <v>0.1041</v>
      </c>
      <c r="M225" s="110">
        <v>49476.705366655922</v>
      </c>
      <c r="N225" s="60">
        <v>91.67</v>
      </c>
      <c r="O225" s="83">
        <v>45.355290000000004</v>
      </c>
      <c r="P225" s="24">
        <v>3.7861347106429516E-3</v>
      </c>
      <c r="Q225" s="24">
        <v>2.4286924302838945E-4</v>
      </c>
      <c r="R225" s="14"/>
    </row>
    <row r="226" spans="1:18" x14ac:dyDescent="0.25">
      <c r="A226" s="16" t="s">
        <v>2042</v>
      </c>
      <c r="B226" s="216" t="s">
        <v>2051</v>
      </c>
      <c r="C226" s="115" t="s">
        <v>1690</v>
      </c>
      <c r="D226" s="115"/>
      <c r="E226" s="115" t="s">
        <v>663</v>
      </c>
      <c r="F226" s="115" t="s">
        <v>1073</v>
      </c>
      <c r="G226" s="115" t="s">
        <v>663</v>
      </c>
      <c r="H226" s="116">
        <v>3.29</v>
      </c>
      <c r="I226" s="115" t="s">
        <v>202</v>
      </c>
      <c r="J226" s="116" t="s">
        <v>255</v>
      </c>
      <c r="K226" s="115">
        <v>8.7499999999999994E-2</v>
      </c>
      <c r="L226" s="115">
        <v>0.12179999999999999</v>
      </c>
      <c r="M226" s="110">
        <v>18673.607472370968</v>
      </c>
      <c r="N226" s="60">
        <v>90.19</v>
      </c>
      <c r="O226" s="83">
        <v>16.841720000000002</v>
      </c>
      <c r="P226" s="24">
        <v>1.4059004071835858E-3</v>
      </c>
      <c r="Q226" s="24">
        <v>9.0184315604554348E-5</v>
      </c>
      <c r="R226" s="14"/>
    </row>
    <row r="227" spans="1:18" x14ac:dyDescent="0.25">
      <c r="A227" s="16" t="s">
        <v>2042</v>
      </c>
      <c r="B227" s="216" t="s">
        <v>2051</v>
      </c>
      <c r="C227" s="115" t="s">
        <v>1704</v>
      </c>
      <c r="D227" s="115"/>
      <c r="E227" s="115" t="s">
        <v>663</v>
      </c>
      <c r="F227" s="115" t="s">
        <v>1705</v>
      </c>
      <c r="G227" s="115" t="s">
        <v>663</v>
      </c>
      <c r="H227" s="116">
        <v>3.51</v>
      </c>
      <c r="I227" s="115" t="s">
        <v>202</v>
      </c>
      <c r="J227" s="116" t="s">
        <v>255</v>
      </c>
      <c r="K227" s="115">
        <v>8.7499999999999994E-2</v>
      </c>
      <c r="L227" s="115">
        <v>9.1700000000000004E-2</v>
      </c>
      <c r="M227" s="110">
        <v>18673.607472370968</v>
      </c>
      <c r="N227" s="60">
        <v>99.98</v>
      </c>
      <c r="O227" s="83">
        <v>18.66986</v>
      </c>
      <c r="P227" s="24">
        <v>1.5585085000855339E-3</v>
      </c>
      <c r="Q227" s="24">
        <v>9.9973669348073983E-5</v>
      </c>
      <c r="R227" s="14"/>
    </row>
    <row r="228" spans="1:18" x14ac:dyDescent="0.25">
      <c r="A228" s="16" t="s">
        <v>2042</v>
      </c>
      <c r="B228" s="216" t="s">
        <v>2051</v>
      </c>
      <c r="C228" s="115" t="s">
        <v>1733</v>
      </c>
      <c r="D228" s="115"/>
      <c r="E228" s="115" t="s">
        <v>663</v>
      </c>
      <c r="F228" s="115" t="s">
        <v>1734</v>
      </c>
      <c r="G228" s="115" t="s">
        <v>663</v>
      </c>
      <c r="H228" s="116">
        <v>3.87</v>
      </c>
      <c r="I228" s="115" t="s">
        <v>202</v>
      </c>
      <c r="J228" s="116" t="s">
        <v>255</v>
      </c>
      <c r="K228" s="115">
        <v>8.7499999999999994E-2</v>
      </c>
      <c r="L228" s="115">
        <v>8.1000000000000003E-2</v>
      </c>
      <c r="M228" s="110">
        <v>5602.0822417112895</v>
      </c>
      <c r="N228" s="60">
        <v>102.06</v>
      </c>
      <c r="O228" s="83">
        <v>5.7174799999999992</v>
      </c>
      <c r="P228" s="24">
        <v>4.7727948570953595E-4</v>
      </c>
      <c r="Q228" s="24">
        <v>3.061605470122572E-5</v>
      </c>
      <c r="R228" s="14"/>
    </row>
    <row r="229" spans="1:18" x14ac:dyDescent="0.25">
      <c r="A229" s="16" t="s">
        <v>2042</v>
      </c>
      <c r="B229" s="216" t="s">
        <v>2051</v>
      </c>
      <c r="C229" s="115" t="s">
        <v>1736</v>
      </c>
      <c r="D229" s="115"/>
      <c r="E229" s="115" t="s">
        <v>663</v>
      </c>
      <c r="F229" s="115" t="s">
        <v>1737</v>
      </c>
      <c r="G229" s="115" t="s">
        <v>663</v>
      </c>
      <c r="H229" s="116">
        <v>3.83</v>
      </c>
      <c r="I229" s="115" t="s">
        <v>202</v>
      </c>
      <c r="J229" s="116" t="s">
        <v>255</v>
      </c>
      <c r="K229" s="115">
        <v>8.7499999999999994E-2</v>
      </c>
      <c r="L229" s="115">
        <v>8.3599999999999994E-2</v>
      </c>
      <c r="M229" s="110">
        <v>10768.776965375986</v>
      </c>
      <c r="N229" s="60">
        <v>102.06</v>
      </c>
      <c r="O229" s="83">
        <v>10.99061</v>
      </c>
      <c r="P229" s="24">
        <v>9.1746585706186713E-4</v>
      </c>
      <c r="Q229" s="24">
        <v>5.8852696810454685E-5</v>
      </c>
      <c r="R229" s="14"/>
    </row>
    <row r="230" spans="1:18" x14ac:dyDescent="0.25">
      <c r="A230" s="16" t="s">
        <v>2042</v>
      </c>
      <c r="B230" s="216" t="s">
        <v>2051</v>
      </c>
      <c r="C230" s="115" t="s">
        <v>1683</v>
      </c>
      <c r="D230" s="115"/>
      <c r="E230" s="115" t="s">
        <v>663</v>
      </c>
      <c r="F230" s="115" t="s">
        <v>1682</v>
      </c>
      <c r="G230" s="115" t="s">
        <v>663</v>
      </c>
      <c r="H230" s="116">
        <v>2.97</v>
      </c>
      <c r="I230" s="115" t="s">
        <v>202</v>
      </c>
      <c r="J230" s="116" t="s">
        <v>255</v>
      </c>
      <c r="K230" s="115">
        <v>0.13349999904632567</v>
      </c>
      <c r="L230" s="115">
        <v>0.1943</v>
      </c>
      <c r="M230" s="110">
        <v>5820.7918057929883</v>
      </c>
      <c r="N230" s="60">
        <v>85.15</v>
      </c>
      <c r="O230" s="83">
        <v>4.9563999999999995</v>
      </c>
      <c r="P230" s="24">
        <v>4.1374662315753517E-4</v>
      </c>
      <c r="Q230" s="24">
        <v>2.6540611164561163E-5</v>
      </c>
      <c r="R230" s="14"/>
    </row>
    <row r="231" spans="1:18" x14ac:dyDescent="0.25">
      <c r="A231" s="16" t="s">
        <v>2042</v>
      </c>
      <c r="B231" s="216" t="s">
        <v>2051</v>
      </c>
      <c r="C231" s="115" t="s">
        <v>1691</v>
      </c>
      <c r="D231" s="115"/>
      <c r="E231" s="115" t="s">
        <v>663</v>
      </c>
      <c r="F231" s="115" t="s">
        <v>1073</v>
      </c>
      <c r="G231" s="115" t="s">
        <v>663</v>
      </c>
      <c r="H231" s="116">
        <v>2.97</v>
      </c>
      <c r="I231" s="115" t="s">
        <v>202</v>
      </c>
      <c r="J231" s="116" t="s">
        <v>255</v>
      </c>
      <c r="K231" s="115">
        <v>0.13349999904632567</v>
      </c>
      <c r="L231" s="115">
        <v>0.2104</v>
      </c>
      <c r="M231" s="110">
        <v>2196.8949967495255</v>
      </c>
      <c r="N231" s="60">
        <v>83.83</v>
      </c>
      <c r="O231" s="83">
        <v>1.84165</v>
      </c>
      <c r="P231" s="24">
        <v>1.5373587049836065E-4</v>
      </c>
      <c r="Q231" s="24">
        <v>9.8616973107929284E-6</v>
      </c>
      <c r="R231" s="14"/>
    </row>
    <row r="232" spans="1:18" x14ac:dyDescent="0.25">
      <c r="A232" s="16" t="s">
        <v>2042</v>
      </c>
      <c r="B232" s="216" t="s">
        <v>2051</v>
      </c>
      <c r="C232" s="115" t="s">
        <v>1706</v>
      </c>
      <c r="D232" s="115"/>
      <c r="E232" s="115" t="s">
        <v>663</v>
      </c>
      <c r="F232" s="115" t="s">
        <v>1705</v>
      </c>
      <c r="G232" s="115" t="s">
        <v>663</v>
      </c>
      <c r="H232" s="116">
        <v>3.16</v>
      </c>
      <c r="I232" s="115" t="s">
        <v>202</v>
      </c>
      <c r="J232" s="116" t="s">
        <v>255</v>
      </c>
      <c r="K232" s="115">
        <v>0.13349999904632567</v>
      </c>
      <c r="L232" s="115">
        <v>0.1555</v>
      </c>
      <c r="M232" s="110">
        <v>2196.8949967495255</v>
      </c>
      <c r="N232" s="60">
        <v>98.35</v>
      </c>
      <c r="O232" s="83">
        <v>2.1606399999999999</v>
      </c>
      <c r="P232" s="24">
        <v>1.8036427726961034E-4</v>
      </c>
      <c r="Q232" s="24">
        <v>1.1569830140141521E-5</v>
      </c>
      <c r="R232" s="14"/>
    </row>
    <row r="233" spans="1:18" x14ac:dyDescent="0.25">
      <c r="A233" s="16" t="s">
        <v>2042</v>
      </c>
      <c r="B233" s="216" t="s">
        <v>2051</v>
      </c>
      <c r="C233" s="115" t="s">
        <v>1735</v>
      </c>
      <c r="D233" s="115"/>
      <c r="E233" s="115" t="s">
        <v>663</v>
      </c>
      <c r="F233" s="115" t="s">
        <v>1734</v>
      </c>
      <c r="G233" s="115" t="s">
        <v>663</v>
      </c>
      <c r="H233" s="116">
        <v>3.51</v>
      </c>
      <c r="I233" s="115" t="s">
        <v>202</v>
      </c>
      <c r="J233" s="116" t="s">
        <v>255</v>
      </c>
      <c r="K233" s="115">
        <v>0.13349999904632567</v>
      </c>
      <c r="L233" s="115">
        <v>0.13400000000000001</v>
      </c>
      <c r="M233" s="110">
        <v>659.0684990248576</v>
      </c>
      <c r="N233" s="60">
        <v>102.16</v>
      </c>
      <c r="O233" s="83">
        <v>0.67330000000000001</v>
      </c>
      <c r="P233" s="24">
        <v>5.6205229878938023E-5</v>
      </c>
      <c r="Q233" s="24">
        <v>3.6053977679563865E-6</v>
      </c>
      <c r="R233" s="14"/>
    </row>
    <row r="234" spans="1:18" x14ac:dyDescent="0.25">
      <c r="A234" s="16" t="s">
        <v>2042</v>
      </c>
      <c r="B234" s="216" t="s">
        <v>2051</v>
      </c>
      <c r="C234" s="115" t="s">
        <v>1738</v>
      </c>
      <c r="D234" s="115"/>
      <c r="E234" s="115" t="s">
        <v>663</v>
      </c>
      <c r="F234" s="115" t="s">
        <v>1737</v>
      </c>
      <c r="G234" s="115" t="s">
        <v>663</v>
      </c>
      <c r="H234" s="116">
        <v>3.45</v>
      </c>
      <c r="I234" s="115" t="s">
        <v>202</v>
      </c>
      <c r="J234" s="116" t="s">
        <v>255</v>
      </c>
      <c r="K234" s="115">
        <v>0.13349999904632567</v>
      </c>
      <c r="L234" s="115">
        <v>0.13880000000000001</v>
      </c>
      <c r="M234" s="110">
        <v>1266.9172742039316</v>
      </c>
      <c r="N234" s="60">
        <v>102.1</v>
      </c>
      <c r="O234" s="83">
        <v>1.29352</v>
      </c>
      <c r="P234" s="24">
        <v>1.0797948752859634E-4</v>
      </c>
      <c r="Q234" s="24">
        <v>6.9265618904009281E-6</v>
      </c>
      <c r="R234" s="14"/>
    </row>
    <row r="235" spans="1:18" x14ac:dyDescent="0.25">
      <c r="A235" s="16" t="s">
        <v>2014</v>
      </c>
      <c r="B235" s="216" t="s">
        <v>2051</v>
      </c>
      <c r="C235" s="115" t="s">
        <v>1585</v>
      </c>
      <c r="D235" s="115"/>
      <c r="E235" s="115" t="s">
        <v>663</v>
      </c>
      <c r="F235" s="115" t="s">
        <v>1586</v>
      </c>
      <c r="G235" s="115" t="s">
        <v>663</v>
      </c>
      <c r="H235" s="116">
        <v>0</v>
      </c>
      <c r="I235" s="115" t="s">
        <v>204</v>
      </c>
      <c r="J235" s="116" t="s">
        <v>255</v>
      </c>
      <c r="K235" s="115">
        <v>6.0000000000000001E-3</v>
      </c>
      <c r="L235" s="115">
        <v>0</v>
      </c>
      <c r="M235" s="110">
        <v>-12.438102481898184</v>
      </c>
      <c r="N235" s="60">
        <v>23.422929</v>
      </c>
      <c r="O235" s="83">
        <v>-2.9100000000000003E-3</v>
      </c>
      <c r="P235" s="24">
        <v>-2.4291878649593001E-7</v>
      </c>
      <c r="Q235" s="24">
        <v>-1.5582515230585303E-8</v>
      </c>
      <c r="R235" s="14"/>
    </row>
    <row r="236" spans="1:18" x14ac:dyDescent="0.25">
      <c r="A236" s="16" t="s">
        <v>2034</v>
      </c>
      <c r="B236" s="216" t="s">
        <v>2051</v>
      </c>
      <c r="C236" s="115" t="s">
        <v>1825</v>
      </c>
      <c r="D236" s="115"/>
      <c r="E236" s="115" t="s">
        <v>663</v>
      </c>
      <c r="F236" s="115" t="s">
        <v>1826</v>
      </c>
      <c r="G236" s="115" t="s">
        <v>663</v>
      </c>
      <c r="H236" s="116">
        <v>4.26</v>
      </c>
      <c r="I236" s="115" t="s">
        <v>221</v>
      </c>
      <c r="J236" s="116" t="s">
        <v>255</v>
      </c>
      <c r="K236" s="115">
        <v>3.9399999999999998E-2</v>
      </c>
      <c r="L236" s="115">
        <v>4.0500000000000001E-2</v>
      </c>
      <c r="M236" s="110">
        <v>197530.41095269725</v>
      </c>
      <c r="N236" s="60">
        <v>100.57</v>
      </c>
      <c r="O236" s="83">
        <v>198.65633</v>
      </c>
      <c r="P236" s="24">
        <v>1.6583283372280072E-2</v>
      </c>
      <c r="Q236" s="24">
        <v>1.0637681401639793E-3</v>
      </c>
      <c r="R236" s="14"/>
    </row>
    <row r="237" spans="1:18" x14ac:dyDescent="0.25">
      <c r="A237" s="16" t="s">
        <v>2034</v>
      </c>
      <c r="B237" s="216" t="s">
        <v>2051</v>
      </c>
      <c r="C237" s="115" t="s">
        <v>1809</v>
      </c>
      <c r="D237" s="115"/>
      <c r="E237" s="115" t="s">
        <v>663</v>
      </c>
      <c r="F237" s="115" t="s">
        <v>1810</v>
      </c>
      <c r="G237" s="115" t="s">
        <v>663</v>
      </c>
      <c r="H237" s="116">
        <v>4.2699999999999996</v>
      </c>
      <c r="I237" s="115" t="s">
        <v>221</v>
      </c>
      <c r="J237" s="116" t="s">
        <v>255</v>
      </c>
      <c r="K237" s="115">
        <v>3.7400000000000003E-2</v>
      </c>
      <c r="L237" s="115">
        <v>4.0399999999999998E-2</v>
      </c>
      <c r="M237" s="110">
        <v>73450.773568208228</v>
      </c>
      <c r="N237" s="60">
        <v>102.52</v>
      </c>
      <c r="O237" s="83">
        <v>75.301729999999992</v>
      </c>
      <c r="P237" s="24">
        <v>6.2859810558914654E-3</v>
      </c>
      <c r="Q237" s="24">
        <v>4.0322692598433746E-4</v>
      </c>
      <c r="R237" s="14"/>
    </row>
    <row r="238" spans="1:18" x14ac:dyDescent="0.25">
      <c r="A238" s="16" t="s">
        <v>2034</v>
      </c>
      <c r="B238" s="216" t="s">
        <v>2051</v>
      </c>
      <c r="C238" s="115" t="s">
        <v>1827</v>
      </c>
      <c r="D238" s="115"/>
      <c r="E238" s="115" t="s">
        <v>663</v>
      </c>
      <c r="F238" s="115" t="s">
        <v>1426</v>
      </c>
      <c r="G238" s="115" t="s">
        <v>663</v>
      </c>
      <c r="H238" s="116">
        <v>4.29</v>
      </c>
      <c r="I238" s="115" t="s">
        <v>221</v>
      </c>
      <c r="J238" s="116" t="s">
        <v>255</v>
      </c>
      <c r="K238" s="115">
        <v>4.0300000000000002E-2</v>
      </c>
      <c r="L238" s="115">
        <v>4.0599999999999997E-2</v>
      </c>
      <c r="M238" s="110">
        <v>27258.016758492013</v>
      </c>
      <c r="N238" s="60">
        <v>99.76</v>
      </c>
      <c r="O238" s="83">
        <v>27.192589999999999</v>
      </c>
      <c r="P238" s="24">
        <v>2.2699625307496087E-3</v>
      </c>
      <c r="Q238" s="24">
        <v>1.4561132227974624E-4</v>
      </c>
      <c r="R238" s="14"/>
    </row>
    <row r="239" spans="1:18" x14ac:dyDescent="0.25">
      <c r="A239" s="16" t="s">
        <v>2043</v>
      </c>
      <c r="B239" s="216" t="s">
        <v>2051</v>
      </c>
      <c r="C239" s="115" t="s">
        <v>1771</v>
      </c>
      <c r="D239" s="115"/>
      <c r="E239" s="115" t="s">
        <v>663</v>
      </c>
      <c r="F239" s="115" t="s">
        <v>1772</v>
      </c>
      <c r="G239" s="115" t="s">
        <v>663</v>
      </c>
      <c r="H239" s="116">
        <v>1.02</v>
      </c>
      <c r="I239" s="115" t="s">
        <v>202</v>
      </c>
      <c r="J239" s="116" t="s">
        <v>255</v>
      </c>
      <c r="K239" s="115">
        <v>3.5000000000000003E-2</v>
      </c>
      <c r="L239" s="115">
        <v>4.0199999999999993E-2</v>
      </c>
      <c r="M239" s="110">
        <v>4112.4619761313334</v>
      </c>
      <c r="N239" s="60">
        <v>109.91</v>
      </c>
      <c r="O239" s="83">
        <v>4.5199999999999996</v>
      </c>
      <c r="P239" s="24">
        <v>3.7731715290776756E-4</v>
      </c>
      <c r="Q239" s="24">
        <v>2.4203769361596412E-5</v>
      </c>
      <c r="R239" s="14"/>
    </row>
    <row r="240" spans="1:18" x14ac:dyDescent="0.25">
      <c r="A240" s="16" t="s">
        <v>2043</v>
      </c>
      <c r="B240" s="216" t="s">
        <v>2051</v>
      </c>
      <c r="C240" s="115" t="s">
        <v>1829</v>
      </c>
      <c r="D240" s="115"/>
      <c r="E240" s="115" t="s">
        <v>663</v>
      </c>
      <c r="F240" s="115" t="s">
        <v>1325</v>
      </c>
      <c r="G240" s="115" t="s">
        <v>663</v>
      </c>
      <c r="H240" s="116">
        <v>1.05</v>
      </c>
      <c r="I240" s="115" t="s">
        <v>202</v>
      </c>
      <c r="J240" s="116" t="s">
        <v>255</v>
      </c>
      <c r="K240" s="115">
        <v>6.8400000000000002E-2</v>
      </c>
      <c r="L240" s="115">
        <v>0.14449999999999999</v>
      </c>
      <c r="M240" s="110">
        <v>13055.718641724709</v>
      </c>
      <c r="N240" s="60">
        <v>100</v>
      </c>
      <c r="O240" s="83">
        <v>13.055719999999999</v>
      </c>
      <c r="P240" s="24">
        <v>1.089855553000221E-3</v>
      </c>
      <c r="Q240" s="24">
        <v>6.9910981356102107E-5</v>
      </c>
      <c r="R240" s="14"/>
    </row>
    <row r="241" spans="1:18" x14ac:dyDescent="0.25">
      <c r="A241" s="16" t="s">
        <v>2041</v>
      </c>
      <c r="B241" s="216" t="s">
        <v>2051</v>
      </c>
      <c r="C241" s="115" t="s">
        <v>1839</v>
      </c>
      <c r="D241" s="115"/>
      <c r="E241" s="115" t="s">
        <v>663</v>
      </c>
      <c r="F241" s="115" t="s">
        <v>1838</v>
      </c>
      <c r="G241" s="115" t="s">
        <v>663</v>
      </c>
      <c r="H241" s="116">
        <v>0</v>
      </c>
      <c r="I241" s="115" t="s">
        <v>202</v>
      </c>
      <c r="J241" s="116" t="s">
        <v>255</v>
      </c>
      <c r="K241" s="115">
        <v>0</v>
      </c>
      <c r="L241" s="115">
        <v>0</v>
      </c>
      <c r="M241" s="110">
        <v>-3766.81</v>
      </c>
      <c r="N241" s="60">
        <v>22.475085</v>
      </c>
      <c r="O241" s="83">
        <v>-84.659369999999996</v>
      </c>
      <c r="P241" s="24">
        <v>-7.0671310741958551E-3</v>
      </c>
      <c r="Q241" s="24">
        <v>-4.5333536853496781E-4</v>
      </c>
      <c r="R241" s="14"/>
    </row>
    <row r="242" spans="1:18" x14ac:dyDescent="0.25">
      <c r="A242" s="16" t="s">
        <v>2036</v>
      </c>
      <c r="B242" s="115" t="s">
        <v>1565</v>
      </c>
      <c r="C242" s="115" t="s">
        <v>1739</v>
      </c>
      <c r="D242" s="115"/>
      <c r="E242" s="115" t="s">
        <v>663</v>
      </c>
      <c r="F242" s="115" t="s">
        <v>866</v>
      </c>
      <c r="G242" s="115" t="s">
        <v>663</v>
      </c>
      <c r="H242" s="116">
        <v>2.25</v>
      </c>
      <c r="I242" s="115" t="s">
        <v>218</v>
      </c>
      <c r="J242" s="116" t="s">
        <v>255</v>
      </c>
      <c r="K242" s="115">
        <v>6.8499999046325685E-2</v>
      </c>
      <c r="L242" s="115">
        <v>6.7299999999999999E-2</v>
      </c>
      <c r="M242" s="110">
        <v>10810.363733586406</v>
      </c>
      <c r="N242" s="60">
        <v>99.95</v>
      </c>
      <c r="O242" s="83">
        <v>10.804950000000002</v>
      </c>
      <c r="P242" s="24">
        <v>9.0196747152893433E-4</v>
      </c>
      <c r="Q242" s="24">
        <v>5.7858521629110892E-5</v>
      </c>
      <c r="R242" s="14"/>
    </row>
    <row r="243" spans="1:18" x14ac:dyDescent="0.25">
      <c r="A243" s="16" t="s">
        <v>2041</v>
      </c>
      <c r="B243" s="216" t="s">
        <v>2051</v>
      </c>
      <c r="C243" s="115" t="s">
        <v>1842</v>
      </c>
      <c r="D243" s="115"/>
      <c r="E243" s="115" t="s">
        <v>663</v>
      </c>
      <c r="F243" s="115" t="s">
        <v>1843</v>
      </c>
      <c r="G243" s="115" t="s">
        <v>663</v>
      </c>
      <c r="H243" s="116">
        <v>1.81</v>
      </c>
      <c r="I243" s="115" t="s">
        <v>202</v>
      </c>
      <c r="J243" s="116" t="s">
        <v>255</v>
      </c>
      <c r="K243" s="115">
        <v>0</v>
      </c>
      <c r="L243" s="115">
        <v>0</v>
      </c>
      <c r="M243" s="110">
        <v>-3070.08</v>
      </c>
      <c r="N243" s="60">
        <v>16.088113</v>
      </c>
      <c r="O243" s="83">
        <v>-49.39179</v>
      </c>
      <c r="P243" s="24">
        <v>-4.1230906150040584E-3</v>
      </c>
      <c r="Q243" s="24">
        <v>-2.6448395874256731E-4</v>
      </c>
      <c r="R243" s="14"/>
    </row>
    <row r="244" spans="1:18" s="117" customFormat="1" x14ac:dyDescent="0.25">
      <c r="A244" s="91" t="s">
        <v>1876</v>
      </c>
      <c r="B244" s="129" t="s">
        <v>249</v>
      </c>
      <c r="C244" s="129" t="s">
        <v>249</v>
      </c>
      <c r="D244" s="129"/>
      <c r="E244" s="129" t="s">
        <v>249</v>
      </c>
      <c r="F244" s="129" t="s">
        <v>249</v>
      </c>
      <c r="G244" s="129" t="s">
        <v>249</v>
      </c>
      <c r="H244" s="130" t="s">
        <v>249</v>
      </c>
      <c r="I244" s="129" t="s">
        <v>249</v>
      </c>
      <c r="J244" s="130" t="s">
        <v>249</v>
      </c>
      <c r="K244" s="129" t="s">
        <v>249</v>
      </c>
      <c r="L244" s="129" t="s">
        <v>249</v>
      </c>
      <c r="M244" s="159" t="s">
        <v>249</v>
      </c>
      <c r="N244" s="134" t="s">
        <v>249</v>
      </c>
      <c r="O244" s="122">
        <v>0</v>
      </c>
      <c r="P244" s="135">
        <v>0</v>
      </c>
      <c r="Q244" s="135">
        <v>0</v>
      </c>
      <c r="R244" s="14"/>
    </row>
    <row r="245" spans="1:18" s="117" customFormat="1" x14ac:dyDescent="0.25">
      <c r="A245" s="91" t="s">
        <v>1877</v>
      </c>
      <c r="B245" s="129" t="s">
        <v>249</v>
      </c>
      <c r="C245" s="129" t="s">
        <v>249</v>
      </c>
      <c r="D245" s="129"/>
      <c r="E245" s="129" t="s">
        <v>249</v>
      </c>
      <c r="F245" s="129" t="s">
        <v>249</v>
      </c>
      <c r="G245" s="129" t="s">
        <v>249</v>
      </c>
      <c r="H245" s="130" t="s">
        <v>249</v>
      </c>
      <c r="I245" s="129" t="s">
        <v>249</v>
      </c>
      <c r="J245" s="130" t="s">
        <v>249</v>
      </c>
      <c r="K245" s="129" t="s">
        <v>249</v>
      </c>
      <c r="L245" s="129" t="s">
        <v>249</v>
      </c>
      <c r="M245" s="159">
        <v>0</v>
      </c>
      <c r="N245" s="134" t="s">
        <v>249</v>
      </c>
      <c r="O245" s="122">
        <v>0</v>
      </c>
      <c r="P245" s="135">
        <v>0</v>
      </c>
      <c r="Q245" s="135">
        <v>0</v>
      </c>
      <c r="R245" s="14"/>
    </row>
    <row r="246" spans="1:18" s="117" customFormat="1" x14ac:dyDescent="0.25">
      <c r="A246" s="91" t="s">
        <v>1878</v>
      </c>
      <c r="B246" s="129" t="s">
        <v>249</v>
      </c>
      <c r="C246" s="129" t="s">
        <v>249</v>
      </c>
      <c r="D246" s="129"/>
      <c r="E246" s="129" t="s">
        <v>249</v>
      </c>
      <c r="F246" s="129" t="s">
        <v>249</v>
      </c>
      <c r="G246" s="129" t="s">
        <v>249</v>
      </c>
      <c r="H246" s="130" t="s">
        <v>249</v>
      </c>
      <c r="I246" s="129" t="s">
        <v>249</v>
      </c>
      <c r="J246" s="130" t="s">
        <v>249</v>
      </c>
      <c r="K246" s="129" t="s">
        <v>249</v>
      </c>
      <c r="L246" s="129" t="s">
        <v>249</v>
      </c>
      <c r="M246" s="159" t="s">
        <v>249</v>
      </c>
      <c r="N246" s="134" t="s">
        <v>249</v>
      </c>
      <c r="O246" s="122">
        <v>0</v>
      </c>
      <c r="P246" s="135">
        <v>0</v>
      </c>
      <c r="Q246" s="135">
        <v>0</v>
      </c>
      <c r="R246" s="14"/>
    </row>
    <row r="247" spans="1:18" s="117" customFormat="1" x14ac:dyDescent="0.25">
      <c r="A247" s="91" t="s">
        <v>1879</v>
      </c>
      <c r="B247" s="129" t="s">
        <v>249</v>
      </c>
      <c r="C247" s="129" t="s">
        <v>249</v>
      </c>
      <c r="D247" s="129"/>
      <c r="E247" s="129" t="s">
        <v>249</v>
      </c>
      <c r="F247" s="129" t="s">
        <v>249</v>
      </c>
      <c r="G247" s="129" t="s">
        <v>249</v>
      </c>
      <c r="H247" s="130" t="s">
        <v>249</v>
      </c>
      <c r="I247" s="129" t="s">
        <v>249</v>
      </c>
      <c r="J247" s="130" t="s">
        <v>249</v>
      </c>
      <c r="K247" s="129" t="s">
        <v>249</v>
      </c>
      <c r="L247" s="129" t="s">
        <v>249</v>
      </c>
      <c r="M247" s="159" t="s">
        <v>249</v>
      </c>
      <c r="N247" s="134" t="s">
        <v>249</v>
      </c>
      <c r="O247" s="122">
        <v>0</v>
      </c>
      <c r="P247" s="135">
        <v>0</v>
      </c>
      <c r="Q247" s="135">
        <v>0</v>
      </c>
      <c r="R247" s="14"/>
    </row>
    <row r="248" spans="1:18" s="117" customFormat="1" x14ac:dyDescent="0.25">
      <c r="A248" s="91" t="s">
        <v>1880</v>
      </c>
      <c r="B248" s="129" t="s">
        <v>249</v>
      </c>
      <c r="C248" s="129" t="s">
        <v>249</v>
      </c>
      <c r="D248" s="129"/>
      <c r="E248" s="129" t="s">
        <v>249</v>
      </c>
      <c r="F248" s="129" t="s">
        <v>249</v>
      </c>
      <c r="G248" s="129" t="s">
        <v>249</v>
      </c>
      <c r="H248" s="130" t="s">
        <v>249</v>
      </c>
      <c r="I248" s="129" t="s">
        <v>249</v>
      </c>
      <c r="J248" s="130" t="s">
        <v>249</v>
      </c>
      <c r="K248" s="129" t="s">
        <v>249</v>
      </c>
      <c r="L248" s="129" t="s">
        <v>249</v>
      </c>
      <c r="M248" s="159" t="s">
        <v>249</v>
      </c>
      <c r="N248" s="134" t="s">
        <v>249</v>
      </c>
      <c r="O248" s="122">
        <v>0</v>
      </c>
      <c r="P248" s="135">
        <v>0</v>
      </c>
      <c r="Q248" s="135">
        <v>0</v>
      </c>
      <c r="R248" s="14"/>
    </row>
    <row r="249" spans="1:18" s="117" customFormat="1" x14ac:dyDescent="0.25">
      <c r="A249" s="91" t="s">
        <v>1881</v>
      </c>
      <c r="B249" s="129" t="s">
        <v>249</v>
      </c>
      <c r="C249" s="129" t="s">
        <v>249</v>
      </c>
      <c r="D249" s="129"/>
      <c r="E249" s="129" t="s">
        <v>249</v>
      </c>
      <c r="F249" s="129" t="s">
        <v>249</v>
      </c>
      <c r="G249" s="129" t="s">
        <v>249</v>
      </c>
      <c r="H249" s="130" t="s">
        <v>249</v>
      </c>
      <c r="I249" s="129" t="s">
        <v>249</v>
      </c>
      <c r="J249" s="130" t="s">
        <v>249</v>
      </c>
      <c r="K249" s="129" t="s">
        <v>249</v>
      </c>
      <c r="L249" s="129" t="s">
        <v>249</v>
      </c>
      <c r="M249" s="159" t="s">
        <v>249</v>
      </c>
      <c r="N249" s="134" t="s">
        <v>249</v>
      </c>
      <c r="O249" s="122">
        <v>0</v>
      </c>
      <c r="P249" s="135">
        <v>0</v>
      </c>
      <c r="Q249" s="135">
        <v>0</v>
      </c>
      <c r="R249" s="14"/>
    </row>
    <row r="250" spans="1:18" s="117" customFormat="1" x14ac:dyDescent="0.25">
      <c r="A250" s="91" t="s">
        <v>1882</v>
      </c>
      <c r="B250" s="129" t="s">
        <v>249</v>
      </c>
      <c r="C250" s="129" t="s">
        <v>249</v>
      </c>
      <c r="D250" s="129"/>
      <c r="E250" s="129" t="s">
        <v>249</v>
      </c>
      <c r="F250" s="129" t="s">
        <v>249</v>
      </c>
      <c r="G250" s="129" t="s">
        <v>249</v>
      </c>
      <c r="H250" s="130" t="s">
        <v>249</v>
      </c>
      <c r="I250" s="129" t="s">
        <v>249</v>
      </c>
      <c r="J250" s="130" t="s">
        <v>249</v>
      </c>
      <c r="K250" s="129" t="s">
        <v>249</v>
      </c>
      <c r="L250" s="129" t="s">
        <v>249</v>
      </c>
      <c r="M250" s="159" t="s">
        <v>249</v>
      </c>
      <c r="N250" s="134" t="s">
        <v>249</v>
      </c>
      <c r="O250" s="122">
        <v>0</v>
      </c>
      <c r="P250" s="135">
        <v>0</v>
      </c>
      <c r="Q250" s="135">
        <v>0</v>
      </c>
      <c r="R250" s="14"/>
    </row>
    <row r="251" spans="1:18" s="117" customFormat="1" x14ac:dyDescent="0.25">
      <c r="A251" s="91" t="s">
        <v>439</v>
      </c>
      <c r="B251" s="129" t="s">
        <v>249</v>
      </c>
      <c r="C251" s="129" t="s">
        <v>249</v>
      </c>
      <c r="D251" s="129"/>
      <c r="E251" s="129" t="s">
        <v>249</v>
      </c>
      <c r="F251" s="129" t="s">
        <v>249</v>
      </c>
      <c r="G251" s="129" t="s">
        <v>249</v>
      </c>
      <c r="H251" s="130" t="s">
        <v>249</v>
      </c>
      <c r="I251" s="129" t="s">
        <v>249</v>
      </c>
      <c r="J251" s="130" t="s">
        <v>249</v>
      </c>
      <c r="K251" s="129" t="s">
        <v>249</v>
      </c>
      <c r="L251" s="129" t="s">
        <v>249</v>
      </c>
      <c r="M251" s="159" t="s">
        <v>249</v>
      </c>
      <c r="N251" s="134" t="s">
        <v>249</v>
      </c>
      <c r="O251" s="122">
        <v>388.71065039999996</v>
      </c>
      <c r="P251" s="135">
        <v>3.2448494671206765E-2</v>
      </c>
      <c r="Q251" s="135">
        <v>2.0814740997074635E-3</v>
      </c>
      <c r="R251" s="14"/>
    </row>
    <row r="252" spans="1:18" s="117" customFormat="1" x14ac:dyDescent="0.25">
      <c r="A252" s="91" t="s">
        <v>1515</v>
      </c>
      <c r="B252" s="129" t="s">
        <v>249</v>
      </c>
      <c r="C252" s="129" t="s">
        <v>249</v>
      </c>
      <c r="D252" s="129"/>
      <c r="E252" s="129" t="s">
        <v>249</v>
      </c>
      <c r="F252" s="129" t="s">
        <v>249</v>
      </c>
      <c r="G252" s="129" t="s">
        <v>249</v>
      </c>
      <c r="H252" s="130" t="s">
        <v>249</v>
      </c>
      <c r="I252" s="129" t="s">
        <v>249</v>
      </c>
      <c r="J252" s="130" t="s">
        <v>249</v>
      </c>
      <c r="K252" s="129" t="s">
        <v>249</v>
      </c>
      <c r="L252" s="129" t="s">
        <v>249</v>
      </c>
      <c r="M252" s="159" t="s">
        <v>249</v>
      </c>
      <c r="N252" s="134" t="s">
        <v>249</v>
      </c>
      <c r="O252" s="122">
        <v>0</v>
      </c>
      <c r="P252" s="135">
        <v>0</v>
      </c>
      <c r="Q252" s="135">
        <v>0</v>
      </c>
      <c r="R252" s="14"/>
    </row>
    <row r="253" spans="1:18" s="117" customFormat="1" x14ac:dyDescent="0.25">
      <c r="A253" s="91" t="s">
        <v>1881</v>
      </c>
      <c r="B253" s="129" t="s">
        <v>249</v>
      </c>
      <c r="C253" s="129" t="s">
        <v>249</v>
      </c>
      <c r="D253" s="129"/>
      <c r="E253" s="129" t="s">
        <v>249</v>
      </c>
      <c r="F253" s="129" t="s">
        <v>249</v>
      </c>
      <c r="G253" s="129" t="s">
        <v>249</v>
      </c>
      <c r="H253" s="130" t="s">
        <v>249</v>
      </c>
      <c r="I253" s="129" t="s">
        <v>249</v>
      </c>
      <c r="J253" s="130" t="s">
        <v>249</v>
      </c>
      <c r="K253" s="129" t="s">
        <v>249</v>
      </c>
      <c r="L253" s="129" t="s">
        <v>249</v>
      </c>
      <c r="M253" s="159" t="s">
        <v>249</v>
      </c>
      <c r="N253" s="134" t="s">
        <v>249</v>
      </c>
      <c r="O253" s="122">
        <v>0</v>
      </c>
      <c r="P253" s="135">
        <v>0</v>
      </c>
      <c r="Q253" s="135">
        <v>0</v>
      </c>
      <c r="R253" s="14"/>
    </row>
    <row r="254" spans="1:18" s="117" customFormat="1" x14ac:dyDescent="0.25">
      <c r="A254" s="91" t="s">
        <v>1564</v>
      </c>
      <c r="B254" s="129" t="s">
        <v>249</v>
      </c>
      <c r="C254" s="129" t="s">
        <v>249</v>
      </c>
      <c r="D254" s="129"/>
      <c r="E254" s="129" t="s">
        <v>249</v>
      </c>
      <c r="F254" s="129" t="s">
        <v>249</v>
      </c>
      <c r="G254" s="129" t="s">
        <v>249</v>
      </c>
      <c r="H254" s="130" t="s">
        <v>249</v>
      </c>
      <c r="I254" s="129" t="s">
        <v>249</v>
      </c>
      <c r="J254" s="130" t="s">
        <v>249</v>
      </c>
      <c r="K254" s="129" t="s">
        <v>249</v>
      </c>
      <c r="L254" s="129" t="s">
        <v>249</v>
      </c>
      <c r="M254" s="159" t="s">
        <v>249</v>
      </c>
      <c r="N254" s="134" t="s">
        <v>249</v>
      </c>
      <c r="O254" s="122">
        <v>388.71065010000001</v>
      </c>
      <c r="P254" s="135">
        <v>3.2448494646163589E-2</v>
      </c>
      <c r="Q254" s="135">
        <v>2.0814740981010189E-3</v>
      </c>
      <c r="R254" s="14"/>
    </row>
    <row r="255" spans="1:18" x14ac:dyDescent="0.25">
      <c r="A255" s="16" t="s">
        <v>2044</v>
      </c>
      <c r="B255" s="115" t="s">
        <v>1565</v>
      </c>
      <c r="C255" s="115" t="s">
        <v>1889</v>
      </c>
      <c r="D255" s="115"/>
      <c r="E255" s="115" t="s">
        <v>663</v>
      </c>
      <c r="F255" s="115" t="s">
        <v>1890</v>
      </c>
      <c r="G255" s="115" t="s">
        <v>663</v>
      </c>
      <c r="H255" s="116">
        <v>2.14</v>
      </c>
      <c r="I255" s="115" t="s">
        <v>164</v>
      </c>
      <c r="J255" s="116" t="s">
        <v>125</v>
      </c>
      <c r="K255" s="115">
        <v>9.1564300000000001E-2</v>
      </c>
      <c r="L255" s="115">
        <v>9.9000000000000005E-2</v>
      </c>
      <c r="M255" s="110">
        <v>683.66420426551304</v>
      </c>
      <c r="N255" s="60">
        <v>98.4</v>
      </c>
      <c r="O255" s="83">
        <v>2.5724999999999998</v>
      </c>
      <c r="P255" s="24">
        <v>2.1474521589717521E-4</v>
      </c>
      <c r="Q255" s="24">
        <v>1.3775264752811233E-5</v>
      </c>
      <c r="R255" s="14"/>
    </row>
    <row r="256" spans="1:18" x14ac:dyDescent="0.25">
      <c r="A256" s="16" t="s">
        <v>2044</v>
      </c>
      <c r="B256" s="216" t="s">
        <v>2051</v>
      </c>
      <c r="C256" s="115" t="s">
        <v>1891</v>
      </c>
      <c r="D256" s="115"/>
      <c r="E256" s="115" t="s">
        <v>663</v>
      </c>
      <c r="F256" s="115" t="s">
        <v>1892</v>
      </c>
      <c r="G256" s="115" t="s">
        <v>663</v>
      </c>
      <c r="H256" s="116">
        <v>5.32</v>
      </c>
      <c r="I256" s="115" t="s">
        <v>164</v>
      </c>
      <c r="J256" s="116" t="s">
        <v>125</v>
      </c>
      <c r="K256" s="115">
        <v>3.7499999999999999E-2</v>
      </c>
      <c r="L256" s="115">
        <v>0</v>
      </c>
      <c r="M256" s="110">
        <v>-8.7360505957385577</v>
      </c>
      <c r="N256" s="60">
        <v>35.676119999999997</v>
      </c>
      <c r="O256" s="83">
        <v>-1.192E-2</v>
      </c>
      <c r="P256" s="24">
        <v>-9.9504877492490906E-7</v>
      </c>
      <c r="Q256" s="24">
        <v>-6.3829409466864877E-8</v>
      </c>
      <c r="R256" s="14"/>
    </row>
    <row r="257" spans="1:18" x14ac:dyDescent="0.25">
      <c r="A257" s="16" t="s">
        <v>2045</v>
      </c>
      <c r="B257" s="216" t="s">
        <v>2051</v>
      </c>
      <c r="C257" s="115" t="s">
        <v>1897</v>
      </c>
      <c r="D257" s="115"/>
      <c r="E257" s="115" t="s">
        <v>663</v>
      </c>
      <c r="F257" s="115" t="s">
        <v>1898</v>
      </c>
      <c r="G257" s="115" t="s">
        <v>663</v>
      </c>
      <c r="H257" s="116">
        <v>2.19</v>
      </c>
      <c r="I257" s="115" t="s">
        <v>164</v>
      </c>
      <c r="J257" s="116" t="s">
        <v>131</v>
      </c>
      <c r="K257" s="115">
        <v>8.8849999999999998E-2</v>
      </c>
      <c r="L257" s="115">
        <v>9.3800000000000008E-2</v>
      </c>
      <c r="M257" s="110">
        <v>114744.67791036694</v>
      </c>
      <c r="N257" s="60">
        <v>99.27</v>
      </c>
      <c r="O257" s="83">
        <v>323.78075999999999</v>
      </c>
      <c r="P257" s="24">
        <v>2.7028326223343627E-2</v>
      </c>
      <c r="Q257" s="24">
        <v>1.7337864687527436E-3</v>
      </c>
      <c r="R257" s="14"/>
    </row>
    <row r="258" spans="1:18" x14ac:dyDescent="0.25">
      <c r="A258" s="16" t="s">
        <v>2045</v>
      </c>
      <c r="B258" s="216" t="s">
        <v>2051</v>
      </c>
      <c r="C258" s="115" t="s">
        <v>1893</v>
      </c>
      <c r="D258" s="115"/>
      <c r="E258" s="115" t="s">
        <v>663</v>
      </c>
      <c r="F258" s="115" t="s">
        <v>1894</v>
      </c>
      <c r="G258" s="115" t="s">
        <v>663</v>
      </c>
      <c r="H258" s="116">
        <v>0</v>
      </c>
      <c r="I258" s="115" t="s">
        <v>164</v>
      </c>
      <c r="J258" s="116" t="s">
        <v>131</v>
      </c>
      <c r="K258" s="115">
        <v>8.8849999999999998E-2</v>
      </c>
      <c r="L258" s="115">
        <v>0</v>
      </c>
      <c r="M258" s="110">
        <v>-2008.0293636739277</v>
      </c>
      <c r="N258" s="60">
        <v>66.186753999999993</v>
      </c>
      <c r="O258" s="83">
        <v>-3.7778100000000001</v>
      </c>
      <c r="P258" s="24">
        <v>-3.153611755368348E-4</v>
      </c>
      <c r="Q258" s="24">
        <v>-2.0229478303524902E-5</v>
      </c>
      <c r="R258" s="14"/>
    </row>
    <row r="259" spans="1:18" x14ac:dyDescent="0.25">
      <c r="A259" s="16" t="s">
        <v>2046</v>
      </c>
      <c r="B259" s="115" t="s">
        <v>1565</v>
      </c>
      <c r="C259" s="115" t="s">
        <v>1885</v>
      </c>
      <c r="D259" s="115"/>
      <c r="E259" s="115" t="s">
        <v>663</v>
      </c>
      <c r="F259" s="115" t="s">
        <v>1886</v>
      </c>
      <c r="G259" s="115" t="s">
        <v>663</v>
      </c>
      <c r="H259" s="116">
        <v>2.0099999999999998</v>
      </c>
      <c r="I259" s="115" t="s">
        <v>164</v>
      </c>
      <c r="J259" s="116" t="s">
        <v>125</v>
      </c>
      <c r="K259" s="115">
        <v>9.0599999999999986E-2</v>
      </c>
      <c r="L259" s="115">
        <v>0.09</v>
      </c>
      <c r="M259" s="110">
        <v>1255.012593322454</v>
      </c>
      <c r="N259" s="60">
        <v>100.89</v>
      </c>
      <c r="O259" s="83">
        <v>4.8418799999999997</v>
      </c>
      <c r="P259" s="24">
        <v>4.0418680892058883E-4</v>
      </c>
      <c r="Q259" s="24">
        <v>2.5927377609850982E-5</v>
      </c>
      <c r="R259" s="14"/>
    </row>
    <row r="260" spans="1:18" x14ac:dyDescent="0.25">
      <c r="A260" s="16" t="s">
        <v>2046</v>
      </c>
      <c r="B260" s="216" t="s">
        <v>2051</v>
      </c>
      <c r="C260" s="115" t="s">
        <v>1887</v>
      </c>
      <c r="D260" s="115"/>
      <c r="E260" s="115" t="s">
        <v>663</v>
      </c>
      <c r="F260" s="115" t="s">
        <v>1888</v>
      </c>
      <c r="G260" s="115" t="s">
        <v>663</v>
      </c>
      <c r="H260" s="116">
        <v>3.95</v>
      </c>
      <c r="I260" s="115" t="s">
        <v>164</v>
      </c>
      <c r="J260" s="116" t="s">
        <v>125</v>
      </c>
      <c r="K260" s="115">
        <v>9.4064300000000003E-2</v>
      </c>
      <c r="L260" s="115">
        <v>0</v>
      </c>
      <c r="M260" s="110">
        <v>-14.485119689183479</v>
      </c>
      <c r="N260" s="60">
        <v>33.025311000000002</v>
      </c>
      <c r="O260" s="83">
        <v>-1.8290000000000001E-2</v>
      </c>
      <c r="P260" s="24">
        <v>-1.526798833336962E-6</v>
      </c>
      <c r="Q260" s="24">
        <v>-9.7939588854778418E-8</v>
      </c>
      <c r="R260" s="14"/>
    </row>
    <row r="261" spans="1:18" x14ac:dyDescent="0.25">
      <c r="A261" s="16" t="s">
        <v>2047</v>
      </c>
      <c r="B261" s="216" t="s">
        <v>2051</v>
      </c>
      <c r="C261" s="115" t="s">
        <v>1899</v>
      </c>
      <c r="D261" s="115"/>
      <c r="E261" s="115" t="s">
        <v>663</v>
      </c>
      <c r="F261" s="115" t="s">
        <v>1900</v>
      </c>
      <c r="G261" s="115" t="s">
        <v>663</v>
      </c>
      <c r="H261" s="116">
        <v>6</v>
      </c>
      <c r="I261" s="115" t="s">
        <v>182</v>
      </c>
      <c r="J261" s="116" t="s">
        <v>125</v>
      </c>
      <c r="K261" s="115">
        <v>0.14429069999999999</v>
      </c>
      <c r="L261" s="115">
        <v>0</v>
      </c>
      <c r="M261" s="110">
        <v>4365.5764637151633</v>
      </c>
      <c r="N261" s="60">
        <v>106.4</v>
      </c>
      <c r="O261" s="83">
        <v>17.762370000000001</v>
      </c>
      <c r="P261" s="24">
        <v>1.4827537339146776E-3</v>
      </c>
      <c r="Q261" s="24">
        <v>9.5114227167110465E-5</v>
      </c>
      <c r="R261" s="14"/>
    </row>
    <row r="262" spans="1:18" x14ac:dyDescent="0.25">
      <c r="A262" s="16" t="s">
        <v>2048</v>
      </c>
      <c r="B262" s="216" t="s">
        <v>2051</v>
      </c>
      <c r="C262" s="115" t="s">
        <v>1901</v>
      </c>
      <c r="D262" s="115"/>
      <c r="E262" s="115" t="s">
        <v>663</v>
      </c>
      <c r="F262" s="115" t="s">
        <v>1596</v>
      </c>
      <c r="G262" s="115" t="s">
        <v>663</v>
      </c>
      <c r="H262" s="116">
        <v>6</v>
      </c>
      <c r="I262" s="115" t="s">
        <v>182</v>
      </c>
      <c r="J262" s="116" t="s">
        <v>125</v>
      </c>
      <c r="K262" s="115">
        <v>0.14429069999999999</v>
      </c>
      <c r="L262" s="115">
        <v>0</v>
      </c>
      <c r="M262" s="110">
        <v>4113.7773991705817</v>
      </c>
      <c r="N262" s="60">
        <v>105.58</v>
      </c>
      <c r="O262" s="83">
        <v>16.60887</v>
      </c>
      <c r="P262" s="24">
        <v>1.3864627304016001E-3</v>
      </c>
      <c r="Q262" s="24">
        <v>8.8937446645295977E-5</v>
      </c>
      <c r="R262" s="14"/>
    </row>
    <row r="263" spans="1:18" x14ac:dyDescent="0.25">
      <c r="A263" s="16" t="s">
        <v>2048</v>
      </c>
      <c r="B263" s="216" t="s">
        <v>2051</v>
      </c>
      <c r="C263" s="115" t="s">
        <v>1902</v>
      </c>
      <c r="D263" s="115"/>
      <c r="E263" s="115" t="s">
        <v>663</v>
      </c>
      <c r="F263" s="115" t="s">
        <v>1596</v>
      </c>
      <c r="G263" s="115" t="s">
        <v>663</v>
      </c>
      <c r="H263" s="116">
        <v>6</v>
      </c>
      <c r="I263" s="115" t="s">
        <v>182</v>
      </c>
      <c r="J263" s="116" t="s">
        <v>125</v>
      </c>
      <c r="K263" s="115">
        <v>0.14429069999999999</v>
      </c>
      <c r="L263" s="115">
        <v>0</v>
      </c>
      <c r="M263" s="110">
        <v>5138.188925918821</v>
      </c>
      <c r="N263" s="60">
        <v>105.58</v>
      </c>
      <c r="O263" s="83">
        <v>20.744810000000001</v>
      </c>
      <c r="P263" s="24">
        <v>1.7317196121266782E-3</v>
      </c>
      <c r="Q263" s="24">
        <v>1.1108464528542897E-4</v>
      </c>
      <c r="R263" s="14"/>
    </row>
    <row r="264" spans="1:18" x14ac:dyDescent="0.25">
      <c r="A264" s="16" t="s">
        <v>2049</v>
      </c>
      <c r="B264" s="216" t="s">
        <v>2051</v>
      </c>
      <c r="C264" s="115" t="s">
        <v>1895</v>
      </c>
      <c r="D264" s="115"/>
      <c r="E264" s="115" t="s">
        <v>663</v>
      </c>
      <c r="F264" s="115" t="s">
        <v>1896</v>
      </c>
      <c r="G264" s="115" t="s">
        <v>663</v>
      </c>
      <c r="H264" s="116">
        <v>2.46</v>
      </c>
      <c r="I264" s="115" t="s">
        <v>164</v>
      </c>
      <c r="J264" s="116" t="s">
        <v>125</v>
      </c>
      <c r="K264" s="115">
        <v>9.1564300000000001E-2</v>
      </c>
      <c r="L264" s="115">
        <v>8.900000000000001E-2</v>
      </c>
      <c r="M264" s="110">
        <v>1631.9724725857698</v>
      </c>
      <c r="N264" s="60">
        <v>100.14</v>
      </c>
      <c r="O264" s="83">
        <v>6.2493999999999996</v>
      </c>
      <c r="P264" s="24">
        <v>5.2168270251809782E-4</v>
      </c>
      <c r="Q264" s="24">
        <v>3.3464388550522259E-5</v>
      </c>
      <c r="R264" s="14"/>
    </row>
    <row r="265" spans="1:18" x14ac:dyDescent="0.25">
      <c r="A265" s="16" t="s">
        <v>2049</v>
      </c>
      <c r="B265" s="216" t="s">
        <v>2051</v>
      </c>
      <c r="C265" s="115" t="s">
        <v>1883</v>
      </c>
      <c r="D265" s="115"/>
      <c r="E265" s="115" t="s">
        <v>663</v>
      </c>
      <c r="F265" s="115" t="s">
        <v>1884</v>
      </c>
      <c r="G265" s="115" t="s">
        <v>663</v>
      </c>
      <c r="H265" s="116">
        <v>3.91</v>
      </c>
      <c r="I265" s="115" t="s">
        <v>164</v>
      </c>
      <c r="J265" s="116" t="s">
        <v>255</v>
      </c>
      <c r="K265" s="115">
        <v>0</v>
      </c>
      <c r="L265" s="115">
        <v>0</v>
      </c>
      <c r="M265" s="110">
        <v>-113.20289212779672</v>
      </c>
      <c r="N265" s="60">
        <v>37.027026999999997</v>
      </c>
      <c r="O265" s="83">
        <v>-4.1919999999999999E-2</v>
      </c>
      <c r="P265" s="24">
        <v>-3.4993661614808884E-6</v>
      </c>
      <c r="Q265" s="24">
        <v>-2.244738963801154E-7</v>
      </c>
      <c r="R265" s="14"/>
    </row>
    <row r="266" spans="1:18" s="117" customFormat="1" x14ac:dyDescent="0.25">
      <c r="A266" s="91" t="s">
        <v>1882</v>
      </c>
      <c r="B266" s="129" t="s">
        <v>249</v>
      </c>
      <c r="C266" s="129" t="s">
        <v>249</v>
      </c>
      <c r="D266" s="129"/>
      <c r="E266" s="129" t="s">
        <v>249</v>
      </c>
      <c r="F266" s="129" t="s">
        <v>249</v>
      </c>
      <c r="G266" s="129" t="s">
        <v>249</v>
      </c>
      <c r="H266" s="130" t="s">
        <v>249</v>
      </c>
      <c r="I266" s="129" t="s">
        <v>249</v>
      </c>
      <c r="J266" s="130" t="s">
        <v>249</v>
      </c>
      <c r="K266" s="129" t="s">
        <v>249</v>
      </c>
      <c r="L266" s="129" t="s">
        <v>249</v>
      </c>
      <c r="M266" s="159" t="s">
        <v>249</v>
      </c>
      <c r="N266" s="134" t="s">
        <v>249</v>
      </c>
      <c r="O266" s="122">
        <v>0</v>
      </c>
      <c r="P266" s="135">
        <v>0</v>
      </c>
      <c r="Q266" s="135">
        <v>0</v>
      </c>
    </row>
    <row r="267" spans="1:18" s="117" customFormat="1" x14ac:dyDescent="0.25">
      <c r="A267" s="77" t="s">
        <v>241</v>
      </c>
      <c r="B267" s="77"/>
      <c r="C267" s="123"/>
      <c r="D267" s="123"/>
      <c r="E267" s="123"/>
      <c r="F267" s="124"/>
      <c r="G267" s="124"/>
      <c r="H267" s="124"/>
      <c r="I267" s="124"/>
      <c r="J267" s="124"/>
      <c r="K267" s="125"/>
      <c r="L267" s="126"/>
      <c r="M267" s="127"/>
      <c r="N267" s="127"/>
      <c r="O267" s="127"/>
      <c r="P267" s="127"/>
      <c r="Q267" s="126"/>
      <c r="R267" s="128"/>
    </row>
    <row r="268" spans="1:18" s="117" customFormat="1" x14ac:dyDescent="0.25">
      <c r="A268" s="77" t="s">
        <v>242</v>
      </c>
      <c r="B268" s="77"/>
      <c r="C268" s="123"/>
      <c r="D268" s="123"/>
      <c r="E268" s="123"/>
      <c r="F268" s="124"/>
      <c r="G268" s="124"/>
      <c r="H268" s="124"/>
      <c r="I268" s="124"/>
      <c r="J268" s="124"/>
      <c r="K268" s="125"/>
      <c r="L268" s="126"/>
      <c r="M268" s="127"/>
      <c r="N268" s="127"/>
      <c r="O268" s="127"/>
      <c r="P268" s="127"/>
      <c r="Q268" s="126"/>
      <c r="R268" s="128"/>
    </row>
    <row r="269" spans="1:18" s="117" customFormat="1" x14ac:dyDescent="0.25">
      <c r="A269" s="77" t="s">
        <v>243</v>
      </c>
      <c r="B269" s="77"/>
      <c r="C269" s="123"/>
      <c r="D269" s="123"/>
      <c r="E269" s="123"/>
      <c r="F269" s="124"/>
      <c r="G269" s="124"/>
      <c r="H269" s="124"/>
      <c r="I269" s="124"/>
      <c r="J269" s="124"/>
      <c r="K269" s="125"/>
      <c r="L269" s="126"/>
      <c r="M269" s="127"/>
      <c r="N269" s="127"/>
      <c r="O269" s="127"/>
      <c r="P269" s="127"/>
      <c r="Q269" s="126"/>
      <c r="R269" s="128"/>
    </row>
    <row r="270" spans="1:18" s="117" customFormat="1" x14ac:dyDescent="0.25">
      <c r="A270" s="77" t="s">
        <v>244</v>
      </c>
      <c r="B270" s="77"/>
      <c r="C270" s="123"/>
      <c r="D270" s="123"/>
      <c r="E270" s="123"/>
      <c r="F270" s="124"/>
      <c r="G270" s="124"/>
      <c r="H270" s="124"/>
      <c r="I270" s="124"/>
      <c r="J270" s="124"/>
      <c r="K270" s="125"/>
      <c r="L270" s="126"/>
      <c r="M270" s="127"/>
      <c r="N270" s="127"/>
      <c r="O270" s="127"/>
      <c r="P270" s="127"/>
      <c r="Q270" s="126"/>
      <c r="R270" s="128"/>
    </row>
    <row r="271" spans="1:18" s="117" customFormat="1" x14ac:dyDescent="0.25">
      <c r="A271" s="77" t="s">
        <v>245</v>
      </c>
      <c r="B271" s="77"/>
      <c r="C271" s="123"/>
      <c r="D271" s="123"/>
      <c r="E271" s="123"/>
      <c r="F271" s="124"/>
      <c r="G271" s="124"/>
      <c r="H271" s="124"/>
      <c r="I271" s="124"/>
      <c r="J271" s="124"/>
      <c r="K271" s="125"/>
      <c r="L271" s="126"/>
      <c r="M271" s="127"/>
      <c r="N271" s="127"/>
      <c r="O271" s="127"/>
      <c r="P271" s="127"/>
      <c r="Q271" s="126"/>
      <c r="R271" s="128"/>
    </row>
  </sheetData>
  <sortState xmlns:xlrd2="http://schemas.microsoft.com/office/spreadsheetml/2017/richdata2" ref="A255:Z265">
    <sortCondition ref="A255:A265" customList="א,ב,ג,ד,ה,ו,ז,ח,ט,י,כ,ל,מ,נ,ס,ע,פ,צ,ק,ר,ש,ת"/>
  </sortState>
  <mergeCells count="1">
    <mergeCell ref="A4:Q4"/>
  </mergeCells>
  <phoneticPr fontId="3" type="noConversion"/>
  <conditionalFormatting sqref="B9:L266">
    <cfRule type="expression" dxfId="42" priority="376" stopIfTrue="1">
      <formula>LEFT(#REF!,3)="TIR"</formula>
    </cfRule>
  </conditionalFormatting>
  <conditionalFormatting sqref="O9:P266 A9:A266">
    <cfRule type="expression" dxfId="41" priority="374" stopIfTrue="1">
      <formula>#REF!&gt;0</formula>
    </cfRule>
  </conditionalFormatting>
  <conditionalFormatting sqref="P9:Q266">
    <cfRule type="expression" dxfId="40" priority="373" stopIfTrue="1">
      <formula>OR(LEFT(#REF!,3)="TIR",LEFT(#REF!,2)="IR")</formula>
    </cfRule>
  </conditionalFormatting>
  <conditionalFormatting sqref="Q11:Q14">
    <cfRule type="expression" dxfId="39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2.4414062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1" t="s">
        <v>37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3"/>
      <c r="O4" s="12"/>
      <c r="P4" s="12"/>
      <c r="Q4" s="12"/>
    </row>
    <row r="5" spans="1:17" s="7" customFormat="1" ht="30.75" customHeight="1" x14ac:dyDescent="0.25">
      <c r="A5" s="85" t="s">
        <v>157</v>
      </c>
      <c r="B5" s="204" t="s">
        <v>69</v>
      </c>
      <c r="C5" s="204" t="s">
        <v>74</v>
      </c>
      <c r="D5" s="204" t="s">
        <v>70</v>
      </c>
      <c r="E5" s="204" t="s">
        <v>5</v>
      </c>
      <c r="F5" s="204" t="s">
        <v>14</v>
      </c>
      <c r="G5" s="204" t="s">
        <v>6</v>
      </c>
      <c r="H5" s="205" t="s">
        <v>89</v>
      </c>
      <c r="I5" s="205" t="s">
        <v>71</v>
      </c>
      <c r="J5" s="205" t="s">
        <v>67</v>
      </c>
      <c r="K5" s="205" t="s">
        <v>68</v>
      </c>
      <c r="L5" s="205" t="s">
        <v>29</v>
      </c>
      <c r="M5" s="88" t="s">
        <v>75</v>
      </c>
      <c r="N5" s="89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7" customFormat="1" ht="12.75" customHeight="1" thickBot="1" x14ac:dyDescent="0.3">
      <c r="A8" s="98" t="s">
        <v>122</v>
      </c>
      <c r="B8" s="66" t="s">
        <v>249</v>
      </c>
      <c r="C8" s="99" t="s">
        <v>249</v>
      </c>
      <c r="D8" s="99"/>
      <c r="E8" s="99" t="s">
        <v>249</v>
      </c>
      <c r="F8" s="99" t="s">
        <v>249</v>
      </c>
      <c r="G8" s="99" t="s">
        <v>249</v>
      </c>
      <c r="H8" s="66" t="s">
        <v>249</v>
      </c>
      <c r="I8" s="66" t="s">
        <v>249</v>
      </c>
      <c r="J8" s="100" t="s">
        <v>249</v>
      </c>
      <c r="K8" s="99" t="s">
        <v>249</v>
      </c>
      <c r="L8" s="101">
        <v>1049.0820205999999</v>
      </c>
      <c r="M8" s="66">
        <v>1</v>
      </c>
      <c r="N8" s="80">
        <v>5.6176414309734371E-3</v>
      </c>
    </row>
    <row r="9" spans="1:17" s="117" customFormat="1" x14ac:dyDescent="0.25">
      <c r="A9" s="90" t="s">
        <v>137</v>
      </c>
      <c r="B9" s="119" t="s">
        <v>249</v>
      </c>
      <c r="C9" s="120" t="s">
        <v>249</v>
      </c>
      <c r="D9" s="120" t="s">
        <v>249</v>
      </c>
      <c r="E9" s="120" t="s">
        <v>249</v>
      </c>
      <c r="F9" s="120" t="s">
        <v>249</v>
      </c>
      <c r="G9" s="120" t="s">
        <v>249</v>
      </c>
      <c r="H9" s="119" t="s">
        <v>249</v>
      </c>
      <c r="I9" s="119" t="s">
        <v>249</v>
      </c>
      <c r="J9" s="131" t="s">
        <v>249</v>
      </c>
      <c r="K9" s="120" t="s">
        <v>249</v>
      </c>
      <c r="L9" s="121">
        <v>1049.0820205</v>
      </c>
      <c r="M9" s="119">
        <v>0.99999999990467869</v>
      </c>
      <c r="N9" s="119">
        <v>5.6176414304379557E-3</v>
      </c>
    </row>
    <row r="10" spans="1:17" s="117" customFormat="1" x14ac:dyDescent="0.25">
      <c r="A10" s="91" t="s">
        <v>1903</v>
      </c>
      <c r="B10" s="135" t="s">
        <v>249</v>
      </c>
      <c r="C10" s="134" t="s">
        <v>249</v>
      </c>
      <c r="D10" s="134" t="s">
        <v>249</v>
      </c>
      <c r="E10" s="134" t="s">
        <v>249</v>
      </c>
      <c r="F10" s="134" t="s">
        <v>249</v>
      </c>
      <c r="G10" s="134" t="s">
        <v>249</v>
      </c>
      <c r="H10" s="135" t="s">
        <v>249</v>
      </c>
      <c r="I10" s="135" t="s">
        <v>249</v>
      </c>
      <c r="J10" s="133" t="s">
        <v>249</v>
      </c>
      <c r="K10" s="134" t="s">
        <v>249</v>
      </c>
      <c r="L10" s="122">
        <v>0</v>
      </c>
      <c r="M10" s="135">
        <v>0</v>
      </c>
      <c r="N10" s="135">
        <v>0</v>
      </c>
    </row>
    <row r="11" spans="1:17" s="117" customFormat="1" x14ac:dyDescent="0.25">
      <c r="A11" s="91" t="s">
        <v>1238</v>
      </c>
      <c r="B11" s="135" t="s">
        <v>249</v>
      </c>
      <c r="C11" s="134" t="s">
        <v>249</v>
      </c>
      <c r="D11" s="134" t="s">
        <v>249</v>
      </c>
      <c r="E11" s="134" t="s">
        <v>249</v>
      </c>
      <c r="F11" s="134" t="s">
        <v>249</v>
      </c>
      <c r="G11" s="134" t="s">
        <v>249</v>
      </c>
      <c r="H11" s="135" t="s">
        <v>249</v>
      </c>
      <c r="I11" s="135" t="s">
        <v>249</v>
      </c>
      <c r="J11" s="133" t="s">
        <v>249</v>
      </c>
      <c r="K11" s="134" t="s">
        <v>249</v>
      </c>
      <c r="L11" s="122">
        <v>1049.0820201000001</v>
      </c>
      <c r="M11" s="135">
        <v>0.99999999952339302</v>
      </c>
      <c r="N11" s="135">
        <v>5.6176414282960302E-3</v>
      </c>
    </row>
    <row r="12" spans="1:17" x14ac:dyDescent="0.25">
      <c r="A12" s="16" t="s">
        <v>1904</v>
      </c>
      <c r="B12" s="24" t="s">
        <v>1905</v>
      </c>
      <c r="C12" s="60" t="s">
        <v>252</v>
      </c>
      <c r="D12" s="60" t="s">
        <v>253</v>
      </c>
      <c r="E12" s="60" t="s">
        <v>254</v>
      </c>
      <c r="F12" s="60">
        <v>0.2</v>
      </c>
      <c r="G12" s="60" t="s">
        <v>255</v>
      </c>
      <c r="H12" s="24">
        <v>4.8300000429153445E-2</v>
      </c>
      <c r="I12" s="24">
        <v>4.9000000000000002E-2</v>
      </c>
      <c r="J12" s="68">
        <v>1033782.0455122585</v>
      </c>
      <c r="K12" s="60">
        <v>101.48</v>
      </c>
      <c r="L12" s="83">
        <v>1049.0820200000001</v>
      </c>
      <c r="M12" s="24">
        <v>0.9999999994280715</v>
      </c>
      <c r="N12" s="24">
        <v>5.6176414277605479E-3</v>
      </c>
      <c r="O12" s="14"/>
    </row>
    <row r="13" spans="1:17" s="117" customFormat="1" x14ac:dyDescent="0.25">
      <c r="A13" s="91" t="s">
        <v>1906</v>
      </c>
      <c r="B13" s="135" t="s">
        <v>249</v>
      </c>
      <c r="C13" s="134" t="s">
        <v>249</v>
      </c>
      <c r="D13" s="134" t="s">
        <v>249</v>
      </c>
      <c r="E13" s="134" t="s">
        <v>249</v>
      </c>
      <c r="F13" s="134" t="s">
        <v>249</v>
      </c>
      <c r="G13" s="134" t="s">
        <v>249</v>
      </c>
      <c r="H13" s="135" t="s">
        <v>249</v>
      </c>
      <c r="I13" s="135" t="s">
        <v>249</v>
      </c>
      <c r="J13" s="133" t="s">
        <v>249</v>
      </c>
      <c r="K13" s="134" t="s">
        <v>249</v>
      </c>
      <c r="L13" s="122">
        <v>0</v>
      </c>
      <c r="M13" s="135">
        <v>0</v>
      </c>
      <c r="N13" s="135">
        <v>0</v>
      </c>
    </row>
    <row r="14" spans="1:17" s="117" customFormat="1" x14ac:dyDescent="0.25">
      <c r="A14" s="91" t="s">
        <v>1907</v>
      </c>
      <c r="B14" s="135" t="s">
        <v>249</v>
      </c>
      <c r="C14" s="134" t="s">
        <v>249</v>
      </c>
      <c r="D14" s="134" t="s">
        <v>249</v>
      </c>
      <c r="E14" s="134" t="s">
        <v>249</v>
      </c>
      <c r="F14" s="134" t="s">
        <v>249</v>
      </c>
      <c r="G14" s="134" t="s">
        <v>249</v>
      </c>
      <c r="H14" s="135" t="s">
        <v>249</v>
      </c>
      <c r="I14" s="135" t="s">
        <v>249</v>
      </c>
      <c r="J14" s="133" t="s">
        <v>249</v>
      </c>
      <c r="K14" s="134" t="s">
        <v>249</v>
      </c>
      <c r="L14" s="122">
        <v>0</v>
      </c>
      <c r="M14" s="135">
        <v>0</v>
      </c>
      <c r="N14" s="135">
        <v>0</v>
      </c>
    </row>
    <row r="15" spans="1:17" s="117" customFormat="1" x14ac:dyDescent="0.25">
      <c r="A15" s="91" t="s">
        <v>141</v>
      </c>
      <c r="B15" s="135" t="s">
        <v>249</v>
      </c>
      <c r="C15" s="134" t="s">
        <v>249</v>
      </c>
      <c r="D15" s="134" t="s">
        <v>249</v>
      </c>
      <c r="E15" s="134" t="s">
        <v>249</v>
      </c>
      <c r="F15" s="134" t="s">
        <v>249</v>
      </c>
      <c r="G15" s="134" t="s">
        <v>249</v>
      </c>
      <c r="H15" s="135" t="s">
        <v>249</v>
      </c>
      <c r="I15" s="135" t="s">
        <v>249</v>
      </c>
      <c r="J15" s="133" t="s">
        <v>249</v>
      </c>
      <c r="K15" s="134" t="s">
        <v>249</v>
      </c>
      <c r="L15" s="122">
        <v>0</v>
      </c>
      <c r="M15" s="135">
        <v>0</v>
      </c>
      <c r="N15" s="135">
        <v>0</v>
      </c>
    </row>
    <row r="16" spans="1:17" s="117" customFormat="1" x14ac:dyDescent="0.25">
      <c r="A16" s="91" t="s">
        <v>455</v>
      </c>
      <c r="B16" s="135" t="s">
        <v>249</v>
      </c>
      <c r="C16" s="134" t="s">
        <v>249</v>
      </c>
      <c r="D16" s="134" t="s">
        <v>249</v>
      </c>
      <c r="E16" s="134" t="s">
        <v>249</v>
      </c>
      <c r="F16" s="134" t="s">
        <v>249</v>
      </c>
      <c r="G16" s="134" t="s">
        <v>249</v>
      </c>
      <c r="H16" s="135" t="s">
        <v>249</v>
      </c>
      <c r="I16" s="135" t="s">
        <v>249</v>
      </c>
      <c r="J16" s="133" t="s">
        <v>249</v>
      </c>
      <c r="K16" s="134" t="s">
        <v>249</v>
      </c>
      <c r="L16" s="122">
        <v>0</v>
      </c>
      <c r="M16" s="135">
        <v>0</v>
      </c>
      <c r="N16" s="135">
        <v>0</v>
      </c>
    </row>
    <row r="17" spans="1:15" s="117" customFormat="1" x14ac:dyDescent="0.25">
      <c r="A17" s="77" t="s">
        <v>241</v>
      </c>
      <c r="B17" s="77"/>
      <c r="C17" s="123"/>
      <c r="D17" s="123"/>
      <c r="E17" s="124"/>
      <c r="F17" s="124"/>
      <c r="G17" s="124"/>
      <c r="H17" s="125"/>
      <c r="I17" s="126"/>
      <c r="J17" s="127"/>
      <c r="K17" s="127"/>
      <c r="L17" s="127"/>
      <c r="M17" s="127"/>
      <c r="N17" s="126"/>
      <c r="O17" s="128"/>
    </row>
    <row r="18" spans="1:15" s="117" customFormat="1" x14ac:dyDescent="0.25">
      <c r="A18" s="77" t="s">
        <v>242</v>
      </c>
      <c r="B18" s="77"/>
      <c r="C18" s="123"/>
      <c r="D18" s="123"/>
      <c r="E18" s="124"/>
      <c r="F18" s="124"/>
      <c r="G18" s="124"/>
      <c r="H18" s="125"/>
      <c r="I18" s="126"/>
      <c r="J18" s="127"/>
      <c r="K18" s="127"/>
      <c r="L18" s="127"/>
      <c r="M18" s="127"/>
      <c r="N18" s="126"/>
      <c r="O18" s="128"/>
    </row>
    <row r="19" spans="1:15" s="117" customFormat="1" x14ac:dyDescent="0.25">
      <c r="A19" s="77" t="s">
        <v>243</v>
      </c>
      <c r="B19" s="77"/>
      <c r="C19" s="123"/>
      <c r="D19" s="123"/>
      <c r="E19" s="124"/>
      <c r="F19" s="124"/>
      <c r="G19" s="124"/>
      <c r="H19" s="125"/>
      <c r="I19" s="126"/>
      <c r="J19" s="127"/>
      <c r="K19" s="127"/>
      <c r="L19" s="127"/>
      <c r="M19" s="127"/>
      <c r="N19" s="126"/>
      <c r="O19" s="128"/>
    </row>
    <row r="20" spans="1:15" s="117" customFormat="1" x14ac:dyDescent="0.25">
      <c r="A20" s="77" t="s">
        <v>244</v>
      </c>
      <c r="B20" s="77"/>
      <c r="C20" s="123"/>
      <c r="D20" s="123"/>
      <c r="E20" s="124"/>
      <c r="F20" s="124"/>
      <c r="G20" s="124"/>
      <c r="H20" s="125"/>
      <c r="I20" s="126"/>
      <c r="J20" s="127"/>
      <c r="K20" s="127"/>
      <c r="L20" s="127"/>
      <c r="M20" s="127"/>
      <c r="N20" s="126"/>
      <c r="O20" s="128"/>
    </row>
    <row r="21" spans="1:15" s="117" customFormat="1" x14ac:dyDescent="0.25">
      <c r="A21" s="77" t="s">
        <v>245</v>
      </c>
      <c r="B21" s="77"/>
      <c r="C21" s="123"/>
      <c r="D21" s="123"/>
      <c r="E21" s="124"/>
      <c r="F21" s="124"/>
      <c r="G21" s="124"/>
      <c r="H21" s="125"/>
      <c r="I21" s="126"/>
      <c r="J21" s="127"/>
      <c r="K21" s="127"/>
      <c r="L21" s="127"/>
      <c r="M21" s="127"/>
      <c r="N21" s="126"/>
      <c r="O21" s="128"/>
    </row>
  </sheetData>
  <mergeCells count="1">
    <mergeCell ref="A4:N4"/>
  </mergeCells>
  <phoneticPr fontId="3" type="noConversion"/>
  <conditionalFormatting sqref="B9:E16 G9:G16 M9:N16">
    <cfRule type="expression" dxfId="38" priority="378" stopIfTrue="1">
      <formula>OR(LEFT(#REF!,3)="TIR",LEFT(#REF!,2)="IR")</formula>
    </cfRule>
  </conditionalFormatting>
  <conditionalFormatting sqref="L8:M16 A8:A1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13.33203125" style="59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5" t="s">
        <v>38</v>
      </c>
      <c r="B4" s="236"/>
      <c r="C4" s="236"/>
      <c r="D4" s="236"/>
      <c r="E4" s="236"/>
      <c r="F4" s="236"/>
      <c r="G4" s="236"/>
      <c r="H4" s="236"/>
      <c r="I4" s="237"/>
      <c r="J4" s="11"/>
      <c r="K4" s="11"/>
      <c r="L4" s="11"/>
    </row>
    <row r="5" spans="1:17" s="7" customFormat="1" ht="33" customHeight="1" x14ac:dyDescent="0.25">
      <c r="A5" s="85" t="s">
        <v>157</v>
      </c>
      <c r="B5" s="86" t="s">
        <v>39</v>
      </c>
      <c r="C5" s="86" t="s">
        <v>41</v>
      </c>
      <c r="D5" s="86" t="s">
        <v>42</v>
      </c>
      <c r="E5" s="86" t="s">
        <v>6</v>
      </c>
      <c r="F5" s="87" t="s">
        <v>82</v>
      </c>
      <c r="G5" s="88" t="s">
        <v>75</v>
      </c>
      <c r="H5" s="88" t="s">
        <v>8</v>
      </c>
      <c r="I5" s="89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7" customFormat="1" ht="12.75" customHeight="1" thickBot="1" x14ac:dyDescent="0.3">
      <c r="A8" s="147" t="s">
        <v>73</v>
      </c>
      <c r="B8" s="69"/>
      <c r="C8" s="69" t="s">
        <v>249</v>
      </c>
      <c r="D8" s="160"/>
      <c r="E8" s="148"/>
      <c r="F8" s="151">
        <v>4.0000000000000003E-7</v>
      </c>
      <c r="G8" s="69">
        <v>1</v>
      </c>
      <c r="H8" s="69">
        <v>0</v>
      </c>
      <c r="I8" s="81"/>
    </row>
    <row r="9" spans="1:17" s="117" customFormat="1" x14ac:dyDescent="0.25">
      <c r="A9" s="90" t="s">
        <v>1908</v>
      </c>
      <c r="B9" s="119" t="s">
        <v>249</v>
      </c>
      <c r="C9" s="119" t="s">
        <v>249</v>
      </c>
      <c r="D9" s="119" t="s">
        <v>249</v>
      </c>
      <c r="E9" s="120" t="s">
        <v>249</v>
      </c>
      <c r="F9" s="121">
        <v>0</v>
      </c>
      <c r="G9" s="119">
        <v>0</v>
      </c>
      <c r="H9" s="119">
        <v>0</v>
      </c>
      <c r="I9" s="119" t="s">
        <v>249</v>
      </c>
    </row>
    <row r="10" spans="1:17" s="117" customFormat="1" x14ac:dyDescent="0.25">
      <c r="A10" s="91" t="s">
        <v>1909</v>
      </c>
      <c r="B10" s="119" t="s">
        <v>249</v>
      </c>
      <c r="C10" s="119" t="s">
        <v>249</v>
      </c>
      <c r="D10" s="119" t="s">
        <v>249</v>
      </c>
      <c r="E10" s="120" t="s">
        <v>249</v>
      </c>
      <c r="F10" s="121">
        <v>0</v>
      </c>
      <c r="G10" s="119">
        <v>0</v>
      </c>
      <c r="H10" s="119">
        <v>0</v>
      </c>
      <c r="I10" s="119" t="s">
        <v>249</v>
      </c>
    </row>
    <row r="11" spans="1:17" s="117" customFormat="1" x14ac:dyDescent="0.25">
      <c r="A11" s="91" t="s">
        <v>1910</v>
      </c>
      <c r="B11" s="119" t="s">
        <v>249</v>
      </c>
      <c r="C11" s="119" t="s">
        <v>249</v>
      </c>
      <c r="D11" s="119" t="s">
        <v>249</v>
      </c>
      <c r="E11" s="120" t="s">
        <v>249</v>
      </c>
      <c r="F11" s="121">
        <v>0</v>
      </c>
      <c r="G11" s="119">
        <v>0</v>
      </c>
      <c r="H11" s="119">
        <v>0</v>
      </c>
      <c r="I11" s="119" t="s">
        <v>249</v>
      </c>
    </row>
    <row r="12" spans="1:17" s="117" customFormat="1" x14ac:dyDescent="0.25">
      <c r="A12" s="91" t="s">
        <v>1911</v>
      </c>
      <c r="B12" s="119" t="s">
        <v>249</v>
      </c>
      <c r="C12" s="119" t="s">
        <v>249</v>
      </c>
      <c r="D12" s="119" t="s">
        <v>249</v>
      </c>
      <c r="E12" s="120" t="s">
        <v>249</v>
      </c>
      <c r="F12" s="121">
        <v>0</v>
      </c>
      <c r="G12" s="119">
        <v>0</v>
      </c>
      <c r="H12" s="119">
        <v>0</v>
      </c>
      <c r="I12" s="119" t="s">
        <v>249</v>
      </c>
    </row>
    <row r="13" spans="1:17" s="117" customFormat="1" x14ac:dyDescent="0.25">
      <c r="A13" s="91" t="s">
        <v>1909</v>
      </c>
      <c r="B13" s="119" t="s">
        <v>249</v>
      </c>
      <c r="C13" s="119" t="s">
        <v>249</v>
      </c>
      <c r="D13" s="119" t="s">
        <v>249</v>
      </c>
      <c r="E13" s="120" t="s">
        <v>249</v>
      </c>
      <c r="F13" s="121">
        <v>0</v>
      </c>
      <c r="G13" s="119">
        <v>0</v>
      </c>
      <c r="H13" s="119">
        <v>0</v>
      </c>
      <c r="I13" s="119" t="s">
        <v>249</v>
      </c>
    </row>
    <row r="14" spans="1:17" s="117" customFormat="1" x14ac:dyDescent="0.25">
      <c r="A14" s="91" t="s">
        <v>1910</v>
      </c>
      <c r="B14" s="119" t="s">
        <v>249</v>
      </c>
      <c r="C14" s="119" t="s">
        <v>249</v>
      </c>
      <c r="D14" s="119" t="s">
        <v>249</v>
      </c>
      <c r="E14" s="120" t="s">
        <v>249</v>
      </c>
      <c r="F14" s="121">
        <v>0</v>
      </c>
      <c r="G14" s="119">
        <v>0</v>
      </c>
      <c r="H14" s="119">
        <v>0</v>
      </c>
      <c r="I14" s="119" t="s">
        <v>249</v>
      </c>
    </row>
    <row r="15" spans="1:17" s="117" customFormat="1" x14ac:dyDescent="0.25">
      <c r="A15" s="77" t="s">
        <v>241</v>
      </c>
      <c r="B15" s="123"/>
      <c r="C15" s="77"/>
      <c r="D15" s="144"/>
      <c r="E15" s="124"/>
      <c r="F15" s="124"/>
      <c r="G15" s="124"/>
      <c r="H15" s="124"/>
      <c r="I15" s="124"/>
      <c r="J15" s="145"/>
      <c r="K15" s="128"/>
      <c r="L15" s="146"/>
      <c r="M15" s="146"/>
      <c r="N15" s="146"/>
      <c r="O15" s="128"/>
      <c r="P15" s="128"/>
    </row>
    <row r="16" spans="1:17" s="117" customFormat="1" x14ac:dyDescent="0.25">
      <c r="A16" s="77" t="s">
        <v>242</v>
      </c>
      <c r="B16" s="123"/>
      <c r="C16" s="77"/>
      <c r="D16" s="144"/>
      <c r="E16" s="124"/>
      <c r="F16" s="124"/>
      <c r="G16" s="124"/>
      <c r="H16" s="124"/>
      <c r="I16" s="124"/>
      <c r="J16" s="145"/>
      <c r="K16" s="128"/>
      <c r="L16" s="146"/>
      <c r="M16" s="146"/>
      <c r="N16" s="146"/>
      <c r="O16" s="128"/>
      <c r="P16" s="128"/>
    </row>
    <row r="17" spans="1:16" s="117" customFormat="1" x14ac:dyDescent="0.25">
      <c r="A17" s="77" t="s">
        <v>243</v>
      </c>
      <c r="B17" s="123"/>
      <c r="C17" s="77"/>
      <c r="D17" s="144"/>
      <c r="E17" s="124"/>
      <c r="F17" s="124"/>
      <c r="G17" s="124"/>
      <c r="H17" s="124"/>
      <c r="I17" s="124"/>
      <c r="J17" s="145"/>
      <c r="K17" s="128"/>
      <c r="L17" s="146"/>
      <c r="M17" s="146"/>
      <c r="N17" s="146"/>
      <c r="O17" s="128"/>
      <c r="P17" s="128"/>
    </row>
    <row r="18" spans="1:16" s="117" customFormat="1" x14ac:dyDescent="0.25">
      <c r="A18" s="77" t="s">
        <v>244</v>
      </c>
      <c r="B18" s="123"/>
      <c r="C18" s="77"/>
      <c r="D18" s="144"/>
      <c r="E18" s="124"/>
      <c r="F18" s="124"/>
      <c r="G18" s="124"/>
      <c r="H18" s="124"/>
      <c r="I18" s="124"/>
      <c r="J18" s="145"/>
      <c r="K18" s="128"/>
      <c r="L18" s="146"/>
      <c r="M18" s="146"/>
      <c r="N18" s="146"/>
      <c r="O18" s="128"/>
      <c r="P18" s="128"/>
    </row>
    <row r="19" spans="1:16" s="117" customFormat="1" x14ac:dyDescent="0.25">
      <c r="A19" s="77" t="s">
        <v>245</v>
      </c>
      <c r="B19" s="123"/>
      <c r="C19" s="77"/>
      <c r="D19" s="144"/>
      <c r="E19" s="124"/>
      <c r="F19" s="124"/>
      <c r="G19" s="124"/>
      <c r="H19" s="124"/>
      <c r="I19" s="124"/>
      <c r="J19" s="145"/>
      <c r="K19" s="128"/>
      <c r="L19" s="146"/>
      <c r="M19" s="146"/>
      <c r="N19" s="146"/>
      <c r="O19" s="128"/>
      <c r="P19" s="128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1" t="s">
        <v>86</v>
      </c>
      <c r="B4" s="222"/>
      <c r="C4" s="222"/>
      <c r="D4" s="222"/>
      <c r="E4" s="222"/>
      <c r="F4" s="222"/>
      <c r="G4" s="222"/>
      <c r="H4" s="222"/>
      <c r="I4" s="222"/>
      <c r="J4" s="223"/>
      <c r="K4" s="11"/>
      <c r="L4" s="11"/>
      <c r="M4" s="11"/>
    </row>
    <row r="5" spans="1:18" s="7" customFormat="1" ht="33" customHeight="1" x14ac:dyDescent="0.25">
      <c r="A5" s="85" t="s">
        <v>157</v>
      </c>
      <c r="B5" s="204" t="s">
        <v>74</v>
      </c>
      <c r="C5" s="204" t="s">
        <v>70</v>
      </c>
      <c r="D5" s="204" t="s">
        <v>83</v>
      </c>
      <c r="E5" s="204" t="s">
        <v>84</v>
      </c>
      <c r="F5" s="205" t="s">
        <v>6</v>
      </c>
      <c r="G5" s="88" t="s">
        <v>71</v>
      </c>
      <c r="H5" s="88" t="s">
        <v>29</v>
      </c>
      <c r="I5" s="88" t="s">
        <v>75</v>
      </c>
      <c r="J5" s="89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7" customFormat="1" ht="12.75" customHeight="1" thickBot="1" x14ac:dyDescent="0.3">
      <c r="A8" s="98" t="s">
        <v>123</v>
      </c>
      <c r="B8" s="69"/>
      <c r="C8" s="69"/>
      <c r="D8" s="160"/>
      <c r="E8" s="148"/>
      <c r="F8" s="105"/>
      <c r="G8" s="105"/>
      <c r="H8" s="151">
        <v>2.0000000000000002E-7</v>
      </c>
      <c r="I8" s="69">
        <v>1</v>
      </c>
      <c r="J8" s="80">
        <v>1.070963246088337E-12</v>
      </c>
    </row>
    <row r="9" spans="1:18" s="117" customFormat="1" x14ac:dyDescent="0.25">
      <c r="A9" s="90" t="s">
        <v>137</v>
      </c>
      <c r="B9" s="119" t="s">
        <v>249</v>
      </c>
      <c r="C9" s="119" t="s">
        <v>249</v>
      </c>
      <c r="D9" s="119" t="s">
        <v>249</v>
      </c>
      <c r="E9" s="119" t="s">
        <v>249</v>
      </c>
      <c r="F9" s="132" t="s">
        <v>249</v>
      </c>
      <c r="G9" s="161" t="s">
        <v>249</v>
      </c>
      <c r="H9" s="121">
        <v>0</v>
      </c>
      <c r="I9" s="119">
        <v>0</v>
      </c>
      <c r="J9" s="119">
        <v>0</v>
      </c>
    </row>
    <row r="10" spans="1:18" s="117" customFormat="1" x14ac:dyDescent="0.25">
      <c r="A10" s="90" t="s">
        <v>439</v>
      </c>
      <c r="B10" s="119" t="s">
        <v>249</v>
      </c>
      <c r="C10" s="119" t="s">
        <v>249</v>
      </c>
      <c r="D10" s="119" t="s">
        <v>249</v>
      </c>
      <c r="E10" s="119" t="s">
        <v>249</v>
      </c>
      <c r="F10" s="132" t="s">
        <v>249</v>
      </c>
      <c r="G10" s="161" t="s">
        <v>249</v>
      </c>
      <c r="H10" s="121">
        <v>0</v>
      </c>
      <c r="I10" s="119">
        <v>0</v>
      </c>
      <c r="J10" s="119">
        <v>0</v>
      </c>
    </row>
    <row r="11" spans="1:18" s="117" customFormat="1" x14ac:dyDescent="0.25">
      <c r="A11" s="77" t="s">
        <v>241</v>
      </c>
      <c r="B11" s="123"/>
      <c r="C11" s="77"/>
      <c r="D11" s="144"/>
      <c r="E11" s="124"/>
      <c r="F11" s="124"/>
      <c r="G11" s="124"/>
      <c r="H11" s="124"/>
      <c r="I11" s="124"/>
      <c r="J11" s="124"/>
      <c r="K11" s="145"/>
      <c r="L11" s="128"/>
      <c r="M11" s="146"/>
      <c r="N11" s="146"/>
      <c r="O11" s="146"/>
      <c r="P11" s="128"/>
      <c r="Q11" s="128"/>
    </row>
    <row r="12" spans="1:18" s="117" customFormat="1" x14ac:dyDescent="0.25">
      <c r="A12" s="77" t="s">
        <v>242</v>
      </c>
      <c r="B12" s="123"/>
      <c r="C12" s="77"/>
      <c r="D12" s="144"/>
      <c r="E12" s="124"/>
      <c r="F12" s="124"/>
      <c r="G12" s="124"/>
      <c r="H12" s="124"/>
      <c r="I12" s="124"/>
      <c r="J12" s="124"/>
      <c r="K12" s="145"/>
      <c r="L12" s="128"/>
      <c r="M12" s="146"/>
      <c r="N12" s="146"/>
      <c r="O12" s="146"/>
      <c r="P12" s="128"/>
      <c r="Q12" s="128"/>
    </row>
    <row r="13" spans="1:18" s="117" customFormat="1" x14ac:dyDescent="0.25">
      <c r="A13" s="77" t="s">
        <v>243</v>
      </c>
      <c r="B13" s="123"/>
      <c r="C13" s="77"/>
      <c r="D13" s="144"/>
      <c r="E13" s="124"/>
      <c r="F13" s="124"/>
      <c r="G13" s="124"/>
      <c r="H13" s="124"/>
      <c r="I13" s="124"/>
      <c r="J13" s="124"/>
      <c r="K13" s="145"/>
      <c r="L13" s="128"/>
      <c r="M13" s="146"/>
      <c r="N13" s="146"/>
      <c r="O13" s="146"/>
      <c r="P13" s="128"/>
      <c r="Q13" s="128"/>
    </row>
    <row r="14" spans="1:18" s="117" customFormat="1" x14ac:dyDescent="0.25">
      <c r="A14" s="77" t="s">
        <v>244</v>
      </c>
      <c r="B14" s="123"/>
      <c r="C14" s="77"/>
      <c r="D14" s="144"/>
      <c r="E14" s="124"/>
      <c r="F14" s="124"/>
      <c r="G14" s="124"/>
      <c r="H14" s="124"/>
      <c r="I14" s="124"/>
      <c r="J14" s="124"/>
      <c r="K14" s="145"/>
      <c r="L14" s="128"/>
      <c r="M14" s="146"/>
      <c r="N14" s="146"/>
      <c r="O14" s="146"/>
      <c r="P14" s="128"/>
      <c r="Q14" s="128"/>
    </row>
    <row r="15" spans="1:18" s="117" customFormat="1" x14ac:dyDescent="0.25">
      <c r="A15" s="77" t="s">
        <v>245</v>
      </c>
      <c r="B15" s="123"/>
      <c r="C15" s="77"/>
      <c r="D15" s="144"/>
      <c r="E15" s="124"/>
      <c r="F15" s="124"/>
      <c r="G15" s="124"/>
      <c r="H15" s="124"/>
      <c r="I15" s="124"/>
      <c r="J15" s="124"/>
      <c r="K15" s="145"/>
      <c r="L15" s="128"/>
      <c r="M15" s="146"/>
      <c r="N15" s="146"/>
      <c r="O15" s="146"/>
      <c r="P15" s="128"/>
      <c r="Q15" s="128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1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2.554687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1" t="s">
        <v>87</v>
      </c>
      <c r="B4" s="222"/>
      <c r="C4" s="222"/>
      <c r="D4" s="222"/>
      <c r="E4" s="222"/>
      <c r="F4" s="222"/>
      <c r="G4" s="222"/>
      <c r="H4" s="222"/>
      <c r="I4" s="222"/>
      <c r="J4" s="223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5" t="s">
        <v>157</v>
      </c>
      <c r="B5" s="204" t="s">
        <v>81</v>
      </c>
      <c r="C5" s="204" t="s">
        <v>70</v>
      </c>
      <c r="D5" s="204" t="s">
        <v>5</v>
      </c>
      <c r="E5" s="205" t="s">
        <v>66</v>
      </c>
      <c r="F5" s="205" t="s">
        <v>6</v>
      </c>
      <c r="G5" s="205" t="s">
        <v>71</v>
      </c>
      <c r="H5" s="205" t="s">
        <v>29</v>
      </c>
      <c r="I5" s="88" t="s">
        <v>75</v>
      </c>
      <c r="J5" s="89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7" customFormat="1" ht="12.75" customHeight="1" thickBot="1" x14ac:dyDescent="0.3">
      <c r="A8" s="71" t="s">
        <v>124</v>
      </c>
      <c r="B8" s="118"/>
      <c r="C8" s="118"/>
      <c r="D8" s="118" t="s">
        <v>249</v>
      </c>
      <c r="E8" s="118" t="s">
        <v>249</v>
      </c>
      <c r="F8" s="118" t="s">
        <v>249</v>
      </c>
      <c r="G8" s="118" t="s">
        <v>249</v>
      </c>
      <c r="H8" s="92">
        <v>278.83906020000001</v>
      </c>
      <c r="I8" s="76">
        <v>1</v>
      </c>
      <c r="J8" s="58">
        <v>1.493131925240066E-3</v>
      </c>
    </row>
    <row r="9" spans="1:20" s="117" customFormat="1" x14ac:dyDescent="0.25">
      <c r="A9" s="90" t="s">
        <v>137</v>
      </c>
      <c r="B9" s="162"/>
      <c r="C9" s="120" t="s">
        <v>249</v>
      </c>
      <c r="D9" s="141" t="s">
        <v>249</v>
      </c>
      <c r="E9" s="155" t="s">
        <v>249</v>
      </c>
      <c r="F9" s="132" t="s">
        <v>249</v>
      </c>
      <c r="G9" s="155" t="s">
        <v>249</v>
      </c>
      <c r="H9" s="121">
        <v>278.83906009999998</v>
      </c>
      <c r="I9" s="119">
        <v>0.99999999964137021</v>
      </c>
      <c r="J9" s="119">
        <v>1.4931319247045844E-3</v>
      </c>
    </row>
    <row r="10" spans="1:20" x14ac:dyDescent="0.25">
      <c r="A10" s="16" t="s">
        <v>1920</v>
      </c>
      <c r="B10" s="23" t="s">
        <v>1921</v>
      </c>
      <c r="C10" s="65" t="s">
        <v>663</v>
      </c>
      <c r="D10" s="25" t="s">
        <v>249</v>
      </c>
      <c r="E10" s="17">
        <v>0</v>
      </c>
      <c r="F10" s="67" t="s">
        <v>255</v>
      </c>
      <c r="G10" s="17">
        <v>0</v>
      </c>
      <c r="H10" s="84">
        <v>-101.20824</v>
      </c>
      <c r="I10" s="75">
        <v>-0.36296292179226047</v>
      </c>
      <c r="J10" s="32">
        <v>-5.419515262064373E-4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1922</v>
      </c>
      <c r="B11" s="23" t="s">
        <v>1923</v>
      </c>
      <c r="C11" s="65" t="s">
        <v>663</v>
      </c>
      <c r="D11" s="25" t="s">
        <v>663</v>
      </c>
      <c r="E11" s="17">
        <v>0</v>
      </c>
      <c r="F11" s="67" t="s">
        <v>125</v>
      </c>
      <c r="G11" s="17">
        <v>0</v>
      </c>
      <c r="H11" s="84">
        <v>4.0770300000000006</v>
      </c>
      <c r="I11" s="75">
        <v>1.4621445062523561E-2</v>
      </c>
      <c r="J11" s="32">
        <v>2.1831746415997666E-5</v>
      </c>
      <c r="K11" s="14"/>
      <c r="L11" s="14"/>
      <c r="M11" s="14"/>
      <c r="N11" s="14"/>
      <c r="O11" s="14"/>
      <c r="P11" s="14"/>
    </row>
    <row r="12" spans="1:20" x14ac:dyDescent="0.25">
      <c r="A12" s="16" t="s">
        <v>1912</v>
      </c>
      <c r="B12" s="23" t="s">
        <v>1913</v>
      </c>
      <c r="C12" s="65" t="s">
        <v>663</v>
      </c>
      <c r="D12" s="25" t="s">
        <v>663</v>
      </c>
      <c r="E12" s="17">
        <v>7.5999999999999998E-2</v>
      </c>
      <c r="F12" s="67" t="s">
        <v>255</v>
      </c>
      <c r="G12" s="17">
        <v>0</v>
      </c>
      <c r="H12" s="84">
        <v>35.972679999999997</v>
      </c>
      <c r="I12" s="75">
        <v>0.12900875499364489</v>
      </c>
      <c r="J12" s="32">
        <v>1.9262709071648495E-4</v>
      </c>
      <c r="K12" s="14"/>
      <c r="L12" s="14"/>
      <c r="M12" s="14"/>
      <c r="N12" s="14"/>
      <c r="O12" s="14"/>
      <c r="P12" s="14"/>
    </row>
    <row r="13" spans="1:20" x14ac:dyDescent="0.25">
      <c r="A13" s="16" t="s">
        <v>1914</v>
      </c>
      <c r="B13" s="23" t="s">
        <v>1915</v>
      </c>
      <c r="C13" s="65" t="s">
        <v>663</v>
      </c>
      <c r="D13" s="25" t="s">
        <v>663</v>
      </c>
      <c r="E13" s="17">
        <v>4.4500000000000005E-2</v>
      </c>
      <c r="F13" s="67" t="s">
        <v>255</v>
      </c>
      <c r="G13" s="17">
        <v>0</v>
      </c>
      <c r="H13" s="84">
        <v>329.56370000000004</v>
      </c>
      <c r="I13" s="75">
        <v>1.1819136808294264</v>
      </c>
      <c r="J13" s="32">
        <v>1.7647530497244145E-3</v>
      </c>
      <c r="K13" s="14"/>
      <c r="L13" s="14"/>
      <c r="M13" s="14"/>
      <c r="N13" s="14"/>
      <c r="O13" s="14"/>
      <c r="P13" s="14"/>
    </row>
    <row r="14" spans="1:20" x14ac:dyDescent="0.25">
      <c r="A14" s="16" t="s">
        <v>1916</v>
      </c>
      <c r="B14" s="23" t="s">
        <v>1917</v>
      </c>
      <c r="C14" s="65" t="s">
        <v>663</v>
      </c>
      <c r="D14" s="25" t="s">
        <v>663</v>
      </c>
      <c r="E14" s="17">
        <v>6.8499999999999991E-2</v>
      </c>
      <c r="F14" s="67" t="s">
        <v>255</v>
      </c>
      <c r="G14" s="17">
        <v>0</v>
      </c>
      <c r="H14" s="84">
        <v>9.01816</v>
      </c>
      <c r="I14" s="75">
        <v>3.2341810338665025E-2</v>
      </c>
      <c r="J14" s="32">
        <v>4.8290589536719986E-5</v>
      </c>
      <c r="K14" s="14"/>
      <c r="L14" s="14"/>
      <c r="M14" s="14"/>
      <c r="N14" s="14"/>
      <c r="O14" s="14"/>
      <c r="P14" s="14"/>
    </row>
    <row r="15" spans="1:20" x14ac:dyDescent="0.25">
      <c r="A15" s="16" t="s">
        <v>1918</v>
      </c>
      <c r="B15" s="23" t="s">
        <v>1919</v>
      </c>
      <c r="C15" s="65" t="s">
        <v>663</v>
      </c>
      <c r="D15" s="25" t="s">
        <v>663</v>
      </c>
      <c r="E15" s="17">
        <v>3.5000000000000003E-2</v>
      </c>
      <c r="F15" s="67" t="s">
        <v>255</v>
      </c>
      <c r="G15" s="17">
        <v>0</v>
      </c>
      <c r="H15" s="84">
        <v>1.4157299999999999</v>
      </c>
      <c r="I15" s="75">
        <v>5.0772298507409759E-3</v>
      </c>
      <c r="J15" s="32">
        <v>7.5809739819232061E-6</v>
      </c>
      <c r="K15" s="14"/>
      <c r="L15" s="14"/>
      <c r="M15" s="14"/>
      <c r="N15" s="14"/>
      <c r="O15" s="14"/>
      <c r="P15" s="14"/>
    </row>
    <row r="16" spans="1:20" s="117" customFormat="1" x14ac:dyDescent="0.25">
      <c r="A16" s="91" t="s">
        <v>439</v>
      </c>
      <c r="B16" s="163" t="s">
        <v>249</v>
      </c>
      <c r="C16" s="120" t="s">
        <v>249</v>
      </c>
      <c r="D16" s="143" t="s">
        <v>249</v>
      </c>
      <c r="E16" s="156" t="s">
        <v>249</v>
      </c>
      <c r="F16" s="132" t="s">
        <v>249</v>
      </c>
      <c r="G16" s="156" t="s">
        <v>249</v>
      </c>
      <c r="H16" s="121">
        <v>0</v>
      </c>
      <c r="I16" s="119">
        <v>0</v>
      </c>
      <c r="J16" s="119">
        <v>0</v>
      </c>
    </row>
    <row r="17" spans="1:16" s="117" customFormat="1" x14ac:dyDescent="0.25">
      <c r="A17" s="77" t="s">
        <v>241</v>
      </c>
      <c r="B17" s="77"/>
      <c r="C17" s="123"/>
      <c r="D17" s="77"/>
      <c r="E17" s="144"/>
      <c r="F17" s="144"/>
      <c r="G17" s="144"/>
      <c r="H17" s="144"/>
      <c r="I17" s="144"/>
      <c r="J17" s="125"/>
      <c r="K17" s="128"/>
      <c r="L17" s="146"/>
      <c r="M17" s="146"/>
      <c r="N17" s="146"/>
      <c r="O17" s="128"/>
      <c r="P17" s="128"/>
    </row>
    <row r="18" spans="1:16" s="117" customFormat="1" x14ac:dyDescent="0.25">
      <c r="A18" s="77" t="s">
        <v>242</v>
      </c>
      <c r="B18" s="77"/>
      <c r="C18" s="123"/>
      <c r="D18" s="77"/>
      <c r="E18" s="144"/>
      <c r="F18" s="144"/>
      <c r="G18" s="144"/>
      <c r="H18" s="144"/>
      <c r="I18" s="144"/>
      <c r="J18" s="125"/>
      <c r="K18" s="128"/>
      <c r="L18" s="146"/>
      <c r="M18" s="146"/>
      <c r="N18" s="146"/>
      <c r="O18" s="128"/>
      <c r="P18" s="128"/>
    </row>
    <row r="19" spans="1:16" s="117" customFormat="1" x14ac:dyDescent="0.25">
      <c r="A19" s="77" t="s">
        <v>243</v>
      </c>
      <c r="B19" s="77"/>
      <c r="C19" s="123"/>
      <c r="D19" s="77"/>
      <c r="E19" s="144"/>
      <c r="F19" s="144"/>
      <c r="G19" s="144"/>
      <c r="H19" s="144"/>
      <c r="I19" s="144"/>
      <c r="J19" s="125"/>
      <c r="K19" s="128"/>
      <c r="L19" s="146"/>
      <c r="M19" s="146"/>
      <c r="N19" s="146"/>
      <c r="O19" s="128"/>
      <c r="P19" s="128"/>
    </row>
    <row r="20" spans="1:16" s="117" customFormat="1" x14ac:dyDescent="0.25">
      <c r="A20" s="77" t="s">
        <v>244</v>
      </c>
      <c r="B20" s="77"/>
      <c r="C20" s="123"/>
      <c r="D20" s="77"/>
      <c r="E20" s="144"/>
      <c r="F20" s="144"/>
      <c r="G20" s="144"/>
      <c r="H20" s="144"/>
      <c r="I20" s="144"/>
      <c r="J20" s="125"/>
      <c r="K20" s="128"/>
      <c r="L20" s="146"/>
      <c r="M20" s="146"/>
      <c r="N20" s="146"/>
      <c r="O20" s="128"/>
      <c r="P20" s="128"/>
    </row>
    <row r="21" spans="1:16" s="117" customFormat="1" x14ac:dyDescent="0.25">
      <c r="A21" s="77" t="s">
        <v>245</v>
      </c>
      <c r="B21" s="77"/>
      <c r="C21" s="123"/>
      <c r="D21" s="77"/>
      <c r="E21" s="144"/>
      <c r="F21" s="144"/>
      <c r="G21" s="144"/>
      <c r="H21" s="144"/>
      <c r="I21" s="144"/>
      <c r="J21" s="125"/>
      <c r="K21" s="128"/>
      <c r="L21" s="146"/>
      <c r="M21" s="146"/>
      <c r="N21" s="146"/>
      <c r="O21" s="128"/>
      <c r="P21" s="128"/>
    </row>
  </sheetData>
  <mergeCells count="1">
    <mergeCell ref="A4:J4"/>
  </mergeCells>
  <phoneticPr fontId="3" type="noConversion"/>
  <conditionalFormatting sqref="A9:A16 F9:F16 H9:J16">
    <cfRule type="expression" dxfId="28" priority="423" stopIfTrue="1">
      <formula>LEFT(#REF!,3)="TIR"</formula>
    </cfRule>
  </conditionalFormatting>
  <conditionalFormatting sqref="B9:D16 J9:J16">
    <cfRule type="expression" dxfId="27" priority="420" stopIfTrue="1">
      <formula>LEFT(#REF!,3)="TIR"</formula>
    </cfRule>
  </conditionalFormatting>
  <conditionalFormatting sqref="H9:J16 F9:F16 A9:A16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6 K17:K55551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30"/>
  <sheetViews>
    <sheetView showGridLines="0" rightToLeft="1" workbookViewId="0"/>
  </sheetViews>
  <sheetFormatPr defaultRowHeight="13.2" x14ac:dyDescent="0.25"/>
  <cols>
    <col min="1" max="1" width="35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21" t="s">
        <v>128</v>
      </c>
      <c r="B4" s="222"/>
      <c r="C4" s="223"/>
    </row>
    <row r="5" spans="1:3" x14ac:dyDescent="0.25">
      <c r="A5" s="85" t="s">
        <v>157</v>
      </c>
      <c r="B5" s="204" t="s">
        <v>63</v>
      </c>
      <c r="C5" s="93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1" customFormat="1" x14ac:dyDescent="0.25">
      <c r="A7" s="164"/>
      <c r="B7" s="165">
        <v>1</v>
      </c>
      <c r="C7" s="166">
        <v>2</v>
      </c>
    </row>
    <row r="8" spans="1:3" s="111" customFormat="1" ht="13.8" thickBot="1" x14ac:dyDescent="0.3">
      <c r="A8" s="71" t="s">
        <v>1966</v>
      </c>
      <c r="B8" s="167">
        <v>6454.7270972329989</v>
      </c>
      <c r="C8" s="114" t="s">
        <v>249</v>
      </c>
    </row>
    <row r="9" spans="1:3" s="111" customFormat="1" x14ac:dyDescent="0.25">
      <c r="A9" s="113" t="s">
        <v>137</v>
      </c>
      <c r="B9" s="168">
        <v>4183.0249371330001</v>
      </c>
      <c r="C9" s="169" t="s">
        <v>249</v>
      </c>
    </row>
    <row r="10" spans="1:3" x14ac:dyDescent="0.25">
      <c r="A10" s="45" t="s">
        <v>1967</v>
      </c>
      <c r="B10" s="112">
        <v>1.3799999999999999E-3</v>
      </c>
      <c r="C10" s="40" t="s">
        <v>1968</v>
      </c>
    </row>
    <row r="11" spans="1:3" x14ac:dyDescent="0.25">
      <c r="A11" s="45" t="s">
        <v>1969</v>
      </c>
      <c r="B11" s="112">
        <v>2.7E-4</v>
      </c>
      <c r="C11" s="40" t="s">
        <v>1968</v>
      </c>
    </row>
    <row r="12" spans="1:3" x14ac:dyDescent="0.25">
      <c r="A12" s="45" t="s">
        <v>1970</v>
      </c>
      <c r="B12" s="112">
        <v>0.58180757500000002</v>
      </c>
      <c r="C12" s="40" t="s">
        <v>246</v>
      </c>
    </row>
    <row r="13" spans="1:3" x14ac:dyDescent="0.25">
      <c r="A13" s="45" t="s">
        <v>1971</v>
      </c>
      <c r="B13" s="112">
        <v>22.994730000000001</v>
      </c>
      <c r="C13" s="40" t="s">
        <v>1968</v>
      </c>
    </row>
    <row r="14" spans="1:3" x14ac:dyDescent="0.25">
      <c r="A14" s="45" t="s">
        <v>1972</v>
      </c>
      <c r="B14" s="112">
        <v>16.089190000000002</v>
      </c>
      <c r="C14" s="40" t="s">
        <v>1973</v>
      </c>
    </row>
    <row r="15" spans="1:3" x14ac:dyDescent="0.25">
      <c r="A15" s="45" t="s">
        <v>1974</v>
      </c>
      <c r="B15" s="112">
        <v>5.1934499999999995</v>
      </c>
      <c r="C15" s="40" t="s">
        <v>1973</v>
      </c>
    </row>
    <row r="16" spans="1:3" x14ac:dyDescent="0.25">
      <c r="A16" s="45" t="s">
        <v>1975</v>
      </c>
      <c r="B16" s="112">
        <v>3.1938855589999999</v>
      </c>
      <c r="C16" s="40" t="s">
        <v>1976</v>
      </c>
    </row>
    <row r="17" spans="1:3" x14ac:dyDescent="0.25">
      <c r="A17" s="45" t="s">
        <v>1977</v>
      </c>
      <c r="B17" s="112">
        <v>647.58060999999998</v>
      </c>
      <c r="C17" s="40" t="s">
        <v>1968</v>
      </c>
    </row>
    <row r="18" spans="1:3" x14ac:dyDescent="0.25">
      <c r="A18" s="45" t="s">
        <v>1978</v>
      </c>
      <c r="B18" s="112">
        <v>584.48338999999999</v>
      </c>
      <c r="C18" s="40" t="s">
        <v>1979</v>
      </c>
    </row>
    <row r="19" spans="1:3" x14ac:dyDescent="0.25">
      <c r="A19" s="45" t="s">
        <v>1980</v>
      </c>
      <c r="B19" s="112">
        <v>250.56441000000001</v>
      </c>
      <c r="C19" s="40" t="s">
        <v>1968</v>
      </c>
    </row>
    <row r="20" spans="1:3" x14ac:dyDescent="0.25">
      <c r="A20" s="45" t="s">
        <v>1981</v>
      </c>
      <c r="B20" s="112">
        <v>121.59773</v>
      </c>
      <c r="C20" s="40" t="s">
        <v>1982</v>
      </c>
    </row>
    <row r="21" spans="1:3" x14ac:dyDescent="0.25">
      <c r="A21" s="45" t="s">
        <v>1983</v>
      </c>
      <c r="B21" s="112">
        <v>1005.0921099999999</v>
      </c>
      <c r="C21" s="40" t="s">
        <v>1984</v>
      </c>
    </row>
    <row r="22" spans="1:3" x14ac:dyDescent="0.25">
      <c r="A22" s="45" t="s">
        <v>1985</v>
      </c>
      <c r="B22" s="112">
        <v>7.4797588180000005</v>
      </c>
      <c r="C22" s="40" t="s">
        <v>1968</v>
      </c>
    </row>
    <row r="23" spans="1:3" x14ac:dyDescent="0.25">
      <c r="A23" s="45" t="s">
        <v>1986</v>
      </c>
      <c r="B23" s="112">
        <v>1121.7521899999999</v>
      </c>
      <c r="C23" s="40" t="s">
        <v>1987</v>
      </c>
    </row>
    <row r="24" spans="1:3" x14ac:dyDescent="0.25">
      <c r="A24" s="45" t="s">
        <v>1988</v>
      </c>
      <c r="B24" s="112">
        <v>7.9670801110000005</v>
      </c>
      <c r="C24" s="40" t="s">
        <v>1979</v>
      </c>
    </row>
    <row r="25" spans="1:3" x14ac:dyDescent="0.25">
      <c r="A25" s="45" t="s">
        <v>1989</v>
      </c>
      <c r="B25" s="112">
        <v>381.70373969999997</v>
      </c>
      <c r="C25" s="40" t="s">
        <v>1984</v>
      </c>
    </row>
    <row r="26" spans="1:3" x14ac:dyDescent="0.25">
      <c r="A26" s="45" t="s">
        <v>1990</v>
      </c>
      <c r="B26" s="112">
        <v>6.74920527</v>
      </c>
      <c r="C26" s="40" t="s">
        <v>1991</v>
      </c>
    </row>
    <row r="27" spans="1:3" s="111" customFormat="1" x14ac:dyDescent="0.25">
      <c r="A27" s="170" t="s">
        <v>439</v>
      </c>
      <c r="B27" s="171">
        <v>2271.7021601000001</v>
      </c>
      <c r="C27" s="172" t="s">
        <v>249</v>
      </c>
    </row>
    <row r="28" spans="1:3" x14ac:dyDescent="0.25">
      <c r="A28" s="45" t="s">
        <v>1992</v>
      </c>
      <c r="B28" s="112">
        <v>2270.5</v>
      </c>
      <c r="C28" s="40" t="s">
        <v>1984</v>
      </c>
    </row>
    <row r="29" spans="1:3" x14ac:dyDescent="0.25">
      <c r="A29" s="45" t="s">
        <v>1993</v>
      </c>
      <c r="B29" s="112">
        <v>1.2021600000000001</v>
      </c>
      <c r="C29" s="40" t="s">
        <v>246</v>
      </c>
    </row>
    <row r="30" spans="1:3" x14ac:dyDescent="0.25">
      <c r="A30" t="s">
        <v>1965</v>
      </c>
    </row>
  </sheetData>
  <mergeCells count="1">
    <mergeCell ref="A4:C4"/>
  </mergeCells>
  <phoneticPr fontId="3" type="noConversion"/>
  <conditionalFormatting sqref="A8:C29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5" t="s">
        <v>98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7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8" t="s">
        <v>157</v>
      </c>
      <c r="B5" s="85" t="s">
        <v>99</v>
      </c>
      <c r="C5" s="86" t="s">
        <v>19</v>
      </c>
      <c r="D5" s="86" t="s">
        <v>70</v>
      </c>
      <c r="E5" s="86" t="s">
        <v>5</v>
      </c>
      <c r="F5" s="86" t="s">
        <v>13</v>
      </c>
      <c r="G5" s="86" t="s">
        <v>14</v>
      </c>
      <c r="H5" s="87" t="s">
        <v>6</v>
      </c>
      <c r="I5" s="88" t="s">
        <v>100</v>
      </c>
      <c r="J5" s="88" t="s">
        <v>101</v>
      </c>
      <c r="K5" s="88" t="s">
        <v>67</v>
      </c>
      <c r="L5" s="94" t="s">
        <v>102</v>
      </c>
      <c r="M5" s="86" t="s">
        <v>17</v>
      </c>
      <c r="N5" s="86" t="s">
        <v>75</v>
      </c>
      <c r="O5" s="93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5" t="s">
        <v>116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96">
        <v>0</v>
      </c>
      <c r="M8" s="73"/>
      <c r="N8" s="76"/>
      <c r="O8" s="58"/>
      <c r="P8" s="14"/>
      <c r="Q8" s="14"/>
      <c r="R8" s="14"/>
      <c r="S8" s="14"/>
      <c r="T8" s="14"/>
      <c r="U8" s="14"/>
    </row>
    <row r="9" spans="1:25" x14ac:dyDescent="0.25">
      <c r="A9" s="90" t="s">
        <v>137</v>
      </c>
      <c r="B9" s="31"/>
      <c r="C9" s="31"/>
      <c r="D9" s="31"/>
      <c r="E9" s="31"/>
      <c r="F9" s="31"/>
      <c r="G9" s="31"/>
      <c r="H9" s="65"/>
      <c r="I9" s="33"/>
      <c r="J9" s="34"/>
      <c r="K9" s="67"/>
      <c r="L9" s="34"/>
      <c r="M9" s="70"/>
      <c r="N9" s="74"/>
      <c r="O9" s="32"/>
      <c r="P9" s="14"/>
      <c r="Q9" s="14"/>
      <c r="R9" s="14"/>
      <c r="S9" s="14"/>
      <c r="T9" s="14"/>
      <c r="U9" s="14"/>
    </row>
    <row r="10" spans="1:25" x14ac:dyDescent="0.25">
      <c r="A10" s="91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7"/>
      <c r="L10" s="17"/>
      <c r="M10" s="46"/>
      <c r="N10" s="75"/>
      <c r="O10" s="24"/>
      <c r="P10" s="14"/>
      <c r="Q10" s="14"/>
      <c r="R10" s="14"/>
      <c r="S10" s="14"/>
      <c r="T10" s="14"/>
      <c r="U10" s="14"/>
    </row>
    <row r="11" spans="1:25" x14ac:dyDescent="0.25">
      <c r="A11" s="91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7"/>
      <c r="L11" s="17"/>
      <c r="M11" s="46"/>
      <c r="N11" s="75"/>
      <c r="O11" s="24"/>
      <c r="P11" s="14"/>
      <c r="Q11" s="14"/>
      <c r="R11" s="14"/>
      <c r="S11" s="14"/>
      <c r="T11" s="14"/>
      <c r="U11" s="14"/>
    </row>
    <row r="12" spans="1:25" x14ac:dyDescent="0.25">
      <c r="A12" s="91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7"/>
      <c r="L12" s="17"/>
      <c r="M12" s="46"/>
      <c r="N12" s="75"/>
      <c r="O12" s="24"/>
      <c r="P12" s="14"/>
      <c r="Q12" s="14"/>
      <c r="R12" s="14"/>
      <c r="S12" s="14"/>
      <c r="T12" s="14"/>
      <c r="U12" s="14"/>
    </row>
    <row r="13" spans="1:25" x14ac:dyDescent="0.25">
      <c r="A13" s="91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7"/>
      <c r="L13" s="17"/>
      <c r="M13" s="46"/>
      <c r="N13" s="75"/>
      <c r="O13" s="24"/>
      <c r="P13" s="14"/>
      <c r="Q13" s="14"/>
      <c r="R13" s="14"/>
      <c r="S13" s="14"/>
      <c r="T13" s="14"/>
      <c r="U13" s="14"/>
    </row>
    <row r="14" spans="1:25" x14ac:dyDescent="0.25">
      <c r="A14" s="91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7"/>
      <c r="L14" s="17"/>
      <c r="M14" s="46"/>
      <c r="N14" s="75"/>
      <c r="O14" s="24"/>
      <c r="P14" s="14"/>
      <c r="Q14" s="14"/>
      <c r="R14" s="14"/>
      <c r="S14" s="14"/>
      <c r="T14" s="14"/>
      <c r="U14" s="14"/>
    </row>
    <row r="15" spans="1:25" x14ac:dyDescent="0.25">
      <c r="A15" s="91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7"/>
      <c r="L15" s="17"/>
      <c r="M15" s="46"/>
      <c r="N15" s="75"/>
      <c r="O15" s="24"/>
      <c r="P15" s="14"/>
      <c r="Q15" s="14"/>
      <c r="R15" s="14"/>
      <c r="S15" s="14"/>
      <c r="T15" s="14"/>
      <c r="U15" s="14"/>
    </row>
    <row r="16" spans="1:25" x14ac:dyDescent="0.25">
      <c r="A16" s="207" t="s">
        <v>144</v>
      </c>
      <c r="B16" s="208"/>
      <c r="C16" s="208"/>
      <c r="D16" s="208"/>
      <c r="E16" s="208"/>
      <c r="F16" s="208"/>
      <c r="G16" s="208"/>
      <c r="H16" s="209"/>
      <c r="I16" s="210"/>
      <c r="J16" s="211"/>
      <c r="K16" s="212"/>
      <c r="L16" s="211"/>
      <c r="M16" s="213"/>
      <c r="N16" s="214"/>
      <c r="O16" s="215"/>
      <c r="P16" s="14"/>
      <c r="Q16" s="14"/>
      <c r="R16" s="14"/>
      <c r="S16" s="14"/>
      <c r="T16" s="14"/>
      <c r="U16" s="14"/>
    </row>
    <row r="17" spans="1:19" x14ac:dyDescent="0.25">
      <c r="A17" s="107" t="s">
        <v>145</v>
      </c>
      <c r="O17" s="37"/>
      <c r="Q17" s="18"/>
      <c r="R17" s="18"/>
      <c r="S17" s="18"/>
    </row>
    <row r="18" spans="1:19" x14ac:dyDescent="0.25">
      <c r="A18" s="107" t="s">
        <v>146</v>
      </c>
      <c r="O18" s="37"/>
      <c r="Q18" s="18"/>
      <c r="R18" s="18"/>
      <c r="S18" s="18"/>
    </row>
    <row r="19" spans="1:19" x14ac:dyDescent="0.25">
      <c r="A19" s="107" t="s">
        <v>147</v>
      </c>
      <c r="O19" s="37"/>
      <c r="Q19" s="18"/>
      <c r="R19" s="18"/>
      <c r="S19" s="18"/>
    </row>
    <row r="20" spans="1:19" x14ac:dyDescent="0.25">
      <c r="A20" s="107" t="s">
        <v>148</v>
      </c>
      <c r="O20" s="37"/>
      <c r="Q20" s="18"/>
      <c r="R20" s="18"/>
      <c r="S20" s="18"/>
    </row>
    <row r="21" spans="1:19" x14ac:dyDescent="0.25">
      <c r="A21" s="107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5" t="s">
        <v>117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7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8" t="s">
        <v>157</v>
      </c>
      <c r="B5" s="85" t="s">
        <v>99</v>
      </c>
      <c r="C5" s="86" t="s">
        <v>19</v>
      </c>
      <c r="D5" s="86" t="s">
        <v>70</v>
      </c>
      <c r="E5" s="86" t="s">
        <v>5</v>
      </c>
      <c r="F5" s="86" t="s">
        <v>13</v>
      </c>
      <c r="G5" s="86" t="s">
        <v>14</v>
      </c>
      <c r="H5" s="87" t="s">
        <v>6</v>
      </c>
      <c r="I5" s="88" t="s">
        <v>100</v>
      </c>
      <c r="J5" s="88" t="s">
        <v>101</v>
      </c>
      <c r="K5" s="88" t="s">
        <v>67</v>
      </c>
      <c r="L5" s="94" t="s">
        <v>102</v>
      </c>
      <c r="M5" s="86" t="s">
        <v>17</v>
      </c>
      <c r="N5" s="86" t="s">
        <v>75</v>
      </c>
      <c r="O5" s="93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5" t="s">
        <v>119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96">
        <v>0</v>
      </c>
      <c r="M8" s="73"/>
      <c r="N8" s="76"/>
      <c r="O8" s="58"/>
      <c r="P8" s="14"/>
      <c r="Q8" s="14"/>
      <c r="R8" s="14"/>
      <c r="S8" s="14"/>
      <c r="T8" s="14"/>
      <c r="U8" s="14"/>
    </row>
    <row r="9" spans="1:25" x14ac:dyDescent="0.25">
      <c r="A9" s="90" t="s">
        <v>137</v>
      </c>
      <c r="B9" s="31"/>
      <c r="C9" s="31"/>
      <c r="D9" s="31"/>
      <c r="E9" s="31"/>
      <c r="F9" s="31"/>
      <c r="G9" s="31"/>
      <c r="H9" s="65"/>
      <c r="I9" s="33"/>
      <c r="J9" s="34"/>
      <c r="K9" s="67"/>
      <c r="L9" s="34"/>
      <c r="M9" s="70"/>
      <c r="N9" s="74"/>
      <c r="O9" s="32"/>
      <c r="P9" s="14"/>
      <c r="Q9" s="14"/>
      <c r="R9" s="14"/>
      <c r="S9" s="14"/>
      <c r="T9" s="14"/>
      <c r="U9" s="14"/>
    </row>
    <row r="10" spans="1:25" x14ac:dyDescent="0.25">
      <c r="A10" s="91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7"/>
      <c r="L10" s="17"/>
      <c r="M10" s="46"/>
      <c r="N10" s="75"/>
      <c r="O10" s="24"/>
      <c r="P10" s="14"/>
      <c r="Q10" s="14"/>
      <c r="R10" s="14"/>
      <c r="S10" s="14"/>
      <c r="T10" s="14"/>
      <c r="U10" s="14"/>
    </row>
    <row r="11" spans="1:25" x14ac:dyDescent="0.25">
      <c r="A11" s="91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7"/>
      <c r="L11" s="17"/>
      <c r="M11" s="46"/>
      <c r="N11" s="75"/>
      <c r="O11" s="24"/>
      <c r="P11" s="14"/>
      <c r="Q11" s="14"/>
      <c r="R11" s="14"/>
      <c r="S11" s="14"/>
      <c r="T11" s="14"/>
      <c r="U11" s="14"/>
    </row>
    <row r="12" spans="1:25" x14ac:dyDescent="0.25">
      <c r="A12" s="91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7"/>
      <c r="L12" s="17"/>
      <c r="M12" s="46"/>
      <c r="N12" s="75"/>
      <c r="O12" s="24"/>
      <c r="P12" s="14"/>
      <c r="Q12" s="14"/>
      <c r="R12" s="14"/>
      <c r="S12" s="14"/>
      <c r="T12" s="14"/>
      <c r="U12" s="14"/>
    </row>
    <row r="13" spans="1:25" x14ac:dyDescent="0.25">
      <c r="A13" s="91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7"/>
      <c r="L13" s="17"/>
      <c r="M13" s="46"/>
      <c r="N13" s="75"/>
      <c r="O13" s="24"/>
      <c r="P13" s="14"/>
      <c r="Q13" s="14"/>
      <c r="R13" s="14"/>
      <c r="S13" s="14"/>
      <c r="T13" s="14"/>
      <c r="U13" s="14"/>
    </row>
    <row r="14" spans="1:25" x14ac:dyDescent="0.25">
      <c r="A14" s="91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7"/>
      <c r="L14" s="17"/>
      <c r="M14" s="46"/>
      <c r="N14" s="75"/>
      <c r="O14" s="24"/>
      <c r="P14" s="14"/>
      <c r="Q14" s="14"/>
      <c r="R14" s="14"/>
      <c r="S14" s="14"/>
      <c r="T14" s="14"/>
      <c r="U14" s="14"/>
    </row>
    <row r="15" spans="1:25" x14ac:dyDescent="0.25">
      <c r="A15" s="91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7"/>
      <c r="L15" s="17"/>
      <c r="M15" s="46"/>
      <c r="N15" s="75"/>
      <c r="O15" s="24"/>
      <c r="P15" s="14"/>
      <c r="Q15" s="14"/>
      <c r="R15" s="14"/>
      <c r="S15" s="14"/>
      <c r="T15" s="14"/>
      <c r="U15" s="14"/>
    </row>
    <row r="16" spans="1:25" x14ac:dyDescent="0.25">
      <c r="A16" s="207" t="s">
        <v>144</v>
      </c>
      <c r="B16" s="208"/>
      <c r="C16" s="208"/>
      <c r="D16" s="208"/>
      <c r="E16" s="208"/>
      <c r="F16" s="208"/>
      <c r="G16" s="208"/>
      <c r="H16" s="209"/>
      <c r="I16" s="210"/>
      <c r="J16" s="211"/>
      <c r="K16" s="212"/>
      <c r="L16" s="211"/>
      <c r="M16" s="213"/>
      <c r="N16" s="214"/>
      <c r="O16" s="215"/>
      <c r="P16" s="14"/>
      <c r="Q16" s="14"/>
      <c r="R16" s="14"/>
      <c r="S16" s="14"/>
      <c r="T16" s="14"/>
      <c r="U16" s="14"/>
    </row>
    <row r="17" spans="1:19" x14ac:dyDescent="0.25">
      <c r="A17" s="107" t="s">
        <v>145</v>
      </c>
      <c r="O17" s="37"/>
      <c r="Q17" s="18"/>
      <c r="R17" s="18"/>
      <c r="S17" s="18"/>
    </row>
    <row r="18" spans="1:19" x14ac:dyDescent="0.25">
      <c r="A18" s="107" t="s">
        <v>146</v>
      </c>
      <c r="O18" s="37"/>
      <c r="Q18" s="18"/>
      <c r="R18" s="18"/>
      <c r="S18" s="18"/>
    </row>
    <row r="19" spans="1:19" x14ac:dyDescent="0.25">
      <c r="A19" s="107" t="s">
        <v>147</v>
      </c>
      <c r="O19" s="37"/>
      <c r="Q19" s="18"/>
      <c r="R19" s="18"/>
      <c r="S19" s="18"/>
    </row>
    <row r="20" spans="1:19" x14ac:dyDescent="0.25">
      <c r="A20" s="107" t="s">
        <v>148</v>
      </c>
      <c r="O20" s="37"/>
      <c r="Q20" s="18"/>
      <c r="R20" s="18"/>
      <c r="S20" s="18"/>
    </row>
    <row r="21" spans="1:19" x14ac:dyDescent="0.25">
      <c r="A21" s="107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zoomScaleNormal="100" workbookViewId="0">
      <selection activeCell="B1" sqref="B1:C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5" t="s">
        <v>118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7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8" t="s">
        <v>157</v>
      </c>
      <c r="B5" s="85" t="s">
        <v>99</v>
      </c>
      <c r="C5" s="86" t="s">
        <v>19</v>
      </c>
      <c r="D5" s="86" t="s">
        <v>70</v>
      </c>
      <c r="E5" s="86" t="s">
        <v>5</v>
      </c>
      <c r="F5" s="86" t="s">
        <v>13</v>
      </c>
      <c r="G5" s="86" t="s">
        <v>14</v>
      </c>
      <c r="H5" s="87" t="s">
        <v>6</v>
      </c>
      <c r="I5" s="88" t="s">
        <v>100</v>
      </c>
      <c r="J5" s="88" t="s">
        <v>101</v>
      </c>
      <c r="K5" s="88" t="s">
        <v>67</v>
      </c>
      <c r="L5" s="94" t="s">
        <v>102</v>
      </c>
      <c r="M5" s="86" t="s">
        <v>17</v>
      </c>
      <c r="N5" s="86" t="s">
        <v>75</v>
      </c>
      <c r="O5" s="93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5" t="s">
        <v>120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96">
        <v>0</v>
      </c>
      <c r="M8" s="73"/>
      <c r="N8" s="76"/>
      <c r="O8" s="58"/>
      <c r="P8" s="14"/>
      <c r="Q8" s="14"/>
      <c r="R8" s="14"/>
      <c r="S8" s="14"/>
      <c r="T8" s="14"/>
      <c r="U8" s="14"/>
    </row>
    <row r="9" spans="1:25" x14ac:dyDescent="0.25">
      <c r="A9" s="90" t="s">
        <v>137</v>
      </c>
      <c r="B9" s="31"/>
      <c r="C9" s="31"/>
      <c r="D9" s="31"/>
      <c r="E9" s="31"/>
      <c r="F9" s="31"/>
      <c r="G9" s="31"/>
      <c r="H9" s="65"/>
      <c r="I9" s="33"/>
      <c r="J9" s="34"/>
      <c r="K9" s="67"/>
      <c r="L9" s="34"/>
      <c r="M9" s="70"/>
      <c r="N9" s="74"/>
      <c r="O9" s="32"/>
      <c r="P9" s="14"/>
      <c r="Q9" s="14"/>
      <c r="R9" s="14"/>
      <c r="S9" s="14"/>
      <c r="T9" s="14"/>
      <c r="U9" s="14"/>
    </row>
    <row r="10" spans="1:25" x14ac:dyDescent="0.25">
      <c r="A10" s="91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7"/>
      <c r="L10" s="17"/>
      <c r="M10" s="46"/>
      <c r="N10" s="75"/>
      <c r="O10" s="24"/>
      <c r="P10" s="14"/>
      <c r="Q10" s="14"/>
      <c r="R10" s="14"/>
      <c r="S10" s="14"/>
      <c r="T10" s="14"/>
      <c r="U10" s="14"/>
    </row>
    <row r="11" spans="1:25" x14ac:dyDescent="0.25">
      <c r="A11" s="91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7"/>
      <c r="L11" s="17"/>
      <c r="M11" s="46"/>
      <c r="N11" s="75"/>
      <c r="O11" s="24"/>
      <c r="P11" s="14"/>
      <c r="Q11" s="14"/>
      <c r="R11" s="14"/>
      <c r="S11" s="14"/>
      <c r="T11" s="14"/>
      <c r="U11" s="14"/>
    </row>
    <row r="12" spans="1:25" x14ac:dyDescent="0.25">
      <c r="A12" s="91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7"/>
      <c r="L12" s="17"/>
      <c r="M12" s="46"/>
      <c r="N12" s="75"/>
      <c r="O12" s="24"/>
      <c r="P12" s="14"/>
      <c r="Q12" s="14"/>
      <c r="R12" s="14"/>
      <c r="S12" s="14"/>
      <c r="T12" s="14"/>
      <c r="U12" s="14"/>
    </row>
    <row r="13" spans="1:25" x14ac:dyDescent="0.25">
      <c r="A13" s="91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7"/>
      <c r="L13" s="17"/>
      <c r="M13" s="46"/>
      <c r="N13" s="75"/>
      <c r="O13" s="24"/>
      <c r="P13" s="14"/>
      <c r="Q13" s="14"/>
      <c r="R13" s="14"/>
      <c r="S13" s="14"/>
      <c r="T13" s="14"/>
      <c r="U13" s="14"/>
    </row>
    <row r="14" spans="1:25" x14ac:dyDescent="0.25">
      <c r="A14" s="91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7"/>
      <c r="L14" s="17"/>
      <c r="M14" s="46"/>
      <c r="N14" s="75"/>
      <c r="O14" s="24"/>
      <c r="P14" s="14"/>
      <c r="Q14" s="14"/>
      <c r="R14" s="14"/>
      <c r="S14" s="14"/>
      <c r="T14" s="14"/>
      <c r="U14" s="14"/>
    </row>
    <row r="15" spans="1:25" x14ac:dyDescent="0.25">
      <c r="A15" s="91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7"/>
      <c r="L15" s="17"/>
      <c r="M15" s="46"/>
      <c r="N15" s="75"/>
      <c r="O15" s="24"/>
      <c r="P15" s="14"/>
      <c r="Q15" s="14"/>
      <c r="R15" s="14"/>
      <c r="S15" s="14"/>
      <c r="T15" s="14"/>
      <c r="U15" s="14"/>
    </row>
    <row r="16" spans="1:25" x14ac:dyDescent="0.25">
      <c r="A16" s="207" t="s">
        <v>144</v>
      </c>
      <c r="B16" s="208"/>
      <c r="C16" s="208"/>
      <c r="D16" s="208"/>
      <c r="E16" s="208"/>
      <c r="F16" s="208"/>
      <c r="G16" s="208"/>
      <c r="H16" s="209"/>
      <c r="I16" s="210"/>
      <c r="J16" s="211"/>
      <c r="K16" s="212"/>
      <c r="L16" s="211"/>
      <c r="M16" s="213"/>
      <c r="N16" s="214"/>
      <c r="O16" s="215"/>
      <c r="P16" s="14"/>
      <c r="Q16" s="14"/>
      <c r="R16" s="14"/>
      <c r="S16" s="14"/>
      <c r="T16" s="14"/>
      <c r="U16" s="14"/>
    </row>
    <row r="17" spans="1:19" x14ac:dyDescent="0.25">
      <c r="A17" s="107" t="s">
        <v>145</v>
      </c>
      <c r="O17" s="37"/>
      <c r="Q17" s="18"/>
      <c r="R17" s="18"/>
      <c r="S17" s="18"/>
    </row>
    <row r="18" spans="1:19" x14ac:dyDescent="0.25">
      <c r="A18" s="107" t="s">
        <v>146</v>
      </c>
      <c r="O18" s="37"/>
      <c r="Q18" s="18"/>
      <c r="R18" s="18"/>
      <c r="S18" s="18"/>
    </row>
    <row r="19" spans="1:19" x14ac:dyDescent="0.25">
      <c r="A19" s="107" t="s">
        <v>147</v>
      </c>
      <c r="O19" s="37"/>
      <c r="Q19" s="18"/>
      <c r="R19" s="18"/>
      <c r="S19" s="18"/>
    </row>
    <row r="20" spans="1:19" x14ac:dyDescent="0.25">
      <c r="A20" s="107" t="s">
        <v>148</v>
      </c>
      <c r="O20" s="37"/>
      <c r="Q20" s="18"/>
      <c r="R20" s="18"/>
      <c r="S20" s="18"/>
    </row>
    <row r="21" spans="1:19" x14ac:dyDescent="0.25">
      <c r="A21" s="107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2025-05-21T19:12:23Z</dcterms:modified>
</cp:coreProperties>
</file>