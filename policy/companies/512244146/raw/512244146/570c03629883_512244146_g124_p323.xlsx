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02FEBDF1-513A-480F-90AE-9427AFA1B353}" xr6:coauthVersionLast="47" xr6:coauthVersionMax="47" xr10:uidLastSave="{00000000-0000-0000-0000-000000000000}"/>
  <bookViews>
    <workbookView xWindow="-108" yWindow="-108" windowWidth="23256" windowHeight="12456" tabRatio="922" firstSheet="21" activeTab="22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פקדונות מעל 3 חודשים" sheetId="38" r:id="rId22"/>
    <sheet name="הלוואות" sheetId="16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קונצרני'!$A$4:$T$402</definedName>
    <definedName name="_xlnm.Print_Area" localSheetId="9">אופציות!$A$4:$K$20</definedName>
    <definedName name="_xlnm.Print_Area" localSheetId="22">הלוואות!$A$4:$Q$151</definedName>
    <definedName name="_xlnm.Print_Area" localSheetId="25">'השקעות אחרות'!$A$4:$J$19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להשקעה'!$A$1:$B$47</definedName>
    <definedName name="_xlnm.Print_Area" localSheetId="8">'כתבי אופציה'!$A$4:$K$15</definedName>
    <definedName name="_xlnm.Print_Area" localSheetId="12">'לא סחיר- תעודות התחייבות ממשלתי'!$A$4:$O$18</definedName>
    <definedName name="_xlnm.Print_Area" localSheetId="14">'לא סחיר - אג"ח קונצרני'!$A$4:$R$37</definedName>
    <definedName name="_xlnm.Print_Area" localSheetId="18">'לא סחיר - אופציות'!$A$4:$K$21</definedName>
    <definedName name="_xlnm.Print_Area" localSheetId="19">'לא סחיר - חוזים עתידיים'!$A$4:$J$97</definedName>
    <definedName name="_xlnm.Print_Area" localSheetId="17">'לא סחיר - כתבי אופציה'!$A$4:$K$12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השקעה'!$A$4:$J$42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מזומנים!$A$4:$K$107</definedName>
    <definedName name="_xlnm.Print_Area" localSheetId="5">מניות!$A$4:$N$20</definedName>
    <definedName name="_xlnm.Print_Area" localSheetId="0">'סכום נכסי הקרן'!$A$4:$C$53</definedName>
    <definedName name="_xlnm.Print_Area" localSheetId="21">'פקדונות מעל 3 חודשים'!$A$4:$N$17</definedName>
    <definedName name="_xlnm.Print_Area" localSheetId="7">'קרנות נאמנות'!$A$4:$N$36</definedName>
    <definedName name="_xlnm.Print_Area" localSheetId="6">'קרנות סל'!$A$4:$M$38</definedName>
    <definedName name="_xlnm.Print_Area" localSheetId="2">'תעודות התחייבות ממשלתיות'!$A$4:$Q$29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6" l="1"/>
  <c r="M13" i="16"/>
  <c r="M14" i="16"/>
  <c r="M15" i="16"/>
  <c r="M16" i="16"/>
  <c r="M11" i="16"/>
</calcChain>
</file>

<file path=xl/sharedStrings.xml><?xml version="1.0" encoding="utf-8"?>
<sst xmlns="http://schemas.openxmlformats.org/spreadsheetml/2006/main" count="11755" uniqueCount="2820">
  <si>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</si>
  <si>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</si>
  <si>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</si>
  <si>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</si>
  <si>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</si>
  <si>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</si>
  <si>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</si>
  <si>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</si>
  <si>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</si>
  <si>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</si>
  <si>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</si>
  <si>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</si>
  <si>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</si>
  <si>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</si>
  <si>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</si>
  <si>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</si>
  <si>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</si>
  <si>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</si>
  <si>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</si>
  <si>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</si>
  <si>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</si>
  <si>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</si>
  <si>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</si>
  <si>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</si>
  <si>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</si>
  <si>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</si>
  <si>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</si>
  <si>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</si>
  <si>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</si>
  <si>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</si>
  <si>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</si>
  <si>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</si>
  <si>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</si>
  <si>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</si>
  <si>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</si>
  <si>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</si>
  <si>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</si>
  <si>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</si>
  <si>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</si>
  <si>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</si>
  <si>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</si>
  <si>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</si>
  <si>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</si>
  <si>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</si>
  <si>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</si>
  <si>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</si>
  <si>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</si>
  <si>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</si>
  <si>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</si>
  <si>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</si>
  <si>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</si>
  <si>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</si>
  <si>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</si>
  <si>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</si>
  <si>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</si>
  <si>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</si>
  <si>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</si>
  <si>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</si>
  <si>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</si>
  <si>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</si>
  <si>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</si>
  <si>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</si>
  <si>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</si>
  <si>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</si>
  <si>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</si>
  <si>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</si>
  <si>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</si>
  <si>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</si>
  <si>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</si>
  <si>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</si>
  <si>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</si>
  <si>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</si>
  <si>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</si>
  <si>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</si>
  <si>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</si>
  <si>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</si>
  <si>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</si>
  <si>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</si>
  <si>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</si>
  <si>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</si>
  <si>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</si>
  <si>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</si>
  <si>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</si>
  <si>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</si>
  <si>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</si>
  <si>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</si>
  <si>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</si>
  <si>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</si>
  <si>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</si>
  <si>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</si>
  <si>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</si>
  <si>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</si>
  <si>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</si>
  <si>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</si>
  <si>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</si>
  <si>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</si>
  <si>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</si>
  <si>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</si>
  <si>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</si>
  <si>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</si>
  <si>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</si>
  <si>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</si>
  <si>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</si>
  <si>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</si>
  <si>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</si>
  <si>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</si>
  <si>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</si>
  <si>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</si>
  <si>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</si>
  <si>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</si>
  <si>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</si>
  <si>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</si>
  <si>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</si>
  <si>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</si>
  <si>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</si>
  <si>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</si>
  <si>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</si>
  <si>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</si>
  <si>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</si>
  <si>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</si>
  <si>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</si>
  <si>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</si>
  <si>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</si>
  <si>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</si>
  <si>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</si>
  <si>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</si>
  <si>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</si>
  <si>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</si>
  <si>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</si>
  <si>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</si>
  <si>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</si>
  <si>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</si>
  <si>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</si>
  <si>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</si>
  <si>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</si>
  <si>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</si>
  <si>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</si>
  <si>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</si>
  <si>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</si>
  <si>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</si>
  <si>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</si>
  <si>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</si>
  <si>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</si>
  <si>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</si>
  <si>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</si>
  <si>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</si>
  <si>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</si>
  <si>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</si>
  <si>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</si>
  <si>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</si>
  <si>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</si>
  <si>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</si>
  <si>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</si>
  <si>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</si>
  <si>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</si>
  <si>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</si>
  <si>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</si>
  <si>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</si>
  <si>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</si>
  <si>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</si>
  <si>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</si>
  <si>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</si>
  <si>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</si>
  <si>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</si>
  <si>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</si>
  <si>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</si>
  <si>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</si>
  <si>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</si>
  <si>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</si>
  <si>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</si>
  <si>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</si>
  <si>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</si>
  <si>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</si>
  <si>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</si>
  <si>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</si>
  <si>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</si>
  <si>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</si>
  <si>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</si>
  <si>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</si>
  <si>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</si>
  <si>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</si>
  <si>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</si>
  <si>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</si>
  <si>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</si>
  <si>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</si>
  <si>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</si>
  <si>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</si>
  <si>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</si>
  <si>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</si>
  <si>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</si>
  <si>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</si>
  <si>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</si>
  <si>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</si>
  <si>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</si>
  <si>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</si>
  <si>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</si>
  <si>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</si>
  <si>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</si>
  <si>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</si>
  <si>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</si>
  <si>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</si>
  <si>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</si>
  <si>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</si>
  <si>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</si>
  <si>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</si>
  <si>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</si>
  <si>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</si>
  <si>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</si>
  <si>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</si>
  <si>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</si>
  <si>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</si>
  <si>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</si>
  <si>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</si>
  <si>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</si>
  <si>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</si>
  <si>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</si>
  <si>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</si>
  <si>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</si>
  <si>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</si>
  <si>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</si>
  <si>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</si>
  <si>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</si>
  <si>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</si>
  <si>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</si>
  <si>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</si>
  <si>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</si>
  <si>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</si>
  <si>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</si>
  <si>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</si>
  <si>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</si>
  <si>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</si>
  <si>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</si>
  <si>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</si>
  <si>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</si>
  <si>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</si>
  <si>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</si>
  <si>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</si>
  <si>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</si>
  <si>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</si>
  <si>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</si>
  <si>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</si>
  <si>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</si>
  <si>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</si>
  <si>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</si>
  <si>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</si>
  <si>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</si>
  <si>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</si>
  <si>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124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</si>
  <si>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</si>
  <si>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</si>
  <si>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</si>
  <si>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</si>
  <si>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</si>
  <si>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</si>
  <si>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</si>
  <si>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</si>
  <si>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</si>
  <si>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</si>
  <si>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</si>
  <si>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12</t>
  </si>
  <si>
    <t>30024000</t>
  </si>
  <si>
    <t>10</t>
  </si>
  <si>
    <t>29603307</t>
  </si>
  <si>
    <t>30041120</t>
  </si>
  <si>
    <t>30044390</t>
  </si>
  <si>
    <t>22</t>
  </si>
  <si>
    <t>A3</t>
  </si>
  <si>
    <t>Moodys</t>
  </si>
  <si>
    <t>קרן לעסקים קטנים - מזומן בנק הפועלים בע"מ</t>
  </si>
  <si>
    <t>999999433</t>
  </si>
  <si>
    <t>30089270</t>
  </si>
  <si>
    <t>30096090</t>
  </si>
  <si>
    <t>30098270</t>
  </si>
  <si>
    <t>30098590</t>
  </si>
  <si>
    <t>30098630</t>
  </si>
  <si>
    <t>30098950</t>
  </si>
  <si>
    <t>27295736</t>
  </si>
  <si>
    <t>27295737</t>
  </si>
  <si>
    <t>27295748</t>
  </si>
  <si>
    <t>30022650</t>
  </si>
  <si>
    <t>שקל - נייר הפרשים - עדכון ידני בנק הפועלים בע"מ</t>
  </si>
  <si>
    <t>27457978</t>
  </si>
  <si>
    <t>30030400</t>
  </si>
  <si>
    <t>30030430</t>
  </si>
  <si>
    <t>30035470</t>
  </si>
  <si>
    <t>30038310</t>
  </si>
  <si>
    <t>30046610</t>
  </si>
  <si>
    <t>30046640</t>
  </si>
  <si>
    <t>30046700</t>
  </si>
  <si>
    <t>30044180</t>
  </si>
  <si>
    <t>30057380</t>
  </si>
  <si>
    <t>26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</si>
  <si>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</si>
  <si>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</si>
  <si>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</si>
  <si>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</si>
  <si>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</si>
  <si>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</si>
  <si>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</si>
  <si>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30005380</t>
  </si>
  <si>
    <t>30009180</t>
  </si>
  <si>
    <t>30021200</t>
  </si>
  <si>
    <t>30024020</t>
  </si>
  <si>
    <t>30044400</t>
  </si>
  <si>
    <t>30098990</t>
  </si>
  <si>
    <t>30024040</t>
  </si>
  <si>
    <t>26401417</t>
  </si>
  <si>
    <t>30057640</t>
  </si>
  <si>
    <t>30053740</t>
  </si>
  <si>
    <t>24296162</t>
  </si>
  <si>
    <t>30096110</t>
  </si>
  <si>
    <t>30098290</t>
  </si>
  <si>
    <t>30098650</t>
  </si>
  <si>
    <t>30098970</t>
  </si>
  <si>
    <t>30029450</t>
  </si>
  <si>
    <t>29295743</t>
  </si>
  <si>
    <t>29295748</t>
  </si>
  <si>
    <t>29401417</t>
  </si>
  <si>
    <t>30028630</t>
  </si>
  <si>
    <t>30022670</t>
  </si>
  <si>
    <t>30030440</t>
  </si>
  <si>
    <t>30038370</t>
  </si>
  <si>
    <t>26295737</t>
  </si>
  <si>
    <t>265016330</t>
  </si>
  <si>
    <t>30044190</t>
  </si>
  <si>
    <t>30046620</t>
  </si>
  <si>
    <t>30046650</t>
  </si>
  <si>
    <t>30057540</t>
  </si>
  <si>
    <t>30057580</t>
  </si>
  <si>
    <t>275016110</t>
  </si>
  <si>
    <t>30057541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</si>
  <si>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</si>
  <si>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</si>
  <si>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</si>
  <si>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</si>
  <si>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</si>
  <si>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</si>
  <si>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</si>
  <si>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</si>
  <si>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</si>
  <si>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</si>
  <si>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</si>
  <si>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</si>
  <si>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</si>
  <si>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</si>
  <si>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</si>
  <si>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</si>
  <si>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</si>
  <si>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</si>
  <si>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67035470</t>
  </si>
  <si>
    <t xml:space="preserve">פקדונות במט"ח עד שלושה חודשים </t>
  </si>
  <si>
    <t>30021300</t>
  </si>
  <si>
    <t>30028710</t>
  </si>
  <si>
    <t>30023630</t>
  </si>
  <si>
    <t>30057600</t>
  </si>
  <si>
    <t>30057620</t>
  </si>
  <si>
    <t xml:space="preserve">סה"כ בחו"ל: </t>
  </si>
  <si>
    <t>30096310</t>
  </si>
  <si>
    <t>88</t>
  </si>
  <si>
    <t>A1</t>
  </si>
  <si>
    <t>30096270</t>
  </si>
  <si>
    <t>29857050</t>
  </si>
  <si>
    <t>261861961</t>
  </si>
  <si>
    <t>99</t>
  </si>
  <si>
    <t>A2</t>
  </si>
  <si>
    <t>28114070</t>
  </si>
  <si>
    <t>98</t>
  </si>
  <si>
    <t>AA</t>
  </si>
  <si>
    <t>S&amp;P</t>
  </si>
  <si>
    <t>30040270</t>
  </si>
  <si>
    <t>30040760</t>
  </si>
  <si>
    <t>30045750</t>
  </si>
  <si>
    <t>30061900</t>
  </si>
  <si>
    <t>30099530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</si>
  <si>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</si>
  <si>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</si>
  <si>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</si>
  <si>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</si>
  <si>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</si>
  <si>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</si>
  <si>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</si>
  <si>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</si>
  <si>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</si>
  <si>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</si>
  <si>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</si>
  <si>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</si>
  <si>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</si>
  <si>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</si>
  <si>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</si>
  <si>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</si>
  <si>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</si>
  <si>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</si>
  <si>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</si>
  <si>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</si>
  <si>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</si>
  <si>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</si>
  <si>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</si>
  <si>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</si>
  <si>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</si>
  <si>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</si>
  <si>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</si>
  <si>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</si>
  <si>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</si>
  <si>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</si>
  <si>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</si>
  <si>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</si>
  <si>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</si>
  <si>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</si>
  <si>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</si>
  <si>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</si>
  <si>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</si>
  <si>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</si>
  <si>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</si>
  <si>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</si>
  <si>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</si>
  <si>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</si>
  <si>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</si>
  <si>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</si>
  <si>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</si>
  <si>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</si>
  <si>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</si>
  <si>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</si>
  <si>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</si>
  <si>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</si>
  <si>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</si>
  <si>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</si>
  <si>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</si>
  <si>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</si>
  <si>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</si>
  <si>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</si>
  <si>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</si>
  <si>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</si>
  <si>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</si>
  <si>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</si>
  <si>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</si>
  <si>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</si>
  <si>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</si>
  <si>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</si>
  <si>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</si>
  <si>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</si>
  <si>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</si>
  <si>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</si>
  <si>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</si>
  <si>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</si>
  <si>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</si>
  <si>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</si>
  <si>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</si>
  <si>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</si>
  <si>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</si>
  <si>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</si>
  <si>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</si>
  <si>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</si>
  <si>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</si>
  <si>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</si>
  <si>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</si>
  <si>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</si>
  <si>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</si>
  <si>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</si>
  <si>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</si>
  <si>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</si>
  <si>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</si>
  <si>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</si>
  <si>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</si>
  <si>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</si>
  <si>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</si>
  <si>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</si>
  <si>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</si>
  <si>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</si>
  <si>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</si>
  <si>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</si>
  <si>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</si>
  <si>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</si>
  <si>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</si>
  <si>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</si>
  <si>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</si>
  <si>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</si>
  <si>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</si>
  <si>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</si>
  <si>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</si>
  <si>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</si>
  <si>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</si>
  <si>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</si>
  <si>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</si>
  <si>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</si>
  <si>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</si>
  <si>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</si>
  <si>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</si>
  <si>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</si>
  <si>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</si>
  <si>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</si>
  <si>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</si>
  <si>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</si>
  <si>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</si>
  <si>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</si>
  <si>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</si>
  <si>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</si>
  <si>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</si>
  <si>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</si>
  <si>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</si>
  <si>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</si>
  <si>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</si>
  <si>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</si>
  <si>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</si>
  <si>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</si>
  <si>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</si>
  <si>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</si>
  <si>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</si>
  <si>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</si>
  <si>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</si>
  <si>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</si>
  <si>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</si>
  <si>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</si>
  <si>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</si>
  <si>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</si>
  <si>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</si>
  <si>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</si>
  <si>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</si>
  <si>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</si>
  <si>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</si>
  <si>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</si>
  <si>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</si>
  <si>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</si>
  <si>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</si>
  <si>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</si>
  <si>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</si>
  <si>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</si>
  <si>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</si>
  <si>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</si>
  <si>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</si>
  <si>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</si>
  <si>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</si>
  <si>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</si>
  <si>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</si>
  <si>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</si>
  <si>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</si>
  <si>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</si>
  <si>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</si>
  <si>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</si>
  <si>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</si>
  <si>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</si>
  <si>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</si>
  <si>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</si>
  <si>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</si>
  <si>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</si>
  <si>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</si>
  <si>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</si>
  <si>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</si>
  <si>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</si>
  <si>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</si>
  <si>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</si>
  <si>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</si>
  <si>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</si>
  <si>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</si>
  <si>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</si>
  <si>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</si>
  <si>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</si>
  <si>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</si>
  <si>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</si>
  <si>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</si>
  <si>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</si>
  <si>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</si>
  <si>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</si>
  <si>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</si>
  <si>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</si>
  <si>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</si>
  <si>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</si>
  <si>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</si>
  <si>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</si>
  <si>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</si>
  <si>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</si>
  <si>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</si>
  <si>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</si>
  <si>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</si>
  <si>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</si>
  <si>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</si>
  <si>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</si>
  <si>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</si>
  <si>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</si>
  <si>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</si>
  <si>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</si>
  <si>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</si>
  <si>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</si>
  <si>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</si>
  <si>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</si>
  <si>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</si>
  <si>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</si>
  <si>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</si>
  <si>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</si>
  <si>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</si>
  <si>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</si>
  <si>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</si>
  <si>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</si>
  <si>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</si>
  <si>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</si>
  <si>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</si>
  <si>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</si>
  <si>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</si>
  <si>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</si>
  <si>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</si>
  <si>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</si>
  <si>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</si>
  <si>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</si>
  <si>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</si>
  <si>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</si>
  <si>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</si>
  <si>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</si>
  <si>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</si>
  <si>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</si>
  <si>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</si>
  <si>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</si>
  <si>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</si>
  <si>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</si>
  <si>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</si>
  <si>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</si>
  <si>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</si>
  <si>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</si>
  <si>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</si>
  <si>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</si>
  <si>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</si>
  <si>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</si>
  <si>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</si>
  <si>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</si>
  <si>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</si>
  <si>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</si>
  <si>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</si>
  <si>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</si>
  <si>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</si>
  <si>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</si>
  <si>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</si>
  <si>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</si>
  <si>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</si>
  <si>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</si>
  <si>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</si>
  <si>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</si>
  <si>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</si>
  <si>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</si>
  <si>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</si>
  <si>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</si>
  <si>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</si>
  <si>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</si>
  <si>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</si>
  <si>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</si>
  <si>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</si>
  <si>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</si>
  <si>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</si>
  <si>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</si>
  <si>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</si>
  <si>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</si>
  <si>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</si>
  <si>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</si>
  <si>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</si>
  <si>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</si>
  <si>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</si>
  <si>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</si>
  <si>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</si>
  <si>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</si>
  <si>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</si>
  <si>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</si>
  <si>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</si>
  <si>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</si>
  <si>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</si>
  <si>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</si>
  <si>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</si>
  <si>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</si>
  <si>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</si>
  <si>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</si>
  <si>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</si>
  <si>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</si>
  <si>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</si>
  <si>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מזרחי טפחות הנפקות 51</t>
  </si>
  <si>
    <t>2310324</t>
  </si>
  <si>
    <t>29/10/2019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</si>
  <si>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</si>
  <si>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</si>
  <si>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</si>
  <si>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</si>
  <si>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</si>
  <si>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</si>
  <si>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</si>
  <si>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</si>
  <si>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</si>
  <si>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</si>
  <si>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</si>
  <si>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</si>
  <si>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</si>
  <si>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</si>
  <si>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</si>
  <si>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</si>
  <si>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</si>
  <si>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</si>
  <si>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</si>
  <si>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</si>
  <si>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</si>
  <si>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</si>
  <si>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</si>
  <si>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</si>
  <si>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</si>
  <si>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</si>
  <si>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</si>
  <si>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</si>
  <si>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</si>
  <si>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</si>
  <si>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</si>
  <si>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</si>
  <si>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</si>
  <si>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</si>
  <si>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</si>
  <si>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</si>
  <si>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</si>
  <si>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</si>
  <si>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</si>
  <si>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</si>
  <si>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</si>
  <si>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</si>
  <si>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</si>
  <si>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</si>
  <si>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</si>
  <si>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</si>
  <si>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</si>
  <si>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</si>
  <si>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</si>
  <si>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</si>
  <si>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</si>
  <si>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</si>
  <si>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</si>
  <si>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</si>
  <si>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</si>
  <si>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</si>
  <si>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</si>
  <si>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</si>
  <si>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</si>
  <si>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</si>
  <si>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</si>
  <si>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</si>
  <si>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</si>
  <si>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</si>
  <si>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</si>
  <si>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</si>
  <si>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</si>
  <si>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</si>
  <si>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</si>
  <si>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</si>
  <si>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</si>
  <si>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</si>
  <si>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</si>
  <si>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</si>
  <si>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</si>
  <si>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</si>
  <si>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</si>
  <si>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</si>
  <si>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</si>
  <si>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</si>
  <si>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</si>
  <si>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</si>
  <si>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</si>
  <si>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</si>
  <si>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</si>
  <si>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</si>
  <si>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</si>
  <si>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</si>
  <si>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</si>
  <si>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</si>
  <si>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</si>
  <si>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</si>
  <si>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</si>
  <si>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</si>
  <si>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</si>
  <si>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</si>
  <si>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</si>
  <si>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</si>
  <si>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</si>
  <si>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</si>
  <si>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</si>
  <si>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</si>
  <si>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</si>
  <si>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</si>
  <si>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</si>
  <si>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</si>
  <si>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</si>
  <si>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</si>
  <si>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</si>
  <si>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</si>
  <si>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</si>
  <si>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</si>
  <si>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</si>
  <si>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</si>
  <si>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</si>
  <si>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</si>
  <si>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</si>
  <si>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</si>
  <si>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</si>
  <si>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</si>
  <si>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</si>
  <si>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</si>
  <si>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</si>
  <si>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</si>
  <si>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</si>
  <si>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</si>
  <si>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</si>
  <si>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</si>
  <si>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</si>
  <si>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</si>
  <si>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</si>
  <si>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</si>
  <si>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</si>
  <si>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</si>
  <si>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</si>
  <si>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</si>
  <si>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</si>
  <si>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</si>
  <si>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</si>
  <si>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</si>
  <si>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25/11/2021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</si>
  <si>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</si>
  <si>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</si>
  <si>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</si>
  <si>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</si>
  <si>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</si>
  <si>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</si>
  <si>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</si>
  <si>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</si>
  <si>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</si>
  <si>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</si>
  <si>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</si>
  <si>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</si>
  <si>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</si>
  <si>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</si>
  <si>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</si>
  <si>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</si>
  <si>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</si>
  <si>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</si>
  <si>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</si>
  <si>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</si>
  <si>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</si>
  <si>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</si>
  <si>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</si>
  <si>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</si>
  <si>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</si>
  <si>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</si>
  <si>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</si>
  <si>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</si>
  <si>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</si>
  <si>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</si>
  <si>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</si>
  <si>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</si>
  <si>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</si>
  <si>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</si>
  <si>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</si>
  <si>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</si>
  <si>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</si>
  <si>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</si>
  <si>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</si>
  <si>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</si>
  <si>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</si>
  <si>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</si>
  <si>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</si>
  <si>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</si>
  <si>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</si>
  <si>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</si>
  <si>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</si>
  <si>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</si>
  <si>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</si>
  <si>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</si>
  <si>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</si>
  <si>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</si>
  <si>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</si>
  <si>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</si>
  <si>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</si>
  <si>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</si>
  <si>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</si>
  <si>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</si>
  <si>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</si>
  <si>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</si>
  <si>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</si>
  <si>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</si>
  <si>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</si>
  <si>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</si>
  <si>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</si>
  <si>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</si>
  <si>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</si>
  <si>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</si>
  <si>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</si>
  <si>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</si>
  <si>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</si>
  <si>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</si>
  <si>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</si>
  <si>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</si>
  <si>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</si>
  <si>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</si>
  <si>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</si>
  <si>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</si>
  <si>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</si>
  <si>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</si>
  <si>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</si>
  <si>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</si>
  <si>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</si>
  <si>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</si>
  <si>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</si>
  <si>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</si>
  <si>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</si>
  <si>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</si>
  <si>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</si>
  <si>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</si>
  <si>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</si>
  <si>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</si>
  <si>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</si>
  <si>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</si>
  <si>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</si>
  <si>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</si>
  <si>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</si>
  <si>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</si>
  <si>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</si>
  <si>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</si>
  <si>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</si>
  <si>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</si>
  <si>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</si>
  <si>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</si>
  <si>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</si>
  <si>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</si>
  <si>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</si>
  <si>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</si>
  <si>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</si>
  <si>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</si>
  <si>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</si>
  <si>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</si>
  <si>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</si>
  <si>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</si>
  <si>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</si>
  <si>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</si>
  <si>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</si>
  <si>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</si>
  <si>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</si>
  <si>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</si>
  <si>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</si>
  <si>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</si>
  <si>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</si>
  <si>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</si>
  <si>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</si>
  <si>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</si>
  <si>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</si>
  <si>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</si>
  <si>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</si>
  <si>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</si>
  <si>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</si>
  <si>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</si>
  <si>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</si>
  <si>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</si>
  <si>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</si>
  <si>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</si>
  <si>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</si>
  <si>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</si>
  <si>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</si>
  <si>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</si>
  <si>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</si>
  <si>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</si>
  <si>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</si>
  <si>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</si>
  <si>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</si>
  <si>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</si>
  <si>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</si>
  <si>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</si>
  <si>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</si>
  <si>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</si>
  <si>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</si>
  <si>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</si>
  <si>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</si>
  <si>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</si>
  <si>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</si>
  <si>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</si>
  <si>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</si>
  <si>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</si>
  <si>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</si>
  <si>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</si>
  <si>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</si>
  <si>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</si>
  <si>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14/09/2023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</si>
  <si>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</si>
  <si>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</si>
  <si>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</si>
  <si>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</si>
  <si>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</si>
  <si>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</si>
  <si>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</si>
  <si>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</si>
  <si>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</si>
  <si>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</si>
  <si>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</si>
  <si>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</si>
  <si>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</si>
  <si>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</si>
  <si>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</si>
  <si>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</si>
  <si>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</si>
  <si>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</si>
  <si>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</si>
  <si>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</si>
  <si>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</si>
  <si>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</si>
  <si>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</si>
  <si>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</si>
  <si>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</si>
  <si>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</si>
  <si>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</si>
  <si>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</si>
  <si>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</si>
  <si>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</si>
  <si>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</si>
  <si>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</si>
  <si>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</si>
  <si>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</si>
  <si>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</si>
  <si>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</si>
  <si>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</si>
  <si>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</si>
  <si>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</si>
  <si>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</si>
  <si>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</si>
  <si>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</si>
  <si>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</si>
  <si>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</si>
  <si>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</si>
  <si>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</si>
  <si>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31/03/2022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</si>
  <si>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</si>
  <si>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</si>
  <si>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</si>
  <si>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</si>
  <si>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</si>
  <si>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</si>
  <si>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</si>
  <si>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</si>
  <si>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</si>
  <si>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</si>
  <si>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</si>
  <si>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</si>
  <si>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</si>
  <si>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</si>
  <si>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</si>
  <si>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</si>
  <si>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</si>
  <si>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</si>
  <si>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</si>
  <si>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</si>
  <si>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</si>
  <si>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</si>
  <si>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</si>
  <si>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</si>
  <si>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</si>
  <si>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</si>
  <si>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</si>
  <si>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</si>
  <si>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</si>
  <si>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</si>
  <si>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</si>
  <si>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</si>
  <si>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</si>
  <si>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</si>
  <si>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</si>
  <si>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</si>
  <si>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</si>
  <si>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</si>
  <si>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</si>
  <si>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</si>
  <si>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</si>
  <si>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</si>
  <si>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</si>
  <si>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</si>
  <si>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</si>
  <si>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</si>
  <si>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</si>
  <si>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</si>
  <si>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</si>
  <si>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</si>
  <si>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</si>
  <si>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</si>
  <si>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</si>
  <si>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</si>
  <si>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</si>
  <si>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</si>
  <si>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</si>
  <si>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</si>
  <si>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</si>
  <si>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</si>
  <si>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</si>
  <si>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</si>
  <si>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</si>
  <si>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</si>
  <si>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</si>
  <si>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</si>
  <si>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</si>
  <si>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</si>
  <si>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</si>
  <si>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</si>
  <si>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</si>
  <si>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</si>
  <si>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</si>
  <si>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</si>
  <si>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</si>
  <si>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</si>
  <si>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</si>
  <si>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</si>
  <si>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</si>
  <si>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</si>
  <si>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</si>
  <si>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</si>
  <si>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</si>
  <si>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</si>
  <si>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</si>
  <si>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</si>
  <si>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</si>
  <si>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</si>
  <si>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</si>
  <si>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</si>
  <si>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</si>
  <si>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</si>
  <si>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</si>
  <si>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</si>
  <si>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</si>
  <si>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</si>
  <si>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</si>
  <si>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</si>
  <si>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</si>
  <si>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</si>
  <si>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</si>
  <si>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</si>
  <si>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</si>
  <si>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</si>
  <si>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</si>
  <si>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</si>
  <si>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</si>
  <si>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</si>
  <si>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</si>
  <si>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</si>
  <si>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</si>
  <si>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</si>
  <si>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</si>
  <si>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</si>
  <si>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</si>
  <si>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</si>
  <si>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</si>
  <si>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</si>
  <si>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</si>
  <si>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</si>
  <si>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</si>
  <si>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</si>
  <si>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</si>
  <si>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</si>
  <si>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</si>
  <si>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</si>
  <si>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</si>
  <si>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</si>
  <si>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</si>
  <si>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</si>
  <si>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</si>
  <si>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</si>
  <si>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</si>
  <si>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</si>
  <si>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</si>
  <si>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</si>
  <si>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</si>
  <si>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</si>
  <si>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</si>
  <si>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</si>
  <si>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</si>
  <si>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</si>
  <si>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</si>
  <si>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</si>
  <si>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</si>
  <si>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</si>
  <si>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</si>
  <si>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</si>
  <si>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</si>
  <si>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</si>
  <si>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</si>
  <si>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</si>
  <si>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</si>
  <si>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</si>
  <si>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</si>
  <si>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</si>
  <si>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</si>
  <si>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</si>
  <si>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</si>
  <si>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</si>
  <si>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</si>
  <si>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</si>
  <si>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</si>
  <si>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</si>
  <si>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</si>
  <si>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</si>
  <si>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</si>
  <si>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</si>
  <si>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</si>
  <si>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</si>
  <si>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</si>
  <si>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</si>
  <si>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</si>
  <si>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</si>
  <si>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</si>
  <si>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</si>
  <si>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</si>
  <si>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</si>
  <si>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</si>
  <si>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</si>
  <si>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</si>
  <si>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</si>
  <si>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</si>
  <si>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</si>
  <si>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</si>
  <si>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</si>
  <si>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</si>
  <si>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</si>
  <si>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</si>
  <si>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</si>
  <si>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</si>
  <si>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</si>
  <si>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</si>
  <si>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</si>
  <si>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</si>
  <si>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</si>
  <si>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</si>
  <si>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</si>
  <si>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</si>
  <si>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</si>
  <si>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</si>
  <si>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</si>
  <si>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</si>
  <si>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</si>
  <si>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</si>
  <si>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</si>
  <si>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</si>
  <si>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</si>
  <si>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</si>
  <si>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</si>
  <si>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</si>
  <si>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</si>
  <si>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</si>
  <si>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</si>
  <si>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</si>
  <si>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</si>
  <si>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</si>
  <si>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</si>
  <si>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</si>
  <si>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</si>
  <si>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</si>
  <si>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</si>
  <si>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</si>
  <si>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</si>
  <si>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</si>
  <si>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</si>
  <si>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</si>
  <si>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</si>
  <si>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</si>
  <si>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</si>
  <si>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</si>
  <si>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</si>
  <si>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</si>
  <si>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</si>
  <si>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</si>
  <si>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</si>
  <si>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</si>
  <si>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</si>
  <si>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</si>
  <si>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</si>
  <si>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</si>
  <si>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</si>
  <si>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</si>
  <si>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</si>
  <si>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</si>
  <si>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</si>
  <si>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</si>
  <si>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</si>
  <si>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</si>
  <si>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</si>
  <si>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</si>
  <si>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</si>
  <si>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</si>
  <si>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</si>
  <si>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</si>
  <si>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</si>
  <si>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</si>
  <si>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</si>
  <si>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</si>
  <si>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</si>
  <si>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</si>
  <si>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</si>
  <si>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</si>
  <si>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</si>
  <si>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</si>
  <si>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</si>
  <si>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</si>
  <si>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</si>
  <si>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</si>
  <si>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</si>
  <si>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</si>
  <si>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</si>
  <si>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</si>
  <si>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</si>
  <si>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</si>
  <si>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</si>
  <si>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</si>
  <si>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</si>
  <si>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</si>
  <si>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</si>
  <si>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</si>
  <si>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</si>
  <si>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</si>
  <si>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</si>
  <si>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</si>
  <si>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</si>
  <si>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</si>
  <si>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</si>
  <si>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</si>
  <si>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</si>
  <si>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</si>
  <si>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</si>
  <si>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</si>
  <si>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</si>
  <si>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</si>
  <si>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</si>
  <si>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</si>
  <si>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</si>
  <si>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</si>
  <si>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04/04/2023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</si>
  <si>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</si>
  <si>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</si>
  <si>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</si>
  <si>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</si>
  <si>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</si>
  <si>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</si>
  <si>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</si>
  <si>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</si>
  <si>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</si>
  <si>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</si>
  <si>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</si>
  <si>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</si>
  <si>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</si>
  <si>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</si>
  <si>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</si>
  <si>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</si>
  <si>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</si>
  <si>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</si>
  <si>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</si>
  <si>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</si>
  <si>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</si>
  <si>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</si>
  <si>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</si>
  <si>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</si>
  <si>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</si>
  <si>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</si>
  <si>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</si>
  <si>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</si>
  <si>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</si>
  <si>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</si>
  <si>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</si>
  <si>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</si>
  <si>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</si>
  <si>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</si>
  <si>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</si>
  <si>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</si>
  <si>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</si>
  <si>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</si>
  <si>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</si>
  <si>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</si>
  <si>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</si>
  <si>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</si>
  <si>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</si>
  <si>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</si>
  <si>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</si>
  <si>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</si>
  <si>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</si>
  <si>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</si>
  <si>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</si>
  <si>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</si>
  <si>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</si>
  <si>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</si>
  <si>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</si>
  <si>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</si>
  <si>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</si>
  <si>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</si>
  <si>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</si>
  <si>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</si>
  <si>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</si>
  <si>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</si>
  <si>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</si>
  <si>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</si>
  <si>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</si>
  <si>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</si>
  <si>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</si>
  <si>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</si>
  <si>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</si>
  <si>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</si>
  <si>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</si>
  <si>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</si>
  <si>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</si>
  <si>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</si>
  <si>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</si>
  <si>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</si>
  <si>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</si>
  <si>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</si>
  <si>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</si>
  <si>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</si>
  <si>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</si>
  <si>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</si>
  <si>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</si>
  <si>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</si>
  <si>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</si>
  <si>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</si>
  <si>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</si>
  <si>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</si>
  <si>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</si>
  <si>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</si>
  <si>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</si>
  <si>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</si>
  <si>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</si>
  <si>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</si>
  <si>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</si>
  <si>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</si>
  <si>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</si>
  <si>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</si>
  <si>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</si>
  <si>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</si>
  <si>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</si>
  <si>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</si>
  <si>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</si>
  <si>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</si>
  <si>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</si>
  <si>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</si>
  <si>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</si>
  <si>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</si>
  <si>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</si>
  <si>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</si>
  <si>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</si>
  <si>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</si>
  <si>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</si>
  <si>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</si>
  <si>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</si>
  <si>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</si>
  <si>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</si>
  <si>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</si>
  <si>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</si>
  <si>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</si>
  <si>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</si>
  <si>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</si>
  <si>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</si>
  <si>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</si>
  <si>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</si>
  <si>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</si>
  <si>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</si>
  <si>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</si>
  <si>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</si>
  <si>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</si>
  <si>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</si>
  <si>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</si>
  <si>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</si>
  <si>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</si>
  <si>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</si>
  <si>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</si>
  <si>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</si>
  <si>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</si>
  <si>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</si>
  <si>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</si>
  <si>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</si>
  <si>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</si>
  <si>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</si>
  <si>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</si>
  <si>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</si>
  <si>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</si>
  <si>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</si>
  <si>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</si>
  <si>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</si>
  <si>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</si>
  <si>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</si>
  <si>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</si>
  <si>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</si>
  <si>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</si>
  <si>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</si>
  <si>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</si>
  <si>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</si>
  <si>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</si>
  <si>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</si>
  <si>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</si>
  <si>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</si>
  <si>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</si>
  <si>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</si>
  <si>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</si>
  <si>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</si>
  <si>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</si>
  <si>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</si>
  <si>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</si>
  <si>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</si>
  <si>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</si>
  <si>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</si>
  <si>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</si>
  <si>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</si>
  <si>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</si>
  <si>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</si>
  <si>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</si>
  <si>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</si>
  <si>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</si>
  <si>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</si>
  <si>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</si>
  <si>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</si>
  <si>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</si>
  <si>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</si>
  <si>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</si>
  <si>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</si>
  <si>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</si>
  <si>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</si>
  <si>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</si>
  <si>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</si>
  <si>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</si>
  <si>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</si>
  <si>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</si>
  <si>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</si>
  <si>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</si>
  <si>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</si>
  <si>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</si>
  <si>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</si>
  <si>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</si>
  <si>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</si>
  <si>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</si>
  <si>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</si>
  <si>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</si>
  <si>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</si>
  <si>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</si>
  <si>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</si>
  <si>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</si>
  <si>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</si>
  <si>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</si>
  <si>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</si>
  <si>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</si>
  <si>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</si>
  <si>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</si>
  <si>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</si>
  <si>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</si>
  <si>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</si>
  <si>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</si>
  <si>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</si>
  <si>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</si>
  <si>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</si>
  <si>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</si>
  <si>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</si>
  <si>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</si>
  <si>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</si>
  <si>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</si>
  <si>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</si>
  <si>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</si>
  <si>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</si>
  <si>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</si>
  <si>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</si>
  <si>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</si>
  <si>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</si>
  <si>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</si>
  <si>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</si>
  <si>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</si>
  <si>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</si>
  <si>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</si>
  <si>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</si>
  <si>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</si>
  <si>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</si>
  <si>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</si>
  <si>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</si>
  <si>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</si>
  <si>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</si>
  <si>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</si>
  <si>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</si>
  <si>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</si>
  <si>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</si>
  <si>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</si>
  <si>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</si>
  <si>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</si>
  <si>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</si>
  <si>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</si>
  <si>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</si>
  <si>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</si>
  <si>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</si>
  <si>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</si>
  <si>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</si>
  <si>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</si>
  <si>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</si>
  <si>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</si>
  <si>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</si>
  <si>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</si>
  <si>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</si>
  <si>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</si>
  <si>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</si>
  <si>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</si>
  <si>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</si>
  <si>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</si>
  <si>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</si>
  <si>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</si>
  <si>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</si>
  <si>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</si>
  <si>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</si>
  <si>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</si>
  <si>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</si>
  <si>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</si>
  <si>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</si>
  <si>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</si>
  <si>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</si>
  <si>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</si>
  <si>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</si>
  <si>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</si>
  <si>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</si>
  <si>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</si>
  <si>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</si>
  <si>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</si>
  <si>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</si>
  <si>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</si>
  <si>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</si>
  <si>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</si>
  <si>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</si>
  <si>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</si>
  <si>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</si>
  <si>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</si>
  <si>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</si>
  <si>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</si>
  <si>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</si>
  <si>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</si>
  <si>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</si>
  <si>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</si>
  <si>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</si>
  <si>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</si>
  <si>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</si>
  <si>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</si>
  <si>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</si>
  <si>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</si>
  <si>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</si>
  <si>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</si>
  <si>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</si>
  <si>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</si>
  <si>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</si>
  <si>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</si>
  <si>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</si>
  <si>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</si>
  <si>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</si>
  <si>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</si>
  <si>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</si>
  <si>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</si>
  <si>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</si>
  <si>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</si>
  <si>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</si>
  <si>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</si>
  <si>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</si>
  <si>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</si>
  <si>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</si>
  <si>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</si>
  <si>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</si>
  <si>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</si>
  <si>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</si>
  <si>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סה"כ תל אביב 90</t>
  </si>
  <si>
    <t>סה"כ מניות היתר</t>
  </si>
  <si>
    <t>1087949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</si>
  <si>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</si>
  <si>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</si>
  <si>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</si>
  <si>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</si>
  <si>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</si>
  <si>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</si>
  <si>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</si>
  <si>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</si>
  <si>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513534974</t>
  </si>
  <si>
    <t>אג"ח</t>
  </si>
  <si>
    <t>קסם קרן סל תלבונד 40</t>
  </si>
  <si>
    <t>1146216</t>
  </si>
  <si>
    <t>510938608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</si>
  <si>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</si>
  <si>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</si>
  <si>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</si>
  <si>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</si>
  <si>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</si>
  <si>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</si>
  <si>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513765339</t>
  </si>
  <si>
    <t>הראל קרן סל תלבונד צמודות</t>
  </si>
  <si>
    <t>1150606</t>
  </si>
  <si>
    <t>511776783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</si>
  <si>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</si>
  <si>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</si>
  <si>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</si>
  <si>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</si>
  <si>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</si>
  <si>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</si>
  <si>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</si>
  <si>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</si>
  <si>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</si>
  <si>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</si>
  <si>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</si>
  <si>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</si>
  <si>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</si>
  <si>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</si>
  <si>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</si>
  <si>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</si>
  <si>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</si>
  <si>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</si>
  <si>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</si>
  <si>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</si>
  <si>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</si>
  <si>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</si>
  <si>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</si>
  <si>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</si>
  <si>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</si>
  <si>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</si>
  <si>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</si>
  <si>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</si>
  <si>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</si>
  <si>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</si>
  <si>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</si>
  <si>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</si>
  <si>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</si>
  <si>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</si>
  <si>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</si>
  <si>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</si>
  <si>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</si>
  <si>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</si>
  <si>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</si>
  <si>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</si>
  <si>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</si>
  <si>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</si>
  <si>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</si>
  <si>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</si>
  <si>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</si>
  <si>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</si>
  <si>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</si>
  <si>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</si>
  <si>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</si>
  <si>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</si>
  <si>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</si>
  <si>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</si>
  <si>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</si>
  <si>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</si>
  <si>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JP Morgan Liquidity Dollar</t>
  </si>
  <si>
    <t>X9X9USD02A31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</si>
  <si>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</si>
  <si>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</si>
  <si>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</si>
  <si>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</si>
  <si>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</si>
  <si>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</si>
  <si>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</si>
  <si>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</si>
  <si>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</si>
  <si>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</si>
  <si>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</si>
  <si>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</si>
  <si>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</si>
  <si>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</si>
  <si>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</si>
  <si>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</si>
  <si>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</si>
  <si>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</si>
  <si>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</si>
  <si>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</si>
  <si>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</si>
  <si>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</si>
  <si>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</si>
  <si>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</si>
  <si>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</si>
  <si>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</si>
  <si>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</si>
  <si>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</si>
  <si>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</si>
  <si>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</si>
  <si>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</si>
  <si>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</si>
  <si>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</si>
  <si>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</si>
  <si>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</si>
  <si>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</si>
  <si>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</si>
  <si>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</si>
  <si>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</si>
  <si>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</si>
  <si>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</si>
  <si>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</si>
  <si>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</si>
  <si>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</si>
  <si>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</si>
  <si>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</si>
  <si>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</si>
  <si>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</si>
  <si>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</si>
  <si>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</si>
  <si>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</si>
  <si>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</si>
  <si>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</si>
  <si>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</si>
  <si>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</si>
  <si>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</si>
  <si>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</si>
  <si>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</si>
  <si>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</si>
  <si>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</si>
  <si>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</si>
  <si>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</si>
  <si>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</si>
  <si>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</si>
  <si>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</si>
  <si>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</si>
  <si>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</si>
  <si>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</si>
  <si>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</si>
  <si>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</si>
  <si>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</si>
  <si>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</si>
  <si>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</si>
  <si>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</si>
  <si>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</si>
  <si>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</si>
  <si>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</si>
  <si>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</si>
  <si>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</si>
  <si>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</si>
  <si>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</si>
  <si>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</si>
  <si>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</si>
  <si>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</si>
  <si>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</si>
  <si>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</si>
  <si>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</si>
  <si>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</si>
  <si>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</si>
  <si>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</si>
  <si>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</si>
  <si>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</si>
  <si>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</si>
  <si>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</si>
  <si>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</si>
  <si>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</si>
  <si>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</si>
  <si>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</si>
  <si>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</si>
  <si>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</si>
  <si>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</si>
  <si>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</si>
  <si>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</si>
  <si>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</si>
  <si>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</si>
  <si>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</si>
  <si>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</si>
  <si>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</si>
  <si>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</si>
  <si>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</si>
  <si>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</si>
  <si>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</si>
  <si>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</si>
  <si>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</si>
  <si>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</si>
  <si>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</si>
  <si>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</si>
  <si>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</si>
  <si>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</si>
  <si>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</si>
  <si>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</si>
  <si>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</si>
  <si>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</si>
  <si>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Shaked Partners II</t>
  </si>
  <si>
    <t>89437</t>
  </si>
  <si>
    <t>10/07/2023</t>
  </si>
  <si>
    <t>סה"כ קרנות השקעה בחו"ל</t>
  </si>
  <si>
    <t>Golden Tree</t>
  </si>
  <si>
    <t>76625237</t>
  </si>
  <si>
    <t>03/02/2022</t>
  </si>
  <si>
    <t>CIFC CLO Opportunity Fund</t>
  </si>
  <si>
    <t>KYG2191F1046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</si>
  <si>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</si>
  <si>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</si>
  <si>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</si>
  <si>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</si>
  <si>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</si>
  <si>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</si>
  <si>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</si>
  <si>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</si>
  <si>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</si>
  <si>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</si>
  <si>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</si>
  <si>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</si>
  <si>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</si>
  <si>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</si>
  <si>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</si>
  <si>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</si>
  <si>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</si>
  <si>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</si>
  <si>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</si>
  <si>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</si>
  <si>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</si>
  <si>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</si>
  <si>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</si>
  <si>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</si>
  <si>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</si>
  <si>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</si>
  <si>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</si>
  <si>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</si>
  <si>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</si>
  <si>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</si>
  <si>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</si>
  <si>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</si>
  <si>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</si>
  <si>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</si>
  <si>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</si>
  <si>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</si>
  <si>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</si>
  <si>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</si>
  <si>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</si>
  <si>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</si>
  <si>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</si>
  <si>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</si>
  <si>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</si>
  <si>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סה"כ כתבי אופציה בישראל:</t>
  </si>
  <si>
    <t>אאורה אופציה לא סחירה 06/2024</t>
  </si>
  <si>
    <t>99368023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</si>
  <si>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</si>
  <si>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</si>
  <si>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</si>
  <si>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</si>
  <si>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</si>
  <si>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</si>
  <si>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</si>
  <si>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</si>
  <si>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</si>
  <si>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</si>
  <si>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</si>
  <si>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</si>
  <si>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</si>
  <si>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</si>
  <si>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445281812</t>
  </si>
  <si>
    <t>21/09/2023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</si>
  <si>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</si>
  <si>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</si>
  <si>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</si>
  <si>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</si>
  <si>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</si>
  <si>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</si>
  <si>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</si>
  <si>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</si>
  <si>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</si>
  <si>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26/06/2024 - ILS</t>
  </si>
  <si>
    <t>445269472</t>
  </si>
  <si>
    <t>FW USDILS 26/06/2024 - USD</t>
  </si>
  <si>
    <t>445269473</t>
  </si>
  <si>
    <t>445269476</t>
  </si>
  <si>
    <t>445269477</t>
  </si>
  <si>
    <t>FW USDILS 24/07/2024 - ILS</t>
  </si>
  <si>
    <t>445270854</t>
  </si>
  <si>
    <t>FW USDILS 24/07/2024 - USD</t>
  </si>
  <si>
    <t>445270855</t>
  </si>
  <si>
    <t>445271280</t>
  </si>
  <si>
    <t>22/05/2023</t>
  </si>
  <si>
    <t>445271281</t>
  </si>
  <si>
    <t>445271778</t>
  </si>
  <si>
    <t>31/05/2023</t>
  </si>
  <si>
    <t>445271779</t>
  </si>
  <si>
    <t>FW USDILS 06/12/2023 - ILS</t>
  </si>
  <si>
    <t>445273334</t>
  </si>
  <si>
    <t>20/06/2023</t>
  </si>
  <si>
    <t>FW USDILS 06/12/2023 - USD</t>
  </si>
  <si>
    <t>445273335</t>
  </si>
  <si>
    <t>445274182</t>
  </si>
  <si>
    <t>26/06/2023</t>
  </si>
  <si>
    <t>445274183</t>
  </si>
  <si>
    <t>445274514</t>
  </si>
  <si>
    <t>29/06/2023</t>
  </si>
  <si>
    <t>445274515</t>
  </si>
  <si>
    <t>445275154</t>
  </si>
  <si>
    <t>11/07/2023</t>
  </si>
  <si>
    <t>445275155</t>
  </si>
  <si>
    <t>445276658</t>
  </si>
  <si>
    <t>24/07/2023</t>
  </si>
  <si>
    <t>445276659</t>
  </si>
  <si>
    <t>445277502</t>
  </si>
  <si>
    <t>01/08/2023</t>
  </si>
  <si>
    <t>445277503</t>
  </si>
  <si>
    <t>445278746</t>
  </si>
  <si>
    <t>16/08/2023</t>
  </si>
  <si>
    <t>445278747</t>
  </si>
  <si>
    <t>445278810</t>
  </si>
  <si>
    <t>445278811</t>
  </si>
  <si>
    <t>445279040</t>
  </si>
  <si>
    <t>22/08/2023</t>
  </si>
  <si>
    <t>445279041</t>
  </si>
  <si>
    <t>445279160</t>
  </si>
  <si>
    <t>445279161</t>
  </si>
  <si>
    <t>445279416</t>
  </si>
  <si>
    <t>31/08/2023</t>
  </si>
  <si>
    <t>445279417</t>
  </si>
  <si>
    <t>445279502</t>
  </si>
  <si>
    <t>445279503</t>
  </si>
  <si>
    <t>445280614</t>
  </si>
  <si>
    <t>445280615</t>
  </si>
  <si>
    <t>445280738</t>
  </si>
  <si>
    <t>445280739</t>
  </si>
  <si>
    <t>סה"כ חוזים עתידיים בחו"ל</t>
  </si>
  <si>
    <t>FW USDILS 24/01/2024 - ILS</t>
  </si>
  <si>
    <t>445255416</t>
  </si>
  <si>
    <t>18/01/2023</t>
  </si>
  <si>
    <t>FW USDILS 24/01/2024 - USD</t>
  </si>
  <si>
    <t>445255417</t>
  </si>
  <si>
    <t>445270096</t>
  </si>
  <si>
    <t>445270097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</si>
  <si>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</si>
  <si>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</si>
  <si>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</si>
  <si>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</si>
  <si>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</si>
  <si>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</si>
  <si>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</si>
  <si>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</si>
  <si>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</si>
  <si>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15/06/2023</t>
  </si>
  <si>
    <t>445273045</t>
  </si>
  <si>
    <t>445274826</t>
  </si>
  <si>
    <t>445274827</t>
  </si>
  <si>
    <t>445276668</t>
  </si>
  <si>
    <t>445276669</t>
  </si>
  <si>
    <t>445277882</t>
  </si>
  <si>
    <t>445277883</t>
  </si>
  <si>
    <t>FW GBPUSD 28/02/2024 - USD</t>
  </si>
  <si>
    <t>445280808</t>
  </si>
  <si>
    <t>FW GBPUSD 28/02/2024 - GBP</t>
  </si>
  <si>
    <t>445280809</t>
  </si>
  <si>
    <t>445281176</t>
  </si>
  <si>
    <t>445281177</t>
  </si>
  <si>
    <t>445281292</t>
  </si>
  <si>
    <t>445281293</t>
  </si>
  <si>
    <t>445281300</t>
  </si>
  <si>
    <t>445281301</t>
  </si>
  <si>
    <t>445281808</t>
  </si>
  <si>
    <t>445281809</t>
  </si>
  <si>
    <t>445281810</t>
  </si>
  <si>
    <t>445281811</t>
  </si>
  <si>
    <t>445282582</t>
  </si>
  <si>
    <t>445282583</t>
  </si>
  <si>
    <t>AS IBOXIG Index 20/12/23 - Equity Leg</t>
  </si>
  <si>
    <t>880000307</t>
  </si>
  <si>
    <t>15/03/2023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</si>
  <si>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</si>
  <si>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</si>
  <si>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</si>
  <si>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</si>
  <si>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</si>
  <si>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</si>
  <si>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</si>
  <si>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</si>
  <si>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</si>
  <si>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</si>
  <si>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</si>
  <si>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</si>
  <si>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</si>
  <si>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</si>
  <si>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26/07/2023</t>
  </si>
  <si>
    <t>AS BBB Basket 26/01/24 - Fund Leg</t>
  </si>
  <si>
    <t>880000350</t>
  </si>
  <si>
    <t>סה"כ כנגד חסכון עמיתים/מבוטחים</t>
  </si>
  <si>
    <t>333014011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</si>
  <si>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</si>
  <si>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</si>
  <si>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</si>
  <si>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</si>
  <si>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</si>
  <si>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</si>
  <si>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</si>
  <si>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</si>
  <si>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</si>
  <si>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</si>
  <si>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</si>
  <si>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</si>
  <si>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</si>
  <si>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</si>
  <si>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</si>
  <si>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</si>
  <si>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</si>
  <si>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</si>
  <si>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</si>
  <si>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</si>
  <si>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</si>
  <si>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</si>
  <si>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</si>
  <si>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</si>
  <si>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</si>
  <si>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</si>
  <si>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</si>
  <si>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</si>
  <si>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</si>
  <si>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</si>
  <si>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</si>
  <si>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</si>
  <si>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</si>
  <si>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</si>
  <si>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</si>
  <si>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</si>
  <si>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</si>
  <si>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</si>
  <si>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</si>
  <si>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</si>
  <si>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</si>
  <si>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</si>
  <si>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</si>
  <si>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</si>
  <si>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</si>
  <si>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</si>
  <si>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</si>
  <si>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</si>
  <si>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</si>
  <si>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</si>
  <si>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</si>
  <si>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</si>
  <si>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</si>
  <si>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</si>
  <si>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</si>
  <si>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</si>
  <si>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</si>
  <si>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</si>
  <si>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</si>
  <si>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</si>
  <si>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</si>
  <si>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</si>
  <si>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</si>
  <si>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</si>
  <si>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</si>
  <si>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</si>
  <si>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</si>
  <si>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</si>
  <si>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</si>
  <si>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</si>
  <si>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</si>
  <si>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</si>
  <si>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</si>
  <si>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</si>
  <si>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</si>
  <si>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</si>
  <si>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</si>
  <si>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</si>
  <si>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</si>
  <si>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</si>
  <si>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</si>
  <si>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</si>
  <si>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</si>
  <si>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</si>
  <si>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</si>
  <si>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</si>
  <si>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</si>
  <si>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</si>
  <si>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</si>
  <si>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</si>
  <si>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</si>
  <si>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</si>
  <si>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</si>
  <si>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</si>
  <si>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</si>
  <si>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</si>
  <si>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</si>
  <si>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</si>
  <si>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</si>
  <si>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</si>
  <si>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</si>
  <si>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</si>
  <si>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</si>
  <si>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</si>
  <si>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</si>
  <si>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</si>
  <si>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</si>
  <si>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</si>
  <si>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</si>
  <si>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</si>
  <si>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</si>
  <si>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</si>
  <si>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</si>
  <si>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</si>
  <si>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</si>
  <si>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</si>
  <si>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</si>
  <si>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</si>
  <si>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</si>
  <si>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</si>
  <si>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</si>
  <si>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</si>
  <si>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</si>
  <si>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</si>
  <si>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</si>
  <si>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</si>
  <si>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</si>
  <si>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</si>
  <si>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</si>
  <si>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</si>
  <si>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</si>
  <si>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</si>
  <si>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</si>
  <si>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</si>
  <si>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</si>
  <si>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</si>
  <si>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</si>
  <si>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</si>
  <si>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</si>
  <si>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</si>
  <si>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</si>
  <si>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</si>
  <si>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</si>
  <si>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</si>
  <si>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</si>
  <si>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</si>
  <si>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</si>
  <si>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</si>
  <si>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</si>
  <si>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</si>
  <si>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</si>
  <si>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</si>
  <si>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</si>
  <si>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</si>
  <si>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</si>
  <si>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</si>
  <si>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</si>
  <si>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</si>
  <si>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</si>
  <si>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</si>
  <si>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</si>
  <si>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</si>
  <si>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</si>
  <si>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</si>
  <si>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</si>
  <si>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</si>
  <si>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</si>
  <si>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</si>
  <si>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</si>
  <si>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</si>
  <si>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</si>
  <si>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</si>
  <si>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</si>
  <si>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</si>
  <si>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01/03/2023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</si>
  <si>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</si>
  <si>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</si>
  <si>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</si>
  <si>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</si>
  <si>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</si>
  <si>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</si>
  <si>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</si>
  <si>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</si>
  <si>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</si>
  <si>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</si>
  <si>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</si>
  <si>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</si>
  <si>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</si>
  <si>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</si>
  <si>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</si>
  <si>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</si>
  <si>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</si>
  <si>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</si>
  <si>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</si>
  <si>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</si>
  <si>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</si>
  <si>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</si>
  <si>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</si>
  <si>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</si>
  <si>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</si>
  <si>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</si>
  <si>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</si>
  <si>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</si>
  <si>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</si>
  <si>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</si>
  <si>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</si>
  <si>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</si>
  <si>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</si>
  <si>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</si>
  <si>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</si>
  <si>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</si>
  <si>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</si>
  <si>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</si>
  <si>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</si>
  <si>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</si>
  <si>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</si>
  <si>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</si>
  <si>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</si>
  <si>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</si>
  <si>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</si>
  <si>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</si>
  <si>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</si>
  <si>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</si>
  <si>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</si>
  <si>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</si>
  <si>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</si>
  <si>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</si>
  <si>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</si>
  <si>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</si>
  <si>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</si>
  <si>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</si>
  <si>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</si>
  <si>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</si>
  <si>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</si>
  <si>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</si>
  <si>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</si>
  <si>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</si>
  <si>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</si>
  <si>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</si>
  <si>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</si>
  <si>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</si>
  <si>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</si>
  <si>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</si>
  <si>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</si>
  <si>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</si>
  <si>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</si>
  <si>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</si>
  <si>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</si>
  <si>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</si>
  <si>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</si>
  <si>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</si>
  <si>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</si>
  <si>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</si>
  <si>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</si>
  <si>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</si>
  <si>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</si>
  <si>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</si>
  <si>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</si>
  <si>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</si>
  <si>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</si>
  <si>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</si>
  <si>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</si>
  <si>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</si>
  <si>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</si>
  <si>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</si>
  <si>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</si>
  <si>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</si>
  <si>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</si>
  <si>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</si>
  <si>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</si>
  <si>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</si>
  <si>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</si>
  <si>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</si>
  <si>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</si>
  <si>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</si>
  <si>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</si>
  <si>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</si>
  <si>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</si>
  <si>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</si>
  <si>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</si>
  <si>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</si>
  <si>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</si>
  <si>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</si>
  <si>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</si>
  <si>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</si>
  <si>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</si>
  <si>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</si>
  <si>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</si>
  <si>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</si>
  <si>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</si>
  <si>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</si>
  <si>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</si>
  <si>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</si>
  <si>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</si>
  <si>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</si>
  <si>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</si>
  <si>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</si>
  <si>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</si>
  <si>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</si>
  <si>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</si>
  <si>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</si>
  <si>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</si>
  <si>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</si>
  <si>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</si>
  <si>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</si>
  <si>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</si>
  <si>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</si>
  <si>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</si>
  <si>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</si>
  <si>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</si>
  <si>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</si>
  <si>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</si>
  <si>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</si>
  <si>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</si>
  <si>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</si>
  <si>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</si>
  <si>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</si>
  <si>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</si>
  <si>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</si>
  <si>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</si>
  <si>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</si>
  <si>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</si>
  <si>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</si>
  <si>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</si>
  <si>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</si>
  <si>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</si>
  <si>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</si>
  <si>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</si>
  <si>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</si>
  <si>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</si>
  <si>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</si>
  <si>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</si>
  <si>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</si>
  <si>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</si>
  <si>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</si>
  <si>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</si>
  <si>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</si>
  <si>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</si>
  <si>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</si>
  <si>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</si>
  <si>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</si>
  <si>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</si>
  <si>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</si>
  <si>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</si>
  <si>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</si>
  <si>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</si>
  <si>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</si>
  <si>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</si>
  <si>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</si>
  <si>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</si>
  <si>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</si>
  <si>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</si>
  <si>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</si>
  <si>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</si>
  <si>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</si>
  <si>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</si>
  <si>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</si>
  <si>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</si>
  <si>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</si>
  <si>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</si>
  <si>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</si>
  <si>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</si>
  <si>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</si>
  <si>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</si>
  <si>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</si>
  <si>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</si>
  <si>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</si>
  <si>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</si>
  <si>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</si>
  <si>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</si>
  <si>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</si>
  <si>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</si>
  <si>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</si>
  <si>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</si>
  <si>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</si>
  <si>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</si>
  <si>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</si>
  <si>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</si>
  <si>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</si>
  <si>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</si>
  <si>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</si>
  <si>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</si>
  <si>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</si>
  <si>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</si>
  <si>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</si>
  <si>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</si>
  <si>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</si>
  <si>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</si>
  <si>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</si>
  <si>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</si>
  <si>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</si>
  <si>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</si>
  <si>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</si>
  <si>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</si>
  <si>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</si>
  <si>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</si>
  <si>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</si>
  <si>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</si>
  <si>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</si>
  <si>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</si>
  <si>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</si>
  <si>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</si>
  <si>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</si>
  <si>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</si>
  <si>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</si>
  <si>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</si>
  <si>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</si>
  <si>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</si>
  <si>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11/05/2023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</si>
  <si>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</si>
  <si>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</si>
  <si>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</si>
  <si>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</si>
  <si>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</si>
  <si>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</si>
  <si>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</si>
  <si>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</si>
  <si>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</si>
  <si>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</si>
  <si>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2080748</t>
  </si>
  <si>
    <t>01/09/2023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</si>
  <si>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</si>
  <si>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</si>
  <si>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</si>
  <si>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</si>
  <si>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</si>
  <si>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</si>
  <si>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</si>
  <si>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</si>
  <si>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</si>
  <si>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</si>
  <si>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</si>
  <si>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</si>
  <si>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</si>
  <si>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</si>
  <si>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</si>
  <si>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</si>
  <si>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</si>
  <si>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</si>
  <si>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</si>
  <si>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</si>
  <si>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</si>
  <si>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</si>
  <si>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</si>
  <si>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</si>
  <si>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</si>
  <si>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</si>
  <si>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</si>
  <si>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</si>
  <si>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</si>
  <si>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</si>
  <si>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</si>
  <si>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</si>
  <si>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</si>
  <si>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</si>
  <si>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</si>
  <si>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</si>
  <si>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</si>
  <si>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</si>
  <si>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</si>
  <si>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</si>
  <si>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</si>
  <si>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</si>
  <si>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</si>
  <si>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</si>
  <si>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</si>
  <si>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</si>
  <si>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</si>
  <si>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</si>
  <si>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</si>
  <si>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</si>
  <si>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</si>
  <si>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</si>
  <si>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</si>
  <si>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</si>
  <si>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</si>
  <si>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</si>
  <si>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</si>
  <si>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</si>
  <si>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</si>
  <si>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</si>
  <si>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</si>
  <si>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</si>
  <si>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</si>
  <si>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</si>
  <si>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</si>
  <si>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</si>
  <si>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</si>
  <si>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</si>
  <si>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</si>
  <si>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</si>
  <si>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</si>
  <si>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</si>
  <si>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</si>
  <si>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</si>
  <si>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</si>
  <si>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</si>
  <si>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</si>
  <si>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</si>
  <si>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</si>
  <si>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</si>
  <si>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</si>
  <si>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</si>
  <si>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</si>
  <si>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</si>
  <si>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</si>
  <si>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</si>
  <si>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</si>
  <si>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</si>
  <si>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</si>
  <si>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</si>
  <si>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</si>
  <si>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</si>
  <si>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</si>
  <si>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</si>
  <si>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</si>
  <si>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</si>
  <si>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</si>
  <si>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</si>
  <si>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לקבל דולר בוני</t>
  </si>
  <si>
    <t>20805061</t>
  </si>
  <si>
    <t>שקל  מזרחי בנק מזרחי טפחות בע"מ</t>
  </si>
  <si>
    <t>שקל  סיטי בנק סיטיבנק</t>
  </si>
  <si>
    <t>שקל  סיטי בנק עדכון ידני סיטיבנק</t>
  </si>
  <si>
    <t>דולר  מזרחי בנק מזרחי טפחות בע"מ</t>
  </si>
  <si>
    <t>דולר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</si>
  <si>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</si>
  <si>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</si>
  <si>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</si>
  <si>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Margin FW  Citibank USD סיטיבנק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</si>
  <si>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</si>
  <si>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</si>
  <si>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</si>
  <si>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</si>
  <si>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</si>
  <si>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</si>
  <si>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</si>
  <si>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Future  JPM USD JPM</t>
  </si>
  <si>
    <t>שקל  פועלים בנק הפועלים בע"מ</t>
  </si>
  <si>
    <t>שקל  יו בנק בנק יו-בנק בע"מ</t>
  </si>
  <si>
    <t>שקל  יובנק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</si>
  <si>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</si>
  <si>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</si>
  <si>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</si>
  <si>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דולר  פועלים בנק הפועלים בע"מ</t>
  </si>
  <si>
    <t>דולר  לאומי בנק לאומי לישראל בע"מ</t>
  </si>
  <si>
    <t>דולר  לאומי עדכון ידני בנק לאומי לישראל בע"מ</t>
  </si>
  <si>
    <t>Margin FW  Hapoalim USD בנק הפועלים בע"מ</t>
  </si>
  <si>
    <t>Margin FW  Leumi USD בנק לאומי לישראל בע"מ</t>
  </si>
  <si>
    <t>שטרלינג  BNY Bny Mellon</t>
  </si>
  <si>
    <t>דולר  BNY Bny Mellon</t>
  </si>
  <si>
    <t>דולר  BNY עדכון ידני Bny Mellon</t>
  </si>
  <si>
    <t>Margin FW  BNY USD Bny Mellon</t>
  </si>
  <si>
    <t>שקל  דיסקונט בנק דיסקונט לישראל בע"מ</t>
  </si>
  <si>
    <t>דולר  דיסקונט בנק דיסקונט לישראל בע"מ</t>
  </si>
  <si>
    <t>דולר  דיסוקנט בנק דיסקונט לישראל בע"מ</t>
  </si>
  <si>
    <t>יורו  פועלים בנק הפועלים בע"מ</t>
  </si>
  <si>
    <t>אירו  לאומי בנק לאומי לישראל בע"מ</t>
  </si>
  <si>
    <t>דולר  GS עדכון ידני Goldman Sachs</t>
  </si>
  <si>
    <t>Margin FW   USD GS Goldman Sachs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</si>
  <si>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</si>
  <si>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</si>
  <si>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</si>
  <si>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</si>
  <si>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</si>
  <si>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Commitment Reality Debt Fund Commitment Reality D</t>
  </si>
  <si>
    <t>Commitment Greenlight Fund</t>
  </si>
  <si>
    <t>Commitment Shaked Partners II</t>
  </si>
  <si>
    <t>2031</t>
  </si>
  <si>
    <t>מסגרת מתקן התפלה חדרה יורו</t>
  </si>
  <si>
    <t>2036</t>
  </si>
  <si>
    <t>מסגרת אגירה שואבה PSP</t>
  </si>
  <si>
    <t>2024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</si>
  <si>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</si>
  <si>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</si>
  <si>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</si>
  <si>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</si>
  <si>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</si>
  <si>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</si>
  <si>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</si>
  <si>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</si>
  <si>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</si>
  <si>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</si>
  <si>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</si>
  <si>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</si>
  <si>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</si>
  <si>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</si>
  <si>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</si>
  <si>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</si>
  <si>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2026</t>
  </si>
  <si>
    <t>מסגרת קריית התקשוב</t>
  </si>
  <si>
    <t>מסגרת קריית המודיעין</t>
  </si>
  <si>
    <t>2030</t>
  </si>
  <si>
    <t>מסגרת - Royal Palm Beach</t>
  </si>
  <si>
    <t>מסגרת מגוריט ישראל</t>
  </si>
  <si>
    <t>מסגרת דוראל</t>
  </si>
  <si>
    <t>2028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</si>
  <si>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</si>
  <si>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</si>
  <si>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</si>
  <si>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</si>
  <si>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</si>
  <si>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</si>
  <si>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</si>
  <si>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</si>
  <si>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</si>
  <si>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</si>
  <si>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Commitment Northwind Healthcare Debt Fund I</t>
  </si>
  <si>
    <t>Commitment Electra Capital PM II</t>
  </si>
  <si>
    <t>Commitment Clal Hamilton Lane Credit Internationa</t>
  </si>
  <si>
    <t>Fort Lauderdale Commitment</t>
  </si>
  <si>
    <t>יין יפני</t>
  </si>
  <si>
    <t>עמית א</t>
  </si>
  <si>
    <t>עמית ב</t>
  </si>
  <si>
    <t>עמית ג</t>
  </si>
  <si>
    <t>עמית ד</t>
  </si>
  <si>
    <t>עמית ה</t>
  </si>
  <si>
    <t>הלוואה לגורם 197</t>
  </si>
  <si>
    <t>הלוואה לגורם 199</t>
  </si>
  <si>
    <t>הלוואה לגורם 200</t>
  </si>
  <si>
    <t>הלוואה לגורם 171</t>
  </si>
  <si>
    <t>הלוואה לגורם 113</t>
  </si>
  <si>
    <t>הלוואה לגורם 93</t>
  </si>
  <si>
    <t>הלוואה לגורם 94</t>
  </si>
  <si>
    <t>הלוואה לגורם 181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</si>
  <si>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</si>
  <si>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</si>
  <si>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</si>
  <si>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</si>
  <si>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</si>
  <si>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</si>
  <si>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</si>
  <si>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</si>
  <si>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</si>
  <si>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</si>
  <si>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</si>
  <si>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</si>
  <si>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</si>
  <si>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</si>
  <si>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</si>
  <si>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</si>
  <si>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</si>
  <si>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</si>
  <si>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</si>
  <si>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</si>
  <si>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</si>
  <si>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</si>
  <si>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</si>
  <si>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</si>
  <si>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</si>
  <si>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</si>
  <si>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</si>
  <si>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</si>
  <si>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</si>
  <si>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</si>
  <si>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</si>
  <si>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</si>
  <si>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</si>
  <si>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</si>
  <si>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</si>
  <si>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</si>
  <si>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</si>
  <si>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</si>
  <si>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</si>
  <si>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107</t>
  </si>
  <si>
    <t>הלוואה לגורם 194</t>
  </si>
  <si>
    <t>הלוואה לגורם 162</t>
  </si>
  <si>
    <t>הלוואה לגורם 83</t>
  </si>
  <si>
    <t>הלוואה לגורם 126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</si>
  <si>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</si>
  <si>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</si>
  <si>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</si>
  <si>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</si>
  <si>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</si>
  <si>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</si>
  <si>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</si>
  <si>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לא</t>
  </si>
  <si>
    <t>לא מדורג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</si>
  <si>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</si>
  <si>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</si>
  <si>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</si>
  <si>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</si>
  <si>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</si>
  <si>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</si>
  <si>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</si>
  <si>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</si>
  <si>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</si>
  <si>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</si>
  <si>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</si>
  <si>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</si>
  <si>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</si>
  <si>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</si>
  <si>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</si>
  <si>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</si>
  <si>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</si>
  <si>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</si>
  <si>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</si>
  <si>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</si>
  <si>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</si>
  <si>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</si>
  <si>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</si>
  <si>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</si>
  <si>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</si>
  <si>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</si>
  <si>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</si>
  <si>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</si>
  <si>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</si>
  <si>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</si>
  <si>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</si>
  <si>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</si>
  <si>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</si>
  <si>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</si>
  <si>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</si>
  <si>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</si>
  <si>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</si>
  <si>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</si>
  <si>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</si>
  <si>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</si>
  <si>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</si>
  <si>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</si>
  <si>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</si>
  <si>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</si>
  <si>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</si>
  <si>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</si>
  <si>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</si>
  <si>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</si>
  <si>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</si>
  <si>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</si>
  <si>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</si>
  <si>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</si>
  <si>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</si>
  <si>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</si>
  <si>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</si>
  <si>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</si>
  <si>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</si>
  <si>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</si>
  <si>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</si>
  <si>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549300Y4ZFSCU6XVGF08</t>
  </si>
  <si>
    <t>549300QQR5SNTQVNFC45</t>
  </si>
  <si>
    <t>549300D9O5F5P2DTYB19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</si>
  <si>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</si>
  <si>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</si>
  <si>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</si>
  <si>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</si>
  <si>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</si>
  <si>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</si>
  <si>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</si>
  <si>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</si>
  <si>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</si>
  <si>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</si>
  <si>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</si>
  <si>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</si>
  <si>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549300NHQGC72RX55X16</t>
  </si>
  <si>
    <t>קרדן אן.וי-ש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</si>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</sst>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8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2" fontId="13" fillId="2" borderId="34" xfId="3" applyNumberFormat="1" applyFon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5C3B3-3BFF-4EFC-B65E-34999F2DD279}" name="סכום נכסי הקרן1" displayName="סכום_נכסי_הקרן1" ref="A5:C41" totalsRowShown="0" headerRowDxfId="639" dataDxfId="638">
  <tableColumns count="3">
    <tableColumn id="1" xr3:uid="{95528371-C935-4321-A01B-8D8FD707B494}" name="עמודה1" dataDxfId="637"/>
    <tableColumn id="2" xr3:uid="{AD1DE97E-0E71-4BAA-9A73-DF99842709D0}" name="שווי הוגן" dataDxfId="636"/>
    <tableColumn id="3" xr3:uid="{6C1E8EF2-FEC8-4ABC-AA5C-55ADA36B832C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6D84B-3E04-41B0-8E02-29CB77C25CF1}" name="סכום נכסי הקרן0" displayName="סכום_נכסי_הקרן0" ref="B42:C66" totalsRowShown="0" headerRowDxfId="634" dataDxfId="632" headerRowBorderDxfId="633" tableBorderDxfId="631" totalsRowBorderDxfId="630">
  <tableColumns count="2">
    <tableColumn id="1" xr3:uid="{94C19913-D95D-4DF4-867C-65AE1091FABD}" name="שם המטבע" dataDxfId="629"/>
    <tableColumn id="2" xr3:uid="{5E3C1AA6-634A-4C37-A988-2858A63C7248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1749A2-277A-4425-8220-2394ADFFB311}" name="מזומנים1" displayName="מזומנים1" ref="A5:K112" totalsRowShown="0" headerRowDxfId="627" headerRowBorderDxfId="626" tableBorderDxfId="625" headerRowCellStyle="Percent">
  <tableColumns count="11">
    <tableColumn id="1" xr3:uid="{1C49CA56-2F36-4409-A3E0-98E57B83ABB6}" name="שם המנפיק/שם נייר ערך" dataDxfId="624"/>
    <tableColumn id="2" xr3:uid="{B74DD7E8-F489-45E4-80E1-8A90A32803B6}" name="מספר נ&quot;ע" dataDxfId="623"/>
    <tableColumn id="3" xr3:uid="{C4D059B6-526E-4F89-9DCE-149746E3CDC6}" name="מספר מנפיק" dataDxfId="622"/>
    <tableColumn id="4" xr3:uid="{A1C1FAD8-CE87-4F77-91D6-C81135A8BC95}" name="דירוג" dataDxfId="621"/>
    <tableColumn id="5" xr3:uid="{75FDF01F-3C5B-40F0-A0CB-AE5589C79BD9}" name="שם מדרג" dataDxfId="620" dataCellStyle="Percent"/>
    <tableColumn id="6" xr3:uid="{07246DBD-D89D-4C36-AB06-ADED67F66C12}" name="סוג מטבע" dataDxfId="619"/>
    <tableColumn id="7" xr3:uid="{17FF4EF6-04F7-4164-8001-F7FFB74BDD2F}" name="שעור ריבית" dataDxfId="618" dataCellStyle="Percent"/>
    <tableColumn id="8" xr3:uid="{41EAEE43-EF5F-424C-9475-4576FB607FA1}" name="תשואה לפדיון" dataDxfId="617" dataCellStyle="Comma"/>
    <tableColumn id="9" xr3:uid="{1689B39A-ACF0-4902-B563-E37C0A8887E2}" name="שווי שוק" dataDxfId="616" dataCellStyle="Percent"/>
    <tableColumn id="10" xr3:uid="{59AF0838-AEAE-4277-BC2A-A9C41B282487}" name="שעור מנכסי אפיק ההשקעה" dataDxfId="615" dataCellStyle="Percent"/>
    <tableColumn id="11" xr3:uid="{51A24D27-824A-4B83-BCA2-13368D1C2366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1F523B-0ED7-426E-BBD4-5A6AF1FDD37C}" name="תעודות התחייבות ממשלתיות1" displayName="תעודות_התחייבות_ממשלתיות1" ref="A6:Q34" totalsRowShown="0" headerRowDxfId="613" dataDxfId="611" headerRowBorderDxfId="612" tableBorderDxfId="610" headerRowCellStyle="Percent" dataCellStyle="Percent">
  <tableColumns count="17">
    <tableColumn id="1" xr3:uid="{E7D7663D-8F95-495D-A7B6-F8C729382EF8}" name="שם המנפיק/שם נייר ערך" dataDxfId="609"/>
    <tableColumn id="2" xr3:uid="{89D7E7C6-FBD6-4591-8403-CBD96C4D5A4E}" name="מספר נ&quot;ע" dataDxfId="608"/>
    <tableColumn id="3" xr3:uid="{C708216C-74B5-4548-8E38-18ACDF341C61}" name="זירת מסחר" dataDxfId="607"/>
    <tableColumn id="4" xr3:uid="{51B2FF44-2BA1-44E2-8079-24D47774A38B}" name="דירוג" dataDxfId="606"/>
    <tableColumn id="5" xr3:uid="{CCDB9BC4-FCEC-4F21-A451-90CF2F59FB62}" name="שם מדרג" dataDxfId="605" dataCellStyle="Percent"/>
    <tableColumn id="6" xr3:uid="{A8DFD640-D5CE-4561-ADA2-9E911D2E7917}" name="תאריך רכישה" dataDxfId="604" dataCellStyle="Percent"/>
    <tableColumn id="7" xr3:uid="{C885ABED-8BB0-46C1-A8A7-E5F01E628BB2}" name="מח&quot;מ" dataDxfId="603" dataCellStyle="Percent"/>
    <tableColumn id="8" xr3:uid="{35CBE188-7752-4895-8178-F0294D4F63F0}" name="סוג מטבע" dataDxfId="602"/>
    <tableColumn id="9" xr3:uid="{90F99C65-89DB-45D6-B7F1-F5A42CF40433}" name="שעור ריבית" dataDxfId="601" dataCellStyle="Percent"/>
    <tableColumn id="10" xr3:uid="{4F3D5AC0-14C6-4F19-93F0-074CEC1AB4EE}" name="תשואה לפדיון" dataDxfId="600" dataCellStyle="Comma"/>
    <tableColumn id="11" xr3:uid="{C7AC6973-153F-443C-9602-8877FF9E8648}" name="ערך נקוב" dataDxfId="599" dataCellStyle="Comma"/>
    <tableColumn id="12" xr3:uid="{23F268BA-D257-474E-AF74-79BA514720F4}" name="שער" dataDxfId="598" dataCellStyle="Comma"/>
    <tableColumn id="13" xr3:uid="{EF93DD49-2893-41CF-AC2D-A484D5F1DAC0}" name="פדיון/ריבית לקבל" dataDxfId="597" dataCellStyle="Comma"/>
    <tableColumn id="14" xr3:uid="{720E027C-B149-46EB-ACC0-226489478C2B}" name="שווי שוק" dataDxfId="596" dataCellStyle="Percent"/>
    <tableColumn id="15" xr3:uid="{57758AB2-2E54-449F-AB7E-3F6A21D88EE1}" name="שעור מערך נקוב מונפק" dataDxfId="595" dataCellStyle="Percent"/>
    <tableColumn id="16" xr3:uid="{6157613C-3C87-4D0A-A04E-EDFDC97EB21A}" name="שעור מנכסי אפיק ההשקעה" dataDxfId="594" dataCellStyle="Percent"/>
    <tableColumn id="17" xr3:uid="{4EBB4789-6C22-459A-B9EB-69A424AD4293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8994A5-06FC-41F3-88A8-1DEC4BD85462}" name="תעודות חוב מסחריות1" displayName="תעודות_חוב_מסחריות1" ref="A6:T21" totalsRowShown="0" headerRowDxfId="592" dataDxfId="590" headerRowBorderDxfId="591" tableBorderDxfId="589" headerRowCellStyle="Percent" dataCellStyle="Comma">
  <tableColumns count="20">
    <tableColumn id="1" xr3:uid="{60395C5A-4091-4206-AE3E-DC069E082A82}" name="שם המנפיק/שם נייר ערך" dataDxfId="588"/>
    <tableColumn id="2" xr3:uid="{2CB2C1E5-6F4F-4084-8CCE-86F687D28414}" name="מספר נ&quot;ע" dataDxfId="587"/>
    <tableColumn id="3" xr3:uid="{F5379EF4-382D-4B46-A96D-1625FBAD6FE0}" name="זירת מסחר" dataDxfId="586"/>
    <tableColumn id="4" xr3:uid="{414D04DB-2784-4EED-8F0C-1E113514FBB1}" name="ספק מידע" dataDxfId="585"/>
    <tableColumn id="5" xr3:uid="{1B834EF3-A265-44F0-A4CC-73F7DE1985E4}" name="מספר מנפיק" dataDxfId="584"/>
    <tableColumn id="6" xr3:uid="{B3853A8F-2019-438E-8715-238827313BA7}" name="ענף מסחר" dataDxfId="583"/>
    <tableColumn id="7" xr3:uid="{D6E8CE81-A2EE-4086-872B-164B574A274F}" name="דירוג" dataDxfId="582" dataCellStyle="Percent"/>
    <tableColumn id="8" xr3:uid="{72306704-50F8-4AF5-93F4-E04780A1B77F}" name="שם מדרג" dataDxfId="581" dataCellStyle="Percent"/>
    <tableColumn id="9" xr3:uid="{6D92B5C1-E3F9-4C46-BAE5-352946B7633E}" name="תאריך רכישה" dataDxfId="580" dataCellStyle="Percent"/>
    <tableColumn id="10" xr3:uid="{0CBDC530-D7B3-42A2-8791-6964085BD7CE}" name="מח&quot;מ" dataDxfId="579"/>
    <tableColumn id="11" xr3:uid="{D1246FFF-7954-48AC-B23A-D30DF368E334}" name="סוג מטבע" dataDxfId="578" dataCellStyle="Percent"/>
    <tableColumn id="12" xr3:uid="{25607E3B-FA26-420B-9A0B-91C3C44B1FAD}" name="שעור ריבית" dataDxfId="577" dataCellStyle="Comma"/>
    <tableColumn id="13" xr3:uid="{DA12C0CC-98F8-448D-9209-4D3BA1A8FF82}" name="תשואה לפדיון" dataDxfId="576" dataCellStyle="Comma"/>
    <tableColumn id="14" xr3:uid="{628BB176-8FAF-42A0-9725-9307EC6EFB20}" name="ערך נקוב" dataDxfId="575" dataCellStyle="Comma"/>
    <tableColumn id="15" xr3:uid="{3F01898D-C33C-4850-A64A-E4708D3D5172}" name="שער" dataDxfId="574" dataCellStyle="Percent"/>
    <tableColumn id="16" xr3:uid="{B1EC3689-5A5B-4E38-8223-B836EA596FF0}" name="פדיון/ריבית לקבל" dataDxfId="573" dataCellStyle="Percent"/>
    <tableColumn id="17" xr3:uid="{F6197274-9111-4731-B088-3F4F7AEFA572}" name="שווי שוק" dataDxfId="572" dataCellStyle="Percent"/>
    <tableColumn id="18" xr3:uid="{8D1F80DC-31BC-4314-BFE3-CC3498B2F0D0}" name="שעור מערך נקוב מונפק" dataDxfId="571" dataCellStyle="Comma"/>
    <tableColumn id="19" xr3:uid="{A5123877-AF8F-4A2C-892A-CE2C22EEF3EB}" name="שעור מנכסי אפיק ההשקעה" dataDxfId="570" dataCellStyle="Comma"/>
    <tableColumn id="20" xr3:uid="{C97657FC-2020-4F59-B899-86EF43F2AAFB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B55CD4-DC25-41A2-9E7C-618C95317548}" name="אג&quot;ח קונצרני1" displayName="אג_ח_קונצרני1" ref="A6:T407" totalsRowShown="0" headerRowDxfId="568" dataDxfId="566" headerRowBorderDxfId="567" tableBorderDxfId="565" headerRowCellStyle="Percent" dataCellStyle="Comma">
  <tableColumns count="20">
    <tableColumn id="1" xr3:uid="{DA98F007-EC05-4615-8046-C17A11F286E5}" name="שם המנפיק/שם נייר ערך" dataDxfId="564"/>
    <tableColumn id="2" xr3:uid="{E59666B6-D091-4939-AF76-ED40DF75AF22}" name="מספר נ&quot;ע" dataDxfId="563"/>
    <tableColumn id="3" xr3:uid="{068C29D9-4773-4AC2-9B11-0DD5BB37D38C}" name="זירת מסחר" dataDxfId="562"/>
    <tableColumn id="4" xr3:uid="{F92D79FA-982E-4F44-9002-6C635830F0A9}" name="ספק מידע" dataDxfId="561"/>
    <tableColumn id="5" xr3:uid="{EB4EC18A-E396-4D47-A454-21C74DB00BC9}" name="מספר מנפיק" dataDxfId="560"/>
    <tableColumn id="6" xr3:uid="{F7BC8EA5-4DD8-4CB4-B2AB-FCBA81DAF403}" name="ענף מסחר" dataDxfId="559"/>
    <tableColumn id="7" xr3:uid="{1D37F893-16ED-4DE0-8EDC-3BA491EA5F2D}" name="דירוג" dataDxfId="558" dataCellStyle="Percent"/>
    <tableColumn id="8" xr3:uid="{48967F92-5827-4A3A-BF19-30E0E96E78EC}" name="שם מדרג" dataDxfId="557" dataCellStyle="Percent"/>
    <tableColumn id="9" xr3:uid="{29B2C956-1769-4061-87ED-B865C22FB16D}" name="תאריך רכישה" dataDxfId="556" dataCellStyle="Percent"/>
    <tableColumn id="10" xr3:uid="{E6EE3EAA-EA1F-40C9-8E83-1C06FD21EF06}" name="מח&quot;מ" dataDxfId="555"/>
    <tableColumn id="11" xr3:uid="{44E2A6FD-091D-4E65-BD8B-E7D1F5DA642B}" name="סוג מטבע" dataDxfId="554" dataCellStyle="Percent"/>
    <tableColumn id="12" xr3:uid="{E3571F9A-8888-419A-AFBE-9F5B01CCE715}" name="שעור ריבית" dataDxfId="553" dataCellStyle="Comma"/>
    <tableColumn id="13" xr3:uid="{91E1AD94-8E7F-4A69-8016-53B7590A361C}" name="תשואה לפדיון" dataDxfId="552" dataCellStyle="Comma"/>
    <tableColumn id="14" xr3:uid="{DA20D207-5997-4DCC-A2B8-E320A7E8E34D}" name="ערך נקוב" dataDxfId="551" dataCellStyle="Comma"/>
    <tableColumn id="15" xr3:uid="{CEEFC621-B271-490E-9C35-36400E66BDC3}" name="שער" dataDxfId="550" dataCellStyle="Percent"/>
    <tableColumn id="16" xr3:uid="{55CFDBF1-7CAA-4866-9121-8269C19A5774}" name="פדיון/ריבית לקבל" dataDxfId="549" dataCellStyle="Percent"/>
    <tableColumn id="17" xr3:uid="{F970A45D-DF0D-47F5-9D57-2C303DACDD13}" name="שווי שוק" dataDxfId="548" dataCellStyle="Percent"/>
    <tableColumn id="18" xr3:uid="{73EEB99E-403F-4D56-AE0F-EED91342D85C}" name="שעור מערך נקוב מונפק" dataDxfId="547" dataCellStyle="Comma"/>
    <tableColumn id="19" xr3:uid="{F6781D35-18B8-4849-B26C-DFFFEC2C55A8}" name="שעור מנכסי אפיק ההשקעה" dataDxfId="546" dataCellStyle="Comma"/>
    <tableColumn id="20" xr3:uid="{B19CF016-B15A-494B-B4CC-6CBCDDEF33FD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63E7E-7059-4FCC-885A-8B5713437615}" name="מניות1" displayName="מניות1" ref="A6:N25" totalsRowShown="0" headerRowDxfId="544" dataDxfId="542" headerRowBorderDxfId="543" tableBorderDxfId="541" headerRowCellStyle="Percent" dataCellStyle="Percent">
  <tableColumns count="14">
    <tableColumn id="1" xr3:uid="{0E9B4716-12C0-4E73-BB91-0522BB698533}" name="שם המנפיק/שם נייר ערך" dataDxfId="540"/>
    <tableColumn id="2" xr3:uid="{7CB9164E-FFF1-4ED6-B9AE-05775CC363D4}" name="מספר נ&quot;ע" dataDxfId="539"/>
    <tableColumn id="3" xr3:uid="{0C7555ED-AC87-43DE-8EEC-DEC778242B7A}" name="זירת מסחר" dataDxfId="538"/>
    <tableColumn id="4" xr3:uid="{DCB9CEF4-E807-42E3-B751-A1DC6DB0A8F4}" name="ספק מידע" dataDxfId="537"/>
    <tableColumn id="5" xr3:uid="{A66C0888-F56E-4716-80A2-4A02F5BB32A1}" name="מספר מנפיק" dataDxfId="536"/>
    <tableColumn id="6" xr3:uid="{B4E7FD24-5A3B-4AAB-A632-6F8C6BDDDEAC}" name="ענף מסחר" dataDxfId="535"/>
    <tableColumn id="7" xr3:uid="{0B22C3DE-8409-4162-9BA0-6DCBB48E0E19}" name="סוג מטבע" dataDxfId="534" dataCellStyle="Percent"/>
    <tableColumn id="8" xr3:uid="{53764709-368A-4ADA-AA38-DCCD2144BE32}" name="ערך נקוב" dataDxfId="533" dataCellStyle="Percent"/>
    <tableColumn id="9" xr3:uid="{A214AE50-DD6D-4CB8-8B3D-10A5341D7FAC}" name="שער" dataDxfId="532" dataCellStyle="Percent"/>
    <tableColumn id="10" xr3:uid="{691B6BF2-4336-4D21-8678-347AFEC03A1C}" name="פדיון/ריבית לקבל" dataDxfId="531" dataCellStyle="Percent"/>
    <tableColumn id="11" xr3:uid="{22EF27A3-4FF1-430D-A855-3D0D23392C94}" name="שווי שוק" dataDxfId="530"/>
    <tableColumn id="12" xr3:uid="{95F0A56E-C14F-4997-84E7-19BF12BA6574}" name="שעור מערך נקוב מונפק" dataDxfId="529" dataCellStyle="Percent"/>
    <tableColumn id="13" xr3:uid="{7CA303B4-B8F5-4C41-B324-AB2FF6876D88}" name="שעור מנכסי אפיק ההשקעה" dataDxfId="528" dataCellStyle="Percent"/>
    <tableColumn id="14" xr3:uid="{A41D927F-3AE5-44F8-AD32-5437BF829C57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6D9133-A5F3-4300-89D5-B86FA62192E5}" name="קרנות סל1" displayName="קרנות_סל1" ref="A6:M43" totalsRowShown="0" headerRowDxfId="526" dataDxfId="524" headerRowBorderDxfId="525" tableBorderDxfId="523" headerRowCellStyle="Percent" dataCellStyle="Percent">
  <tableColumns count="13">
    <tableColumn id="1" xr3:uid="{4FCF8F62-906F-4FEF-A8E5-7B7C0BBC7473}" name="שם המנפיק/שם נייר ערך" dataDxfId="522"/>
    <tableColumn id="2" xr3:uid="{E582378F-1BF8-49F1-B0E0-E109375E4F55}" name="מספר נ&quot;ע" dataDxfId="521"/>
    <tableColumn id="3" xr3:uid="{9A3A6365-9141-4BD7-9D6F-CFA47FAD67DB}" name="זירת מסחר" dataDxfId="520"/>
    <tableColumn id="4" xr3:uid="{C8012F19-79EF-4365-8402-7BC4B3ABEBBC}" name="מספר מנפיק" dataDxfId="519"/>
    <tableColumn id="5" xr3:uid="{F9109B08-BEDC-40EE-9481-518F2E488A69}" name="ענף מסחר" dataDxfId="518"/>
    <tableColumn id="6" xr3:uid="{02FA04ED-A88D-4709-850C-A817A70D1101}" name="סוג מטבע" dataDxfId="517"/>
    <tableColumn id="7" xr3:uid="{A22BD04A-6C19-4FE5-A5D5-7AF5B4B5119C}" name="ערך נקוב" dataDxfId="516" dataCellStyle="Percent"/>
    <tableColumn id="8" xr3:uid="{77620ABC-DF94-490B-93E7-740EE8CF4491}" name="שער" dataDxfId="515" dataCellStyle="Percent"/>
    <tableColumn id="9" xr3:uid="{4B54591A-63BD-4A2A-A968-41221C1251B6}" name="פדיון/ריבית לקבל" dataDxfId="514" dataCellStyle="Percent"/>
    <tableColumn id="10" xr3:uid="{FD76E59D-690D-42E7-87DA-03F5CA5D7307}" name="שווי שוק" dataDxfId="513" dataCellStyle="Percent"/>
    <tableColumn id="11" xr3:uid="{FDC18E96-5142-41B8-8481-0B2480D0E726}" name="שעור מערך נקוב מונפק" dataDxfId="512"/>
    <tableColumn id="12" xr3:uid="{C23DFC4D-766D-432C-B29E-8ABD61EE6CBE}" name="שעור מנכסי אפיק ההשקעה" dataDxfId="511"/>
    <tableColumn id="13" xr3:uid="{4CEB0B34-9F6D-4249-A348-AB2D8047006E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903CD7-1942-401F-BE1C-06A1E1942466}" name="קרנות נאמנות1" displayName="קרנות_נאמנות1" ref="A6:N41" totalsRowShown="0" headerRowDxfId="509" dataDxfId="507" headerRowBorderDxfId="508" tableBorderDxfId="506" headerRowCellStyle="Percent" dataCellStyle="Comma">
  <tableColumns count="14">
    <tableColumn id="1" xr3:uid="{6E7F36D8-1856-42CC-B6B5-029036EAAD51}" name="שם המנפיק/שם נייר ערך" dataDxfId="505"/>
    <tableColumn id="2" xr3:uid="{CA59B3CF-C2CB-4D19-A081-A9E3CC123E3B}" name="מספר נ&quot;ע" dataDxfId="504"/>
    <tableColumn id="3" xr3:uid="{76EAE02E-E67B-492B-8FAE-DA791C5E8863}" name="זירת מסחר" dataDxfId="503"/>
    <tableColumn id="4" xr3:uid="{5EDC557A-B93D-4A9B-923D-3598F7FA2822}" name="מספר מנפיק" dataDxfId="502"/>
    <tableColumn id="5" xr3:uid="{97CB4F81-088A-4593-BFE3-7ABAD9FE0E86}" name="ענף מסחר" dataDxfId="501"/>
    <tableColumn id="6" xr3:uid="{0D14B322-0E89-4B20-8465-1C0BE296C375}" name="דירוג" dataDxfId="500" dataCellStyle="Percent"/>
    <tableColumn id="7" xr3:uid="{9E1C6EB0-B0E1-4597-A661-63F65C8023EB}" name="שם מדרג" dataDxfId="499" dataCellStyle="Percent"/>
    <tableColumn id="8" xr3:uid="{6D2FCE38-E4A5-4BFD-B5C2-C566CD64DE18}" name="סוג מטבע" dataDxfId="498" dataCellStyle="Percent"/>
    <tableColumn id="9" xr3:uid="{422A2108-C65F-4819-A380-0BD686B482E0}" name="ערך נקוב" dataDxfId="497"/>
    <tableColumn id="10" xr3:uid="{025D03D3-84CD-4F66-932B-2FC37F34A0AB}" name="שער" dataDxfId="496" dataCellStyle="Percent"/>
    <tableColumn id="11" xr3:uid="{BE19C0E0-D06C-41F6-A60D-0E15EE630772}" name="שווי שוק" dataDxfId="495" dataCellStyle="Comma"/>
    <tableColumn id="12" xr3:uid="{B6B2AB28-0B50-4D1D-8FAC-A13CA17D19AF}" name="שעור מערך נקוב מונפק" dataDxfId="494" dataCellStyle="Comma"/>
    <tableColumn id="13" xr3:uid="{E0259112-7AA3-4546-AB84-6C5692BF0C20}" name="שעור מנכסי אפיק ההשקעה" dataDxfId="493" dataCellStyle="Comma"/>
    <tableColumn id="14" xr3:uid="{622A7F4A-DBAD-4498-8570-6B341BB6186E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EB3E50A-EE19-4D8A-9661-6B43FE9E1BBD}" name="כתבי אופציה1" displayName="כתבי_אופציה1" ref="A6:K20" totalsRowShown="0" headerRowDxfId="491" dataDxfId="489" headerRowBorderDxfId="490" tableBorderDxfId="488" headerRowCellStyle="Percent" dataCellStyle="Percent">
  <tableColumns count="11">
    <tableColumn id="1" xr3:uid="{6353B194-3434-433F-9F50-8DA9E9BD997A}" name="שם המנפיק/שם נייר ערך" dataDxfId="487"/>
    <tableColumn id="2" xr3:uid="{C9EA1AEA-329A-4101-860E-3FDC7C118D6D}" name="מספר נ&quot;ע" dataDxfId="486"/>
    <tableColumn id="3" xr3:uid="{3EF505B6-130E-4E45-A9E6-D445752F1ED9}" name="זירת מסחר" dataDxfId="485"/>
    <tableColumn id="4" xr3:uid="{A65F9B8B-B501-486A-BC77-625A68127F24}" name="ענף מסחר" dataDxfId="484"/>
    <tableColumn id="5" xr3:uid="{D6E78320-B319-4922-8C8F-945AB511F827}" name="סוג מטבע" dataDxfId="483" dataCellStyle="Percent"/>
    <tableColumn id="6" xr3:uid="{7B9364FC-12DD-4747-829B-9867844AFC0B}" name="ערך נקוב" dataDxfId="482" dataCellStyle="Percent"/>
    <tableColumn id="7" xr3:uid="{BCD38903-4703-4069-8836-5C7C8B97CC69}" name="שער" dataDxfId="481" dataCellStyle="Percent"/>
    <tableColumn id="8" xr3:uid="{E584CF62-F5C2-4DFC-97CB-0D3D1DC9A4C3}" name="שווי שוק" dataDxfId="480"/>
    <tableColumn id="9" xr3:uid="{01FDE40B-41DB-4F85-981A-8725DC38ED54}" name="שעור מערך נקוב מונפק" dataDxfId="479" dataCellStyle="Percent"/>
    <tableColumn id="10" xr3:uid="{9538BE00-05D5-4E75-8837-A5871310D440}" name="שעור מנכסי אפיק ההשקעה" dataDxfId="478" dataCellStyle="Percent"/>
    <tableColumn id="11" xr3:uid="{4DF2DC33-99B0-4A67-89E0-0E606E6E13F1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E59B59-DEE7-4585-92F1-743705EDFF93}" name="אופציות1" displayName="אופציות1" ref="A6:K25" totalsRowShown="0" headerRowDxfId="476" dataDxfId="474" headerRowBorderDxfId="475" tableBorderDxfId="473" headerRowCellStyle="Percent" dataCellStyle="Percent">
  <tableColumns count="11">
    <tableColumn id="1" xr3:uid="{C9537555-CA2C-4C3A-9296-91819B55CCCC}" name="שם המנפיק/שם נייר ערך" dataDxfId="472"/>
    <tableColumn id="2" xr3:uid="{E0E94228-0410-4633-9B12-A6E88E6AABAE}" name="מספר נ&quot;ע" dataDxfId="471"/>
    <tableColumn id="3" xr3:uid="{B50DE2E4-9885-42FB-B5C4-57C43683B108}" name="זירת מסחר" dataDxfId="470"/>
    <tableColumn id="4" xr3:uid="{6970C822-999F-4D13-8953-E988492C73F9}" name="ענף מסחר" dataDxfId="469"/>
    <tableColumn id="5" xr3:uid="{17A2147F-E9C5-4647-8FC9-1FCAA01FA960}" name="סוג מטבע" dataDxfId="468"/>
    <tableColumn id="6" xr3:uid="{378E79E9-9B2D-45D8-AF00-04CC353BC4C6}" name="ערך נקוב" dataDxfId="467" dataCellStyle="Percent"/>
    <tableColumn id="7" xr3:uid="{787B1A87-7D43-4B55-B120-8DF174A2E448}" name="שער" dataDxfId="466" dataCellStyle="Percent"/>
    <tableColumn id="8" xr3:uid="{FE062942-E6D1-4F1A-B581-C30D5FE3D0CA}" name="שווי שוק" dataDxfId="465" dataCellStyle="Percent"/>
    <tableColumn id="9" xr3:uid="{6621743E-88FF-4DF7-A23A-91447F71DC38}" name="שעור מערך נקוב מונפק" dataDxfId="464"/>
    <tableColumn id="10" xr3:uid="{3210C3AC-DC3A-458C-8EBC-B6C0E6BC3B24}" name="שעור מנכסי אפיק ההשקעה" dataDxfId="463" dataCellStyle="Percent"/>
    <tableColumn id="11" xr3:uid="{D1CEB6E6-436A-4CA2-BF93-D1EF01198F04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E7B2A57-3141-4C80-84EC-E31F19999C85}" name="חוזים עתידיים1" displayName="חוזים_עתידיים1" ref="A6:J16" totalsRowShown="0" headerRowDxfId="461" dataDxfId="459" headerRowBorderDxfId="460" tableBorderDxfId="458" headerRowCellStyle="Percent" dataCellStyle="Percent">
  <tableColumns count="10">
    <tableColumn id="1" xr3:uid="{3868F4D0-3302-4134-B978-9566C3B49EB0}" name="שם המנפיק/שם נייר ערך" dataDxfId="457"/>
    <tableColumn id="2" xr3:uid="{67440597-ED20-4119-ABE7-9680DA75C2B5}" name="מספר נ&quot;ע" dataDxfId="456"/>
    <tableColumn id="3" xr3:uid="{B9378592-674C-42F3-AC17-99250A1752C1}" name="זירת מסחר" dataDxfId="455"/>
    <tableColumn id="4" xr3:uid="{7BC17421-0420-414E-BAE7-B9880A7A079C}" name="ענף מסחר" dataDxfId="454"/>
    <tableColumn id="5" xr3:uid="{380FA088-7C1A-4953-ACD1-DFF6EB985F66}" name="סוג מטבע" dataDxfId="453" dataCellStyle="Percent"/>
    <tableColumn id="6" xr3:uid="{762FA06C-CE49-4BF7-931D-B75026A2D261}" name="ערך נקוב" dataDxfId="452" dataCellStyle="Percent"/>
    <tableColumn id="7" xr3:uid="{B9152A0C-B013-4A58-BC90-D38F7E23E2D9}" name="שער" dataDxfId="451" dataCellStyle="Percent"/>
    <tableColumn id="8" xr3:uid="{6A0FEB08-6825-40B5-91F4-C3E80D54A7B8}" name="שווי שוק" dataDxfId="450"/>
    <tableColumn id="9" xr3:uid="{056F7493-3949-4E67-8A5D-1119F1754481}" name="שעור מנכסי אפיק ההשקעה" dataDxfId="449"/>
    <tableColumn id="10" xr3:uid="{BD3044E3-D252-4ECA-BE0F-496777982B5F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71F1493-5892-4528-9C75-88A83D8A7C7F}" name="מוצרים מובנים1" displayName="מוצרים_מובנים1" ref="A6:P30" totalsRowShown="0" headerRowDxfId="447" dataDxfId="445" headerRowBorderDxfId="446" tableBorderDxfId="444" headerRowCellStyle="Percent" dataCellStyle="Comma">
  <tableColumns count="16">
    <tableColumn id="1" xr3:uid="{E69B1E8E-789D-454A-9608-F8DE255E2526}" name="שם המנפיק/שם נייר ערך" dataDxfId="443"/>
    <tableColumn id="2" xr3:uid="{777A4ABA-5F71-4081-AF1F-43426AE9D5C1}" name="מספר נ&quot;ע" dataDxfId="442"/>
    <tableColumn id="3" xr3:uid="{B5A613AA-484F-4804-9419-30C3B09B985A}" name="נכס הבסיס" dataDxfId="441"/>
    <tableColumn id="4" xr3:uid="{94F1B89B-9B66-4335-B821-2DC3FE91CDDB}" name="דירוג" dataDxfId="440" dataCellStyle="Percent"/>
    <tableColumn id="5" xr3:uid="{AB2B6936-466D-4545-8EBA-5086E4E54BE9}" name="שם מדרג" dataDxfId="439" dataCellStyle="Percent"/>
    <tableColumn id="6" xr3:uid="{34C5C6A1-1991-445F-A0C7-9394D0B97ED0}" name="תאריך רכישה" dataDxfId="438" dataCellStyle="Percent"/>
    <tableColumn id="7" xr3:uid="{8AFCCB05-CC8F-4397-8B1C-22522F82F13B}" name="מח&quot;מ" dataDxfId="437"/>
    <tableColumn id="8" xr3:uid="{A7E1C653-EE7F-4866-A7F2-D99C67CC66A1}" name="סוג מטבע" dataDxfId="436" dataCellStyle="Percent"/>
    <tableColumn id="9" xr3:uid="{7791D293-0B5F-492D-BD0B-E85BBAFA53B2}" name="שעור ריבית" dataDxfId="435" dataCellStyle="Comma"/>
    <tableColumn id="10" xr3:uid="{B2BA6ECD-6DB6-4892-BEF1-32B60505AD67}" name="תשואה לפדיון" dataDxfId="434" dataCellStyle="Comma"/>
    <tableColumn id="11" xr3:uid="{D3998981-F3D6-4CA8-9428-B8B5AFFB2850}" name="ערך נקוב" dataDxfId="433" dataCellStyle="Comma"/>
    <tableColumn id="12" xr3:uid="{F7EF70F2-22D1-4738-8015-FD73794E92D7}" name="שער" dataDxfId="432" dataCellStyle="Percent"/>
    <tableColumn id="13" xr3:uid="{D5193924-5BBF-4451-B9B9-3C564476D78E}" name="שווי שוק" dataDxfId="431" dataCellStyle="Percent"/>
    <tableColumn id="14" xr3:uid="{06378F70-6EF0-4089-88E1-3AA39218411A}" name="שעור מערך נקוב מונפק" dataDxfId="430" dataCellStyle="Comma"/>
    <tableColumn id="15" xr3:uid="{C9721202-E7EF-47C2-84EE-F97010C6D08A}" name="שעור מנכסי אפיק ההשקעה" dataDxfId="429" dataCellStyle="Comma"/>
    <tableColumn id="16" xr3:uid="{A62137DF-CC14-4583-B320-5DE0DE823B7D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DF7DC8C-5516-4326-B872-314E77E7E48D}" name="לא סחיר- תעודות התחייבות ממשלתי1" displayName="לא_סחיר__תעודות_התחייבות_ממשלתי1" ref="A6:O23" totalsRowShown="0" headerRowDxfId="427" dataDxfId="425" headerRowBorderDxfId="426" tableBorderDxfId="424" headerRowCellStyle="Percent" dataCellStyle="Percent">
  <tableColumns count="15">
    <tableColumn id="1" xr3:uid="{6655C687-15B4-4292-91BF-316CEB2DE496}" name="שם המנפיק/שם נייר ערך" dataDxfId="423"/>
    <tableColumn id="2" xr3:uid="{355C1806-AA1F-4055-A5AF-49D6D4B969AB}" name="מספר נ&quot;ע" dataDxfId="422"/>
    <tableColumn id="3" xr3:uid="{FF06E026-BEB7-4A5F-9D0E-19711FA26015}" name="דירוג" dataDxfId="421"/>
    <tableColumn id="4" xr3:uid="{E8D23494-87AA-4EE6-B53F-CCF6DDFF4E35}" name="שם מדרג" dataDxfId="420" dataCellStyle="Percent"/>
    <tableColumn id="5" xr3:uid="{130E776C-000B-4456-A3CF-21949B61E971}" name="תאריך רכישה" dataDxfId="419" dataCellStyle="Percent"/>
    <tableColumn id="6" xr3:uid="{B2217326-43BE-49BC-BF4D-40F3644ADDFC}" name="מח&quot;מ" dataDxfId="418" dataCellStyle="Percent"/>
    <tableColumn id="7" xr3:uid="{6298BF73-4C8F-4AD2-A2C1-30117DA32953}" name="סוג מטבע" dataDxfId="417"/>
    <tableColumn id="8" xr3:uid="{C216AF81-9FD6-4292-B44B-D0CF3934A436}" name="שעור ריבית" dataDxfId="416" dataCellStyle="Percent"/>
    <tableColumn id="9" xr3:uid="{906BD306-55C4-46AC-B1C0-62DC352AFD80}" name="תשואה לפדיון" dataDxfId="415" dataCellStyle="Comma"/>
    <tableColumn id="10" xr3:uid="{09B13097-9F6A-4F0D-847D-A332DACBA87F}" name="ערך נקוב" dataDxfId="414" dataCellStyle="Comma"/>
    <tableColumn id="11" xr3:uid="{4E6EFD3C-73A6-4E3D-B914-48FB900E635D}" name="שער" dataDxfId="413" dataCellStyle="Comma"/>
    <tableColumn id="12" xr3:uid="{4CB22DF5-01A0-4579-8DBB-E9857DE26354}" name="שווי הוגן" dataDxfId="412" dataCellStyle="Percent"/>
    <tableColumn id="13" xr3:uid="{771326AC-3837-4BEE-9720-658E6A27D739}" name="שעור מערך נקוב מונפק" dataDxfId="411" dataCellStyle="Percent"/>
    <tableColumn id="14" xr3:uid="{E45353CF-8736-4546-BF93-BDB9D0EDA0FC}" name="שעור מנכסי אפיק ההשקעה" dataDxfId="410" dataCellStyle="Percent"/>
    <tableColumn id="15" xr3:uid="{A86F1CE2-341C-4BBF-BE50-D8867C71C8D2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12E9D8-FCE8-4E82-933D-194B0958AD86}" name="לא סחיר - תעודות חוב מסחריות1" displayName="לא_סחיר___תעודות_חוב_מסחריות1" ref="A6:R22" totalsRowShown="0" headerRowDxfId="408" dataDxfId="406" headerRowBorderDxfId="407" tableBorderDxfId="405" headerRowCellStyle="Percent" dataCellStyle="Comma">
  <tableColumns count="18">
    <tableColumn id="1" xr3:uid="{A5784693-29FF-4A93-8BC4-FD2949A137D0}" name="שם המנפיק/שם נייר ערך" dataDxfId="404"/>
    <tableColumn id="2" xr3:uid="{212DF505-FD28-41B7-B257-75192F912AF3}" name="מספר נ&quot;ע" dataDxfId="403"/>
    <tableColumn id="3" xr3:uid="{33C62BFB-A9F5-488C-B384-291FA8D6139D}" name="ספק המידע" dataDxfId="402"/>
    <tableColumn id="4" xr3:uid="{014FBA2D-8D4E-47A2-9984-34A7498B2E84}" name="מספר מנפיק" dataDxfId="401"/>
    <tableColumn id="5" xr3:uid="{F4B32C8B-B7B9-4AE2-9F52-7690B990EEBB}" name="ענף מסחר" dataDxfId="400"/>
    <tableColumn id="6" xr3:uid="{403FE88D-FA76-4C98-9F52-99B2F31A31E3}" name="דירוג" dataDxfId="399" dataCellStyle="Percent"/>
    <tableColumn id="7" xr3:uid="{FC851936-65EF-4B40-ADDC-CD709C8DD54E}" name="שם מדרג" dataDxfId="398" dataCellStyle="Percent"/>
    <tableColumn id="8" xr3:uid="{8E0A5469-FBE7-4AD8-BFFF-A4181B79028A}" name="תאריך רכישה" dataDxfId="397" dataCellStyle="Percent"/>
    <tableColumn id="9" xr3:uid="{0AE17002-B10E-4389-B2F6-97CBBB281629}" name="מח&quot;מ" dataDxfId="396"/>
    <tableColumn id="10" xr3:uid="{B00263CF-299F-4F7C-87FF-B42D6D9392EF}" name="סוג מטבע" dataDxfId="395" dataCellStyle="Percent"/>
    <tableColumn id="11" xr3:uid="{750BB592-CD69-4516-A9AE-01F11BB3DFFF}" name="שעור ריבית" dataDxfId="394" dataCellStyle="Comma"/>
    <tableColumn id="12" xr3:uid="{64ADE0F6-370B-4E09-A2F2-33E5C1842A2F}" name="תשואה לפדיון" dataDxfId="393" dataCellStyle="Comma"/>
    <tableColumn id="13" xr3:uid="{CD0EFCCF-C6CD-4416-A1DA-1CCC4D5D83E7}" name="ערך נקוב" dataDxfId="392" dataCellStyle="Comma"/>
    <tableColumn id="14" xr3:uid="{BB5D5401-4EB0-487C-B134-96C14CEC35BF}" name="שער" dataDxfId="391" dataCellStyle="Percent"/>
    <tableColumn id="15" xr3:uid="{ED67EC79-885B-45CB-9D27-2FAB647D7ED6}" name="שווי הוגן" dataDxfId="390" dataCellStyle="Percent"/>
    <tableColumn id="16" xr3:uid="{AB40BDC5-A97C-4BF3-A294-902938121D68}" name="שעור מערך נקוב מונפק" dataDxfId="389" dataCellStyle="Comma"/>
    <tableColumn id="17" xr3:uid="{1C890571-FA92-4335-A910-EFD7C0D2A694}" name="שעור מנכסי אפיק ההשקעה" dataDxfId="388" dataCellStyle="Comma"/>
    <tableColumn id="18" xr3:uid="{B60BC64B-108F-4F00-9C38-929D4E2C256C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70076BB-8E0D-46DF-B8DA-0195D8300CC8}" name="לא סחיר - אג&quot;ח קונצרני1" displayName="לא_סחיר___אג_ח_קונצרני1" ref="A6:R42" totalsRowShown="0" headerRowDxfId="386" dataDxfId="384" headerRowBorderDxfId="385" tableBorderDxfId="383" headerRowCellStyle="Percent" dataCellStyle="Comma">
  <tableColumns count="18">
    <tableColumn id="1" xr3:uid="{4F13722D-EAFB-4F69-BE1D-7DE430749C18}" name="שם המנפיק/שם נייר ערך" dataDxfId="382"/>
    <tableColumn id="2" xr3:uid="{3E69BB4D-B888-4C67-A9FB-05D4204F7F78}" name="מספר נ&quot;ע" dataDxfId="381"/>
    <tableColumn id="3" xr3:uid="{6BD90E60-0563-46FD-8BD1-63B26E52B31C}" name="ספק המידע" dataDxfId="380"/>
    <tableColumn id="4" xr3:uid="{7BA865EC-D3B4-4DD5-9E8D-D4B1E8340AF9}" name="מספר מנפיק" dataDxfId="379"/>
    <tableColumn id="5" xr3:uid="{74473B9B-D693-4941-ABE5-52EE165B74ED}" name="ענף מסחר" dataDxfId="378"/>
    <tableColumn id="6" xr3:uid="{89FC094C-9B59-48D8-89B1-DBD7F671CCAA}" name="דירוג" dataDxfId="377" dataCellStyle="Percent"/>
    <tableColumn id="7" xr3:uid="{828DAE2D-42BB-4BEA-9997-7BA6672D38E0}" name="שם מדרג" dataDxfId="376" dataCellStyle="Percent"/>
    <tableColumn id="8" xr3:uid="{4CAD3737-A4D5-4570-8615-8FB599BA2EF9}" name="תאריך רכישה" dataDxfId="375" dataCellStyle="Percent"/>
    <tableColumn id="9" xr3:uid="{9857918B-EB19-490D-8EA4-402E71461E73}" name="מח&quot;מ" dataDxfId="374"/>
    <tableColumn id="10" xr3:uid="{D03F10B3-0EE5-4FB9-AFC9-B3D759AD9FF8}" name="סוג מטבע" dataDxfId="373" dataCellStyle="Percent"/>
    <tableColumn id="11" xr3:uid="{F4133283-3502-4E89-8B2C-C3A41080DAE7}" name="שעור ריבית" dataDxfId="372" dataCellStyle="Comma"/>
    <tableColumn id="12" xr3:uid="{5B3FF4B4-C6E7-46F3-9D7C-1944E8579A22}" name="תשואה לפדיון" dataDxfId="371" dataCellStyle="Comma"/>
    <tableColumn id="13" xr3:uid="{CC3D434E-C65A-460C-8B36-EB1FCEC45F3D}" name="ערך נקוב" dataDxfId="370" dataCellStyle="Comma"/>
    <tableColumn id="14" xr3:uid="{59566F23-9500-4099-AD35-4C2B892440ED}" name="שער" dataDxfId="369" dataCellStyle="Percent"/>
    <tableColumn id="15" xr3:uid="{C1A99CA3-46AD-4DC3-8659-A53579FAF28A}" name="שווי הוגן" dataDxfId="368" dataCellStyle="Percent"/>
    <tableColumn id="16" xr3:uid="{4A7C6F05-9C9E-4659-8830-585C5D5237E6}" name="שעור מערך נקוב מונפק" dataDxfId="367" dataCellStyle="Comma"/>
    <tableColumn id="17" xr3:uid="{30A7E737-D07A-4AF8-B803-9E0793EF6198}" name="שעור מנכסי אפיק ההשקעה" dataDxfId="366" dataCellStyle="Comma"/>
    <tableColumn id="18" xr3:uid="{0EF6E89A-4C7E-4616-A35B-B1529591331D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E54BEF4-CFF5-43B0-9B05-9507A85FAA18}" name="לא סחיר - מניות1" displayName="לא_סחיר___מניות1" ref="A6:L18" totalsRowShown="0" headerRowDxfId="364" dataDxfId="362" headerRowBorderDxfId="363" tableBorderDxfId="361" headerRowCellStyle="Percent" dataCellStyle="Percent">
  <tableColumns count="12">
    <tableColumn id="1" xr3:uid="{6EBD1BE0-8FF6-4A1E-8B4B-821C6F13A3D5}" name="שם המנפיק/שם נייר ערך" dataDxfId="360"/>
    <tableColumn id="2" xr3:uid="{AA9EE6B9-D6C6-4732-9BAD-84D83231E9CD}" name="מספר נ&quot;ע" dataDxfId="359"/>
    <tableColumn id="3" xr3:uid="{40195AE1-3BDD-4503-BDB4-F44132C2A8D2}" name="ספק המידע" dataDxfId="358"/>
    <tableColumn id="4" xr3:uid="{A6A056B4-C2A3-47B9-8C4B-4FAFBC0CF5AD}" name="מספר מנפיק" dataDxfId="357"/>
    <tableColumn id="5" xr3:uid="{23214D00-ADD7-4EA3-8B1F-E3F2764E97D3}" name="ענף מסחר" dataDxfId="356"/>
    <tableColumn id="6" xr3:uid="{2407B4DA-B729-47A8-A62B-F18027A3F175}" name="סוג מטבע" dataDxfId="355" dataCellStyle="Percent"/>
    <tableColumn id="7" xr3:uid="{50732128-8C4F-4136-9B55-AF25D5252846}" name="ערך נקוב" dataDxfId="354" dataCellStyle="Percent"/>
    <tableColumn id="8" xr3:uid="{C2AEF62E-60FC-42E6-BC15-F0612543A090}" name="שער" dataDxfId="353" dataCellStyle="Percent"/>
    <tableColumn id="9" xr3:uid="{E4BB2A76-A309-45AA-9233-0E4F61CC1D59}" name="שווי שוק" dataDxfId="352"/>
    <tableColumn id="10" xr3:uid="{94FB9EBA-7662-4F7D-9686-B3F268E9A1D3}" name="שעור מערך נקוב מונפק" dataDxfId="351" dataCellStyle="Percent"/>
    <tableColumn id="11" xr3:uid="{F7FF8B2B-73BC-4D27-8E5A-352766242DA6}" name="שעור מנכסי אפיק ההשקעה" dataDxfId="350" dataCellStyle="Percent"/>
    <tableColumn id="12" xr3:uid="{C06B45D4-A316-4A2D-93FB-3206D6AD1881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F8006BB-3641-4C86-BB20-0057F86A0C03}" name="לא סחיר - קרנות השקעה1" displayName="לא_סחיר___קרנות_השקעה1" ref="A6:J47" totalsRowShown="0" headerRowDxfId="348" dataDxfId="346" headerRowBorderDxfId="347" tableBorderDxfId="345" headerRowCellStyle="Percent" dataCellStyle="Comma">
  <tableColumns count="10">
    <tableColumn id="1" xr3:uid="{DDD10C69-C919-47C6-9BBB-0CA97BF1A6F7}" name="שם המנפיק/שם נייר ערך" dataDxfId="344"/>
    <tableColumn id="2" xr3:uid="{A292B25B-A976-44E1-A776-B4EAD86D9ABB}" name="מספר נ&quot;ע" dataDxfId="343"/>
    <tableColumn id="3" xr3:uid="{FAAF2ABF-FA9F-436C-8AED-3D3749E2343D}" name="סוג מטבע" dataDxfId="342" dataCellStyle="Percent"/>
    <tableColumn id="4" xr3:uid="{CFEBC83C-39A9-4C73-BDCE-B1AAF56E3F3F}" name="תאריך רכישה" dataDxfId="341" dataCellStyle="Percent"/>
    <tableColumn id="5" xr3:uid="{4B2435D7-F63A-4FA1-86B9-BD292C4E9788}" name="ערך נקוב" dataDxfId="340" dataCellStyle="Percent"/>
    <tableColumn id="6" xr3:uid="{73F8D992-F681-41CD-9306-396FA9B76FEE}" name="שער" dataDxfId="339"/>
    <tableColumn id="7" xr3:uid="{8A086B14-F83F-41A1-BDEC-DD619E32351E}" name="שווי הוגן" dataDxfId="338" dataCellStyle="Percent"/>
    <tableColumn id="8" xr3:uid="{20EAB757-9709-4932-B6A5-D954C20BBAA0}" name="שעור מערך נקוב מונפק" dataDxfId="337" dataCellStyle="Comma"/>
    <tableColumn id="9" xr3:uid="{F5421161-E163-4C4E-BCB9-478AE8FF92DA}" name="שעור מנכסי אפיק ההשקעה" dataDxfId="336" dataCellStyle="Comma"/>
    <tableColumn id="10" xr3:uid="{68E4F542-9995-40EA-A30B-EC42EAFC9CA9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72BEC2D-C64C-44AD-873F-9C5809823A5C}" name="לא סחיר - כתבי אופציה1" displayName="לא_סחיר___כתבי_אופציה1" ref="A6:K17" totalsRowShown="0" headerRowDxfId="334" dataDxfId="332" headerRowBorderDxfId="333" tableBorderDxfId="331" headerRowCellStyle="Percent" dataCellStyle="Comma">
  <tableColumns count="11">
    <tableColumn id="1" xr3:uid="{156631E4-170C-49B0-965B-CCC53818DEA5}" name="שם המנפיק/שם נייר ערך" dataDxfId="330"/>
    <tableColumn id="2" xr3:uid="{B03A79E8-7ECC-41F8-80BB-206E9E023A07}" name="מספר נ&quot;ע" dataDxfId="329"/>
    <tableColumn id="3" xr3:uid="{38F596DC-4371-4EA3-96D6-24D75ADA4BCD}" name="ענף מסחר" dataDxfId="328"/>
    <tableColumn id="4" xr3:uid="{B5F5B751-13FC-4A00-96E2-D685647DFAF5}" name="סוג מטבע" dataDxfId="327" dataCellStyle="Percent"/>
    <tableColumn id="5" xr3:uid="{56A8EE0E-FCA9-42B0-B70E-9E11C991C6D6}" name="תאריך רכישה" dataDxfId="326" dataCellStyle="Percent"/>
    <tableColumn id="6" xr3:uid="{4D81B842-B695-427D-BFDD-77016AA82ACC}" name="ערך נקוב" dataDxfId="325" dataCellStyle="Percent"/>
    <tableColumn id="7" xr3:uid="{63361B5E-D9DA-4518-9ED2-6F6A72CDFAA6}" name="שער" dataDxfId="324"/>
    <tableColumn id="8" xr3:uid="{183083C6-CE71-4342-A3EB-1F238D0BAA9A}" name="שווי הוגן" dataDxfId="323" dataCellStyle="Percent"/>
    <tableColumn id="9" xr3:uid="{585DC68E-06B5-4187-9141-EFB6565D883E}" name="שעור מערך נקוב מונפק" dataDxfId="322" dataCellStyle="Comma"/>
    <tableColumn id="10" xr3:uid="{CCE61F2D-6182-4D16-B368-CD05AB04017D}" name="שעור מנכסי אפיק ההשקעה" dataDxfId="321" dataCellStyle="Comma"/>
    <tableColumn id="11" xr3:uid="{BA873325-FA78-4682-8020-C893FECAD56E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8DEB0A6-6630-4A03-A675-0CF10167DAAE}" name="לא סחיר - אופציות1" displayName="לא_סחיר___אופציות1" ref="A6:K26" totalsRowShown="0" headerRowDxfId="319" dataDxfId="317" headerRowBorderDxfId="318" tableBorderDxfId="316" headerRowCellStyle="Percent" dataCellStyle="Comma">
  <tableColumns count="11">
    <tableColumn id="1" xr3:uid="{03023839-9BFC-4869-98CE-11156FBB1D47}" name="שם המנפיק/שם נייר ערך" dataDxfId="315"/>
    <tableColumn id="2" xr3:uid="{4EA1B6B3-E816-4729-977B-AEFFAB27E0D3}" name="מספר נ&quot;ע" dataDxfId="314"/>
    <tableColumn id="3" xr3:uid="{0759D014-EF46-4222-AB76-88C369308DA8}" name="ענף מסחר" dataDxfId="313"/>
    <tableColumn id="4" xr3:uid="{DF292E63-3553-4C86-997A-995BE5FDA03C}" name="סוג מטבע" dataDxfId="312" dataCellStyle="Percent"/>
    <tableColumn id="5" xr3:uid="{481AC20C-6651-4C3C-9D27-5D538417DFEE}" name="תאריך רכישה" dataDxfId="311" dataCellStyle="Percent"/>
    <tableColumn id="6" xr3:uid="{2496E63B-10D9-4C0B-9F9E-7A11430CA3B1}" name="ערך נקוב" dataDxfId="310" dataCellStyle="Percent"/>
    <tableColumn id="7" xr3:uid="{29CC61FE-6A97-445D-BEEC-25B645A2775D}" name="שער" dataDxfId="309"/>
    <tableColumn id="8" xr3:uid="{228F1CCD-F716-4A5F-865D-353FDF8BB81C}" name="שווי הוגן" dataDxfId="308" dataCellStyle="Percent"/>
    <tableColumn id="9" xr3:uid="{38801C2D-C037-4D8D-810F-EA8BC53494CC}" name="שעור מערך נקוב מונפק" dataDxfId="307" dataCellStyle="Comma"/>
    <tableColumn id="10" xr3:uid="{FD2BDFBF-0A56-4A8D-90FD-55C4FC02496D}" name="שעור מנכסי אפיק ההשקעה" dataDxfId="306" dataCellStyle="Comma"/>
    <tableColumn id="11" xr3:uid="{DE4333E6-362B-4CA4-A053-11BF96F28D2E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F0B60A1-5318-417A-B167-CB9998B3DAAD}" name="לא סחיר - חוזים עתידיים1" displayName="לא_סחיר___חוזים_עתידיים1" ref="A6:J117" totalsRowShown="0" headerRowDxfId="304" dataDxfId="302" headerRowBorderDxfId="303" tableBorderDxfId="301" headerRowCellStyle="Percent" dataCellStyle="Percent">
  <tableColumns count="10">
    <tableColumn id="1" xr3:uid="{E23D5FA8-4AEB-4C4D-8C46-C165C9AD9776}" name="שם המנפיק/שם נייר ערך" dataDxfId="300"/>
    <tableColumn id="2" xr3:uid="{5BE538BB-5F1B-46F3-9072-9D94BE8A0ADD}" name="מספר נ&quot;ע" dataDxfId="299"/>
    <tableColumn id="3" xr3:uid="{2E63014D-DD54-47B0-9F32-C832F755D4D2}" name="ענף מסחר" dataDxfId="298"/>
    <tableColumn id="4" xr3:uid="{E7ACEB1D-C0D9-4D0B-8A0F-F05C15168FA4}" name="סוג מטבע" dataDxfId="297" dataCellStyle="Percent"/>
    <tableColumn id="5" xr3:uid="{E2C1C2DE-7E53-41AC-A5FE-505B559D0940}" name="תאריך רכישה" dataDxfId="296" dataCellStyle="Percent"/>
    <tableColumn id="6" xr3:uid="{78D1ED6D-30B6-4A64-AF9E-7BD23896EEA2}" name="ערך נקוב" dataDxfId="295" dataCellStyle="Percent"/>
    <tableColumn id="7" xr3:uid="{BE5F20A8-D8FC-4F0B-AD82-C26812D6C125}" name="שער" dataDxfId="294"/>
    <tableColumn id="8" xr3:uid="{24D5232C-5AC8-4B29-BC0F-17E3C3D66F97}" name="שווי הוגן" dataDxfId="293" dataCellStyle="Percent"/>
    <tableColumn id="9" xr3:uid="{BB055902-73E1-4B53-B6AF-36CE2F67C518}" name="שעור מנכסי אפיק ההשקעה" dataDxfId="292" dataCellStyle="Percent"/>
    <tableColumn id="10" xr3:uid="{A8E8B145-6B61-4E97-BE6E-15CA318ED06F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7387D73-ACA4-42A1-85F9-C783F47B6135}" name="לא סחיר - מוצרים מובנים1" displayName="לא_סחיר___מוצרים_מובנים1" ref="A6:P30" totalsRowShown="0" headerRowDxfId="290" dataDxfId="288" headerRowBorderDxfId="289" tableBorderDxfId="287" headerRowCellStyle="Percent" dataCellStyle="Comma">
  <tableColumns count="16">
    <tableColumn id="1" xr3:uid="{67D52228-0E6F-4E7E-B78C-61CFFC5827B3}" name="שם המנפיק/שם נייר ערך" dataDxfId="286"/>
    <tableColumn id="2" xr3:uid="{09311987-E41A-4AC7-90FC-C57BFA8977BD}" name="מספר נ&quot;ע" dataDxfId="285"/>
    <tableColumn id="3" xr3:uid="{98BD5CCB-FC12-4D17-B24F-FCC01DC973DE}" name="נכס הבסיס" dataDxfId="284"/>
    <tableColumn id="4" xr3:uid="{82070B81-1C51-4D02-9FC1-D389FFFEB6B9}" name="דירוג" dataDxfId="283" dataCellStyle="Percent"/>
    <tableColumn id="5" xr3:uid="{98FC1269-1983-4DBB-AB07-759F10CBDC67}" name="שם מדרג" dataDxfId="282" dataCellStyle="Percent"/>
    <tableColumn id="6" xr3:uid="{67B9D2BC-6758-4E90-9F51-74A14E72E5A4}" name="תאריך רכישה" dataDxfId="281" dataCellStyle="Percent"/>
    <tableColumn id="7" xr3:uid="{D0D28A1E-A26A-4E02-BB58-8854EA265847}" name="מח&quot;מ" dataDxfId="280"/>
    <tableColumn id="8" xr3:uid="{38309211-466D-4A66-82C4-E949C48D8326}" name="סוג מטבע" dataDxfId="279" dataCellStyle="Percent"/>
    <tableColumn id="9" xr3:uid="{785DD3BB-5642-41F2-BDEC-0C606256348D}" name="שעור ריבית" dataDxfId="278" dataCellStyle="Comma"/>
    <tableColumn id="10" xr3:uid="{D6454F56-3E4F-4575-8583-CA20C1206632}" name="תשואה לפדיון" dataDxfId="277" dataCellStyle="Comma"/>
    <tableColumn id="11" xr3:uid="{B6004137-089C-47C6-886F-D58EEBB4BF4F}" name="ערך נקוב" dataDxfId="276" dataCellStyle="Comma"/>
    <tableColumn id="12" xr3:uid="{3438EA9D-D6DF-4766-AB05-587E34CD78E6}" name="שער" dataDxfId="275" dataCellStyle="Percent"/>
    <tableColumn id="13" xr3:uid="{827FBC88-E562-406A-A716-6ED64021FD32}" name="שווי שוק" dataDxfId="274" dataCellStyle="Percent"/>
    <tableColumn id="14" xr3:uid="{DF002E68-43D5-4A72-87C0-27441B95DF6E}" name="שעור מערך נקוב מונפק" dataDxfId="273" dataCellStyle="Comma"/>
    <tableColumn id="15" xr3:uid="{58E827C8-8C09-4EC5-8974-C064E021BC02}" name="שעור מנכסי אפיק ההשקעה" dataDxfId="272" dataCellStyle="Comma"/>
    <tableColumn id="16" xr3:uid="{178DE8E7-7A98-4877-B420-1EDF7A220A4C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D60FDC7-975D-4A23-8206-3F8150C007CE}" name="פקדונות מעל 3 חודשים1" displayName="פקדונות_מעל_3_חודשים1" ref="A5:N22" totalsRowShown="0" headerRowDxfId="270" dataDxfId="268" headerRowBorderDxfId="269" tableBorderDxfId="267" headerRowCellStyle="Percent" dataCellStyle="Comma">
  <tableColumns count="14">
    <tableColumn id="1" xr3:uid="{25707CC6-8E1B-4667-9695-3F48B0508323}" name="שם המנפיק/שם נייר ערך" dataDxfId="266"/>
    <tableColumn id="2" xr3:uid="{F1C676F9-C6A5-4BC5-88B9-83F86FFC022B}" name="מספר נ&quot;ע" dataDxfId="265"/>
    <tableColumn id="3" xr3:uid="{DEB05508-3C3F-41CC-936A-F89A4BBAE5A1}" name="מספר מנפיק" dataDxfId="264"/>
    <tableColumn id="4" xr3:uid="{C4F7E841-B5F8-44A4-AD3F-49FD043750AA}" name="דירוג" dataDxfId="263"/>
    <tableColumn id="5" xr3:uid="{2C1C7932-8B4C-4E9C-B6A0-9CF32E4628DF}" name="שם מדרג" dataDxfId="262" dataCellStyle="Percent"/>
    <tableColumn id="6" xr3:uid="{A51E8303-BA7E-4E2B-8B0A-85A7294B2F2C}" name="מח&quot;מ" dataDxfId="261" dataCellStyle="Percent"/>
    <tableColumn id="7" xr3:uid="{19099602-FA21-442F-961D-92EB9EB4E234}" name="סוג מטבע" dataDxfId="260" dataCellStyle="Percent"/>
    <tableColumn id="8" xr3:uid="{572209B3-C09B-4BCA-9B8E-2C59A632F6D3}" name="תנאי ושיעור ריבית" dataDxfId="259"/>
    <tableColumn id="9" xr3:uid="{BD55965C-8C2D-44DC-B198-BAADAD833E05}" name="תשואה לפדיון" dataDxfId="258" dataCellStyle="Percent"/>
    <tableColumn id="10" xr3:uid="{4259FCA3-571A-48C3-AA17-B15CB2EB899B}" name="ערך נקוב" dataDxfId="257" dataCellStyle="Comma"/>
    <tableColumn id="11" xr3:uid="{E1958420-71D1-4492-B117-0E524051A71B}" name="שער" dataDxfId="256" dataCellStyle="Comma"/>
    <tableColumn id="12" xr3:uid="{ABD3EC96-B2F8-4233-85F6-94B5A32D018C}" name="שווי הוגן" dataDxfId="255" dataCellStyle="Comma"/>
    <tableColumn id="13" xr3:uid="{6D668F41-EFE7-4C9E-AB1F-B23F88818229}" name="שעור מנכסי אפיק ההשקעה" dataDxfId="254" dataCellStyle="Comma"/>
    <tableColumn id="14" xr3:uid="{4C111F44-634D-410A-A187-841B5885AD92}" name="שעור מנכסי השקעה" dataDxfId="253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7FE08DC-8DE4-4057-99DB-BF9878CA7155}" name="הלוואות1" displayName="הלוואות1" ref="A5:Q363" totalsRowShown="0" headerRowDxfId="252" dataDxfId="250" headerRowBorderDxfId="251" tableBorderDxfId="249" headerRowCellStyle="Percent" dataCellStyle="Comma">
  <tableColumns count="17">
    <tableColumn id="1" xr3:uid="{D501B96D-54FA-47C2-B62F-427B34FBF2FB}" name="שם המנפיק/שם נייר ערך" dataDxfId="248"/>
    <tableColumn id="2" xr3:uid="{0BC0AD59-C39B-449B-9515-6F5196D833C9}" name="קונסורציום" dataDxfId="247"/>
    <tableColumn id="3" xr3:uid="{187BA9A5-92BB-43E3-BA21-F5920A549B35}" name="מספר נ&quot;ע" dataDxfId="246"/>
    <tableColumn id="4" xr3:uid="{E3F23BA8-3CB3-42E8-9F5D-F6D0E35EB0EB}" name="מספר מנפיק" dataDxfId="245"/>
    <tableColumn id="5" xr3:uid="{1FD2EEFD-2C9D-4F82-8372-526569730CCA}" name="דירוג" dataDxfId="244"/>
    <tableColumn id="6" xr3:uid="{A34747FA-5BF2-4472-8934-1DD0D98C9919}" name="תאריך רכישה" dataDxfId="243" dataCellStyle="Percent"/>
    <tableColumn id="7" xr3:uid="{83C632C5-C8BB-416E-A5DE-3A5EC74B04B4}" name="שם מדרג" dataDxfId="242" dataCellStyle="Percent"/>
    <tableColumn id="8" xr3:uid="{795D34C0-2671-4CAF-A39C-85E6E9318B7F}" name="מח&quot;מ" dataDxfId="241" dataCellStyle="Percent"/>
    <tableColumn id="9" xr3:uid="{91C10F6A-F0DB-4887-8603-16073F0B9C51}" name="ענף משק" dataDxfId="240" dataCellStyle="Percent"/>
    <tableColumn id="10" xr3:uid="{999E373C-5780-47D8-877B-86A56CB894FB}" name="סוג מטבע" dataDxfId="239" dataCellStyle="Percent"/>
    <tableColumn id="11" xr3:uid="{5F0686FE-59C5-4E69-8F8A-304ACE97C787}" name="שעור ריבית ממוצע" dataDxfId="238"/>
    <tableColumn id="12" xr3:uid="{CE13F752-7FB0-47B7-8FE2-8D18214A3896}" name="תשואה לפדיון" dataDxfId="237" dataCellStyle="Percent"/>
    <tableColumn id="13" xr3:uid="{97BA2B6B-06BD-4942-B661-EB0146F5C47A}" name="ערך נקוב" dataDxfId="236" dataCellStyle="Comma"/>
    <tableColumn id="14" xr3:uid="{31B3E639-64B9-4A91-AB8C-864DBEF551B2}" name="שער" dataDxfId="235" dataCellStyle="Comma"/>
    <tableColumn id="15" xr3:uid="{B555F0FB-8485-4A87-931E-F52D1331B5E9}" name="שווי הוגן" dataDxfId="234" dataCellStyle="Comma"/>
    <tableColumn id="16" xr3:uid="{1A7EC11E-6081-4C0A-85FC-8F64C197DCBB}" name="שעור מנכסי אפיק ההשקעה" dataDxfId="233" dataCellStyle="Comma"/>
    <tableColumn id="17" xr3:uid="{3D960601-377D-4C36-9BC1-6503832E45BB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DB5184D-0D76-432B-8FB1-377D45947A88}" name="זכויות מקרקעין1" displayName="זכויות_מקרקעין1" ref="A5:I19" totalsRowShown="0" headerRowDxfId="231" dataDxfId="229" headerRowBorderDxfId="230" tableBorderDxfId="228" headerRowCellStyle="Percent" dataCellStyle="Percent">
  <tableColumns count="9">
    <tableColumn id="1" xr3:uid="{77CDFEAC-37ED-479C-B825-17DAFCAF0FD3}" name="שם המנפיק/שם נייר ערך" dataDxfId="227"/>
    <tableColumn id="2" xr3:uid="{11129336-AF6F-41C5-A619-20F2101C5AFE}" name="תאריך שערוך אחרון" dataDxfId="226"/>
    <tableColumn id="3" xr3:uid="{E7CBE5F3-10CF-4AF0-9681-2D618D21F9C8}" name="אופי הנכס" dataDxfId="225"/>
    <tableColumn id="4" xr3:uid="{481309E7-6575-455B-9426-5AD09CB6C194}" name="שעור תשואה במהלך התקופה" dataDxfId="224" dataCellStyle="Percent"/>
    <tableColumn id="5" xr3:uid="{A21A60BE-69F0-4250-82AB-49B69F1BA005}" name="סוג מטבע" dataDxfId="223" dataCellStyle="Percent"/>
    <tableColumn id="6" xr3:uid="{6BAF3E58-5D5F-47ED-BDBB-133D54C349B0}" name="שווי משוערך" dataDxfId="222" dataCellStyle="Percent"/>
    <tableColumn id="7" xr3:uid="{46D2E869-CED6-41A9-960F-CB065A1F5389}" name="שעור מנכסי אפיק ההשקעה" dataDxfId="221" dataCellStyle="Percent"/>
    <tableColumn id="8" xr3:uid="{8D74F11E-A527-4129-8B36-CA5E4995C0F8}" name="שעור מנכסי השקעה" dataDxfId="220" dataCellStyle="Percent"/>
    <tableColumn id="9" xr3:uid="{75EB4DCB-FE43-4F4D-82A9-32AC1A75DEA2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C54BEBA-DA64-4B57-9F6B-D416CD20BD51}" name="השקעה בחברות מוחזקות1" displayName="השקעה_בחברות_מוחזקות1" ref="A5:J15" totalsRowShown="0" headerRowDxfId="218" dataDxfId="216" headerRowBorderDxfId="217" tableBorderDxfId="215" headerRowCellStyle="Percent" dataCellStyle="Percent">
  <tableColumns count="10">
    <tableColumn id="1" xr3:uid="{8314BF2B-39D0-4C1E-9C25-92640BF13959}" name="שם המנפיק/שם נייר ערך" dataDxfId="214"/>
    <tableColumn id="2" xr3:uid="{9C539947-718C-42A5-A668-598103E737B4}" name="מספר מנפיק" dataDxfId="213"/>
    <tableColumn id="3" xr3:uid="{02EFD948-1967-48A1-A9C8-5372BABCA36C}" name="דירוג" dataDxfId="212"/>
    <tableColumn id="4" xr3:uid="{76DF0F3E-EEB4-4342-BB70-3B8186317982}" name="שם המדרג" dataDxfId="211" dataCellStyle="Percent"/>
    <tableColumn id="5" xr3:uid="{2B31B629-ABDE-4CEF-9817-AD8B42BA8227}" name="שעור הריבית" dataDxfId="210" dataCellStyle="Percent"/>
    <tableColumn id="6" xr3:uid="{FF7B52DE-6F43-43E6-BCBC-DEF4DD93D4E7}" name="סוג מטבע" dataDxfId="209" dataCellStyle="Percent"/>
    <tableColumn id="7" xr3:uid="{867BECC6-52C7-4D8B-9733-88BC6D5F8D62}" name="תשואה לפדיון" dataDxfId="208" dataCellStyle="Percent"/>
    <tableColumn id="8" xr3:uid="{66D5FDAC-BF3F-42E2-A1BD-14D5431625F1}" name="שווי הוגן" dataDxfId="207" dataCellStyle="Percent"/>
    <tableColumn id="9" xr3:uid="{6AAB8F0B-2F0C-46C0-B492-C70EE96F90C1}" name="שעור מנכסי אפיק ההשקעה" dataDxfId="206" dataCellStyle="Percent"/>
    <tableColumn id="10" xr3:uid="{A8A3B2E5-A7BE-483B-94D8-A73BD81790B9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4D43CA5-2645-4344-A9F6-06E4473B5F95}" name="השקעות אחרות1" displayName="השקעות_אחרות1" ref="A5:J24" totalsRowShown="0" headerRowDxfId="204" dataDxfId="202" headerRowBorderDxfId="203" tableBorderDxfId="201" headerRowCellStyle="Percent" dataCellStyle="Percent">
  <tableColumns count="10">
    <tableColumn id="1" xr3:uid="{48C36C4B-456A-41B8-964E-6A2E6EDE7EB1}" name="שם המנפיק/שם נייר ערך" dataDxfId="200"/>
    <tableColumn id="2" xr3:uid="{833B7290-501A-47C6-B0E3-F248D436475A}" name="מספר נייר" dataDxfId="199"/>
    <tableColumn id="3" xr3:uid="{C29F3817-AE3E-4061-BECB-09253C484DB3}" name="דירוג" dataDxfId="198"/>
    <tableColumn id="4" xr3:uid="{9ED9C321-C958-416A-9819-B10332E684E6}" name="שם מדרג" dataDxfId="197"/>
    <tableColumn id="5" xr3:uid="{92405599-8816-49A1-8ACD-B4063E66A465}" name="שעור ריבית" dataDxfId="196" dataCellStyle="Percent"/>
    <tableColumn id="6" xr3:uid="{9D7E6A28-9AEE-4A7E-857F-E10F683AAA19}" name="סוג מטבע" dataDxfId="195" dataCellStyle="Percent"/>
    <tableColumn id="7" xr3:uid="{ADF7EAD2-07DD-4819-AD13-F1708DF206C9}" name="תשואה לפדיון" dataDxfId="194" dataCellStyle="Percent"/>
    <tableColumn id="8" xr3:uid="{B25FE832-1C5D-45F0-9BA9-C36E61B4D574}" name="שווי הוגן" dataDxfId="193" dataCellStyle="Percent"/>
    <tableColumn id="9" xr3:uid="{C0678F8F-D235-47CC-9D57-B6A38AFF0AA9}" name="שעור מנכסי אפיק ההשקעה" dataDxfId="192" dataCellStyle="Percent"/>
    <tableColumn id="10" xr3:uid="{EC0201C5-BFCD-4675-8309-4ABD20B89F03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076A44D-1A48-44A1-9963-0AE1B4E2F1AC}" name="יתרת התחייבות להשקעה1" displayName="יתרת_התחייבות_להשקעה1" ref="A5:C48" totalsRowShown="0" headerRowBorderDxfId="190" tableBorderDxfId="189">
  <tableColumns count="3">
    <tableColumn id="1" xr3:uid="{13E5C1AE-2EBB-41E5-BA4D-94C14EEA9694}" name="שם המנפיק/שם נייר ערך" dataDxfId="188"/>
    <tableColumn id="2" xr3:uid="{D6C563C3-E608-471C-89E4-753D75D5B24A}" name="סכום ההתחייבות" dataDxfId="187"/>
    <tableColumn id="3" xr3:uid="{3BB575EC-21E0-455A-AD5A-B3BD5B8D63F0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5922C0E-C36A-46F4-877B-D557492516F7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DCFD9448-CAB5-4C58-82A4-8C7D7E5D49F0}" name="שם המנפיק/שם נייר ערך" dataDxfId="182"/>
    <tableColumn id="2" xr3:uid="{23633B1A-403C-44DF-9928-15979FFA3F64}" name="מספר ני&quot;ע" dataDxfId="181" dataCellStyle="Percent"/>
    <tableColumn id="3" xr3:uid="{E8E4F3E3-7342-404F-AE9A-182D2F2ACE4E}" name="ענף מסחר" dataDxfId="180" dataCellStyle="Percent"/>
    <tableColumn id="4" xr3:uid="{50D4DDAA-D960-42B2-99C2-4612ACCBD378}" name="דירוג" dataDxfId="179" dataCellStyle="Percent"/>
    <tableColumn id="5" xr3:uid="{FD86BF0F-AC83-49D5-87A9-6260D79AB66E}" name="שם מדרג" dataDxfId="178" dataCellStyle="Percent"/>
    <tableColumn id="6" xr3:uid="{FEA0094F-D2F5-43BA-80AB-E5E60D7EE5C0}" name="תאריך רכישה" dataDxfId="177" dataCellStyle="Percent"/>
    <tableColumn id="7" xr3:uid="{84B641BA-BD23-4420-ACD9-11D6A45FD333}" name="מח&quot;מ" dataDxfId="176" dataCellStyle="Percent"/>
    <tableColumn id="8" xr3:uid="{58CC967D-6CFE-446D-A2AE-30E134B0D35F}" name="סוג מטבע" dataDxfId="175" dataCellStyle="Percent"/>
    <tableColumn id="9" xr3:uid="{2C664755-8ECB-4717-A7AC-A53F7BE1E86B}" name="שיעור ריבית" dataDxfId="174" dataCellStyle="Percent"/>
    <tableColumn id="10" xr3:uid="{6A7D2067-6CC6-4824-9473-F69F0C5DCA29}" name="ריבית אפקטיבית" dataDxfId="173" dataCellStyle="Percent"/>
    <tableColumn id="11" xr3:uid="{0B7D534E-4A2E-4663-A7D5-4023A5C97D9A}" name="ערך נקוב" dataDxfId="172" dataCellStyle="Comma"/>
    <tableColumn id="12" xr3:uid="{9A07152E-9FFB-4660-A1BE-05F0943710CD}" name="עלות מתואמת" dataDxfId="171" dataCellStyle="Percent"/>
    <tableColumn id="13" xr3:uid="{689D9A0A-1CCF-4F60-A763-3AFD88CA73C9}" name="שעור מערך נקוב מונפק" dataDxfId="170" dataCellStyle="Comma"/>
    <tableColumn id="14" xr3:uid="{53CD2708-197F-4794-9F23-DD36D7D96986}" name="שעור מנכסי אפיק ההשקעה" dataDxfId="169" dataCellStyle="Percent"/>
    <tableColumn id="15" xr3:uid="{D2BABEF2-4709-4DA5-89E8-3ED9158B8090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54C8D05-BFED-470C-95C4-C03AF81E05CC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391EB5DB-EDA2-46FC-910B-8124B0B3465C}" name="שם המנפיק/שם נייר ערך" dataDxfId="164"/>
    <tableColumn id="2" xr3:uid="{A826A5AE-81CF-4945-985E-9FD4E72F2B40}" name="מספר ני&quot;ע" dataDxfId="163" dataCellStyle="Percent"/>
    <tableColumn id="3" xr3:uid="{798B14B4-D09F-4697-AE21-2930A2783342}" name="ענף מסחר" dataDxfId="162" dataCellStyle="Percent"/>
    <tableColumn id="4" xr3:uid="{711802D4-3D60-4A4F-B480-3972BAC38B2B}" name="דירוג" dataDxfId="161" dataCellStyle="Percent"/>
    <tableColumn id="5" xr3:uid="{795BDAE7-5C31-4DEB-88D6-08CA30F892A9}" name="שם מדרג" dataDxfId="160" dataCellStyle="Percent"/>
    <tableColumn id="6" xr3:uid="{65713B15-3B83-436F-99A8-C3D3B9F8AED0}" name="תאריך רכישה" dataDxfId="159" dataCellStyle="Percent"/>
    <tableColumn id="7" xr3:uid="{2E792260-EE34-46FA-83D1-4B557B369996}" name="מח&quot;מ" dataDxfId="158" dataCellStyle="Percent"/>
    <tableColumn id="8" xr3:uid="{44CC49E2-4AEC-4A1C-B597-9FA181BC7D8D}" name="סוג מטבע" dataDxfId="157" dataCellStyle="Percent"/>
    <tableColumn id="9" xr3:uid="{8428DCFA-8280-4C55-A35F-F0E1DBE0FF8A}" name="שיעור ריבית" dataDxfId="156" dataCellStyle="Percent"/>
    <tableColumn id="10" xr3:uid="{3A8562BA-D7D6-49D1-BF44-12E36835F5E2}" name="ריבית אפקטיבית" dataDxfId="155" dataCellStyle="Percent"/>
    <tableColumn id="11" xr3:uid="{37853C73-DBFD-47F9-B32A-7C744096518E}" name="ערך נקוב" dataDxfId="154" dataCellStyle="Comma"/>
    <tableColumn id="12" xr3:uid="{5D4DB169-CE35-4560-BBF7-FF1C03DE43F6}" name="עלות מתואמת" dataDxfId="153" dataCellStyle="Percent"/>
    <tableColumn id="13" xr3:uid="{15285F3A-A47F-4372-8FEA-20FE733A6A00}" name="שעור מערך נקוב מונפק" dataDxfId="152" dataCellStyle="Comma"/>
    <tableColumn id="14" xr3:uid="{3ADB8959-97DC-4AD3-A36C-D685E8DF4123}" name="שעור מנכסי אפיק ההשקעה" dataDxfId="151" dataCellStyle="Percent"/>
    <tableColumn id="15" xr3:uid="{7D872360-0A53-4F93-BE61-8825B0220F17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17FB57A-C7F1-4F35-A5EC-E26DF0CA7C5B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5538D175-D656-4439-9DF7-3EF8958106A0}" name="שם המנפיק/שם נייר ערך" dataDxfId="146"/>
    <tableColumn id="2" xr3:uid="{6AD81DED-69A3-4543-A1AE-87569DF4DCB6}" name="מספר ני&quot;ע" dataDxfId="145" dataCellStyle="Percent"/>
    <tableColumn id="3" xr3:uid="{765A878D-34CD-4149-8AEE-FA29C23BCFD5}" name="ענף מסחר" dataDxfId="144" dataCellStyle="Percent"/>
    <tableColumn id="4" xr3:uid="{FCF21F76-F684-4EC8-ABFB-73C0B6CBE865}" name="דירוג" dataDxfId="143" dataCellStyle="Percent"/>
    <tableColumn id="5" xr3:uid="{2B15E806-8BE1-40D3-A221-E723247ED3FD}" name="שם מדרג" dataDxfId="142" dataCellStyle="Percent"/>
    <tableColumn id="6" xr3:uid="{FBDCD255-BE6A-4F9D-AAFC-776F7C1C32CC}" name="תאריך רכישה" dataDxfId="141" dataCellStyle="Percent"/>
    <tableColumn id="7" xr3:uid="{6FD4FDD3-7F1B-467D-9B7B-FF8429BF0485}" name="מח&quot;מ" dataDxfId="140" dataCellStyle="Percent"/>
    <tableColumn id="8" xr3:uid="{572D2BD7-9DAB-4AD8-9D01-49B9C25C457C}" name="סוג מטבע" dataDxfId="139" dataCellStyle="Percent"/>
    <tableColumn id="9" xr3:uid="{D8E7C2C0-9BE3-4B33-AA3E-01CEB20D9E0D}" name="שיעור ריבית" dataDxfId="138" dataCellStyle="Percent"/>
    <tableColumn id="10" xr3:uid="{98C02E31-21C9-4CD8-A352-17BC74E1FED0}" name="ריבית אפקטיבית" dataDxfId="137" dataCellStyle="Percent"/>
    <tableColumn id="11" xr3:uid="{358E15F1-D7EA-449D-9785-71EE8A70DA74}" name="ערך נקוב" dataDxfId="136" dataCellStyle="Comma"/>
    <tableColumn id="12" xr3:uid="{4186EA30-4A17-4525-86F8-A49269DB3CA0}" name="עלות מתואמת" dataDxfId="135" dataCellStyle="Percent"/>
    <tableColumn id="13" xr3:uid="{09444948-BFA3-4ABB-BB5A-58D0B0FAE238}" name="שעור מערך נקוב מונפק" dataDxfId="134" dataCellStyle="Comma"/>
    <tableColumn id="14" xr3:uid="{780B32FC-5764-4438-9067-D2E4E8CE161F}" name="שעור מנכסי אפיק ההשקעה" dataDxfId="133" dataCellStyle="Percent"/>
    <tableColumn id="15" xr3:uid="{F7C464A9-378A-42C5-AD6E-25E2FB77A9D4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A2CA6A4-DFAE-4D12-B0AE-B94EA241E090}" name="טבלה32" displayName="טבלה32" ref="A1:B72" headerRowCount="0" totalsRowShown="0">
  <tableColumns count="2">
    <tableColumn id="1" xr3:uid="{363D5721-5743-41D5-9EDE-0C90F1D03DCA}" name="עמודה1"/>
    <tableColumn id="2" xr3:uid="{0C533F50-2DDF-462B-857D-DA7275C35405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topLeftCell="A17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9" t="s">
        <v>51</v>
      </c>
      <c r="B4" s="220"/>
      <c r="C4" s="22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3" t="s">
        <v>2728</v>
      </c>
      <c r="B5" s="178" t="s">
        <v>29</v>
      </c>
      <c r="C5" s="178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7"/>
      <c r="B6" s="186" t="s">
        <v>10</v>
      </c>
      <c r="C6" s="186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9"/>
      <c r="B7" s="180" t="s">
        <v>49</v>
      </c>
      <c r="C7" s="180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1" t="s">
        <v>97</v>
      </c>
      <c r="B8" s="180"/>
      <c r="C8" s="180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7" t="s">
        <v>43</v>
      </c>
      <c r="B9" s="188">
        <v>21109.067799900004</v>
      </c>
      <c r="C9" s="189">
        <v>3.9676278187528599E-2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2" t="s">
        <v>45</v>
      </c>
      <c r="B10" s="188">
        <v>421984.76509680005</v>
      </c>
      <c r="C10" s="189">
        <v>0.79315605452548033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0" t="s">
        <v>12</v>
      </c>
      <c r="B11" s="188">
        <v>210433.35048070003</v>
      </c>
      <c r="C11" s="189">
        <v>0.39552727921246766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0" t="s">
        <v>18</v>
      </c>
      <c r="B12" s="188">
        <v>4.9999999999999998E-7</v>
      </c>
      <c r="C12" s="189">
        <v>9.3979228651007855E-13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0" t="s">
        <v>20</v>
      </c>
      <c r="B13" s="188">
        <v>182602.2502906</v>
      </c>
      <c r="C13" s="189">
        <v>0.34321637264497729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0" t="s">
        <v>21</v>
      </c>
      <c r="B14" s="188">
        <v>0.5265107</v>
      </c>
      <c r="C14" s="189">
        <v>9.8962138925004413E-7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0" t="s">
        <v>158</v>
      </c>
      <c r="B15" s="188">
        <v>9336.5977910000001</v>
      </c>
      <c r="C15" s="189">
        <v>1.754892517245768E-2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0" t="s">
        <v>44</v>
      </c>
      <c r="B16" s="188">
        <v>19597.562450800004</v>
      </c>
      <c r="C16" s="189">
        <v>3.6835276051322793E-2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0" t="s">
        <v>23</v>
      </c>
      <c r="B17" s="188">
        <v>14.477570200000001</v>
      </c>
      <c r="C17" s="189">
        <v>2.7211817602736356E-5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0" t="s">
        <v>24</v>
      </c>
      <c r="B18" s="188">
        <v>9.0000000000000007E-7</v>
      </c>
      <c r="C18" s="189">
        <v>1.6916261157181416E-12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0" t="s">
        <v>25</v>
      </c>
      <c r="B19" s="188">
        <v>2.0000000000000002E-7</v>
      </c>
      <c r="C19" s="189">
        <v>3.7591691460403149E-13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0" t="s">
        <v>26</v>
      </c>
      <c r="B20" s="188">
        <v>1.2000000000000002E-6</v>
      </c>
      <c r="C20" s="189">
        <v>2.2555014876241893E-12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1" t="s">
        <v>46</v>
      </c>
      <c r="B21" s="188">
        <v>48510.979696300012</v>
      </c>
      <c r="C21" s="189">
        <v>9.1180489059259573E-2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0" t="s">
        <v>12</v>
      </c>
      <c r="B22" s="188">
        <v>6.9999999999999997E-7</v>
      </c>
      <c r="C22" s="189">
        <v>1.3157092011141101E-12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0" t="s">
        <v>18</v>
      </c>
      <c r="B23" s="188">
        <v>6.0000000000000008E-7</v>
      </c>
      <c r="C23" s="189">
        <v>1.1277507438120946E-12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0" t="s">
        <v>20</v>
      </c>
      <c r="B24" s="188">
        <v>29197.284830600001</v>
      </c>
      <c r="C24" s="189">
        <v>5.4878766141671219E-2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0" t="s">
        <v>21</v>
      </c>
      <c r="B25" s="188">
        <v>3.0000000000000004E-7</v>
      </c>
      <c r="C25" s="189">
        <v>5.6387537190604731E-13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0" t="s">
        <v>30</v>
      </c>
      <c r="B26" s="188">
        <v>21553.609600800006</v>
      </c>
      <c r="C26" s="189">
        <v>4.0511832098562843E-2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0" t="s">
        <v>31</v>
      </c>
      <c r="B27" s="188">
        <v>33.021340199999997</v>
      </c>
      <c r="C27" s="189">
        <v>6.2066401620370355E-5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0" t="s">
        <v>32</v>
      </c>
      <c r="B28" s="188">
        <v>9.9999999999999995E-7</v>
      </c>
      <c r="C28" s="189">
        <v>1.8795845730201571E-12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0" t="s">
        <v>33</v>
      </c>
      <c r="B29" s="188">
        <v>-2272.9360791000013</v>
      </c>
      <c r="C29" s="189">
        <v>-4.2721755897372864E-3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0" t="s">
        <v>34</v>
      </c>
      <c r="B30" s="188">
        <v>1.2000000000000002E-6</v>
      </c>
      <c r="C30" s="189">
        <v>2.2555014876241893E-12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0" t="s">
        <v>35</v>
      </c>
      <c r="B31" s="188">
        <v>38309.725581300008</v>
      </c>
      <c r="C31" s="189">
        <v>7.2006369199247175E-2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0" t="s">
        <v>37</v>
      </c>
      <c r="B32" s="188">
        <v>2345.8957305999998</v>
      </c>
      <c r="C32" s="189">
        <v>4.409309425149611E-3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0" t="s">
        <v>47</v>
      </c>
      <c r="B33" s="188">
        <v>4.0000000000000003E-7</v>
      </c>
      <c r="C33" s="189">
        <v>7.5183382920806298E-13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0" t="s">
        <v>86</v>
      </c>
      <c r="B34" s="188">
        <v>2.0000000000000002E-7</v>
      </c>
      <c r="C34" s="189">
        <v>3.7591691460403149E-13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0" t="s">
        <v>87</v>
      </c>
      <c r="B35" s="188">
        <v>-227.97611979999999</v>
      </c>
      <c r="C35" s="189">
        <v>-4.2850039779307523E-4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1" t="s">
        <v>93</v>
      </c>
      <c r="B36" s="191"/>
      <c r="C36" s="189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0" t="s">
        <v>94</v>
      </c>
      <c r="B37" s="191">
        <v>0</v>
      </c>
      <c r="C37" s="189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0" t="s">
        <v>95</v>
      </c>
      <c r="B38" s="191">
        <v>0</v>
      </c>
      <c r="C38" s="189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0" t="s">
        <v>96</v>
      </c>
      <c r="B39" s="191">
        <v>0</v>
      </c>
      <c r="C39" s="189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3" t="s">
        <v>48</v>
      </c>
      <c r="B40" s="184">
        <v>532032.4577857001</v>
      </c>
      <c r="C40" s="185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2" t="s">
        <v>92</v>
      </c>
      <c r="B41" s="188">
        <v>15984.375144919868</v>
      </c>
      <c r="C41" s="189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3"/>
      <c r="B42" s="194" t="s">
        <v>0</v>
      </c>
      <c r="C42" s="195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6" t="s">
        <v>49</v>
      </c>
      <c r="C43" s="197" t="s">
        <v>50</v>
      </c>
      <c r="D43" s="108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8" t="s">
        <v>125</v>
      </c>
      <c r="C44" s="200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8" t="s">
        <v>126</v>
      </c>
      <c r="C45" s="200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8" t="s">
        <v>2</v>
      </c>
      <c r="C46" s="200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8" t="s">
        <v>131</v>
      </c>
      <c r="C47" s="200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8" t="s">
        <v>3</v>
      </c>
      <c r="C48" s="200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8" t="s">
        <v>65</v>
      </c>
      <c r="C49" s="200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8" t="s">
        <v>127</v>
      </c>
      <c r="C50" s="200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8" t="s">
        <v>90</v>
      </c>
      <c r="C51" s="201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8" t="s">
        <v>132</v>
      </c>
      <c r="C52" s="201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8" t="s">
        <v>2664</v>
      </c>
      <c r="C53" s="200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8" t="s">
        <v>130</v>
      </c>
      <c r="C54" s="201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8" t="s">
        <v>236</v>
      </c>
      <c r="C55" s="201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8" t="s">
        <v>91</v>
      </c>
      <c r="C56" s="201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8" t="s">
        <v>163</v>
      </c>
      <c r="C57" s="201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8" t="s">
        <v>129</v>
      </c>
      <c r="C58" s="201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8" t="s">
        <v>151</v>
      </c>
      <c r="C59" s="201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8" t="s">
        <v>161</v>
      </c>
      <c r="C60" s="201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8" t="s">
        <v>152</v>
      </c>
      <c r="C61" s="201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8" t="s">
        <v>153</v>
      </c>
      <c r="C62" s="201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8" t="s">
        <v>162</v>
      </c>
      <c r="C63" s="201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8" t="s">
        <v>154</v>
      </c>
      <c r="C64" s="201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8" t="s">
        <v>155</v>
      </c>
      <c r="C65" s="201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9" t="s">
        <v>156</v>
      </c>
      <c r="C66" s="202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2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2" t="s">
        <v>4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</row>
    <row r="5" spans="1:11" s="7" customFormat="1" x14ac:dyDescent="0.25">
      <c r="A5" s="86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6</v>
      </c>
      <c r="G5" s="205" t="s">
        <v>66</v>
      </c>
      <c r="H5" s="205" t="s">
        <v>71</v>
      </c>
      <c r="I5" s="205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8" customFormat="1" ht="12.75" customHeight="1" thickBot="1" x14ac:dyDescent="0.3">
      <c r="A8" s="72" t="s">
        <v>78</v>
      </c>
      <c r="B8" s="119"/>
      <c r="C8" s="119"/>
      <c r="D8" s="119"/>
      <c r="E8" s="119"/>
      <c r="F8" s="119"/>
      <c r="G8" s="119"/>
      <c r="H8" s="119"/>
      <c r="I8" s="80">
        <v>21109.067799900004</v>
      </c>
      <c r="J8" s="77">
        <v>1</v>
      </c>
      <c r="K8" s="58">
        <v>3.9676278187528599E-2</v>
      </c>
    </row>
    <row r="9" spans="1:11" s="118" customFormat="1" x14ac:dyDescent="0.25">
      <c r="A9" s="91" t="s">
        <v>248</v>
      </c>
      <c r="B9" s="120" t="s">
        <v>249</v>
      </c>
      <c r="C9" s="120" t="s">
        <v>249</v>
      </c>
      <c r="D9" s="121" t="s">
        <v>249</v>
      </c>
      <c r="E9" s="121" t="s">
        <v>249</v>
      </c>
      <c r="F9" s="121" t="s">
        <v>249</v>
      </c>
      <c r="G9" s="120" t="s">
        <v>249</v>
      </c>
      <c r="H9" s="120" t="s">
        <v>249</v>
      </c>
      <c r="I9" s="122">
        <v>21030.123879700001</v>
      </c>
      <c r="J9" s="120">
        <v>0.99626018917801873</v>
      </c>
      <c r="K9" s="120">
        <v>3.9527896412986943E-2</v>
      </c>
    </row>
    <row r="10" spans="1:11" s="118" customFormat="1" x14ac:dyDescent="0.25">
      <c r="A10" s="92" t="s">
        <v>250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21" t="s">
        <v>249</v>
      </c>
      <c r="G10" s="120" t="s">
        <v>249</v>
      </c>
      <c r="H10" s="120" t="s">
        <v>249</v>
      </c>
      <c r="I10" s="123">
        <v>6812.1639590999994</v>
      </c>
      <c r="J10" s="120">
        <v>0.32271268554702687</v>
      </c>
      <c r="K10" s="120">
        <v>1.2804038286408278E-2</v>
      </c>
    </row>
    <row r="11" spans="1:11" x14ac:dyDescent="0.25">
      <c r="A11" s="16" t="s">
        <v>2606</v>
      </c>
      <c r="B11" s="32" t="s">
        <v>251</v>
      </c>
      <c r="C11" s="32" t="s">
        <v>252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232.32989999999998</v>
      </c>
      <c r="J11" s="32">
        <v>1.1006165795777139E-2</v>
      </c>
      <c r="K11" s="32">
        <v>4.3668369589131581E-4</v>
      </c>
    </row>
    <row r="12" spans="1:11" x14ac:dyDescent="0.25">
      <c r="A12" s="16" t="s">
        <v>2606</v>
      </c>
      <c r="B12" s="32" t="s">
        <v>283</v>
      </c>
      <c r="C12" s="32" t="s">
        <v>252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0.49567</v>
      </c>
      <c r="J12" s="32">
        <v>2.3481377988768792E-5</v>
      </c>
      <c r="K12" s="32">
        <v>9.3165368530890141E-7</v>
      </c>
    </row>
    <row r="13" spans="1:11" x14ac:dyDescent="0.25">
      <c r="A13" s="16" t="s">
        <v>2606</v>
      </c>
      <c r="B13" s="32" t="s">
        <v>285</v>
      </c>
      <c r="C13" s="32" t="s">
        <v>252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13.326090000000001</v>
      </c>
      <c r="J13" s="32">
        <v>6.3129694434271172E-4</v>
      </c>
      <c r="K13" s="32">
        <v>2.5047513182678189E-5</v>
      </c>
    </row>
    <row r="14" spans="1:11" x14ac:dyDescent="0.25">
      <c r="A14" s="16" t="s">
        <v>2583</v>
      </c>
      <c r="B14" s="32" t="s">
        <v>258</v>
      </c>
      <c r="C14" s="32" t="s">
        <v>259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788.3481700000001</v>
      </c>
      <c r="J14" s="32">
        <v>3.7346422754098815E-2</v>
      </c>
      <c r="K14" s="32">
        <v>1.4817670585006726E-3</v>
      </c>
    </row>
    <row r="15" spans="1:11" x14ac:dyDescent="0.25">
      <c r="A15" s="16" t="s">
        <v>2591</v>
      </c>
      <c r="B15" s="32" t="s">
        <v>263</v>
      </c>
      <c r="C15" s="32" t="s">
        <v>259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14.90324</v>
      </c>
      <c r="J15" s="32">
        <v>7.0601128108890713E-4</v>
      </c>
      <c r="K15" s="32">
        <v>2.801189999201693E-5</v>
      </c>
    </row>
    <row r="16" spans="1:11" x14ac:dyDescent="0.25">
      <c r="A16" s="16" t="s">
        <v>268</v>
      </c>
      <c r="B16" s="32" t="s">
        <v>269</v>
      </c>
      <c r="C16" s="32" t="s">
        <v>259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5.23834</v>
      </c>
      <c r="J16" s="32">
        <v>2.4815591335704626E-4</v>
      </c>
      <c r="K16" s="32">
        <v>9.845903052234411E-6</v>
      </c>
    </row>
    <row r="17" spans="1:11" x14ac:dyDescent="0.25">
      <c r="A17" s="16" t="s">
        <v>2583</v>
      </c>
      <c r="B17" s="32" t="s">
        <v>270</v>
      </c>
      <c r="C17" s="32" t="s">
        <v>259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1461.1020800000001</v>
      </c>
      <c r="J17" s="32">
        <v>6.9216797911223801E-2</v>
      </c>
      <c r="K17" s="32">
        <v>2.7462649291756639E-3</v>
      </c>
    </row>
    <row r="18" spans="1:11" x14ac:dyDescent="0.25">
      <c r="A18" s="16" t="s">
        <v>2583</v>
      </c>
      <c r="B18" s="32" t="s">
        <v>271</v>
      </c>
      <c r="C18" s="32" t="s">
        <v>259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1181.7072800000001</v>
      </c>
      <c r="J18" s="32">
        <v>5.5981026315411145E-2</v>
      </c>
      <c r="K18" s="32">
        <v>2.2211187733136117E-3</v>
      </c>
    </row>
    <row r="19" spans="1:11" x14ac:dyDescent="0.25">
      <c r="A19" s="16" t="s">
        <v>2583</v>
      </c>
      <c r="B19" s="32" t="s">
        <v>275</v>
      </c>
      <c r="C19" s="32" t="s">
        <v>259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0.10473</v>
      </c>
      <c r="J19" s="32">
        <v>4.961374940512348E-6</v>
      </c>
      <c r="K19" s="32">
        <v>1.9684889233240108E-7</v>
      </c>
    </row>
    <row r="20" spans="1:11" x14ac:dyDescent="0.25">
      <c r="A20" s="16" t="s">
        <v>2591</v>
      </c>
      <c r="B20" s="32" t="s">
        <v>279</v>
      </c>
      <c r="C20" s="32" t="s">
        <v>259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1.5900000000000001E-3</v>
      </c>
      <c r="J20" s="32">
        <v>7.5323079876011017E-8</v>
      </c>
      <c r="K20" s="32">
        <v>2.9885394711020503E-9</v>
      </c>
    </row>
    <row r="21" spans="1:11" x14ac:dyDescent="0.25">
      <c r="A21" s="16" t="s">
        <v>280</v>
      </c>
      <c r="B21" s="32" t="s">
        <v>281</v>
      </c>
      <c r="C21" s="32" t="s">
        <v>259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3.1170000000000003E-2</v>
      </c>
      <c r="J21" s="32">
        <v>1.4766166036070839E-6</v>
      </c>
      <c r="K21" s="32">
        <v>5.858665114103831E-8</v>
      </c>
    </row>
    <row r="22" spans="1:11" x14ac:dyDescent="0.25">
      <c r="A22" s="16" t="s">
        <v>2583</v>
      </c>
      <c r="B22" s="32" t="s">
        <v>294</v>
      </c>
      <c r="C22" s="32" t="s">
        <v>259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8.04725</v>
      </c>
      <c r="J22" s="32">
        <v>3.8122242423410668E-4</v>
      </c>
      <c r="K22" s="32">
        <v>1.5125486955236461E-5</v>
      </c>
    </row>
    <row r="23" spans="1:11" x14ac:dyDescent="0.25">
      <c r="A23" s="16" t="s">
        <v>2592</v>
      </c>
      <c r="B23" s="32" t="s">
        <v>290</v>
      </c>
      <c r="C23" s="32" t="s">
        <v>291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1.9099699999999999</v>
      </c>
      <c r="J23" s="32">
        <v>9.0481020673449528E-5</v>
      </c>
      <c r="K23" s="32">
        <v>3.5899501469313099E-6</v>
      </c>
    </row>
    <row r="24" spans="1:11" x14ac:dyDescent="0.25">
      <c r="A24" s="16" t="s">
        <v>2593</v>
      </c>
      <c r="B24" s="32" t="s">
        <v>295</v>
      </c>
      <c r="C24" s="32" t="s">
        <v>291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1.9144600000000001</v>
      </c>
      <c r="J24" s="32">
        <v>9.0693725471338392E-5</v>
      </c>
      <c r="K24" s="32">
        <v>3.5983894816641704E-6</v>
      </c>
    </row>
    <row r="25" spans="1:11" x14ac:dyDescent="0.25">
      <c r="A25" s="16" t="s">
        <v>2594</v>
      </c>
      <c r="B25" s="32" t="s">
        <v>297</v>
      </c>
      <c r="C25" s="32" t="s">
        <v>291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8.0099999999999998E-3</v>
      </c>
      <c r="J25" s="32">
        <v>3.794577797527347E-7</v>
      </c>
      <c r="K25" s="32">
        <v>1.5055472429891458E-8</v>
      </c>
    </row>
    <row r="26" spans="1:11" x14ac:dyDescent="0.25">
      <c r="A26" s="16" t="s">
        <v>2595</v>
      </c>
      <c r="B26" s="32" t="s">
        <v>260</v>
      </c>
      <c r="C26" s="32" t="s">
        <v>261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2529.5518790000001</v>
      </c>
      <c r="J26" s="32">
        <v>0.11983247687574262</v>
      </c>
      <c r="K26" s="32">
        <v>4.754506688422552E-3</v>
      </c>
    </row>
    <row r="27" spans="1:11" x14ac:dyDescent="0.25">
      <c r="A27" s="16" t="s">
        <v>2596</v>
      </c>
      <c r="B27" s="32" t="s">
        <v>262</v>
      </c>
      <c r="C27" s="32" t="s">
        <v>261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249.99382999999997</v>
      </c>
      <c r="J27" s="32">
        <v>1.1842959261383595E-2</v>
      </c>
      <c r="K27" s="32">
        <v>4.6988454621822376E-4</v>
      </c>
    </row>
    <row r="28" spans="1:11" x14ac:dyDescent="0.25">
      <c r="A28" s="16" t="s">
        <v>2595</v>
      </c>
      <c r="B28" s="32" t="s">
        <v>272</v>
      </c>
      <c r="C28" s="32" t="s">
        <v>261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6.2423000000000002</v>
      </c>
      <c r="J28" s="32">
        <v>2.957165166729708E-4</v>
      </c>
      <c r="K28" s="32">
        <v>1.1732930780163729E-5</v>
      </c>
    </row>
    <row r="29" spans="1:11" x14ac:dyDescent="0.25">
      <c r="A29" s="16" t="s">
        <v>2595</v>
      </c>
      <c r="B29" s="32" t="s">
        <v>273</v>
      </c>
      <c r="C29" s="32" t="s">
        <v>261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15.07033</v>
      </c>
      <c r="J29" s="32">
        <v>7.1392683669675792E-4</v>
      </c>
      <c r="K29" s="32">
        <v>2.8325959778322869E-5</v>
      </c>
    </row>
    <row r="30" spans="1:11" x14ac:dyDescent="0.25">
      <c r="A30" s="16" t="s">
        <v>2595</v>
      </c>
      <c r="B30" s="32" t="s">
        <v>274</v>
      </c>
      <c r="C30" s="32" t="s">
        <v>261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6.44726</v>
      </c>
      <c r="J30" s="32">
        <v>3.0542608802604454E-4</v>
      </c>
      <c r="K30" s="32">
        <v>1.2118170434249939E-5</v>
      </c>
    </row>
    <row r="31" spans="1:11" x14ac:dyDescent="0.25">
      <c r="A31" s="16" t="s">
        <v>2596</v>
      </c>
      <c r="B31" s="32" t="s">
        <v>276</v>
      </c>
      <c r="C31" s="32" t="s">
        <v>261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0.91600999999999999</v>
      </c>
      <c r="J31" s="32">
        <v>4.3394147419638269E-5</v>
      </c>
      <c r="K31" s="32">
        <v>1.7217182647321943E-6</v>
      </c>
    </row>
    <row r="32" spans="1:11" x14ac:dyDescent="0.25">
      <c r="A32" s="16" t="s">
        <v>2596</v>
      </c>
      <c r="B32" s="32" t="s">
        <v>277</v>
      </c>
      <c r="C32" s="32" t="s">
        <v>261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0.92896000000000001</v>
      </c>
      <c r="J32" s="32">
        <v>4.4007627850074964E-5</v>
      </c>
      <c r="K32" s="32">
        <v>1.7460588849528054E-6</v>
      </c>
    </row>
    <row r="33" spans="1:11" x14ac:dyDescent="0.25">
      <c r="A33" s="16" t="s">
        <v>2596</v>
      </c>
      <c r="B33" s="32" t="s">
        <v>278</v>
      </c>
      <c r="C33" s="32" t="s">
        <v>261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1.65354</v>
      </c>
      <c r="J33" s="32">
        <v>7.8333160690678778E-5</v>
      </c>
      <c r="K33" s="32">
        <v>3.1079682748717511E-6</v>
      </c>
    </row>
    <row r="34" spans="1:11" x14ac:dyDescent="0.25">
      <c r="A34" s="16" t="s">
        <v>2595</v>
      </c>
      <c r="B34" s="32" t="s">
        <v>293</v>
      </c>
      <c r="C34" s="32" t="s">
        <v>261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9.7000000000000003E-2</v>
      </c>
      <c r="J34" s="32">
        <v>4.5951816024987851E-6</v>
      </c>
      <c r="K34" s="32">
        <v>1.8231970358295527E-7</v>
      </c>
    </row>
    <row r="35" spans="1:11" x14ac:dyDescent="0.25">
      <c r="A35" s="16" t="s">
        <v>2596</v>
      </c>
      <c r="B35" s="32" t="s">
        <v>296</v>
      </c>
      <c r="C35" s="32" t="s">
        <v>261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9.9900000000000006E-3</v>
      </c>
      <c r="J35" s="32">
        <v>4.7325633205116357E-7</v>
      </c>
      <c r="K35" s="32">
        <v>1.8777049884471372E-8</v>
      </c>
    </row>
    <row r="36" spans="1:11" x14ac:dyDescent="0.25">
      <c r="A36" s="16" t="s">
        <v>2574</v>
      </c>
      <c r="B36" s="32" t="s">
        <v>256</v>
      </c>
      <c r="C36" s="32" t="s">
        <v>257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13.332120000000002</v>
      </c>
      <c r="J36" s="32">
        <v>6.3158260357016607E-4</v>
      </c>
      <c r="K36" s="32">
        <v>2.5058847077653504E-5</v>
      </c>
    </row>
    <row r="37" spans="1:11" x14ac:dyDescent="0.25">
      <c r="A37" s="16" t="s">
        <v>2574</v>
      </c>
      <c r="B37" s="32" t="s">
        <v>282</v>
      </c>
      <c r="C37" s="32" t="s">
        <v>257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3.5849000000000002</v>
      </c>
      <c r="J37" s="32">
        <v>1.6982748996698861E-4</v>
      </c>
      <c r="K37" s="32">
        <v>6.7381227358199625E-6</v>
      </c>
    </row>
    <row r="38" spans="1:11" x14ac:dyDescent="0.25">
      <c r="A38" s="16" t="s">
        <v>2574</v>
      </c>
      <c r="B38" s="32" t="s">
        <v>284</v>
      </c>
      <c r="C38" s="32" t="s">
        <v>257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0.21365000000000001</v>
      </c>
      <c r="J38" s="32">
        <v>1.0121242777050159E-5</v>
      </c>
      <c r="K38" s="32">
        <v>4.0157324402575661E-7</v>
      </c>
    </row>
    <row r="39" spans="1:11" x14ac:dyDescent="0.25">
      <c r="A39" s="16" t="s">
        <v>2575</v>
      </c>
      <c r="B39" s="32" t="s">
        <v>264</v>
      </c>
      <c r="C39" s="32" t="s">
        <v>265</v>
      </c>
      <c r="D39" s="66" t="s">
        <v>266</v>
      </c>
      <c r="E39" s="66" t="s">
        <v>267</v>
      </c>
      <c r="F39" s="66" t="s">
        <v>255</v>
      </c>
      <c r="G39" s="32">
        <v>0</v>
      </c>
      <c r="H39" s="32">
        <v>0</v>
      </c>
      <c r="I39" s="84">
        <v>268.82539000000003</v>
      </c>
      <c r="J39" s="32">
        <v>1.2735066870232587E-2</v>
      </c>
      <c r="K39" s="32">
        <v>5.0528005588012734E-4</v>
      </c>
    </row>
    <row r="40" spans="1:11" x14ac:dyDescent="0.25">
      <c r="A40" s="16" t="s">
        <v>2575</v>
      </c>
      <c r="B40" s="32" t="s">
        <v>286</v>
      </c>
      <c r="C40" s="32" t="s">
        <v>265</v>
      </c>
      <c r="D40" s="66" t="s">
        <v>266</v>
      </c>
      <c r="E40" s="66" t="s">
        <v>267</v>
      </c>
      <c r="F40" s="66" t="s">
        <v>255</v>
      </c>
      <c r="G40" s="32">
        <v>0</v>
      </c>
      <c r="H40" s="32">
        <v>0</v>
      </c>
      <c r="I40" s="84">
        <v>3.7386200000000001</v>
      </c>
      <c r="J40" s="32">
        <v>1.771096684817939E-4</v>
      </c>
      <c r="K40" s="32">
        <v>7.0270524763846207E-6</v>
      </c>
    </row>
    <row r="41" spans="1:11" x14ac:dyDescent="0.25">
      <c r="A41" s="16" t="s">
        <v>2575</v>
      </c>
      <c r="B41" s="32" t="s">
        <v>287</v>
      </c>
      <c r="C41" s="32" t="s">
        <v>265</v>
      </c>
      <c r="D41" s="66" t="s">
        <v>266</v>
      </c>
      <c r="E41" s="66" t="s">
        <v>267</v>
      </c>
      <c r="F41" s="66" t="s">
        <v>255</v>
      </c>
      <c r="G41" s="32">
        <v>0</v>
      </c>
      <c r="H41" s="32">
        <v>0</v>
      </c>
      <c r="I41" s="84">
        <v>1.6489999999999998E-2</v>
      </c>
      <c r="J41" s="32">
        <v>7.8118087242479337E-7</v>
      </c>
      <c r="K41" s="32">
        <v>3.0994349609102393E-8</v>
      </c>
    </row>
    <row r="42" spans="1:11" x14ac:dyDescent="0.25">
      <c r="A42" s="16" t="s">
        <v>2575</v>
      </c>
      <c r="B42" s="32" t="s">
        <v>288</v>
      </c>
      <c r="C42" s="32" t="s">
        <v>265</v>
      </c>
      <c r="D42" s="66" t="s">
        <v>266</v>
      </c>
      <c r="E42" s="66" t="s">
        <v>267</v>
      </c>
      <c r="F42" s="66" t="s">
        <v>255</v>
      </c>
      <c r="G42" s="32">
        <v>0</v>
      </c>
      <c r="H42" s="32">
        <v>0</v>
      </c>
      <c r="I42" s="84">
        <v>0.57726999999999995</v>
      </c>
      <c r="J42" s="32">
        <v>2.7347015295613132E-5</v>
      </c>
      <c r="K42" s="32">
        <v>1.0850277864673462E-6</v>
      </c>
    </row>
    <row r="43" spans="1:11" x14ac:dyDescent="0.25">
      <c r="A43" s="16" t="s">
        <v>2575</v>
      </c>
      <c r="B43" s="32" t="s">
        <v>289</v>
      </c>
      <c r="C43" s="32" t="s">
        <v>265</v>
      </c>
      <c r="D43" s="66" t="s">
        <v>266</v>
      </c>
      <c r="E43" s="66" t="s">
        <v>267</v>
      </c>
      <c r="F43" s="66" t="s">
        <v>255</v>
      </c>
      <c r="G43" s="32">
        <v>0</v>
      </c>
      <c r="H43" s="32">
        <v>0</v>
      </c>
      <c r="I43" s="84">
        <v>1.2900000000000001E-3</v>
      </c>
      <c r="J43" s="32">
        <v>6.1111178012612712E-8</v>
      </c>
      <c r="K43" s="32">
        <v>2.424664099196003E-9</v>
      </c>
    </row>
    <row r="44" spans="1:11" x14ac:dyDescent="0.25">
      <c r="A44" s="16" t="s">
        <v>2576</v>
      </c>
      <c r="B44" s="32" t="s">
        <v>292</v>
      </c>
      <c r="C44" s="32" t="s">
        <v>265</v>
      </c>
      <c r="D44" s="66" t="s">
        <v>266</v>
      </c>
      <c r="E44" s="66" t="s">
        <v>267</v>
      </c>
      <c r="F44" s="66" t="s">
        <v>255</v>
      </c>
      <c r="G44" s="32">
        <v>0</v>
      </c>
      <c r="H44" s="32">
        <v>0</v>
      </c>
      <c r="I44" s="84">
        <v>1.49518</v>
      </c>
      <c r="J44" s="32">
        <v>7.0831171427052932E-5</v>
      </c>
      <c r="K44" s="32">
        <v>2.8103172618882786E-6</v>
      </c>
    </row>
    <row r="45" spans="1:11" s="118" customFormat="1" x14ac:dyDescent="0.25">
      <c r="A45" s="92" t="s">
        <v>298</v>
      </c>
      <c r="B45" s="120" t="s">
        <v>249</v>
      </c>
      <c r="C45" s="120" t="s">
        <v>249</v>
      </c>
      <c r="D45" s="121" t="s">
        <v>249</v>
      </c>
      <c r="E45" s="121" t="s">
        <v>249</v>
      </c>
      <c r="F45" s="121" t="s">
        <v>249</v>
      </c>
      <c r="G45" s="120" t="s">
        <v>249</v>
      </c>
      <c r="H45" s="120" t="s">
        <v>249</v>
      </c>
      <c r="I45" s="123">
        <v>2067.5108301000005</v>
      </c>
      <c r="J45" s="120">
        <v>9.7944203396314572E-2</v>
      </c>
      <c r="K45" s="120">
        <v>3.8860614608080602E-3</v>
      </c>
    </row>
    <row r="46" spans="1:11" x14ac:dyDescent="0.25">
      <c r="A46" s="16" t="s">
        <v>2607</v>
      </c>
      <c r="B46" s="32" t="s">
        <v>299</v>
      </c>
      <c r="C46" s="32" t="s">
        <v>252</v>
      </c>
      <c r="D46" s="66" t="s">
        <v>253</v>
      </c>
      <c r="E46" s="66" t="s">
        <v>254</v>
      </c>
      <c r="F46" s="66" t="s">
        <v>125</v>
      </c>
      <c r="G46" s="32">
        <v>0</v>
      </c>
      <c r="H46" s="32">
        <v>0</v>
      </c>
      <c r="I46" s="84">
        <v>1.14E-3</v>
      </c>
      <c r="J46" s="32">
        <v>5.4005227080913553E-8</v>
      </c>
      <c r="K46" s="32">
        <v>2.1427264132429794E-9</v>
      </c>
    </row>
    <row r="47" spans="1:11" x14ac:dyDescent="0.25">
      <c r="A47" s="16" t="s">
        <v>2608</v>
      </c>
      <c r="B47" s="32" t="s">
        <v>320</v>
      </c>
      <c r="C47" s="32" t="s">
        <v>252</v>
      </c>
      <c r="D47" s="66" t="s">
        <v>253</v>
      </c>
      <c r="E47" s="66" t="s">
        <v>254</v>
      </c>
      <c r="F47" s="66" t="s">
        <v>125</v>
      </c>
      <c r="G47" s="32">
        <v>0</v>
      </c>
      <c r="H47" s="32">
        <v>0</v>
      </c>
      <c r="I47" s="84">
        <v>9.1120000000000007E-2</v>
      </c>
      <c r="J47" s="32">
        <v>4.3166283259761788E-6</v>
      </c>
      <c r="K47" s="32">
        <v>1.7126774629359676E-7</v>
      </c>
    </row>
    <row r="48" spans="1:11" x14ac:dyDescent="0.25">
      <c r="A48" s="16" t="s">
        <v>2607</v>
      </c>
      <c r="B48" s="32" t="s">
        <v>321</v>
      </c>
      <c r="C48" s="32" t="s">
        <v>252</v>
      </c>
      <c r="D48" s="66" t="s">
        <v>253</v>
      </c>
      <c r="E48" s="66" t="s">
        <v>254</v>
      </c>
      <c r="F48" s="66" t="s">
        <v>125</v>
      </c>
      <c r="G48" s="32">
        <v>0</v>
      </c>
      <c r="H48" s="32">
        <v>0</v>
      </c>
      <c r="I48" s="84">
        <v>2.3833200000000003</v>
      </c>
      <c r="J48" s="32">
        <v>1.129050331635815E-4</v>
      </c>
      <c r="K48" s="32">
        <v>4.4796515045704021E-6</v>
      </c>
    </row>
    <row r="49" spans="1:11" x14ac:dyDescent="0.25">
      <c r="A49" s="16" t="s">
        <v>2586</v>
      </c>
      <c r="B49" s="32" t="s">
        <v>301</v>
      </c>
      <c r="C49" s="32" t="s">
        <v>259</v>
      </c>
      <c r="D49" s="66" t="s">
        <v>253</v>
      </c>
      <c r="E49" s="66" t="s">
        <v>254</v>
      </c>
      <c r="F49" s="66" t="s">
        <v>125</v>
      </c>
      <c r="G49" s="32">
        <v>0</v>
      </c>
      <c r="H49" s="32">
        <v>0</v>
      </c>
      <c r="I49" s="84">
        <v>1050.8405500000001</v>
      </c>
      <c r="J49" s="32">
        <v>4.9781475902264997E-2</v>
      </c>
      <c r="K49" s="32">
        <v>1.9751436864840176E-3</v>
      </c>
    </row>
    <row r="50" spans="1:11" x14ac:dyDescent="0.25">
      <c r="A50" s="16" t="s">
        <v>2584</v>
      </c>
      <c r="B50" s="32" t="s">
        <v>304</v>
      </c>
      <c r="C50" s="32" t="s">
        <v>259</v>
      </c>
      <c r="D50" s="66" t="s">
        <v>253</v>
      </c>
      <c r="E50" s="66" t="s">
        <v>254</v>
      </c>
      <c r="F50" s="66" t="s">
        <v>126</v>
      </c>
      <c r="G50" s="32">
        <v>0</v>
      </c>
      <c r="H50" s="32">
        <v>0</v>
      </c>
      <c r="I50" s="84">
        <v>0.14607000000000001</v>
      </c>
      <c r="J50" s="32">
        <v>6.9197750172886338E-6</v>
      </c>
      <c r="K50" s="32">
        <v>2.7455091858105441E-7</v>
      </c>
    </row>
    <row r="51" spans="1:11" x14ac:dyDescent="0.25">
      <c r="A51" s="16" t="s">
        <v>2585</v>
      </c>
      <c r="B51" s="32" t="s">
        <v>306</v>
      </c>
      <c r="C51" s="32" t="s">
        <v>259</v>
      </c>
      <c r="D51" s="66" t="s">
        <v>253</v>
      </c>
      <c r="E51" s="66" t="s">
        <v>254</v>
      </c>
      <c r="F51" s="66" t="s">
        <v>126</v>
      </c>
      <c r="G51" s="32">
        <v>0</v>
      </c>
      <c r="H51" s="32">
        <v>0</v>
      </c>
      <c r="I51" s="84">
        <v>118.80263000000001</v>
      </c>
      <c r="J51" s="32">
        <v>5.6280377289120651E-3</v>
      </c>
      <c r="K51" s="32">
        <v>2.2329959058222174E-4</v>
      </c>
    </row>
    <row r="52" spans="1:11" x14ac:dyDescent="0.25">
      <c r="A52" s="16" t="s">
        <v>2609</v>
      </c>
      <c r="B52" s="32" t="s">
        <v>307</v>
      </c>
      <c r="C52" s="32" t="s">
        <v>259</v>
      </c>
      <c r="D52" s="66" t="s">
        <v>253</v>
      </c>
      <c r="E52" s="66" t="s">
        <v>254</v>
      </c>
      <c r="F52" s="66" t="s">
        <v>126</v>
      </c>
      <c r="G52" s="32">
        <v>0</v>
      </c>
      <c r="H52" s="32">
        <v>0</v>
      </c>
      <c r="I52" s="84">
        <v>0.79747000000000001</v>
      </c>
      <c r="J52" s="32">
        <v>3.7778551263347487E-5</v>
      </c>
      <c r="K52" s="32">
        <v>1.4989123094463849E-6</v>
      </c>
    </row>
    <row r="53" spans="1:11" x14ac:dyDescent="0.25">
      <c r="A53" s="16" t="s">
        <v>2586</v>
      </c>
      <c r="B53" s="32" t="s">
        <v>310</v>
      </c>
      <c r="C53" s="32" t="s">
        <v>259</v>
      </c>
      <c r="D53" s="66" t="s">
        <v>253</v>
      </c>
      <c r="E53" s="66" t="s">
        <v>254</v>
      </c>
      <c r="F53" s="66" t="s">
        <v>125</v>
      </c>
      <c r="G53" s="32">
        <v>0</v>
      </c>
      <c r="H53" s="32">
        <v>0</v>
      </c>
      <c r="I53" s="84">
        <v>22.172319999999999</v>
      </c>
      <c r="J53" s="32">
        <v>1.050369453079545E-3</v>
      </c>
      <c r="K53" s="32">
        <v>4.1674750620066294E-5</v>
      </c>
    </row>
    <row r="54" spans="1:11" x14ac:dyDescent="0.25">
      <c r="A54" s="16" t="s">
        <v>2586</v>
      </c>
      <c r="B54" s="32" t="s">
        <v>313</v>
      </c>
      <c r="C54" s="32" t="s">
        <v>259</v>
      </c>
      <c r="D54" s="66" t="s">
        <v>253</v>
      </c>
      <c r="E54" s="66" t="s">
        <v>254</v>
      </c>
      <c r="F54" s="66" t="s">
        <v>125</v>
      </c>
      <c r="G54" s="32">
        <v>0</v>
      </c>
      <c r="H54" s="32">
        <v>0</v>
      </c>
      <c r="I54" s="84">
        <v>6.5828699999999998</v>
      </c>
      <c r="J54" s="32">
        <v>3.1185034139836267E-4</v>
      </c>
      <c r="K54" s="32">
        <v>1.2373060898197202E-5</v>
      </c>
    </row>
    <row r="55" spans="1:11" x14ac:dyDescent="0.25">
      <c r="A55" s="16" t="s">
        <v>2587</v>
      </c>
      <c r="B55" s="32" t="s">
        <v>317</v>
      </c>
      <c r="C55" s="32" t="s">
        <v>259</v>
      </c>
      <c r="D55" s="66" t="s">
        <v>253</v>
      </c>
      <c r="E55" s="66" t="s">
        <v>254</v>
      </c>
      <c r="F55" s="66" t="s">
        <v>125</v>
      </c>
      <c r="G55" s="32">
        <v>0</v>
      </c>
      <c r="H55" s="32">
        <v>0</v>
      </c>
      <c r="I55" s="84">
        <v>158.00587999999999</v>
      </c>
      <c r="J55" s="32">
        <v>7.4852135346662966E-3</v>
      </c>
      <c r="K55" s="32">
        <v>2.9698541449447422E-4</v>
      </c>
    </row>
    <row r="56" spans="1:11" x14ac:dyDescent="0.25">
      <c r="A56" s="16" t="s">
        <v>2597</v>
      </c>
      <c r="B56" s="32" t="s">
        <v>319</v>
      </c>
      <c r="C56" s="32" t="s">
        <v>259</v>
      </c>
      <c r="D56" s="66" t="s">
        <v>253</v>
      </c>
      <c r="E56" s="66" t="s">
        <v>254</v>
      </c>
      <c r="F56" s="66" t="s">
        <v>125</v>
      </c>
      <c r="G56" s="32">
        <v>0</v>
      </c>
      <c r="H56" s="32">
        <v>0</v>
      </c>
      <c r="I56" s="84">
        <v>2.4070800000000001</v>
      </c>
      <c r="J56" s="32">
        <v>1.1403061579116263E-4</v>
      </c>
      <c r="K56" s="32">
        <v>4.5243104340253606E-6</v>
      </c>
    </row>
    <row r="57" spans="1:11" x14ac:dyDescent="0.25">
      <c r="A57" s="16" t="s">
        <v>2586</v>
      </c>
      <c r="B57" s="32" t="s">
        <v>328</v>
      </c>
      <c r="C57" s="32" t="s">
        <v>259</v>
      </c>
      <c r="D57" s="66" t="s">
        <v>253</v>
      </c>
      <c r="E57" s="66" t="s">
        <v>254</v>
      </c>
      <c r="F57" s="66" t="s">
        <v>125</v>
      </c>
      <c r="G57" s="32">
        <v>0</v>
      </c>
      <c r="H57" s="32">
        <v>0</v>
      </c>
      <c r="I57" s="84">
        <v>4.0071000000000003</v>
      </c>
      <c r="J57" s="32">
        <v>1.8982837318941116E-4</v>
      </c>
      <c r="K57" s="32">
        <v>7.5316833425490732E-6</v>
      </c>
    </row>
    <row r="58" spans="1:11" x14ac:dyDescent="0.25">
      <c r="A58" s="16" t="s">
        <v>2598</v>
      </c>
      <c r="B58" s="32" t="s">
        <v>302</v>
      </c>
      <c r="C58" s="32" t="s">
        <v>261</v>
      </c>
      <c r="D58" s="66" t="s">
        <v>253</v>
      </c>
      <c r="E58" s="66" t="s">
        <v>254</v>
      </c>
      <c r="F58" s="66" t="s">
        <v>125</v>
      </c>
      <c r="G58" s="32">
        <v>0</v>
      </c>
      <c r="H58" s="32">
        <v>0</v>
      </c>
      <c r="I58" s="84">
        <v>510.33959999999996</v>
      </c>
      <c r="J58" s="32">
        <v>2.4176321040686483E-2</v>
      </c>
      <c r="K58" s="32">
        <v>9.5922643916127785E-4</v>
      </c>
    </row>
    <row r="59" spans="1:11" x14ac:dyDescent="0.25">
      <c r="A59" s="16" t="s">
        <v>2610</v>
      </c>
      <c r="B59" s="32" t="s">
        <v>305</v>
      </c>
      <c r="C59" s="32" t="s">
        <v>261</v>
      </c>
      <c r="D59" s="66" t="s">
        <v>253</v>
      </c>
      <c r="E59" s="66" t="s">
        <v>254</v>
      </c>
      <c r="F59" s="66" t="s">
        <v>126</v>
      </c>
      <c r="G59" s="32">
        <v>0</v>
      </c>
      <c r="H59" s="32">
        <v>0</v>
      </c>
      <c r="I59" s="84">
        <v>3.6800000000000001E-3</v>
      </c>
      <c r="J59" s="32">
        <v>1.7433266285768589E-7</v>
      </c>
      <c r="K59" s="32">
        <v>6.916871228714179E-9</v>
      </c>
    </row>
    <row r="60" spans="1:11" x14ac:dyDescent="0.25">
      <c r="A60" s="16" t="s">
        <v>2598</v>
      </c>
      <c r="B60" s="32" t="s">
        <v>311</v>
      </c>
      <c r="C60" s="32" t="s">
        <v>261</v>
      </c>
      <c r="D60" s="66" t="s">
        <v>253</v>
      </c>
      <c r="E60" s="66" t="s">
        <v>254</v>
      </c>
      <c r="F60" s="66" t="s">
        <v>125</v>
      </c>
      <c r="G60" s="32">
        <v>0</v>
      </c>
      <c r="H60" s="32">
        <v>0</v>
      </c>
      <c r="I60" s="84">
        <v>1.29182</v>
      </c>
      <c r="J60" s="32">
        <v>6.1197396883917323E-5</v>
      </c>
      <c r="K60" s="32">
        <v>2.4280849431188995E-6</v>
      </c>
    </row>
    <row r="61" spans="1:11" x14ac:dyDescent="0.25">
      <c r="A61" s="16" t="s">
        <v>2598</v>
      </c>
      <c r="B61" s="32" t="s">
        <v>312</v>
      </c>
      <c r="C61" s="32" t="s">
        <v>261</v>
      </c>
      <c r="D61" s="66" t="s">
        <v>253</v>
      </c>
      <c r="E61" s="66" t="s">
        <v>254</v>
      </c>
      <c r="F61" s="66" t="s">
        <v>125</v>
      </c>
      <c r="G61" s="32">
        <v>0</v>
      </c>
      <c r="H61" s="32">
        <v>0</v>
      </c>
      <c r="I61" s="84">
        <v>2.4590000000000001E-2</v>
      </c>
      <c r="J61" s="32">
        <v>1.1649022227365477E-6</v>
      </c>
      <c r="K61" s="32">
        <v>4.6218984650565673E-8</v>
      </c>
    </row>
    <row r="62" spans="1:11" x14ac:dyDescent="0.25">
      <c r="A62" s="16" t="s">
        <v>2598</v>
      </c>
      <c r="B62" s="32" t="s">
        <v>314</v>
      </c>
      <c r="C62" s="32" t="s">
        <v>261</v>
      </c>
      <c r="D62" s="66" t="s">
        <v>253</v>
      </c>
      <c r="E62" s="66" t="s">
        <v>254</v>
      </c>
      <c r="F62" s="66" t="s">
        <v>125</v>
      </c>
      <c r="G62" s="32">
        <v>0</v>
      </c>
      <c r="H62" s="32">
        <v>0</v>
      </c>
      <c r="I62" s="84">
        <v>6.8902299999999999</v>
      </c>
      <c r="J62" s="32">
        <v>3.2641090858747632E-4</v>
      </c>
      <c r="K62" s="32">
        <v>1.2950770012560678E-5</v>
      </c>
    </row>
    <row r="63" spans="1:11" x14ac:dyDescent="0.25">
      <c r="A63" s="16" t="s">
        <v>2599</v>
      </c>
      <c r="B63" s="32" t="s">
        <v>315</v>
      </c>
      <c r="C63" s="32" t="s">
        <v>261</v>
      </c>
      <c r="D63" s="66" t="s">
        <v>253</v>
      </c>
      <c r="E63" s="66" t="s">
        <v>254</v>
      </c>
      <c r="F63" s="66" t="s">
        <v>125</v>
      </c>
      <c r="G63" s="32">
        <v>0</v>
      </c>
      <c r="H63" s="32">
        <v>0</v>
      </c>
      <c r="I63" s="84">
        <v>2.4320000000000001E-2</v>
      </c>
      <c r="J63" s="32">
        <v>1.1521115110594893E-6</v>
      </c>
      <c r="K63" s="32">
        <v>4.5711496815850227E-8</v>
      </c>
    </row>
    <row r="64" spans="1:11" x14ac:dyDescent="0.25">
      <c r="A64" s="16" t="s">
        <v>2599</v>
      </c>
      <c r="B64" s="32" t="s">
        <v>316</v>
      </c>
      <c r="C64" s="32" t="s">
        <v>261</v>
      </c>
      <c r="D64" s="66" t="s">
        <v>253</v>
      </c>
      <c r="E64" s="66" t="s">
        <v>254</v>
      </c>
      <c r="F64" s="66" t="s">
        <v>125</v>
      </c>
      <c r="G64" s="32">
        <v>0</v>
      </c>
      <c r="H64" s="32">
        <v>0</v>
      </c>
      <c r="I64" s="84">
        <v>-1.038E-2</v>
      </c>
      <c r="J64" s="32">
        <v>-4.9173180447358136E-7</v>
      </c>
      <c r="K64" s="32">
        <v>-1.9510087867949233E-8</v>
      </c>
    </row>
    <row r="65" spans="1:11" x14ac:dyDescent="0.25">
      <c r="A65" s="16" t="s">
        <v>2598</v>
      </c>
      <c r="B65" s="32" t="s">
        <v>318</v>
      </c>
      <c r="C65" s="32" t="s">
        <v>261</v>
      </c>
      <c r="D65" s="66" t="s">
        <v>253</v>
      </c>
      <c r="E65" s="66" t="s">
        <v>254</v>
      </c>
      <c r="F65" s="66" t="s">
        <v>125</v>
      </c>
      <c r="G65" s="32">
        <v>0</v>
      </c>
      <c r="H65" s="32">
        <v>0</v>
      </c>
      <c r="I65" s="84">
        <v>8.5199999999999998E-3</v>
      </c>
      <c r="J65" s="32">
        <v>4.0361801292051184E-7</v>
      </c>
      <c r="K65" s="32">
        <v>1.6014060562131741E-8</v>
      </c>
    </row>
    <row r="66" spans="1:11" x14ac:dyDescent="0.25">
      <c r="A66" s="16" t="s">
        <v>2599</v>
      </c>
      <c r="B66" s="32" t="s">
        <v>322</v>
      </c>
      <c r="C66" s="32" t="s">
        <v>261</v>
      </c>
      <c r="D66" s="66" t="s">
        <v>253</v>
      </c>
      <c r="E66" s="66" t="s">
        <v>254</v>
      </c>
      <c r="F66" s="66" t="s">
        <v>125</v>
      </c>
      <c r="G66" s="32">
        <v>0</v>
      </c>
      <c r="H66" s="32">
        <v>0</v>
      </c>
      <c r="I66" s="84">
        <v>-80.376429999999999</v>
      </c>
      <c r="J66" s="32">
        <v>-3.8076731176343442E-3</v>
      </c>
      <c r="K66" s="32">
        <v>-1.5107429786243457E-4</v>
      </c>
    </row>
    <row r="67" spans="1:11" x14ac:dyDescent="0.25">
      <c r="A67" s="16" t="s">
        <v>2598</v>
      </c>
      <c r="B67" s="32" t="s">
        <v>327</v>
      </c>
      <c r="C67" s="32" t="s">
        <v>261</v>
      </c>
      <c r="D67" s="66" t="s">
        <v>253</v>
      </c>
      <c r="E67" s="66" t="s">
        <v>254</v>
      </c>
      <c r="F67" s="66" t="s">
        <v>125</v>
      </c>
      <c r="G67" s="32">
        <v>0</v>
      </c>
      <c r="H67" s="32">
        <v>0</v>
      </c>
      <c r="I67" s="84">
        <v>3.06202</v>
      </c>
      <c r="J67" s="32">
        <v>1.450570924792096E-4</v>
      </c>
      <c r="K67" s="32">
        <v>5.755325554279182E-6</v>
      </c>
    </row>
    <row r="68" spans="1:11" x14ac:dyDescent="0.25">
      <c r="A68" s="16" t="s">
        <v>2599</v>
      </c>
      <c r="B68" s="32" t="s">
        <v>330</v>
      </c>
      <c r="C68" s="32" t="s">
        <v>261</v>
      </c>
      <c r="D68" s="66" t="s">
        <v>253</v>
      </c>
      <c r="E68" s="66" t="s">
        <v>254</v>
      </c>
      <c r="F68" s="66" t="s">
        <v>125</v>
      </c>
      <c r="G68" s="32">
        <v>0</v>
      </c>
      <c r="H68" s="32">
        <v>0</v>
      </c>
      <c r="I68" s="84">
        <v>1.9E-3</v>
      </c>
      <c r="J68" s="32">
        <v>9.0008711801522588E-8</v>
      </c>
      <c r="K68" s="32">
        <v>3.571210688738299E-9</v>
      </c>
    </row>
    <row r="69" spans="1:11" x14ac:dyDescent="0.25">
      <c r="A69" s="16" t="s">
        <v>2577</v>
      </c>
      <c r="B69" s="32" t="s">
        <v>300</v>
      </c>
      <c r="C69" s="32" t="s">
        <v>257</v>
      </c>
      <c r="D69" s="66" t="s">
        <v>253</v>
      </c>
      <c r="E69" s="66" t="s">
        <v>254</v>
      </c>
      <c r="F69" s="66" t="s">
        <v>125</v>
      </c>
      <c r="G69" s="32">
        <v>0</v>
      </c>
      <c r="H69" s="32">
        <v>0</v>
      </c>
      <c r="I69" s="84">
        <v>0.38239999999999996</v>
      </c>
      <c r="J69" s="32">
        <v>1.8115437575211703E-5</v>
      </c>
      <c r="K69" s="32">
        <v>7.1875314072290806E-7</v>
      </c>
    </row>
    <row r="70" spans="1:11" x14ac:dyDescent="0.25">
      <c r="A70" s="16" t="s">
        <v>2578</v>
      </c>
      <c r="B70" s="32" t="s">
        <v>303</v>
      </c>
      <c r="C70" s="32" t="s">
        <v>265</v>
      </c>
      <c r="D70" s="66" t="s">
        <v>266</v>
      </c>
      <c r="E70" s="66" t="s">
        <v>267</v>
      </c>
      <c r="F70" s="66" t="s">
        <v>125</v>
      </c>
      <c r="G70" s="32">
        <v>0</v>
      </c>
      <c r="H70" s="32">
        <v>0</v>
      </c>
      <c r="I70" s="84">
        <v>148.63470999999998</v>
      </c>
      <c r="J70" s="32">
        <v>7.0412730400488885E-3</v>
      </c>
      <c r="K70" s="32">
        <v>2.7937150793132487E-4</v>
      </c>
    </row>
    <row r="71" spans="1:11" x14ac:dyDescent="0.25">
      <c r="A71" s="16" t="s">
        <v>2579</v>
      </c>
      <c r="B71" s="32" t="s">
        <v>308</v>
      </c>
      <c r="C71" s="32" t="s">
        <v>265</v>
      </c>
      <c r="D71" s="66" t="s">
        <v>266</v>
      </c>
      <c r="E71" s="66" t="s">
        <v>267</v>
      </c>
      <c r="F71" s="66" t="s">
        <v>2</v>
      </c>
      <c r="G71" s="32">
        <v>0</v>
      </c>
      <c r="H71" s="32">
        <v>0</v>
      </c>
      <c r="I71" s="84">
        <v>-7.7099999999999998E-3</v>
      </c>
      <c r="J71" s="32">
        <v>-3.6524587788933641E-7</v>
      </c>
      <c r="K71" s="32">
        <v>-1.4491597057985413E-8</v>
      </c>
    </row>
    <row r="72" spans="1:11" x14ac:dyDescent="0.25">
      <c r="A72" s="16" t="s">
        <v>2580</v>
      </c>
      <c r="B72" s="32" t="s">
        <v>309</v>
      </c>
      <c r="C72" s="32" t="s">
        <v>265</v>
      </c>
      <c r="D72" s="66" t="s">
        <v>266</v>
      </c>
      <c r="E72" s="66" t="s">
        <v>267</v>
      </c>
      <c r="F72" s="66" t="s">
        <v>126</v>
      </c>
      <c r="G72" s="32">
        <v>0</v>
      </c>
      <c r="H72" s="32">
        <v>0</v>
      </c>
      <c r="I72" s="84">
        <v>1.2222899999999999</v>
      </c>
      <c r="J72" s="32">
        <v>5.7903551762043713E-5</v>
      </c>
      <c r="K72" s="32">
        <v>2.2973974277568077E-6</v>
      </c>
    </row>
    <row r="73" spans="1:11" x14ac:dyDescent="0.25">
      <c r="A73" s="16" t="s">
        <v>2581</v>
      </c>
      <c r="B73" s="32" t="s">
        <v>323</v>
      </c>
      <c r="C73" s="32" t="s">
        <v>265</v>
      </c>
      <c r="D73" s="66" t="s">
        <v>266</v>
      </c>
      <c r="E73" s="66" t="s">
        <v>267</v>
      </c>
      <c r="F73" s="66" t="s">
        <v>125</v>
      </c>
      <c r="G73" s="32">
        <v>0</v>
      </c>
      <c r="H73" s="32">
        <v>0</v>
      </c>
      <c r="I73" s="84">
        <v>-1.7469999999999999E-2</v>
      </c>
      <c r="J73" s="32">
        <v>-8.2760641851189453E-7</v>
      </c>
      <c r="K73" s="32">
        <v>-3.2836342490662145E-8</v>
      </c>
    </row>
    <row r="74" spans="1:11" x14ac:dyDescent="0.25">
      <c r="A74" s="16" t="s">
        <v>2578</v>
      </c>
      <c r="B74" s="32" t="s">
        <v>324</v>
      </c>
      <c r="C74" s="32" t="s">
        <v>265</v>
      </c>
      <c r="D74" s="66" t="s">
        <v>266</v>
      </c>
      <c r="E74" s="66" t="s">
        <v>267</v>
      </c>
      <c r="F74" s="66" t="s">
        <v>125</v>
      </c>
      <c r="G74" s="32">
        <v>0</v>
      </c>
      <c r="H74" s="32">
        <v>0</v>
      </c>
      <c r="I74" s="84">
        <v>7.24282</v>
      </c>
      <c r="J74" s="32">
        <v>3.4311415684752834E-4</v>
      </c>
      <c r="K74" s="32">
        <v>1.3613492737161857E-5</v>
      </c>
    </row>
    <row r="75" spans="1:11" x14ac:dyDescent="0.25">
      <c r="A75" s="16" t="s">
        <v>2578</v>
      </c>
      <c r="B75" s="32" t="s">
        <v>325</v>
      </c>
      <c r="C75" s="32" t="s">
        <v>265</v>
      </c>
      <c r="D75" s="66" t="s">
        <v>266</v>
      </c>
      <c r="E75" s="66" t="s">
        <v>267</v>
      </c>
      <c r="F75" s="66" t="s">
        <v>125</v>
      </c>
      <c r="G75" s="32">
        <v>0</v>
      </c>
      <c r="H75" s="32">
        <v>0</v>
      </c>
      <c r="I75" s="84">
        <v>0.26083999999999996</v>
      </c>
      <c r="J75" s="32">
        <v>1.2356774940162711E-5</v>
      </c>
      <c r="K75" s="32">
        <v>4.9027084002657776E-7</v>
      </c>
    </row>
    <row r="76" spans="1:11" x14ac:dyDescent="0.25">
      <c r="A76" s="16" t="s">
        <v>2578</v>
      </c>
      <c r="B76" s="32" t="s">
        <v>326</v>
      </c>
      <c r="C76" s="32" t="s">
        <v>265</v>
      </c>
      <c r="D76" s="66" t="s">
        <v>266</v>
      </c>
      <c r="E76" s="66" t="s">
        <v>267</v>
      </c>
      <c r="F76" s="66" t="s">
        <v>125</v>
      </c>
      <c r="G76" s="32">
        <v>0</v>
      </c>
      <c r="H76" s="32">
        <v>0</v>
      </c>
      <c r="I76" s="84">
        <v>0.65955999999999992</v>
      </c>
      <c r="J76" s="32">
        <v>3.1245339976743281E-5</v>
      </c>
      <c r="K76" s="32">
        <v>1.2396988009811749E-6</v>
      </c>
    </row>
    <row r="77" spans="1:11" x14ac:dyDescent="0.25">
      <c r="A77" s="16" t="s">
        <v>2581</v>
      </c>
      <c r="B77" s="32" t="s">
        <v>329</v>
      </c>
      <c r="C77" s="32" t="s">
        <v>265</v>
      </c>
      <c r="D77" s="66" t="s">
        <v>266</v>
      </c>
      <c r="E77" s="66" t="s">
        <v>267</v>
      </c>
      <c r="F77" s="66" t="s">
        <v>125</v>
      </c>
      <c r="G77" s="32">
        <v>0</v>
      </c>
      <c r="H77" s="32">
        <v>0</v>
      </c>
      <c r="I77" s="84">
        <v>-6.1770000000000005E-2</v>
      </c>
      <c r="J77" s="32">
        <v>-2.9262305936737109E-6</v>
      </c>
      <c r="K77" s="32">
        <v>-1.1610193907545513E-7</v>
      </c>
    </row>
    <row r="78" spans="1:11" x14ac:dyDescent="0.25">
      <c r="A78" s="16" t="s">
        <v>2581</v>
      </c>
      <c r="B78" s="32" t="s">
        <v>331</v>
      </c>
      <c r="C78" s="32" t="s">
        <v>265</v>
      </c>
      <c r="D78" s="66" t="s">
        <v>266</v>
      </c>
      <c r="E78" s="66" t="s">
        <v>267</v>
      </c>
      <c r="F78" s="66" t="s">
        <v>125</v>
      </c>
      <c r="G78" s="32">
        <v>0</v>
      </c>
      <c r="H78" s="32">
        <v>0</v>
      </c>
      <c r="I78" s="84">
        <v>101.69774000000001</v>
      </c>
      <c r="J78" s="32">
        <v>4.8177276686979876E-3</v>
      </c>
      <c r="K78" s="32">
        <v>1.9114950321501498E-4</v>
      </c>
    </row>
    <row r="79" spans="1:11" s="118" customFormat="1" x14ac:dyDescent="0.25">
      <c r="A79" s="92" t="s">
        <v>332</v>
      </c>
      <c r="B79" s="120" t="s">
        <v>249</v>
      </c>
      <c r="C79" s="120" t="s">
        <v>249</v>
      </c>
      <c r="D79" s="121" t="s">
        <v>249</v>
      </c>
      <c r="E79" s="121" t="s">
        <v>249</v>
      </c>
      <c r="F79" s="121" t="s">
        <v>249</v>
      </c>
      <c r="G79" s="120" t="s">
        <v>249</v>
      </c>
      <c r="H79" s="120" t="s">
        <v>249</v>
      </c>
      <c r="I79" s="123">
        <v>0</v>
      </c>
      <c r="J79" s="120">
        <v>0</v>
      </c>
      <c r="K79" s="120">
        <v>0</v>
      </c>
    </row>
    <row r="80" spans="1:11" s="118" customFormat="1" x14ac:dyDescent="0.25">
      <c r="A80" s="92" t="s">
        <v>333</v>
      </c>
      <c r="B80" s="120" t="s">
        <v>249</v>
      </c>
      <c r="C80" s="120" t="s">
        <v>249</v>
      </c>
      <c r="D80" s="121" t="s">
        <v>249</v>
      </c>
      <c r="E80" s="121" t="s">
        <v>249</v>
      </c>
      <c r="F80" s="121" t="s">
        <v>249</v>
      </c>
      <c r="G80" s="120" t="s">
        <v>249</v>
      </c>
      <c r="H80" s="120" t="s">
        <v>249</v>
      </c>
      <c r="I80" s="123">
        <v>0</v>
      </c>
      <c r="J80" s="120">
        <v>0</v>
      </c>
      <c r="K80" s="120">
        <v>0</v>
      </c>
    </row>
    <row r="81" spans="1:11" s="118" customFormat="1" x14ac:dyDescent="0.25">
      <c r="A81" s="92" t="s">
        <v>334</v>
      </c>
      <c r="B81" s="120" t="s">
        <v>249</v>
      </c>
      <c r="C81" s="120" t="s">
        <v>249</v>
      </c>
      <c r="D81" s="121" t="s">
        <v>249</v>
      </c>
      <c r="E81" s="121" t="s">
        <v>249</v>
      </c>
      <c r="F81" s="121" t="s">
        <v>249</v>
      </c>
      <c r="G81" s="120" t="s">
        <v>249</v>
      </c>
      <c r="H81" s="120" t="s">
        <v>249</v>
      </c>
      <c r="I81" s="123">
        <v>0</v>
      </c>
      <c r="J81" s="120">
        <v>0</v>
      </c>
      <c r="K81" s="120">
        <v>0</v>
      </c>
    </row>
    <row r="82" spans="1:11" s="118" customFormat="1" x14ac:dyDescent="0.25">
      <c r="A82" s="92" t="s">
        <v>335</v>
      </c>
      <c r="B82" s="120" t="s">
        <v>249</v>
      </c>
      <c r="C82" s="120" t="s">
        <v>249</v>
      </c>
      <c r="D82" s="121" t="s">
        <v>249</v>
      </c>
      <c r="E82" s="121" t="s">
        <v>249</v>
      </c>
      <c r="F82" s="121" t="s">
        <v>249</v>
      </c>
      <c r="G82" s="120" t="s">
        <v>249</v>
      </c>
      <c r="H82" s="120" t="s">
        <v>249</v>
      </c>
      <c r="I82" s="123">
        <v>10315.577820099999</v>
      </c>
      <c r="J82" s="120">
        <v>0.48867993214503136</v>
      </c>
      <c r="K82" s="120">
        <v>1.9389000932448861E-2</v>
      </c>
    </row>
    <row r="83" spans="1:11" x14ac:dyDescent="0.25">
      <c r="A83" s="16" t="s">
        <v>341</v>
      </c>
      <c r="B83" s="32" t="s">
        <v>342</v>
      </c>
      <c r="C83" s="32" t="s">
        <v>252</v>
      </c>
      <c r="D83" s="66" t="s">
        <v>253</v>
      </c>
      <c r="E83" s="66" t="s">
        <v>254</v>
      </c>
      <c r="F83" s="66" t="s">
        <v>255</v>
      </c>
      <c r="G83" s="32">
        <v>8.0000000000000004E-4</v>
      </c>
      <c r="H83" s="32">
        <v>8.0000000000000004E-4</v>
      </c>
      <c r="I83" s="84">
        <v>0.71582000000000001</v>
      </c>
      <c r="J83" s="32">
        <v>3.3910545306192581E-5</v>
      </c>
      <c r="K83" s="32">
        <v>1.345444229059289E-6</v>
      </c>
    </row>
    <row r="84" spans="1:11" x14ac:dyDescent="0.25">
      <c r="A84" s="16" t="s">
        <v>336</v>
      </c>
      <c r="B84" s="32" t="s">
        <v>337</v>
      </c>
      <c r="C84" s="32" t="s">
        <v>261</v>
      </c>
      <c r="D84" s="66" t="s">
        <v>253</v>
      </c>
      <c r="E84" s="66" t="s">
        <v>254</v>
      </c>
      <c r="F84" s="66" t="s">
        <v>255</v>
      </c>
      <c r="G84" s="32">
        <v>8.0000000000000004E-4</v>
      </c>
      <c r="H84" s="32">
        <v>8.0000000000000004E-4</v>
      </c>
      <c r="I84" s="84">
        <v>0.34326999999999996</v>
      </c>
      <c r="J84" s="32">
        <v>1.6261731842162452E-5</v>
      </c>
      <c r="K84" s="32">
        <v>6.4520499638062929E-7</v>
      </c>
    </row>
    <row r="85" spans="1:11" x14ac:dyDescent="0.25">
      <c r="A85" s="16" t="s">
        <v>346</v>
      </c>
      <c r="B85" s="32" t="s">
        <v>347</v>
      </c>
      <c r="C85" s="32" t="s">
        <v>257</v>
      </c>
      <c r="D85" s="66" t="s">
        <v>253</v>
      </c>
      <c r="E85" s="66" t="s">
        <v>254</v>
      </c>
      <c r="F85" s="66" t="s">
        <v>255</v>
      </c>
      <c r="G85" s="32">
        <v>8.0000000000000004E-4</v>
      </c>
      <c r="H85" s="32">
        <v>8.0000000000000004E-4</v>
      </c>
      <c r="I85" s="84">
        <v>1.82064</v>
      </c>
      <c r="J85" s="32">
        <v>8.6249190028591638E-5</v>
      </c>
      <c r="K85" s="32">
        <v>3.4220468570234192E-6</v>
      </c>
    </row>
    <row r="86" spans="1:11" x14ac:dyDescent="0.25">
      <c r="A86" s="16" t="s">
        <v>348</v>
      </c>
      <c r="B86" s="32" t="s">
        <v>349</v>
      </c>
      <c r="C86" s="32" t="s">
        <v>257</v>
      </c>
      <c r="D86" s="66" t="s">
        <v>253</v>
      </c>
      <c r="E86" s="66" t="s">
        <v>254</v>
      </c>
      <c r="F86" s="66" t="s">
        <v>255</v>
      </c>
      <c r="G86" s="32">
        <v>8.0000000000000004E-4</v>
      </c>
      <c r="H86" s="32">
        <v>8.0000000000000004E-4</v>
      </c>
      <c r="I86" s="84">
        <v>10308.006100000001</v>
      </c>
      <c r="J86" s="32">
        <v>0.4883212370017036</v>
      </c>
      <c r="K86" s="32">
        <v>1.9374769244157677E-2</v>
      </c>
    </row>
    <row r="87" spans="1:11" x14ac:dyDescent="0.25">
      <c r="A87" s="16" t="s">
        <v>343</v>
      </c>
      <c r="B87" s="32" t="s">
        <v>344</v>
      </c>
      <c r="C87" s="32" t="s">
        <v>345</v>
      </c>
      <c r="D87" s="66" t="s">
        <v>253</v>
      </c>
      <c r="E87" s="66" t="s">
        <v>254</v>
      </c>
      <c r="F87" s="66" t="s">
        <v>255</v>
      </c>
      <c r="G87" s="32">
        <v>8.0000000000000004E-4</v>
      </c>
      <c r="H87" s="32">
        <v>8.0000000000000004E-4</v>
      </c>
      <c r="I87" s="84">
        <v>0.95963999999999994</v>
      </c>
      <c r="J87" s="32">
        <v>4.5461031680638497E-5</v>
      </c>
      <c r="K87" s="32">
        <v>1.8037245396530636E-6</v>
      </c>
    </row>
    <row r="88" spans="1:11" x14ac:dyDescent="0.25">
      <c r="A88" s="16" t="s">
        <v>338</v>
      </c>
      <c r="B88" s="32" t="s">
        <v>339</v>
      </c>
      <c r="C88" s="32" t="s">
        <v>340</v>
      </c>
      <c r="D88" s="66" t="s">
        <v>253</v>
      </c>
      <c r="E88" s="66" t="s">
        <v>254</v>
      </c>
      <c r="F88" s="66" t="s">
        <v>255</v>
      </c>
      <c r="G88" s="32">
        <v>8.0000000000000004E-4</v>
      </c>
      <c r="H88" s="32">
        <v>8.0000000000000004E-4</v>
      </c>
      <c r="I88" s="84">
        <v>3.7323499999999998</v>
      </c>
      <c r="J88" s="32">
        <v>1.7681263973284888E-4</v>
      </c>
      <c r="K88" s="32">
        <v>7.0152674811117843E-6</v>
      </c>
    </row>
    <row r="89" spans="1:11" s="118" customFormat="1" x14ac:dyDescent="0.25">
      <c r="A89" s="92" t="s">
        <v>350</v>
      </c>
      <c r="B89" s="120" t="s">
        <v>249</v>
      </c>
      <c r="C89" s="120" t="s">
        <v>249</v>
      </c>
      <c r="D89" s="121" t="s">
        <v>249</v>
      </c>
      <c r="E89" s="121" t="s">
        <v>249</v>
      </c>
      <c r="F89" s="121" t="s">
        <v>249</v>
      </c>
      <c r="G89" s="120" t="s">
        <v>249</v>
      </c>
      <c r="H89" s="120" t="s">
        <v>249</v>
      </c>
      <c r="I89" s="123">
        <v>1834.8712701000002</v>
      </c>
      <c r="J89" s="120">
        <v>8.6923368075434021E-2</v>
      </c>
      <c r="K89" s="120">
        <v>3.4487957327578628E-3</v>
      </c>
    </row>
    <row r="90" spans="1:11" x14ac:dyDescent="0.25">
      <c r="A90" s="16" t="s">
        <v>2600</v>
      </c>
      <c r="B90" s="32" t="s">
        <v>351</v>
      </c>
      <c r="C90" s="32" t="s">
        <v>259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1835.52</v>
      </c>
      <c r="J90" s="32">
        <v>8.6954100361016182E-2</v>
      </c>
      <c r="K90" s="32">
        <v>3.4500150754699591E-3</v>
      </c>
    </row>
    <row r="91" spans="1:11" x14ac:dyDescent="0.25">
      <c r="A91" s="16" t="s">
        <v>2600</v>
      </c>
      <c r="B91" s="32" t="s">
        <v>353</v>
      </c>
      <c r="C91" s="32" t="s">
        <v>259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-2.4329299999999998</v>
      </c>
      <c r="J91" s="32">
        <v>-1.1525520800172546E-4</v>
      </c>
      <c r="K91" s="32">
        <v>-4.5728976952379312E-6</v>
      </c>
    </row>
    <row r="92" spans="1:11" x14ac:dyDescent="0.25">
      <c r="A92" s="16" t="s">
        <v>2600</v>
      </c>
      <c r="B92" s="32" t="s">
        <v>354</v>
      </c>
      <c r="C92" s="32" t="s">
        <v>259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3.4850500000000002</v>
      </c>
      <c r="J92" s="32">
        <v>1.6509729529678755E-4</v>
      </c>
      <c r="K92" s="32">
        <v>6.5504462162038994E-6</v>
      </c>
    </row>
    <row r="93" spans="1:11" x14ac:dyDescent="0.25">
      <c r="A93" s="16" t="s">
        <v>2601</v>
      </c>
      <c r="B93" s="32" t="s">
        <v>352</v>
      </c>
      <c r="C93" s="32" t="s">
        <v>261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-2.2083499999999998</v>
      </c>
      <c r="J93" s="32">
        <v>-1.0461617826678548E-4</v>
      </c>
      <c r="K93" s="32">
        <v>-4.1507805918290637E-6</v>
      </c>
    </row>
    <row r="94" spans="1:11" x14ac:dyDescent="0.25">
      <c r="A94" s="16" t="s">
        <v>2601</v>
      </c>
      <c r="B94" s="32" t="s">
        <v>355</v>
      </c>
      <c r="C94" s="32" t="s">
        <v>261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0.50749999999999995</v>
      </c>
      <c r="J94" s="32">
        <v>2.4041800652248797E-5</v>
      </c>
      <c r="K94" s="32">
        <v>9.5388917080772975E-7</v>
      </c>
    </row>
    <row r="95" spans="1:11" s="118" customFormat="1" x14ac:dyDescent="0.25">
      <c r="A95" s="92" t="s">
        <v>356</v>
      </c>
      <c r="B95" s="120" t="s">
        <v>249</v>
      </c>
      <c r="C95" s="120" t="s">
        <v>249</v>
      </c>
      <c r="D95" s="121" t="s">
        <v>249</v>
      </c>
      <c r="E95" s="121" t="s">
        <v>249</v>
      </c>
      <c r="F95" s="121" t="s">
        <v>249</v>
      </c>
      <c r="G95" s="120" t="s">
        <v>249</v>
      </c>
      <c r="H95" s="120" t="s">
        <v>249</v>
      </c>
      <c r="I95" s="123">
        <v>78.943920199999994</v>
      </c>
      <c r="J95" s="120">
        <v>3.7398108219811564E-3</v>
      </c>
      <c r="K95" s="120">
        <v>1.4838177454165437E-4</v>
      </c>
    </row>
    <row r="96" spans="1:11" s="118" customFormat="1" x14ac:dyDescent="0.25">
      <c r="A96" s="92" t="s">
        <v>298</v>
      </c>
      <c r="B96" s="120" t="s">
        <v>249</v>
      </c>
      <c r="C96" s="120" t="s">
        <v>249</v>
      </c>
      <c r="D96" s="121" t="s">
        <v>249</v>
      </c>
      <c r="E96" s="121" t="s">
        <v>249</v>
      </c>
      <c r="F96" s="121" t="s">
        <v>249</v>
      </c>
      <c r="G96" s="120" t="s">
        <v>249</v>
      </c>
      <c r="H96" s="120" t="s">
        <v>249</v>
      </c>
      <c r="I96" s="123">
        <v>-72.804679899999996</v>
      </c>
      <c r="J96" s="120">
        <v>-3.4489765531164236E-3</v>
      </c>
      <c r="K96" s="120">
        <v>-1.3684255318371073E-4</v>
      </c>
    </row>
    <row r="97" spans="1:11" x14ac:dyDescent="0.25">
      <c r="A97" s="16" t="s">
        <v>2602</v>
      </c>
      <c r="B97" s="32" t="s">
        <v>357</v>
      </c>
      <c r="C97" s="32" t="s">
        <v>358</v>
      </c>
      <c r="D97" s="66" t="s">
        <v>359</v>
      </c>
      <c r="E97" s="66" t="s">
        <v>267</v>
      </c>
      <c r="F97" s="66" t="s">
        <v>2</v>
      </c>
      <c r="G97" s="32">
        <v>0</v>
      </c>
      <c r="H97" s="32">
        <v>0</v>
      </c>
      <c r="I97" s="84">
        <v>8.7000000000000001E-4</v>
      </c>
      <c r="J97" s="32">
        <v>4.1214515403855082E-8</v>
      </c>
      <c r="K97" s="32">
        <v>1.6352385785275369E-9</v>
      </c>
    </row>
    <row r="98" spans="1:11" x14ac:dyDescent="0.25">
      <c r="A98" s="16" t="s">
        <v>2603</v>
      </c>
      <c r="B98" s="32" t="s">
        <v>360</v>
      </c>
      <c r="C98" s="32" t="s">
        <v>358</v>
      </c>
      <c r="D98" s="66" t="s">
        <v>359</v>
      </c>
      <c r="E98" s="66" t="s">
        <v>267</v>
      </c>
      <c r="F98" s="66" t="s">
        <v>125</v>
      </c>
      <c r="G98" s="32">
        <v>0</v>
      </c>
      <c r="H98" s="32">
        <v>0</v>
      </c>
      <c r="I98" s="84">
        <v>4.8049999999999995E-2</v>
      </c>
      <c r="J98" s="32">
        <v>2.2762729484542949E-6</v>
      </c>
      <c r="K98" s="32">
        <v>9.0314038733618547E-8</v>
      </c>
    </row>
    <row r="99" spans="1:11" x14ac:dyDescent="0.25">
      <c r="A99" s="16" t="s">
        <v>2604</v>
      </c>
      <c r="B99" s="32" t="s">
        <v>361</v>
      </c>
      <c r="C99" s="32" t="s">
        <v>358</v>
      </c>
      <c r="D99" s="66" t="s">
        <v>359</v>
      </c>
      <c r="E99" s="66" t="s">
        <v>267</v>
      </c>
      <c r="F99" s="66" t="s">
        <v>125</v>
      </c>
      <c r="G99" s="32">
        <v>0</v>
      </c>
      <c r="H99" s="32">
        <v>0</v>
      </c>
      <c r="I99" s="84">
        <v>-8.1768900000000002</v>
      </c>
      <c r="J99" s="32">
        <v>-3.8736386075934325E-4</v>
      </c>
      <c r="K99" s="32">
        <v>-1.5369156299282793E-5</v>
      </c>
    </row>
    <row r="100" spans="1:11" x14ac:dyDescent="0.25">
      <c r="A100" s="16" t="s">
        <v>2611</v>
      </c>
      <c r="B100" s="32" t="s">
        <v>362</v>
      </c>
      <c r="C100" s="32" t="s">
        <v>363</v>
      </c>
      <c r="D100" s="66" t="s">
        <v>364</v>
      </c>
      <c r="E100" s="66" t="s">
        <v>267</v>
      </c>
      <c r="F100" s="66" t="s">
        <v>125</v>
      </c>
      <c r="G100" s="32">
        <v>0</v>
      </c>
      <c r="H100" s="32">
        <v>0</v>
      </c>
      <c r="I100" s="84">
        <v>0.68933</v>
      </c>
      <c r="J100" s="32">
        <v>3.2655634371654516E-5</v>
      </c>
      <c r="K100" s="32">
        <v>1.2956540337199852E-6</v>
      </c>
    </row>
    <row r="101" spans="1:11" x14ac:dyDescent="0.25">
      <c r="A101" s="16" t="s">
        <v>2588</v>
      </c>
      <c r="B101" s="32" t="s">
        <v>365</v>
      </c>
      <c r="C101" s="32" t="s">
        <v>366</v>
      </c>
      <c r="D101" s="66" t="s">
        <v>367</v>
      </c>
      <c r="E101" s="66" t="s">
        <v>368</v>
      </c>
      <c r="F101" s="66" t="s">
        <v>125</v>
      </c>
      <c r="G101" s="32">
        <v>0</v>
      </c>
      <c r="H101" s="32">
        <v>0</v>
      </c>
      <c r="I101" s="84">
        <v>-65.366039999999998</v>
      </c>
      <c r="J101" s="32">
        <v>-3.0965858189298937E-3</v>
      </c>
      <c r="K101" s="32">
        <v>-1.2286100038341852E-4</v>
      </c>
    </row>
    <row r="102" spans="1:11" s="118" customFormat="1" x14ac:dyDescent="0.25">
      <c r="A102" s="92" t="s">
        <v>350</v>
      </c>
      <c r="B102" s="120" t="s">
        <v>249</v>
      </c>
      <c r="C102" s="120" t="s">
        <v>249</v>
      </c>
      <c r="D102" s="121" t="s">
        <v>249</v>
      </c>
      <c r="E102" s="121" t="s">
        <v>249</v>
      </c>
      <c r="F102" s="121" t="s">
        <v>249</v>
      </c>
      <c r="G102" s="120" t="s">
        <v>249</v>
      </c>
      <c r="H102" s="120" t="s">
        <v>249</v>
      </c>
      <c r="I102" s="123">
        <v>151.7486001</v>
      </c>
      <c r="J102" s="120">
        <v>7.1887873750975809E-3</v>
      </c>
      <c r="K102" s="120">
        <v>2.8522432772536512E-4</v>
      </c>
    </row>
    <row r="103" spans="1:11" x14ac:dyDescent="0.25">
      <c r="A103" s="16" t="s">
        <v>2605</v>
      </c>
      <c r="B103" s="32" t="s">
        <v>369</v>
      </c>
      <c r="C103" s="32" t="s">
        <v>358</v>
      </c>
      <c r="D103" s="66" t="s">
        <v>359</v>
      </c>
      <c r="E103" s="66" t="s">
        <v>267</v>
      </c>
      <c r="F103" s="66" t="s">
        <v>125</v>
      </c>
      <c r="G103" s="32">
        <v>0</v>
      </c>
      <c r="H103" s="32">
        <v>0</v>
      </c>
      <c r="I103" s="84">
        <v>-134.91476</v>
      </c>
      <c r="J103" s="32">
        <v>-6.3913177634797843E-3</v>
      </c>
      <c r="K103" s="32">
        <v>-2.5358370156871701E-4</v>
      </c>
    </row>
    <row r="104" spans="1:11" x14ac:dyDescent="0.25">
      <c r="A104" s="16" t="s">
        <v>2612</v>
      </c>
      <c r="B104" s="32" t="s">
        <v>370</v>
      </c>
      <c r="C104" s="32" t="s">
        <v>363</v>
      </c>
      <c r="D104" s="66" t="s">
        <v>364</v>
      </c>
      <c r="E104" s="66" t="s">
        <v>267</v>
      </c>
      <c r="F104" s="66" t="s">
        <v>125</v>
      </c>
      <c r="G104" s="32">
        <v>0</v>
      </c>
      <c r="H104" s="32">
        <v>0</v>
      </c>
      <c r="I104" s="84">
        <v>199.30967000000001</v>
      </c>
      <c r="J104" s="32">
        <v>9.4418982348876707E-3</v>
      </c>
      <c r="K104" s="32">
        <v>3.7461938098573848E-4</v>
      </c>
    </row>
    <row r="105" spans="1:11" x14ac:dyDescent="0.25">
      <c r="A105" s="16" t="s">
        <v>2582</v>
      </c>
      <c r="B105" s="32" t="s">
        <v>371</v>
      </c>
      <c r="C105" s="32" t="s">
        <v>265</v>
      </c>
      <c r="D105" s="66" t="s">
        <v>266</v>
      </c>
      <c r="E105" s="66" t="s">
        <v>267</v>
      </c>
      <c r="F105" s="66" t="s">
        <v>125</v>
      </c>
      <c r="G105" s="32">
        <v>0</v>
      </c>
      <c r="H105" s="32">
        <v>0</v>
      </c>
      <c r="I105" s="84">
        <v>-4.7539999999999999E-2</v>
      </c>
      <c r="J105" s="32">
        <v>-2.2521127152865179E-6</v>
      </c>
      <c r="K105" s="32">
        <v>-8.9355450601378278E-8</v>
      </c>
    </row>
    <row r="106" spans="1:11" x14ac:dyDescent="0.25">
      <c r="A106" s="16" t="s">
        <v>2589</v>
      </c>
      <c r="B106" s="32" t="s">
        <v>372</v>
      </c>
      <c r="C106" s="32" t="s">
        <v>366</v>
      </c>
      <c r="D106" s="66" t="s">
        <v>367</v>
      </c>
      <c r="E106" s="66" t="s">
        <v>368</v>
      </c>
      <c r="F106" s="66" t="s">
        <v>125</v>
      </c>
      <c r="G106" s="32">
        <v>0</v>
      </c>
      <c r="H106" s="32">
        <v>0</v>
      </c>
      <c r="I106" s="84">
        <v>87.364449999999991</v>
      </c>
      <c r="J106" s="32">
        <v>4.1387166324992264E-3</v>
      </c>
      <c r="K106" s="32">
        <v>1.6420887245039087E-4</v>
      </c>
    </row>
    <row r="107" spans="1:11" x14ac:dyDescent="0.25">
      <c r="A107" s="16" t="s">
        <v>2590</v>
      </c>
      <c r="B107" s="32" t="s">
        <v>373</v>
      </c>
      <c r="C107" s="32" t="s">
        <v>366</v>
      </c>
      <c r="D107" s="66" t="s">
        <v>367</v>
      </c>
      <c r="E107" s="66" t="s">
        <v>368</v>
      </c>
      <c r="F107" s="66" t="s">
        <v>125</v>
      </c>
      <c r="G107" s="32">
        <v>0</v>
      </c>
      <c r="H107" s="32">
        <v>0</v>
      </c>
      <c r="I107" s="84">
        <v>3.678E-2</v>
      </c>
      <c r="J107" s="32">
        <v>1.7423791684526322E-6</v>
      </c>
      <c r="K107" s="32">
        <v>6.9131120595681383E-8</v>
      </c>
    </row>
    <row r="108" spans="1:11" s="118" customFormat="1" x14ac:dyDescent="0.25">
      <c r="A108" s="78" t="s">
        <v>241</v>
      </c>
      <c r="B108" s="124"/>
      <c r="C108" s="124"/>
      <c r="D108" s="124"/>
      <c r="E108" s="125"/>
      <c r="F108" s="126"/>
      <c r="G108" s="127"/>
      <c r="H108" s="128"/>
      <c r="I108" s="127"/>
      <c r="J108" s="129"/>
    </row>
    <row r="109" spans="1:11" s="118" customFormat="1" x14ac:dyDescent="0.25">
      <c r="A109" s="78" t="s">
        <v>242</v>
      </c>
      <c r="B109" s="124"/>
      <c r="C109" s="124"/>
      <c r="D109" s="124"/>
      <c r="E109" s="125"/>
      <c r="F109" s="126"/>
      <c r="G109" s="127"/>
      <c r="H109" s="128"/>
      <c r="I109" s="127"/>
      <c r="J109" s="129"/>
    </row>
    <row r="110" spans="1:11" s="118" customFormat="1" x14ac:dyDescent="0.25">
      <c r="A110" s="78" t="s">
        <v>243</v>
      </c>
      <c r="B110" s="124"/>
      <c r="C110" s="124"/>
      <c r="D110" s="124"/>
      <c r="E110" s="125"/>
      <c r="F110" s="126"/>
      <c r="G110" s="127"/>
      <c r="H110" s="128"/>
      <c r="I110" s="127"/>
      <c r="J110" s="129"/>
    </row>
    <row r="111" spans="1:11" s="118" customFormat="1" x14ac:dyDescent="0.25">
      <c r="A111" s="78" t="s">
        <v>244</v>
      </c>
      <c r="B111" s="124"/>
      <c r="C111" s="124"/>
      <c r="D111" s="124"/>
      <c r="E111" s="125"/>
      <c r="F111" s="126"/>
      <c r="G111" s="127"/>
      <c r="H111" s="128"/>
      <c r="I111" s="127"/>
      <c r="J111" s="129"/>
    </row>
    <row r="112" spans="1:11" s="118" customFormat="1" x14ac:dyDescent="0.25">
      <c r="A112" s="78" t="s">
        <v>245</v>
      </c>
      <c r="B112" s="124"/>
      <c r="C112" s="124"/>
      <c r="D112" s="124"/>
      <c r="E112" s="125"/>
      <c r="F112" s="126"/>
      <c r="G112" s="127"/>
      <c r="H112" s="128"/>
      <c r="I112" s="127"/>
      <c r="J112" s="129"/>
    </row>
  </sheetData>
  <mergeCells count="1">
    <mergeCell ref="A4:K4"/>
  </mergeCells>
  <phoneticPr fontId="3" type="noConversion"/>
  <conditionalFormatting sqref="A9:A107 I9:K107">
    <cfRule type="expression" dxfId="129" priority="43" stopIfTrue="1">
      <formula>OR(LEFT(#REF!,3)="TIR",LEFT(#REF!,2)="IR")</formula>
    </cfRule>
  </conditionalFormatting>
  <conditionalFormatting sqref="B9:F107 J9:K107">
    <cfRule type="expression" dxfId="128" priority="39" stopIfTrue="1">
      <formula>LEFT(#REF!,3)="TIR"</formula>
    </cfRule>
  </conditionalFormatting>
  <conditionalFormatting sqref="G1:G3 G9:H107 G108:G55642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07 A9:A107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</row>
    <row r="5" spans="1:17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7"/>
    </row>
    <row r="6" spans="1:17" s="7" customFormat="1" ht="28.5" customHeight="1" x14ac:dyDescent="0.25">
      <c r="A6" s="206" t="s">
        <v>157</v>
      </c>
      <c r="B6" s="204" t="s">
        <v>69</v>
      </c>
      <c r="C6" s="204" t="s">
        <v>76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134</v>
      </c>
      <c r="N6" s="205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8" customFormat="1" ht="12.75" customHeight="1" thickBot="1" x14ac:dyDescent="0.3">
      <c r="A9" s="99" t="s">
        <v>52</v>
      </c>
      <c r="B9" s="67"/>
      <c r="C9" s="67"/>
      <c r="D9" s="100"/>
      <c r="E9" s="100"/>
      <c r="F9" s="100"/>
      <c r="G9" s="100"/>
      <c r="H9" s="100"/>
      <c r="I9" s="67"/>
      <c r="J9" s="67"/>
      <c r="K9" s="103"/>
      <c r="L9" s="100"/>
      <c r="M9" s="100" t="s">
        <v>249</v>
      </c>
      <c r="N9" s="104">
        <v>210433.35048070003</v>
      </c>
      <c r="O9" s="67"/>
      <c r="P9" s="67">
        <v>1</v>
      </c>
      <c r="Q9" s="81">
        <v>0.39552727921246766</v>
      </c>
    </row>
    <row r="10" spans="1:17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0" t="s">
        <v>249</v>
      </c>
      <c r="I10" s="130" t="s">
        <v>249</v>
      </c>
      <c r="J10" s="130" t="s">
        <v>249</v>
      </c>
      <c r="K10" s="132" t="s">
        <v>249</v>
      </c>
      <c r="L10" s="121" t="s">
        <v>249</v>
      </c>
      <c r="M10" s="121" t="s">
        <v>249</v>
      </c>
      <c r="N10" s="133">
        <v>210433.35048049997</v>
      </c>
      <c r="O10" s="120" t="s">
        <v>249</v>
      </c>
      <c r="P10" s="120">
        <v>0.99999999999904943</v>
      </c>
      <c r="Q10" s="120">
        <v>0.39552727921209163</v>
      </c>
    </row>
    <row r="11" spans="1:17" s="118" customFormat="1" x14ac:dyDescent="0.25">
      <c r="A11" s="92" t="s">
        <v>374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0" t="s">
        <v>249</v>
      </c>
      <c r="I11" s="130" t="s">
        <v>249</v>
      </c>
      <c r="J11" s="130" t="s">
        <v>249</v>
      </c>
      <c r="K11" s="134" t="s">
        <v>249</v>
      </c>
      <c r="L11" s="135" t="s">
        <v>249</v>
      </c>
      <c r="M11" s="135" t="s">
        <v>249</v>
      </c>
      <c r="N11" s="123">
        <v>210433.35048010002</v>
      </c>
      <c r="O11" s="136"/>
      <c r="P11" s="120">
        <v>0.99999999999714884</v>
      </c>
      <c r="Q11" s="120">
        <v>0.3955272792113399</v>
      </c>
    </row>
    <row r="12" spans="1:17" x14ac:dyDescent="0.25">
      <c r="A12" s="16" t="s">
        <v>401</v>
      </c>
      <c r="B12" s="116" t="s">
        <v>402</v>
      </c>
      <c r="C12" s="116" t="s">
        <v>377</v>
      </c>
      <c r="D12" s="116" t="s">
        <v>367</v>
      </c>
      <c r="E12" s="116" t="s">
        <v>368</v>
      </c>
      <c r="F12" s="116" t="s">
        <v>403</v>
      </c>
      <c r="G12" s="117">
        <v>0</v>
      </c>
      <c r="H12" s="116" t="s">
        <v>255</v>
      </c>
      <c r="I12" s="116">
        <v>0</v>
      </c>
      <c r="J12" s="116">
        <v>0</v>
      </c>
      <c r="K12" s="69">
        <v>-5572284.0321821878</v>
      </c>
      <c r="L12" s="60">
        <v>103.2394</v>
      </c>
      <c r="M12" s="60">
        <v>0</v>
      </c>
      <c r="N12" s="84">
        <v>-5752.7925999999998</v>
      </c>
      <c r="O12" s="24">
        <v>0</v>
      </c>
      <c r="P12" s="32">
        <v>-2.7337836834602031E-2</v>
      </c>
      <c r="Q12" s="32">
        <v>-1.081286022274452E-2</v>
      </c>
    </row>
    <row r="13" spans="1:17" x14ac:dyDescent="0.25">
      <c r="A13" s="16" t="s">
        <v>404</v>
      </c>
      <c r="B13" s="116" t="s">
        <v>405</v>
      </c>
      <c r="C13" s="116" t="s">
        <v>377</v>
      </c>
      <c r="D13" s="116" t="s">
        <v>367</v>
      </c>
      <c r="E13" s="116" t="s">
        <v>368</v>
      </c>
      <c r="F13" s="116" t="s">
        <v>406</v>
      </c>
      <c r="G13" s="117">
        <v>0</v>
      </c>
      <c r="H13" s="116" t="s">
        <v>255</v>
      </c>
      <c r="I13" s="116">
        <v>0</v>
      </c>
      <c r="J13" s="116">
        <v>0</v>
      </c>
      <c r="K13" s="69">
        <v>-4457827.2257457497</v>
      </c>
      <c r="L13" s="60">
        <v>106.00689999999999</v>
      </c>
      <c r="M13" s="60">
        <v>0</v>
      </c>
      <c r="N13" s="84">
        <v>-4725.6044499999998</v>
      </c>
      <c r="O13" s="24">
        <v>0</v>
      </c>
      <c r="P13" s="32">
        <v>-2.2456537612527399E-2</v>
      </c>
      <c r="Q13" s="32">
        <v>-8.8821732224154057E-3</v>
      </c>
    </row>
    <row r="14" spans="1:17" x14ac:dyDescent="0.25">
      <c r="A14" s="16" t="s">
        <v>375</v>
      </c>
      <c r="B14" s="116" t="s">
        <v>376</v>
      </c>
      <c r="C14" s="116" t="s">
        <v>377</v>
      </c>
      <c r="D14" s="116" t="s">
        <v>378</v>
      </c>
      <c r="E14" s="116" t="s">
        <v>218</v>
      </c>
      <c r="F14" s="116" t="s">
        <v>379</v>
      </c>
      <c r="G14" s="117">
        <v>14.71</v>
      </c>
      <c r="H14" s="116" t="s">
        <v>255</v>
      </c>
      <c r="I14" s="116">
        <v>2.75E-2</v>
      </c>
      <c r="J14" s="116">
        <v>1.54E-2</v>
      </c>
      <c r="K14" s="69">
        <v>13800.118031877248</v>
      </c>
      <c r="L14" s="60">
        <v>141.94</v>
      </c>
      <c r="M14" s="69">
        <v>0</v>
      </c>
      <c r="N14" s="84">
        <v>19.587889999999998</v>
      </c>
      <c r="O14" s="24">
        <v>7.6943176510972626E-7</v>
      </c>
      <c r="P14" s="32">
        <v>9.3083581833652889E-5</v>
      </c>
      <c r="Q14" s="32">
        <v>3.6817095862015805E-5</v>
      </c>
    </row>
    <row r="15" spans="1:17" x14ac:dyDescent="0.25">
      <c r="A15" s="16" t="s">
        <v>380</v>
      </c>
      <c r="B15" s="116" t="s">
        <v>381</v>
      </c>
      <c r="C15" s="116" t="s">
        <v>377</v>
      </c>
      <c r="D15" s="116" t="s">
        <v>378</v>
      </c>
      <c r="E15" s="116" t="s">
        <v>218</v>
      </c>
      <c r="F15" s="116" t="s">
        <v>382</v>
      </c>
      <c r="G15" s="117">
        <v>2.0699999999999998</v>
      </c>
      <c r="H15" s="116" t="s">
        <v>255</v>
      </c>
      <c r="I15" s="116">
        <v>7.4999999999999997E-3</v>
      </c>
      <c r="J15" s="116">
        <v>1.7399999999999999E-2</v>
      </c>
      <c r="K15" s="69">
        <v>63743830.737037882</v>
      </c>
      <c r="L15" s="60">
        <v>110.35999999999999</v>
      </c>
      <c r="M15" s="60">
        <v>0</v>
      </c>
      <c r="N15" s="84">
        <v>70347.691599999991</v>
      </c>
      <c r="O15" s="24">
        <v>2.9129084718725914E-3</v>
      </c>
      <c r="P15" s="32">
        <v>0.33429915666553034</v>
      </c>
      <c r="Q15" s="32">
        <v>0.1322244358789397</v>
      </c>
    </row>
    <row r="16" spans="1:17" x14ac:dyDescent="0.25">
      <c r="A16" s="16" t="s">
        <v>383</v>
      </c>
      <c r="B16" s="116" t="s">
        <v>384</v>
      </c>
      <c r="C16" s="116" t="s">
        <v>377</v>
      </c>
      <c r="D16" s="116" t="s">
        <v>378</v>
      </c>
      <c r="E16" s="116" t="s">
        <v>218</v>
      </c>
      <c r="F16" s="116" t="s">
        <v>385</v>
      </c>
      <c r="G16" s="117">
        <v>3.63</v>
      </c>
      <c r="H16" s="116" t="s">
        <v>255</v>
      </c>
      <c r="I16" s="116">
        <v>7.4999999999999997E-3</v>
      </c>
      <c r="J16" s="116">
        <v>1.5600000000000001E-2</v>
      </c>
      <c r="K16" s="69">
        <v>21632013.96918314</v>
      </c>
      <c r="L16" s="60">
        <v>109.59</v>
      </c>
      <c r="M16" s="60">
        <v>0</v>
      </c>
      <c r="N16" s="84">
        <v>23706.524109999998</v>
      </c>
      <c r="O16" s="24">
        <v>1.0803009554304994E-3</v>
      </c>
      <c r="P16" s="32">
        <v>0.1126557366303696</v>
      </c>
      <c r="Q16" s="32">
        <v>4.455841699708641E-2</v>
      </c>
    </row>
    <row r="17" spans="1:17" x14ac:dyDescent="0.25">
      <c r="A17" s="16" t="s">
        <v>386</v>
      </c>
      <c r="B17" s="116" t="s">
        <v>387</v>
      </c>
      <c r="C17" s="116" t="s">
        <v>377</v>
      </c>
      <c r="D17" s="116" t="s">
        <v>378</v>
      </c>
      <c r="E17" s="116" t="s">
        <v>218</v>
      </c>
      <c r="F17" s="116" t="s">
        <v>388</v>
      </c>
      <c r="G17" s="117">
        <v>5.6</v>
      </c>
      <c r="H17" s="116" t="s">
        <v>255</v>
      </c>
      <c r="I17" s="116">
        <v>5.0000000000000001E-3</v>
      </c>
      <c r="J17" s="116">
        <v>1.4999999999999999E-2</v>
      </c>
      <c r="K17" s="69">
        <v>24448990.508725084</v>
      </c>
      <c r="L17" s="60">
        <v>105.57</v>
      </c>
      <c r="M17" s="60">
        <v>0</v>
      </c>
      <c r="N17" s="84">
        <v>25810.799280000003</v>
      </c>
      <c r="O17" s="24">
        <v>1.2092926631200407E-3</v>
      </c>
      <c r="P17" s="32">
        <v>0.12265545941762331</v>
      </c>
      <c r="Q17" s="32">
        <v>4.8513580144007792E-2</v>
      </c>
    </row>
    <row r="18" spans="1:17" x14ac:dyDescent="0.25">
      <c r="A18" s="16" t="s">
        <v>389</v>
      </c>
      <c r="B18" s="116" t="s">
        <v>390</v>
      </c>
      <c r="C18" s="116" t="s">
        <v>377</v>
      </c>
      <c r="D18" s="116" t="s">
        <v>378</v>
      </c>
      <c r="E18" s="116" t="s">
        <v>218</v>
      </c>
      <c r="F18" s="116" t="s">
        <v>391</v>
      </c>
      <c r="G18" s="117">
        <v>25.83</v>
      </c>
      <c r="H18" s="116" t="s">
        <v>255</v>
      </c>
      <c r="I18" s="116">
        <v>5.0000000000000001E-3</v>
      </c>
      <c r="J18" s="116">
        <v>1.66E-2</v>
      </c>
      <c r="K18" s="69">
        <v>535986.49986136216</v>
      </c>
      <c r="L18" s="60">
        <v>82.95</v>
      </c>
      <c r="M18" s="60">
        <v>0</v>
      </c>
      <c r="N18" s="84">
        <v>444.60079999999999</v>
      </c>
      <c r="O18" s="24">
        <v>8.6857666494031974E-5</v>
      </c>
      <c r="P18" s="32">
        <v>2.1127867754060056E-3</v>
      </c>
      <c r="Q18" s="32">
        <v>8.356648048324204E-4</v>
      </c>
    </row>
    <row r="19" spans="1:17" x14ac:dyDescent="0.25">
      <c r="A19" s="16" t="s">
        <v>392</v>
      </c>
      <c r="B19" s="116" t="s">
        <v>393</v>
      </c>
      <c r="C19" s="116" t="s">
        <v>377</v>
      </c>
      <c r="D19" s="116" t="s">
        <v>378</v>
      </c>
      <c r="E19" s="116" t="s">
        <v>218</v>
      </c>
      <c r="F19" s="116" t="s">
        <v>394</v>
      </c>
      <c r="G19" s="117">
        <v>2.84</v>
      </c>
      <c r="H19" s="116" t="s">
        <v>255</v>
      </c>
      <c r="I19" s="116">
        <v>1E-3</v>
      </c>
      <c r="J19" s="116">
        <v>1.6399999999999998E-2</v>
      </c>
      <c r="K19" s="69">
        <v>29511343.394795444</v>
      </c>
      <c r="L19" s="60">
        <v>106.72</v>
      </c>
      <c r="M19" s="60">
        <v>0</v>
      </c>
      <c r="N19" s="84">
        <v>31494.505670000002</v>
      </c>
      <c r="O19" s="24">
        <v>3.4200114050966213E-3</v>
      </c>
      <c r="P19" s="32">
        <v>0.14966499178032397</v>
      </c>
      <c r="Q19" s="32">
        <v>5.9196586992227879E-2</v>
      </c>
    </row>
    <row r="20" spans="1:17" x14ac:dyDescent="0.25">
      <c r="A20" s="16" t="s">
        <v>395</v>
      </c>
      <c r="B20" s="116" t="s">
        <v>396</v>
      </c>
      <c r="C20" s="116" t="s">
        <v>377</v>
      </c>
      <c r="D20" s="116" t="s">
        <v>378</v>
      </c>
      <c r="E20" s="116" t="s">
        <v>218</v>
      </c>
      <c r="F20" s="116" t="s">
        <v>397</v>
      </c>
      <c r="G20" s="117">
        <v>8.14</v>
      </c>
      <c r="H20" s="116" t="s">
        <v>255</v>
      </c>
      <c r="I20" s="116">
        <v>1E-3</v>
      </c>
      <c r="J20" s="116">
        <v>1.52E-2</v>
      </c>
      <c r="K20" s="69">
        <v>65185066.495367952</v>
      </c>
      <c r="L20" s="60">
        <v>99.42</v>
      </c>
      <c r="M20" s="60">
        <v>0</v>
      </c>
      <c r="N20" s="84">
        <v>64806.993109999996</v>
      </c>
      <c r="O20" s="24">
        <v>9.1594138958175798E-3</v>
      </c>
      <c r="P20" s="32">
        <v>0.30796921192367654</v>
      </c>
      <c r="Q20" s="32">
        <v>0.12181022447337962</v>
      </c>
    </row>
    <row r="21" spans="1:17" x14ac:dyDescent="0.25">
      <c r="A21" s="16" t="s">
        <v>398</v>
      </c>
      <c r="B21" s="116" t="s">
        <v>399</v>
      </c>
      <c r="C21" s="116" t="s">
        <v>377</v>
      </c>
      <c r="D21" s="116" t="s">
        <v>378</v>
      </c>
      <c r="E21" s="116" t="s">
        <v>218</v>
      </c>
      <c r="F21" s="116" t="s">
        <v>400</v>
      </c>
      <c r="G21" s="117">
        <v>4.97</v>
      </c>
      <c r="H21" s="116" t="s">
        <v>255</v>
      </c>
      <c r="I21" s="116">
        <v>1.1000000000000001E-2</v>
      </c>
      <c r="J21" s="116">
        <v>1.4999999999999999E-2</v>
      </c>
      <c r="K21" s="69">
        <v>4322977.952166941</v>
      </c>
      <c r="L21" s="60">
        <v>99.03</v>
      </c>
      <c r="M21" s="60">
        <v>0</v>
      </c>
      <c r="N21" s="84">
        <v>4281.0450700000001</v>
      </c>
      <c r="O21" s="24">
        <v>1.6319430422045882E-3</v>
      </c>
      <c r="P21" s="32">
        <v>2.0343947669039457E-2</v>
      </c>
      <c r="Q21" s="32">
        <v>8.0465862699759996E-3</v>
      </c>
    </row>
    <row r="22" spans="1:17" s="118" customFormat="1" x14ac:dyDescent="0.25">
      <c r="A22" s="92" t="s">
        <v>139</v>
      </c>
      <c r="B22" s="130" t="s">
        <v>249</v>
      </c>
      <c r="C22" s="130" t="s">
        <v>249</v>
      </c>
      <c r="D22" s="130" t="s">
        <v>249</v>
      </c>
      <c r="E22" s="130" t="s">
        <v>249</v>
      </c>
      <c r="F22" s="130" t="s">
        <v>249</v>
      </c>
      <c r="G22" s="131" t="s">
        <v>249</v>
      </c>
      <c r="H22" s="130" t="s">
        <v>249</v>
      </c>
      <c r="I22" s="130" t="s">
        <v>249</v>
      </c>
      <c r="J22" s="130" t="s">
        <v>249</v>
      </c>
      <c r="K22" s="134" t="s">
        <v>249</v>
      </c>
      <c r="L22" s="135" t="s">
        <v>249</v>
      </c>
      <c r="M22" s="135" t="s">
        <v>249</v>
      </c>
      <c r="N22" s="123">
        <v>0</v>
      </c>
      <c r="O22" s="136"/>
      <c r="P22" s="120">
        <v>0</v>
      </c>
      <c r="Q22" s="120">
        <v>0</v>
      </c>
    </row>
    <row r="23" spans="1:17" s="118" customFormat="1" x14ac:dyDescent="0.25">
      <c r="A23" s="92" t="s">
        <v>407</v>
      </c>
      <c r="B23" s="130" t="s">
        <v>249</v>
      </c>
      <c r="C23" s="130" t="s">
        <v>249</v>
      </c>
      <c r="D23" s="130" t="s">
        <v>249</v>
      </c>
      <c r="E23" s="130" t="s">
        <v>249</v>
      </c>
      <c r="F23" s="130" t="s">
        <v>249</v>
      </c>
      <c r="G23" s="131" t="s">
        <v>249</v>
      </c>
      <c r="H23" s="130" t="s">
        <v>249</v>
      </c>
      <c r="I23" s="130" t="s">
        <v>249</v>
      </c>
      <c r="J23" s="130" t="s">
        <v>249</v>
      </c>
      <c r="K23" s="134" t="s">
        <v>249</v>
      </c>
      <c r="L23" s="135" t="s">
        <v>249</v>
      </c>
      <c r="M23" s="135" t="s">
        <v>249</v>
      </c>
      <c r="N23" s="123">
        <v>0</v>
      </c>
      <c r="O23" s="136"/>
      <c r="P23" s="120">
        <v>0</v>
      </c>
      <c r="Q23" s="120">
        <v>0</v>
      </c>
    </row>
    <row r="24" spans="1:17" s="118" customFormat="1" x14ac:dyDescent="0.25">
      <c r="A24" s="92" t="s">
        <v>408</v>
      </c>
      <c r="B24" s="130" t="s">
        <v>249</v>
      </c>
      <c r="C24" s="130" t="s">
        <v>249</v>
      </c>
      <c r="D24" s="130" t="s">
        <v>249</v>
      </c>
      <c r="E24" s="130" t="s">
        <v>249</v>
      </c>
      <c r="F24" s="130" t="s">
        <v>249</v>
      </c>
      <c r="G24" s="131" t="s">
        <v>249</v>
      </c>
      <c r="H24" s="130" t="s">
        <v>249</v>
      </c>
      <c r="I24" s="130" t="s">
        <v>249</v>
      </c>
      <c r="J24" s="130" t="s">
        <v>249</v>
      </c>
      <c r="K24" s="134" t="s">
        <v>249</v>
      </c>
      <c r="L24" s="135" t="s">
        <v>249</v>
      </c>
      <c r="M24" s="135" t="s">
        <v>249</v>
      </c>
      <c r="N24" s="123">
        <v>0</v>
      </c>
      <c r="O24" s="136"/>
      <c r="P24" s="120">
        <v>0</v>
      </c>
      <c r="Q24" s="120">
        <v>0</v>
      </c>
    </row>
    <row r="25" spans="1:17" s="118" customFormat="1" x14ac:dyDescent="0.25">
      <c r="A25" s="92" t="s">
        <v>409</v>
      </c>
      <c r="B25" s="130" t="s">
        <v>249</v>
      </c>
      <c r="C25" s="130" t="s">
        <v>249</v>
      </c>
      <c r="D25" s="130" t="s">
        <v>249</v>
      </c>
      <c r="E25" s="130" t="s">
        <v>249</v>
      </c>
      <c r="F25" s="130" t="s">
        <v>249</v>
      </c>
      <c r="G25" s="131" t="s">
        <v>249</v>
      </c>
      <c r="H25" s="130" t="s">
        <v>249</v>
      </c>
      <c r="I25" s="130" t="s">
        <v>249</v>
      </c>
      <c r="J25" s="130" t="s">
        <v>249</v>
      </c>
      <c r="K25" s="134" t="s">
        <v>249</v>
      </c>
      <c r="L25" s="135" t="s">
        <v>249</v>
      </c>
      <c r="M25" s="135" t="s">
        <v>249</v>
      </c>
      <c r="N25" s="123">
        <v>0</v>
      </c>
      <c r="O25" s="136"/>
      <c r="P25" s="120">
        <v>0</v>
      </c>
      <c r="Q25" s="120">
        <v>0</v>
      </c>
    </row>
    <row r="26" spans="1:17" s="118" customFormat="1" x14ac:dyDescent="0.25">
      <c r="A26" s="92" t="s">
        <v>410</v>
      </c>
      <c r="B26" s="130" t="s">
        <v>249</v>
      </c>
      <c r="C26" s="130" t="s">
        <v>249</v>
      </c>
      <c r="D26" s="130" t="s">
        <v>249</v>
      </c>
      <c r="E26" s="130" t="s">
        <v>249</v>
      </c>
      <c r="F26" s="130" t="s">
        <v>249</v>
      </c>
      <c r="G26" s="131" t="s">
        <v>249</v>
      </c>
      <c r="H26" s="130" t="s">
        <v>249</v>
      </c>
      <c r="I26" s="130" t="s">
        <v>249</v>
      </c>
      <c r="J26" s="130" t="s">
        <v>249</v>
      </c>
      <c r="K26" s="134" t="s">
        <v>249</v>
      </c>
      <c r="L26" s="135" t="s">
        <v>249</v>
      </c>
      <c r="M26" s="135" t="s">
        <v>249</v>
      </c>
      <c r="N26" s="123">
        <v>0</v>
      </c>
      <c r="O26" s="136"/>
      <c r="P26" s="120">
        <v>0</v>
      </c>
      <c r="Q26" s="120">
        <v>0</v>
      </c>
    </row>
    <row r="27" spans="1:17" s="118" customFormat="1" x14ac:dyDescent="0.25">
      <c r="A27" s="92" t="s">
        <v>411</v>
      </c>
      <c r="B27" s="130" t="s">
        <v>249</v>
      </c>
      <c r="C27" s="130" t="s">
        <v>249</v>
      </c>
      <c r="D27" s="130" t="s">
        <v>249</v>
      </c>
      <c r="E27" s="130" t="s">
        <v>249</v>
      </c>
      <c r="F27" s="130" t="s">
        <v>249</v>
      </c>
      <c r="G27" s="131" t="s">
        <v>249</v>
      </c>
      <c r="H27" s="130" t="s">
        <v>249</v>
      </c>
      <c r="I27" s="130" t="s">
        <v>249</v>
      </c>
      <c r="J27" s="130" t="s">
        <v>249</v>
      </c>
      <c r="K27" s="134" t="s">
        <v>249</v>
      </c>
      <c r="L27" s="135" t="s">
        <v>249</v>
      </c>
      <c r="M27" s="135" t="s">
        <v>249</v>
      </c>
      <c r="N27" s="123">
        <v>0</v>
      </c>
      <c r="O27" s="136"/>
      <c r="P27" s="120">
        <v>0</v>
      </c>
      <c r="Q27" s="120">
        <v>0</v>
      </c>
    </row>
    <row r="28" spans="1:17" s="118" customFormat="1" x14ac:dyDescent="0.25">
      <c r="A28" s="92" t="s">
        <v>412</v>
      </c>
      <c r="B28" s="130" t="s">
        <v>249</v>
      </c>
      <c r="C28" s="130" t="s">
        <v>249</v>
      </c>
      <c r="D28" s="130" t="s">
        <v>249</v>
      </c>
      <c r="E28" s="130" t="s">
        <v>249</v>
      </c>
      <c r="F28" s="130" t="s">
        <v>249</v>
      </c>
      <c r="G28" s="131" t="s">
        <v>249</v>
      </c>
      <c r="H28" s="130" t="s">
        <v>249</v>
      </c>
      <c r="I28" s="130" t="s">
        <v>249</v>
      </c>
      <c r="J28" s="130" t="s">
        <v>249</v>
      </c>
      <c r="K28" s="134" t="s">
        <v>249</v>
      </c>
      <c r="L28" s="135" t="s">
        <v>249</v>
      </c>
      <c r="M28" s="135" t="s">
        <v>249</v>
      </c>
      <c r="N28" s="123">
        <v>0</v>
      </c>
      <c r="O28" s="136"/>
      <c r="P28" s="120">
        <v>0</v>
      </c>
      <c r="Q28" s="120">
        <v>0</v>
      </c>
    </row>
    <row r="29" spans="1:17" s="118" customFormat="1" x14ac:dyDescent="0.25">
      <c r="A29" s="92" t="s">
        <v>413</v>
      </c>
      <c r="B29" s="130" t="s">
        <v>249</v>
      </c>
      <c r="C29" s="130" t="s">
        <v>249</v>
      </c>
      <c r="D29" s="130" t="s">
        <v>249</v>
      </c>
      <c r="E29" s="130" t="s">
        <v>249</v>
      </c>
      <c r="F29" s="130" t="s">
        <v>249</v>
      </c>
      <c r="G29" s="131" t="s">
        <v>249</v>
      </c>
      <c r="H29" s="130" t="s">
        <v>249</v>
      </c>
      <c r="I29" s="130" t="s">
        <v>249</v>
      </c>
      <c r="J29" s="130" t="s">
        <v>249</v>
      </c>
      <c r="K29" s="134" t="s">
        <v>249</v>
      </c>
      <c r="L29" s="135" t="s">
        <v>249</v>
      </c>
      <c r="M29" s="135" t="s">
        <v>249</v>
      </c>
      <c r="N29" s="123">
        <v>0</v>
      </c>
      <c r="O29" s="136"/>
      <c r="P29" s="120">
        <v>0</v>
      </c>
      <c r="Q29" s="120">
        <v>0</v>
      </c>
    </row>
    <row r="30" spans="1:17" s="118" customFormat="1" x14ac:dyDescent="0.25">
      <c r="A30" s="78" t="s">
        <v>241</v>
      </c>
      <c r="B30" s="124"/>
      <c r="C30" s="124"/>
      <c r="D30" s="124"/>
      <c r="E30" s="125"/>
      <c r="F30" s="125"/>
      <c r="G30" s="125"/>
      <c r="H30" s="126"/>
      <c r="I30" s="127"/>
      <c r="J30" s="128"/>
      <c r="K30" s="128"/>
      <c r="L30" s="128"/>
      <c r="M30" s="128"/>
      <c r="N30" s="127"/>
      <c r="O30" s="127"/>
      <c r="P30" s="127"/>
      <c r="Q30" s="137"/>
    </row>
    <row r="31" spans="1:17" s="118" customFormat="1" x14ac:dyDescent="0.25">
      <c r="A31" s="78" t="s">
        <v>242</v>
      </c>
      <c r="B31" s="124"/>
      <c r="C31" s="124"/>
      <c r="D31" s="124"/>
      <c r="E31" s="125"/>
      <c r="F31" s="125"/>
      <c r="G31" s="125"/>
      <c r="H31" s="126"/>
      <c r="I31" s="127"/>
      <c r="J31" s="128"/>
      <c r="K31" s="128"/>
      <c r="L31" s="128"/>
      <c r="M31" s="128"/>
      <c r="N31" s="127"/>
      <c r="O31" s="127"/>
      <c r="P31" s="127"/>
      <c r="Q31" s="137"/>
    </row>
    <row r="32" spans="1:17" s="118" customFormat="1" x14ac:dyDescent="0.25">
      <c r="A32" s="78" t="s">
        <v>243</v>
      </c>
      <c r="B32" s="124"/>
      <c r="C32" s="124"/>
      <c r="D32" s="124"/>
      <c r="E32" s="125"/>
      <c r="F32" s="125"/>
      <c r="G32" s="125"/>
      <c r="H32" s="126"/>
      <c r="I32" s="127"/>
      <c r="J32" s="128"/>
      <c r="K32" s="128"/>
      <c r="L32" s="128"/>
      <c r="M32" s="128"/>
      <c r="N32" s="127"/>
      <c r="O32" s="127"/>
      <c r="P32" s="127"/>
      <c r="Q32" s="137"/>
    </row>
    <row r="33" spans="1:17" s="118" customFormat="1" x14ac:dyDescent="0.25">
      <c r="A33" s="78" t="s">
        <v>244</v>
      </c>
      <c r="B33" s="124"/>
      <c r="C33" s="124"/>
      <c r="D33" s="124"/>
      <c r="E33" s="125"/>
      <c r="F33" s="125"/>
      <c r="G33" s="125"/>
      <c r="H33" s="126"/>
      <c r="I33" s="127"/>
      <c r="J33" s="128"/>
      <c r="K33" s="128"/>
      <c r="L33" s="128"/>
      <c r="M33" s="128"/>
      <c r="N33" s="127"/>
      <c r="O33" s="127"/>
      <c r="P33" s="127"/>
      <c r="Q33" s="137"/>
    </row>
    <row r="34" spans="1:17" s="118" customFormat="1" x14ac:dyDescent="0.25">
      <c r="A34" s="78" t="s">
        <v>245</v>
      </c>
      <c r="B34" s="124"/>
      <c r="C34" s="124"/>
      <c r="D34" s="124"/>
      <c r="E34" s="125"/>
      <c r="F34" s="125"/>
      <c r="G34" s="125"/>
      <c r="H34" s="126"/>
      <c r="I34" s="127"/>
      <c r="J34" s="128"/>
      <c r="K34" s="128"/>
      <c r="L34" s="128"/>
      <c r="M34" s="128"/>
      <c r="N34" s="127"/>
      <c r="O34" s="127"/>
      <c r="P34" s="127"/>
      <c r="Q34" s="137"/>
    </row>
  </sheetData>
  <mergeCells count="2">
    <mergeCell ref="A5:Q5"/>
    <mergeCell ref="A4:Q4"/>
  </mergeCells>
  <phoneticPr fontId="3" type="noConversion"/>
  <conditionalFormatting sqref="A9:A29 N9:N29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29">
    <cfRule type="expression" dxfId="122" priority="66" stopIfTrue="1">
      <formula>OR(LEFT(#REF!,3)="TIR",LEFT(#REF!,2)="IR")</formula>
    </cfRule>
  </conditionalFormatting>
  <conditionalFormatting sqref="B10:J29">
    <cfRule type="expression" dxfId="121" priority="73" stopIfTrue="1">
      <formula>LEFT(#REF!,3)="TIR"</formula>
    </cfRule>
  </conditionalFormatting>
  <conditionalFormatting sqref="I1:I3 G9 I9:M9 O9:O29 K10:M29 I30:I55564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8"/>
      <c r="H9" s="138" t="s">
        <v>249</v>
      </c>
      <c r="I9" s="138" t="s">
        <v>249</v>
      </c>
      <c r="J9" s="138" t="s">
        <v>249</v>
      </c>
      <c r="K9" s="138" t="s">
        <v>249</v>
      </c>
      <c r="L9" s="139" t="s">
        <v>249</v>
      </c>
      <c r="M9" s="139" t="s">
        <v>249</v>
      </c>
      <c r="N9" s="140" t="s">
        <v>249</v>
      </c>
      <c r="O9" s="138"/>
      <c r="P9" s="138" t="s">
        <v>249</v>
      </c>
      <c r="Q9" s="102">
        <v>4.9999999999999998E-7</v>
      </c>
      <c r="R9" s="67" t="s">
        <v>249</v>
      </c>
      <c r="S9" s="67">
        <v>1</v>
      </c>
      <c r="T9" s="81">
        <v>0</v>
      </c>
    </row>
    <row r="10" spans="1:20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0" t="s">
        <v>249</v>
      </c>
      <c r="I10" s="130" t="s">
        <v>249</v>
      </c>
      <c r="J10" s="131" t="s">
        <v>249</v>
      </c>
      <c r="K10" s="130" t="s">
        <v>249</v>
      </c>
      <c r="L10" s="130" t="s">
        <v>249</v>
      </c>
      <c r="M10" s="130" t="s">
        <v>249</v>
      </c>
      <c r="N10" s="141" t="s">
        <v>249</v>
      </c>
      <c r="O10" s="142" t="s">
        <v>249</v>
      </c>
      <c r="P10" s="142" t="s">
        <v>249</v>
      </c>
      <c r="Q10" s="122">
        <v>0</v>
      </c>
      <c r="R10" s="120" t="s">
        <v>249</v>
      </c>
      <c r="S10" s="120">
        <v>0</v>
      </c>
      <c r="T10" s="120">
        <v>0</v>
      </c>
    </row>
    <row r="11" spans="1:20" s="118" customFormat="1" x14ac:dyDescent="0.25">
      <c r="A11" s="92" t="s">
        <v>138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0" t="s">
        <v>249</v>
      </c>
      <c r="H11" s="130" t="s">
        <v>249</v>
      </c>
      <c r="I11" s="130" t="s">
        <v>249</v>
      </c>
      <c r="J11" s="131" t="s">
        <v>249</v>
      </c>
      <c r="K11" s="130" t="s">
        <v>249</v>
      </c>
      <c r="L11" s="130" t="s">
        <v>249</v>
      </c>
      <c r="M11" s="130" t="s">
        <v>249</v>
      </c>
      <c r="N11" s="143" t="s">
        <v>249</v>
      </c>
      <c r="O11" s="144" t="s">
        <v>249</v>
      </c>
      <c r="P11" s="144" t="s">
        <v>249</v>
      </c>
      <c r="Q11" s="123">
        <v>0</v>
      </c>
      <c r="R11" s="136"/>
      <c r="S11" s="136">
        <v>0</v>
      </c>
      <c r="T11" s="120">
        <v>0</v>
      </c>
    </row>
    <row r="12" spans="1:20" s="118" customFormat="1" x14ac:dyDescent="0.25">
      <c r="A12" s="92" t="s">
        <v>139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0" t="s">
        <v>249</v>
      </c>
      <c r="H12" s="130" t="s">
        <v>249</v>
      </c>
      <c r="I12" s="130" t="s">
        <v>249</v>
      </c>
      <c r="J12" s="131" t="s">
        <v>249</v>
      </c>
      <c r="K12" s="130" t="s">
        <v>249</v>
      </c>
      <c r="L12" s="130" t="s">
        <v>249</v>
      </c>
      <c r="M12" s="130" t="s">
        <v>249</v>
      </c>
      <c r="N12" s="143" t="s">
        <v>249</v>
      </c>
      <c r="O12" s="144" t="s">
        <v>249</v>
      </c>
      <c r="P12" s="144" t="s">
        <v>249</v>
      </c>
      <c r="Q12" s="123">
        <v>0</v>
      </c>
      <c r="R12" s="136"/>
      <c r="S12" s="136">
        <v>0</v>
      </c>
      <c r="T12" s="120">
        <v>0</v>
      </c>
    </row>
    <row r="13" spans="1:20" s="118" customFormat="1" x14ac:dyDescent="0.25">
      <c r="A13" s="92" t="s">
        <v>414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0" t="s">
        <v>249</v>
      </c>
      <c r="H13" s="130" t="s">
        <v>249</v>
      </c>
      <c r="I13" s="130" t="s">
        <v>249</v>
      </c>
      <c r="J13" s="131" t="s">
        <v>249</v>
      </c>
      <c r="K13" s="130" t="s">
        <v>249</v>
      </c>
      <c r="L13" s="130" t="s">
        <v>249</v>
      </c>
      <c r="M13" s="130" t="s">
        <v>249</v>
      </c>
      <c r="N13" s="143" t="s">
        <v>249</v>
      </c>
      <c r="O13" s="144" t="s">
        <v>249</v>
      </c>
      <c r="P13" s="144" t="s">
        <v>249</v>
      </c>
      <c r="Q13" s="123">
        <v>0</v>
      </c>
      <c r="R13" s="136"/>
      <c r="S13" s="136">
        <v>0</v>
      </c>
      <c r="T13" s="120">
        <v>0</v>
      </c>
    </row>
    <row r="14" spans="1:20" s="118" customFormat="1" x14ac:dyDescent="0.25">
      <c r="A14" s="92" t="s">
        <v>415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0" t="s">
        <v>249</v>
      </c>
      <c r="H14" s="130" t="s">
        <v>249</v>
      </c>
      <c r="I14" s="130" t="s">
        <v>249</v>
      </c>
      <c r="J14" s="131" t="s">
        <v>249</v>
      </c>
      <c r="K14" s="130" t="s">
        <v>249</v>
      </c>
      <c r="L14" s="130" t="s">
        <v>249</v>
      </c>
      <c r="M14" s="130" t="s">
        <v>249</v>
      </c>
      <c r="N14" s="143" t="s">
        <v>249</v>
      </c>
      <c r="O14" s="144" t="s">
        <v>249</v>
      </c>
      <c r="P14" s="144" t="s">
        <v>249</v>
      </c>
      <c r="Q14" s="123">
        <v>0</v>
      </c>
      <c r="R14" s="136"/>
      <c r="S14" s="136">
        <v>0</v>
      </c>
      <c r="T14" s="120">
        <v>0</v>
      </c>
    </row>
    <row r="15" spans="1:20" s="118" customFormat="1" x14ac:dyDescent="0.25">
      <c r="A15" s="92" t="s">
        <v>143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0" t="s">
        <v>249</v>
      </c>
      <c r="H15" s="130" t="s">
        <v>249</v>
      </c>
      <c r="I15" s="130" t="s">
        <v>249</v>
      </c>
      <c r="J15" s="131" t="s">
        <v>249</v>
      </c>
      <c r="K15" s="130" t="s">
        <v>249</v>
      </c>
      <c r="L15" s="130" t="s">
        <v>249</v>
      </c>
      <c r="M15" s="130" t="s">
        <v>249</v>
      </c>
      <c r="N15" s="143" t="s">
        <v>249</v>
      </c>
      <c r="O15" s="144" t="s">
        <v>249</v>
      </c>
      <c r="P15" s="144" t="s">
        <v>249</v>
      </c>
      <c r="Q15" s="123">
        <v>0</v>
      </c>
      <c r="R15" s="136"/>
      <c r="S15" s="136">
        <v>0</v>
      </c>
      <c r="T15" s="120">
        <v>0</v>
      </c>
    </row>
    <row r="16" spans="1:20" s="118" customFormat="1" x14ac:dyDescent="0.25">
      <c r="A16" s="92" t="s">
        <v>144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0" t="s">
        <v>249</v>
      </c>
      <c r="H16" s="130" t="s">
        <v>249</v>
      </c>
      <c r="I16" s="130" t="s">
        <v>249</v>
      </c>
      <c r="J16" s="131" t="s">
        <v>249</v>
      </c>
      <c r="K16" s="130" t="s">
        <v>249</v>
      </c>
      <c r="L16" s="130" t="s">
        <v>249</v>
      </c>
      <c r="M16" s="130" t="s">
        <v>249</v>
      </c>
      <c r="N16" s="143" t="s">
        <v>249</v>
      </c>
      <c r="O16" s="144" t="s">
        <v>249</v>
      </c>
      <c r="P16" s="144" t="s">
        <v>249</v>
      </c>
      <c r="Q16" s="123">
        <v>0</v>
      </c>
      <c r="R16" s="136"/>
      <c r="S16" s="136">
        <v>0</v>
      </c>
      <c r="T16" s="120">
        <v>0</v>
      </c>
    </row>
    <row r="17" spans="1:17" s="118" customFormat="1" x14ac:dyDescent="0.25">
      <c r="A17" s="78" t="s">
        <v>241</v>
      </c>
      <c r="B17" s="124"/>
      <c r="C17" s="124"/>
      <c r="D17" s="124"/>
      <c r="E17" s="124"/>
      <c r="F17" s="78"/>
      <c r="G17" s="145"/>
      <c r="H17" s="145"/>
      <c r="I17" s="145"/>
      <c r="J17" s="146"/>
      <c r="K17" s="129"/>
      <c r="L17" s="147"/>
      <c r="M17" s="147"/>
      <c r="N17" s="147"/>
      <c r="O17" s="129"/>
      <c r="P17" s="129"/>
      <c r="Q17" s="129"/>
    </row>
    <row r="18" spans="1:17" s="118" customFormat="1" x14ac:dyDescent="0.25">
      <c r="A18" s="78" t="s">
        <v>242</v>
      </c>
      <c r="B18" s="124"/>
      <c r="C18" s="124"/>
      <c r="D18" s="124"/>
      <c r="E18" s="124"/>
      <c r="F18" s="78"/>
      <c r="G18" s="145"/>
      <c r="H18" s="145"/>
      <c r="I18" s="145"/>
      <c r="J18" s="146"/>
      <c r="K18" s="129"/>
      <c r="L18" s="147"/>
      <c r="M18" s="147"/>
      <c r="N18" s="147"/>
      <c r="O18" s="129"/>
      <c r="P18" s="129"/>
      <c r="Q18" s="129"/>
    </row>
    <row r="19" spans="1:17" s="118" customFormat="1" x14ac:dyDescent="0.25">
      <c r="A19" s="78" t="s">
        <v>243</v>
      </c>
      <c r="B19" s="124"/>
      <c r="C19" s="124"/>
      <c r="D19" s="124"/>
      <c r="E19" s="124"/>
      <c r="F19" s="78"/>
      <c r="G19" s="145"/>
      <c r="H19" s="145"/>
      <c r="I19" s="145"/>
      <c r="J19" s="146"/>
      <c r="K19" s="129"/>
      <c r="L19" s="147"/>
      <c r="M19" s="147"/>
      <c r="N19" s="147"/>
      <c r="O19" s="129"/>
      <c r="P19" s="129"/>
      <c r="Q19" s="129"/>
    </row>
    <row r="20" spans="1:17" s="118" customFormat="1" x14ac:dyDescent="0.25">
      <c r="A20" s="78" t="s">
        <v>244</v>
      </c>
      <c r="B20" s="124"/>
      <c r="C20" s="124"/>
      <c r="D20" s="124"/>
      <c r="E20" s="124"/>
      <c r="F20" s="78"/>
      <c r="G20" s="145"/>
      <c r="H20" s="145"/>
      <c r="I20" s="145"/>
      <c r="J20" s="146"/>
      <c r="K20" s="129"/>
      <c r="L20" s="147"/>
      <c r="M20" s="147"/>
      <c r="N20" s="147"/>
      <c r="O20" s="129"/>
      <c r="P20" s="129"/>
      <c r="Q20" s="129"/>
    </row>
    <row r="21" spans="1:17" s="118" customFormat="1" x14ac:dyDescent="0.25">
      <c r="A21" s="78" t="s">
        <v>245</v>
      </c>
      <c r="B21" s="124"/>
      <c r="C21" s="124"/>
      <c r="D21" s="124"/>
      <c r="E21" s="124"/>
      <c r="F21" s="78"/>
      <c r="G21" s="145"/>
      <c r="H21" s="145"/>
      <c r="I21" s="145"/>
      <c r="J21" s="146"/>
      <c r="K21" s="129"/>
      <c r="L21" s="147"/>
      <c r="M21" s="147"/>
      <c r="N21" s="147"/>
      <c r="O21" s="129"/>
      <c r="P21" s="129"/>
      <c r="Q21" s="129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07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</row>
    <row r="5" spans="1:20" s="7" customFormat="1" x14ac:dyDescent="0.25">
      <c r="A5" s="225" t="s">
        <v>88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7"/>
    </row>
    <row r="6" spans="1:20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70</v>
      </c>
      <c r="H6" s="204" t="s">
        <v>5</v>
      </c>
      <c r="I6" s="204" t="s">
        <v>13</v>
      </c>
      <c r="J6" s="204" t="s">
        <v>14</v>
      </c>
      <c r="K6" s="204" t="s">
        <v>6</v>
      </c>
      <c r="L6" s="205" t="s">
        <v>66</v>
      </c>
      <c r="M6" s="205" t="s">
        <v>71</v>
      </c>
      <c r="N6" s="205" t="s">
        <v>67</v>
      </c>
      <c r="O6" s="205" t="s">
        <v>68</v>
      </c>
      <c r="P6" s="205" t="s">
        <v>134</v>
      </c>
      <c r="Q6" s="205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53</v>
      </c>
      <c r="B9" s="67"/>
      <c r="C9" s="67"/>
      <c r="D9" s="67"/>
      <c r="E9" s="67"/>
      <c r="F9" s="67"/>
      <c r="G9" s="100"/>
      <c r="H9" s="100"/>
      <c r="I9" s="100"/>
      <c r="J9" s="100"/>
      <c r="K9" s="100"/>
      <c r="L9" s="67"/>
      <c r="M9" s="67"/>
      <c r="N9" s="103"/>
      <c r="O9" s="100"/>
      <c r="P9" s="102" t="s">
        <v>249</v>
      </c>
      <c r="Q9" s="104">
        <v>182602.2502906</v>
      </c>
      <c r="R9" s="67" t="s">
        <v>249</v>
      </c>
      <c r="S9" s="67">
        <v>1</v>
      </c>
      <c r="T9" s="81">
        <v>0.34321637264497729</v>
      </c>
    </row>
    <row r="10" spans="1:20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0" t="s">
        <v>249</v>
      </c>
      <c r="H10" s="130" t="s">
        <v>249</v>
      </c>
      <c r="I10" s="130" t="s">
        <v>249</v>
      </c>
      <c r="J10" s="131" t="s">
        <v>249</v>
      </c>
      <c r="K10" s="131" t="s">
        <v>249</v>
      </c>
      <c r="L10" s="130" t="s">
        <v>249</v>
      </c>
      <c r="M10" s="130" t="s">
        <v>249</v>
      </c>
      <c r="N10" s="132" t="s">
        <v>249</v>
      </c>
      <c r="O10" s="121" t="s">
        <v>249</v>
      </c>
      <c r="P10" s="122" t="s">
        <v>249</v>
      </c>
      <c r="Q10" s="133">
        <v>159950.31692040004</v>
      </c>
      <c r="R10" s="120" t="s">
        <v>249</v>
      </c>
      <c r="S10" s="120">
        <v>0.87594931971456635</v>
      </c>
      <c r="T10" s="120">
        <v>0.30064014813326895</v>
      </c>
    </row>
    <row r="11" spans="1:20" s="118" customFormat="1" x14ac:dyDescent="0.25">
      <c r="A11" s="92" t="s">
        <v>138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0" t="s">
        <v>249</v>
      </c>
      <c r="H11" s="130" t="s">
        <v>249</v>
      </c>
      <c r="I11" s="130" t="s">
        <v>249</v>
      </c>
      <c r="J11" s="131" t="s">
        <v>249</v>
      </c>
      <c r="K11" s="131" t="s">
        <v>249</v>
      </c>
      <c r="L11" s="130" t="s">
        <v>249</v>
      </c>
      <c r="M11" s="130" t="s">
        <v>249</v>
      </c>
      <c r="N11" s="134" t="s">
        <v>249</v>
      </c>
      <c r="O11" s="135" t="s">
        <v>249</v>
      </c>
      <c r="P11" s="123" t="s">
        <v>249</v>
      </c>
      <c r="Q11" s="123">
        <v>159453.12884010002</v>
      </c>
      <c r="R11" s="136"/>
      <c r="S11" s="136">
        <v>0.87322652698058423</v>
      </c>
      <c r="T11" s="136">
        <v>0.29970564108764752</v>
      </c>
    </row>
    <row r="12" spans="1:20" x14ac:dyDescent="0.25">
      <c r="A12" s="16" t="s">
        <v>938</v>
      </c>
      <c r="B12" s="116" t="s">
        <v>939</v>
      </c>
      <c r="C12" s="116" t="s">
        <v>377</v>
      </c>
      <c r="D12" s="116" t="s">
        <v>249</v>
      </c>
      <c r="E12" s="116" t="s">
        <v>940</v>
      </c>
      <c r="F12" s="116" t="s">
        <v>217</v>
      </c>
      <c r="G12" s="116" t="s">
        <v>253</v>
      </c>
      <c r="H12" s="116" t="s">
        <v>254</v>
      </c>
      <c r="I12" s="116" t="s">
        <v>941</v>
      </c>
      <c r="J12" s="117">
        <v>3.74</v>
      </c>
      <c r="K12" s="117" t="s">
        <v>255</v>
      </c>
      <c r="L12" s="116">
        <v>5.0000000000000001E-4</v>
      </c>
      <c r="M12" s="116">
        <v>2.4700000000000003E-2</v>
      </c>
      <c r="N12" s="69">
        <v>11545.35666472812</v>
      </c>
      <c r="O12" s="60">
        <v>101.07</v>
      </c>
      <c r="P12" s="84">
        <v>0</v>
      </c>
      <c r="Q12" s="84">
        <v>11.668889999999999</v>
      </c>
      <c r="R12" s="24">
        <v>9.7790814213887478E-6</v>
      </c>
      <c r="S12" s="24">
        <v>6.3903319819058607E-5</v>
      </c>
      <c r="T12" s="24">
        <v>2.1932665628269184E-5</v>
      </c>
    </row>
    <row r="13" spans="1:20" x14ac:dyDescent="0.25">
      <c r="A13" s="16" t="s">
        <v>726</v>
      </c>
      <c r="B13" s="116" t="s">
        <v>727</v>
      </c>
      <c r="C13" s="116" t="s">
        <v>377</v>
      </c>
      <c r="D13" s="116" t="s">
        <v>249</v>
      </c>
      <c r="E13" s="116" t="s">
        <v>728</v>
      </c>
      <c r="F13" s="116" t="s">
        <v>200</v>
      </c>
      <c r="G13" s="116" t="s">
        <v>567</v>
      </c>
      <c r="H13" s="116" t="s">
        <v>427</v>
      </c>
      <c r="I13" s="116" t="s">
        <v>729</v>
      </c>
      <c r="J13" s="117">
        <v>0.73</v>
      </c>
      <c r="K13" s="117" t="s">
        <v>255</v>
      </c>
      <c r="L13" s="116">
        <v>5.0000000000000001E-3</v>
      </c>
      <c r="M13" s="116">
        <v>2.6200000000000001E-2</v>
      </c>
      <c r="N13" s="69">
        <v>15317.146178669476</v>
      </c>
      <c r="O13" s="60">
        <v>109.87</v>
      </c>
      <c r="P13" s="84">
        <v>0</v>
      </c>
      <c r="Q13" s="84">
        <v>16.828949999999999</v>
      </c>
      <c r="R13" s="24">
        <v>1.3552326929818493E-4</v>
      </c>
      <c r="S13" s="24">
        <v>9.2161788659328044E-5</v>
      </c>
      <c r="T13" s="24">
        <v>3.1631434800127573E-5</v>
      </c>
    </row>
    <row r="14" spans="1:20" x14ac:dyDescent="0.25">
      <c r="A14" s="16" t="s">
        <v>822</v>
      </c>
      <c r="B14" s="116" t="s">
        <v>823</v>
      </c>
      <c r="C14" s="116" t="s">
        <v>377</v>
      </c>
      <c r="D14" s="116" t="s">
        <v>249</v>
      </c>
      <c r="E14" s="116" t="s">
        <v>728</v>
      </c>
      <c r="F14" s="116" t="s">
        <v>200</v>
      </c>
      <c r="G14" s="116" t="s">
        <v>567</v>
      </c>
      <c r="H14" s="116" t="s">
        <v>427</v>
      </c>
      <c r="I14" s="116" t="s">
        <v>824</v>
      </c>
      <c r="J14" s="117">
        <v>3.17</v>
      </c>
      <c r="K14" s="117" t="s">
        <v>255</v>
      </c>
      <c r="L14" s="116">
        <v>1E-3</v>
      </c>
      <c r="M14" s="116">
        <v>2.2599999999999999E-2</v>
      </c>
      <c r="N14" s="69">
        <v>670398.45277243538</v>
      </c>
      <c r="O14" s="60">
        <v>101.55000000000001</v>
      </c>
      <c r="P14" s="84">
        <v>0</v>
      </c>
      <c r="Q14" s="84">
        <v>680.78962999999999</v>
      </c>
      <c r="R14" s="24">
        <v>1.4359947408979601E-3</v>
      </c>
      <c r="S14" s="24">
        <v>3.7282652810497465E-3</v>
      </c>
      <c r="T14" s="24">
        <v>1.279601686020101E-3</v>
      </c>
    </row>
    <row r="15" spans="1:20" x14ac:dyDescent="0.25">
      <c r="A15" s="16" t="s">
        <v>818</v>
      </c>
      <c r="B15" s="116" t="s">
        <v>819</v>
      </c>
      <c r="C15" s="116" t="s">
        <v>377</v>
      </c>
      <c r="D15" s="116" t="s">
        <v>249</v>
      </c>
      <c r="E15" s="116" t="s">
        <v>820</v>
      </c>
      <c r="F15" s="116" t="s">
        <v>200</v>
      </c>
      <c r="G15" s="116" t="s">
        <v>567</v>
      </c>
      <c r="H15" s="116" t="s">
        <v>427</v>
      </c>
      <c r="I15" s="116" t="s">
        <v>821</v>
      </c>
      <c r="J15" s="117">
        <v>4.46</v>
      </c>
      <c r="K15" s="117" t="s">
        <v>255</v>
      </c>
      <c r="L15" s="116">
        <v>2E-3</v>
      </c>
      <c r="M15" s="116">
        <v>2.35E-2</v>
      </c>
      <c r="N15" s="69">
        <v>5094992.6085785078</v>
      </c>
      <c r="O15" s="60">
        <v>98.65</v>
      </c>
      <c r="P15" s="84">
        <v>0</v>
      </c>
      <c r="Q15" s="84">
        <v>5026.2102100000002</v>
      </c>
      <c r="R15" s="24">
        <v>1.2455762369418017E-3</v>
      </c>
      <c r="S15" s="24">
        <v>2.7525456022590645E-2</v>
      </c>
      <c r="T15" s="24">
        <v>9.447187171472405E-3</v>
      </c>
    </row>
    <row r="16" spans="1:20" x14ac:dyDescent="0.25">
      <c r="A16" s="16" t="s">
        <v>942</v>
      </c>
      <c r="B16" s="116" t="s">
        <v>943</v>
      </c>
      <c r="C16" s="116" t="s">
        <v>377</v>
      </c>
      <c r="D16" s="116" t="s">
        <v>249</v>
      </c>
      <c r="E16" s="116" t="s">
        <v>502</v>
      </c>
      <c r="F16" s="116" t="s">
        <v>225</v>
      </c>
      <c r="G16" s="116" t="s">
        <v>253</v>
      </c>
      <c r="H16" s="116" t="s">
        <v>254</v>
      </c>
      <c r="I16" s="116" t="s">
        <v>944</v>
      </c>
      <c r="J16" s="117">
        <v>8.43</v>
      </c>
      <c r="K16" s="117" t="s">
        <v>255</v>
      </c>
      <c r="L16" s="116">
        <v>1.4999999999999999E-2</v>
      </c>
      <c r="M16" s="116">
        <v>2.8900000000000002E-2</v>
      </c>
      <c r="N16" s="69">
        <v>1584196.1147506689</v>
      </c>
      <c r="O16" s="60">
        <v>102.99000000000001</v>
      </c>
      <c r="P16" s="84">
        <v>0</v>
      </c>
      <c r="Q16" s="84">
        <v>1631.56358</v>
      </c>
      <c r="R16" s="24">
        <v>1.4225388049555231E-3</v>
      </c>
      <c r="S16" s="24">
        <v>8.9350683105135307E-3</v>
      </c>
      <c r="T16" s="24">
        <v>3.0666617348695394E-3</v>
      </c>
    </row>
    <row r="17" spans="1:20" x14ac:dyDescent="0.25">
      <c r="A17" s="16" t="s">
        <v>945</v>
      </c>
      <c r="B17" s="116" t="s">
        <v>946</v>
      </c>
      <c r="C17" s="116" t="s">
        <v>377</v>
      </c>
      <c r="D17" s="116" t="s">
        <v>249</v>
      </c>
      <c r="E17" s="116" t="s">
        <v>502</v>
      </c>
      <c r="F17" s="116" t="s">
        <v>225</v>
      </c>
      <c r="G17" s="116" t="s">
        <v>253</v>
      </c>
      <c r="H17" s="116" t="s">
        <v>254</v>
      </c>
      <c r="I17" s="116" t="s">
        <v>944</v>
      </c>
      <c r="J17" s="117">
        <v>11.16</v>
      </c>
      <c r="K17" s="117" t="s">
        <v>255</v>
      </c>
      <c r="L17" s="116">
        <v>1.6E-2</v>
      </c>
      <c r="M17" s="116">
        <v>2.92E-2</v>
      </c>
      <c r="N17" s="69">
        <v>1891835.9571015991</v>
      </c>
      <c r="O17" s="60">
        <v>105.31000000000002</v>
      </c>
      <c r="P17" s="84">
        <v>0</v>
      </c>
      <c r="Q17" s="84">
        <v>1992.2924499999999</v>
      </c>
      <c r="R17" s="24">
        <v>1.3873650517238691E-3</v>
      </c>
      <c r="S17" s="24">
        <v>1.0910558039834622E-2</v>
      </c>
      <c r="T17" s="24">
        <v>3.744682153964533E-3</v>
      </c>
    </row>
    <row r="18" spans="1:20" x14ac:dyDescent="0.25">
      <c r="A18" s="16" t="s">
        <v>640</v>
      </c>
      <c r="B18" s="116" t="s">
        <v>641</v>
      </c>
      <c r="C18" s="116" t="s">
        <v>377</v>
      </c>
      <c r="D18" s="116" t="s">
        <v>249</v>
      </c>
      <c r="E18" s="116" t="s">
        <v>642</v>
      </c>
      <c r="F18" s="116" t="s">
        <v>200</v>
      </c>
      <c r="G18" s="116" t="s">
        <v>567</v>
      </c>
      <c r="H18" s="116" t="s">
        <v>427</v>
      </c>
      <c r="I18" s="116" t="s">
        <v>643</v>
      </c>
      <c r="J18" s="117">
        <v>1.73</v>
      </c>
      <c r="K18" s="117" t="s">
        <v>255</v>
      </c>
      <c r="L18" s="116">
        <v>8.3000000000000001E-3</v>
      </c>
      <c r="M18" s="116">
        <v>2.4500000000000001E-2</v>
      </c>
      <c r="N18" s="69">
        <v>972718.0677733355</v>
      </c>
      <c r="O18" s="60">
        <v>108.5</v>
      </c>
      <c r="P18" s="84">
        <v>0</v>
      </c>
      <c r="Q18" s="84">
        <v>1055.3991000000001</v>
      </c>
      <c r="R18" s="24">
        <v>3.1977361085761495E-4</v>
      </c>
      <c r="S18" s="24">
        <v>5.7797705029395789E-3</v>
      </c>
      <c r="T18" s="24">
        <v>1.9837118667393587E-3</v>
      </c>
    </row>
    <row r="19" spans="1:20" x14ac:dyDescent="0.25">
      <c r="A19" s="16" t="s">
        <v>813</v>
      </c>
      <c r="B19" s="116" t="s">
        <v>814</v>
      </c>
      <c r="C19" s="116" t="s">
        <v>377</v>
      </c>
      <c r="D19" s="116" t="s">
        <v>249</v>
      </c>
      <c r="E19" s="116" t="s">
        <v>642</v>
      </c>
      <c r="F19" s="116" t="s">
        <v>200</v>
      </c>
      <c r="G19" s="116" t="s">
        <v>567</v>
      </c>
      <c r="H19" s="116" t="s">
        <v>427</v>
      </c>
      <c r="I19" s="116" t="s">
        <v>815</v>
      </c>
      <c r="J19" s="117">
        <v>4.1500000000000004</v>
      </c>
      <c r="K19" s="117" t="s">
        <v>255</v>
      </c>
      <c r="L19" s="116">
        <v>1E-3</v>
      </c>
      <c r="M19" s="116">
        <v>2.3099999999999999E-2</v>
      </c>
      <c r="N19" s="69">
        <v>2528783.6554671912</v>
      </c>
      <c r="O19" s="60">
        <v>99.25</v>
      </c>
      <c r="P19" s="84">
        <v>0</v>
      </c>
      <c r="Q19" s="84">
        <v>2509.8177799999999</v>
      </c>
      <c r="R19" s="24">
        <v>8.060497649911121E-4</v>
      </c>
      <c r="S19" s="24">
        <v>1.3744725358016029E-2</v>
      </c>
      <c r="T19" s="24">
        <v>4.7174147803796989E-3</v>
      </c>
    </row>
    <row r="20" spans="1:20" x14ac:dyDescent="0.25">
      <c r="A20" s="16" t="s">
        <v>816</v>
      </c>
      <c r="B20" s="116" t="s">
        <v>817</v>
      </c>
      <c r="C20" s="116" t="s">
        <v>377</v>
      </c>
      <c r="D20" s="116" t="s">
        <v>249</v>
      </c>
      <c r="E20" s="116" t="s">
        <v>642</v>
      </c>
      <c r="F20" s="116" t="s">
        <v>200</v>
      </c>
      <c r="G20" s="116" t="s">
        <v>567</v>
      </c>
      <c r="H20" s="116" t="s">
        <v>427</v>
      </c>
      <c r="I20" s="116" t="s">
        <v>815</v>
      </c>
      <c r="J20" s="117">
        <v>6.14</v>
      </c>
      <c r="K20" s="117" t="s">
        <v>255</v>
      </c>
      <c r="L20" s="116">
        <v>1E-3</v>
      </c>
      <c r="M20" s="116">
        <v>2.35E-2</v>
      </c>
      <c r="N20" s="69">
        <v>2988507.7680037683</v>
      </c>
      <c r="O20" s="60">
        <v>94.8</v>
      </c>
      <c r="P20" s="84">
        <v>0</v>
      </c>
      <c r="Q20" s="84">
        <v>2833.10536</v>
      </c>
      <c r="R20" s="24">
        <v>1.2017333578372509E-3</v>
      </c>
      <c r="S20" s="24">
        <v>1.5515172214423924E-2</v>
      </c>
      <c r="T20" s="24">
        <v>5.3250611283967193E-3</v>
      </c>
    </row>
    <row r="21" spans="1:20" x14ac:dyDescent="0.25">
      <c r="A21" s="16" t="s">
        <v>802</v>
      </c>
      <c r="B21" s="116" t="s">
        <v>803</v>
      </c>
      <c r="C21" s="116" t="s">
        <v>377</v>
      </c>
      <c r="D21" s="116" t="s">
        <v>249</v>
      </c>
      <c r="E21" s="116" t="s">
        <v>566</v>
      </c>
      <c r="F21" s="116" t="s">
        <v>200</v>
      </c>
      <c r="G21" s="116" t="s">
        <v>567</v>
      </c>
      <c r="H21" s="116" t="s">
        <v>427</v>
      </c>
      <c r="I21" s="116" t="s">
        <v>801</v>
      </c>
      <c r="J21" s="117">
        <v>5.05</v>
      </c>
      <c r="K21" s="117" t="s">
        <v>255</v>
      </c>
      <c r="L21" s="116">
        <v>1E-3</v>
      </c>
      <c r="M21" s="116">
        <v>2.3300000000000001E-2</v>
      </c>
      <c r="N21" s="69">
        <v>3770390.2224862701</v>
      </c>
      <c r="O21" s="60">
        <v>97.31</v>
      </c>
      <c r="P21" s="84">
        <v>0</v>
      </c>
      <c r="Q21" s="84">
        <v>3668.9667300000001</v>
      </c>
      <c r="R21" s="24">
        <v>1.1164546675963383E-3</v>
      </c>
      <c r="S21" s="24">
        <v>2.0092669855716838E-2</v>
      </c>
      <c r="T21" s="24">
        <v>6.8961332646322133E-3</v>
      </c>
    </row>
    <row r="22" spans="1:20" x14ac:dyDescent="0.25">
      <c r="A22" s="16" t="s">
        <v>864</v>
      </c>
      <c r="B22" s="116" t="s">
        <v>865</v>
      </c>
      <c r="C22" s="116" t="s">
        <v>377</v>
      </c>
      <c r="D22" s="116" t="s">
        <v>249</v>
      </c>
      <c r="E22" s="116" t="s">
        <v>566</v>
      </c>
      <c r="F22" s="116" t="s">
        <v>200</v>
      </c>
      <c r="G22" s="116" t="s">
        <v>567</v>
      </c>
      <c r="H22" s="116" t="s">
        <v>427</v>
      </c>
      <c r="I22" s="116" t="s">
        <v>866</v>
      </c>
      <c r="J22" s="117">
        <v>3.91</v>
      </c>
      <c r="K22" s="117" t="s">
        <v>255</v>
      </c>
      <c r="L22" s="116">
        <v>1E-3</v>
      </c>
      <c r="M22" s="116">
        <v>2.4E-2</v>
      </c>
      <c r="N22" s="69">
        <v>1223081.9290483005</v>
      </c>
      <c r="O22" s="60">
        <v>98.23</v>
      </c>
      <c r="P22" s="84">
        <v>0</v>
      </c>
      <c r="Q22" s="84">
        <v>1201.4333799999999</v>
      </c>
      <c r="R22" s="24">
        <v>1.1764368672431906E-3</v>
      </c>
      <c r="S22" s="24">
        <v>6.5795102639096409E-3</v>
      </c>
      <c r="T22" s="24">
        <v>2.2581956465594641E-3</v>
      </c>
    </row>
    <row r="23" spans="1:20" x14ac:dyDescent="0.25">
      <c r="A23" s="16" t="s">
        <v>771</v>
      </c>
      <c r="B23" s="116" t="s">
        <v>772</v>
      </c>
      <c r="C23" s="116" t="s">
        <v>377</v>
      </c>
      <c r="D23" s="116" t="s">
        <v>249</v>
      </c>
      <c r="E23" s="116" t="s">
        <v>566</v>
      </c>
      <c r="F23" s="116" t="s">
        <v>200</v>
      </c>
      <c r="G23" s="116" t="s">
        <v>567</v>
      </c>
      <c r="H23" s="116" t="s">
        <v>427</v>
      </c>
      <c r="I23" s="116" t="s">
        <v>773</v>
      </c>
      <c r="J23" s="117">
        <v>0.91</v>
      </c>
      <c r="K23" s="117" t="s">
        <v>255</v>
      </c>
      <c r="L23" s="116">
        <v>9.4999999999999998E-3</v>
      </c>
      <c r="M23" s="116">
        <v>2.5399999999999999E-2</v>
      </c>
      <c r="N23" s="69">
        <v>511.29437482750006</v>
      </c>
      <c r="O23" s="60">
        <v>111.20000000000002</v>
      </c>
      <c r="P23" s="84">
        <v>0</v>
      </c>
      <c r="Q23" s="84">
        <v>0.56855999999999995</v>
      </c>
      <c r="R23" s="24">
        <v>1.5906531372890625E-6</v>
      </c>
      <c r="S23" s="24">
        <v>3.1136527567167022E-6</v>
      </c>
      <c r="T23" s="24">
        <v>1.0686566048363406E-6</v>
      </c>
    </row>
    <row r="24" spans="1:20" x14ac:dyDescent="0.25">
      <c r="A24" s="16" t="s">
        <v>986</v>
      </c>
      <c r="B24" s="116" t="s">
        <v>987</v>
      </c>
      <c r="C24" s="116" t="s">
        <v>377</v>
      </c>
      <c r="D24" s="116" t="s">
        <v>249</v>
      </c>
      <c r="E24" s="116" t="s">
        <v>566</v>
      </c>
      <c r="F24" s="116" t="s">
        <v>200</v>
      </c>
      <c r="G24" s="116" t="s">
        <v>567</v>
      </c>
      <c r="H24" s="116" t="s">
        <v>427</v>
      </c>
      <c r="I24" s="116" t="s">
        <v>988</v>
      </c>
      <c r="J24" s="117">
        <v>6.41</v>
      </c>
      <c r="K24" s="117" t="s">
        <v>255</v>
      </c>
      <c r="L24" s="116">
        <v>4.6999999999999993E-3</v>
      </c>
      <c r="M24" s="116">
        <v>2.64E-2</v>
      </c>
      <c r="N24" s="69">
        <v>57.726783323640603</v>
      </c>
      <c r="O24" s="60">
        <v>107.76999999999998</v>
      </c>
      <c r="P24" s="84">
        <v>0</v>
      </c>
      <c r="Q24" s="84">
        <v>6.2210000000000001E-2</v>
      </c>
      <c r="R24" s="24">
        <v>8.2240437144661208E-8</v>
      </c>
      <c r="S24" s="24">
        <v>3.4068583438044547E-7</v>
      </c>
      <c r="T24" s="24">
        <v>1.1692895628758399E-7</v>
      </c>
    </row>
    <row r="25" spans="1:20" x14ac:dyDescent="0.25">
      <c r="A25" s="16" t="s">
        <v>564</v>
      </c>
      <c r="B25" s="116" t="s">
        <v>565</v>
      </c>
      <c r="C25" s="116" t="s">
        <v>377</v>
      </c>
      <c r="D25" s="116" t="s">
        <v>249</v>
      </c>
      <c r="E25" s="116" t="s">
        <v>566</v>
      </c>
      <c r="F25" s="116" t="s">
        <v>200</v>
      </c>
      <c r="G25" s="116" t="s">
        <v>567</v>
      </c>
      <c r="H25" s="116" t="s">
        <v>427</v>
      </c>
      <c r="I25" s="116" t="s">
        <v>568</v>
      </c>
      <c r="J25" s="117">
        <v>3.93</v>
      </c>
      <c r="K25" s="117" t="s">
        <v>255</v>
      </c>
      <c r="L25" s="116">
        <v>1.2199999999999999E-2</v>
      </c>
      <c r="M25" s="116">
        <v>2.3399999999999997E-2</v>
      </c>
      <c r="N25" s="69">
        <v>1054748.3175538869</v>
      </c>
      <c r="O25" s="60">
        <v>107.65</v>
      </c>
      <c r="P25" s="84">
        <v>0</v>
      </c>
      <c r="Q25" s="84">
        <v>1135.4365600000001</v>
      </c>
      <c r="R25" s="24">
        <v>3.4976260790641731E-4</v>
      </c>
      <c r="S25" s="24">
        <v>6.2180863499383173E-3</v>
      </c>
      <c r="T25" s="24">
        <v>2.1341490418190765E-3</v>
      </c>
    </row>
    <row r="26" spans="1:20" x14ac:dyDescent="0.25">
      <c r="A26" s="16" t="s">
        <v>647</v>
      </c>
      <c r="B26" s="116" t="s">
        <v>648</v>
      </c>
      <c r="C26" s="116" t="s">
        <v>377</v>
      </c>
      <c r="D26" s="116" t="s">
        <v>249</v>
      </c>
      <c r="E26" s="116" t="s">
        <v>566</v>
      </c>
      <c r="F26" s="116" t="s">
        <v>200</v>
      </c>
      <c r="G26" s="116" t="s">
        <v>567</v>
      </c>
      <c r="H26" s="116" t="s">
        <v>427</v>
      </c>
      <c r="I26" s="116" t="s">
        <v>649</v>
      </c>
      <c r="J26" s="117">
        <v>2.72</v>
      </c>
      <c r="K26" s="117" t="s">
        <v>255</v>
      </c>
      <c r="L26" s="116">
        <v>3.8E-3</v>
      </c>
      <c r="M26" s="116">
        <v>2.3900000000000001E-2</v>
      </c>
      <c r="N26" s="69">
        <v>1138320.1668557746</v>
      </c>
      <c r="O26" s="60">
        <v>104.01</v>
      </c>
      <c r="P26" s="84">
        <v>0</v>
      </c>
      <c r="Q26" s="84">
        <v>1183.9668100000001</v>
      </c>
      <c r="R26" s="24">
        <v>3.7944005561859153E-4</v>
      </c>
      <c r="S26" s="24">
        <v>6.4838566234303868E-3</v>
      </c>
      <c r="T26" s="24">
        <v>2.2253657510438881E-3</v>
      </c>
    </row>
    <row r="27" spans="1:20" x14ac:dyDescent="0.25">
      <c r="A27" s="16" t="s">
        <v>669</v>
      </c>
      <c r="B27" s="116" t="s">
        <v>670</v>
      </c>
      <c r="C27" s="116" t="s">
        <v>377</v>
      </c>
      <c r="D27" s="116" t="s">
        <v>249</v>
      </c>
      <c r="E27" s="116" t="s">
        <v>566</v>
      </c>
      <c r="F27" s="116" t="s">
        <v>200</v>
      </c>
      <c r="G27" s="116" t="s">
        <v>567</v>
      </c>
      <c r="H27" s="116" t="s">
        <v>427</v>
      </c>
      <c r="I27" s="116" t="s">
        <v>671</v>
      </c>
      <c r="J27" s="117">
        <v>0.08</v>
      </c>
      <c r="K27" s="117" t="s">
        <v>255</v>
      </c>
      <c r="L27" s="116">
        <v>1E-3</v>
      </c>
      <c r="M27" s="116">
        <v>4.0899999999999999E-2</v>
      </c>
      <c r="N27" s="69">
        <v>10193059</v>
      </c>
      <c r="O27" s="60">
        <v>110.39000000000001</v>
      </c>
      <c r="P27" s="84">
        <v>0</v>
      </c>
      <c r="Q27" s="84">
        <v>11252.117829999999</v>
      </c>
      <c r="R27" s="24">
        <v>4.0066551835825966E-3</v>
      </c>
      <c r="S27" s="24">
        <v>6.1620915471156362E-2</v>
      </c>
      <c r="T27" s="24">
        <v>2.1149307087073049E-2</v>
      </c>
    </row>
    <row r="28" spans="1:20" x14ac:dyDescent="0.25">
      <c r="A28" s="16" t="s">
        <v>705</v>
      </c>
      <c r="B28" s="116" t="s">
        <v>706</v>
      </c>
      <c r="C28" s="116" t="s">
        <v>377</v>
      </c>
      <c r="D28" s="116" t="s">
        <v>249</v>
      </c>
      <c r="E28" s="116" t="s">
        <v>566</v>
      </c>
      <c r="F28" s="116" t="s">
        <v>200</v>
      </c>
      <c r="G28" s="116" t="s">
        <v>567</v>
      </c>
      <c r="H28" s="116" t="s">
        <v>427</v>
      </c>
      <c r="I28" s="116" t="s">
        <v>707</v>
      </c>
      <c r="J28" s="117">
        <v>6.71</v>
      </c>
      <c r="K28" s="117" t="s">
        <v>255</v>
      </c>
      <c r="L28" s="116">
        <v>2E-3</v>
      </c>
      <c r="M28" s="116">
        <v>2.4E-2</v>
      </c>
      <c r="N28" s="69">
        <v>404030.88215443539</v>
      </c>
      <c r="O28" s="60">
        <v>96.35</v>
      </c>
      <c r="P28" s="84">
        <v>0</v>
      </c>
      <c r="Q28" s="84">
        <v>389.28375</v>
      </c>
      <c r="R28" s="24">
        <v>4.2156283743779858E-4</v>
      </c>
      <c r="S28" s="24">
        <v>2.1318672107297656E-3</v>
      </c>
      <c r="T28" s="24">
        <v>7.3169173102743566E-4</v>
      </c>
    </row>
    <row r="29" spans="1:20" x14ac:dyDescent="0.25">
      <c r="A29" s="16" t="s">
        <v>904</v>
      </c>
      <c r="B29" s="116" t="s">
        <v>905</v>
      </c>
      <c r="C29" s="116" t="s">
        <v>377</v>
      </c>
      <c r="D29" s="116" t="s">
        <v>249</v>
      </c>
      <c r="E29" s="116" t="s">
        <v>566</v>
      </c>
      <c r="F29" s="116" t="s">
        <v>200</v>
      </c>
      <c r="G29" s="116" t="s">
        <v>567</v>
      </c>
      <c r="H29" s="116" t="s">
        <v>427</v>
      </c>
      <c r="I29" s="116" t="s">
        <v>903</v>
      </c>
      <c r="J29" s="117">
        <v>3.94</v>
      </c>
      <c r="K29" s="117" t="s">
        <v>255</v>
      </c>
      <c r="L29" s="116">
        <v>1.6399999999999998E-2</v>
      </c>
      <c r="M29" s="116">
        <v>2.3700000000000002E-2</v>
      </c>
      <c r="N29" s="69">
        <v>1334931.8643591888</v>
      </c>
      <c r="O29" s="60">
        <v>101.76</v>
      </c>
      <c r="P29" s="84">
        <v>0</v>
      </c>
      <c r="Q29" s="84">
        <v>1358.4266699999998</v>
      </c>
      <c r="R29" s="24">
        <v>1.1032494746770155E-3</v>
      </c>
      <c r="S29" s="24">
        <v>7.4392657693875585E-3</v>
      </c>
      <c r="T29" s="24">
        <v>2.5532778125111439E-3</v>
      </c>
    </row>
    <row r="30" spans="1:20" x14ac:dyDescent="0.25">
      <c r="A30" s="16" t="s">
        <v>947</v>
      </c>
      <c r="B30" s="116" t="s">
        <v>948</v>
      </c>
      <c r="C30" s="116" t="s">
        <v>377</v>
      </c>
      <c r="D30" s="116" t="s">
        <v>249</v>
      </c>
      <c r="E30" s="116" t="s">
        <v>566</v>
      </c>
      <c r="F30" s="116" t="s">
        <v>200</v>
      </c>
      <c r="G30" s="116" t="s">
        <v>567</v>
      </c>
      <c r="H30" s="116" t="s">
        <v>427</v>
      </c>
      <c r="I30" s="116" t="s">
        <v>944</v>
      </c>
      <c r="J30" s="117">
        <v>4.87</v>
      </c>
      <c r="K30" s="117" t="s">
        <v>255</v>
      </c>
      <c r="L30" s="116">
        <v>2.06E-2</v>
      </c>
      <c r="M30" s="116">
        <v>2.3E-2</v>
      </c>
      <c r="N30" s="69">
        <v>2681668.8559080623</v>
      </c>
      <c r="O30" s="60">
        <v>100.43000000000002</v>
      </c>
      <c r="P30" s="84">
        <v>0</v>
      </c>
      <c r="Q30" s="84">
        <v>2693.20003</v>
      </c>
      <c r="R30" s="24">
        <v>1.3407694006381003E-3</v>
      </c>
      <c r="S30" s="24">
        <v>1.4748996935765804E-2</v>
      </c>
      <c r="T30" s="24">
        <v>5.0620972284454247E-3</v>
      </c>
    </row>
    <row r="31" spans="1:20" x14ac:dyDescent="0.25">
      <c r="A31" s="16" t="s">
        <v>650</v>
      </c>
      <c r="B31" s="116" t="s">
        <v>651</v>
      </c>
      <c r="C31" s="116" t="s">
        <v>377</v>
      </c>
      <c r="D31" s="116" t="s">
        <v>249</v>
      </c>
      <c r="E31" s="116" t="s">
        <v>652</v>
      </c>
      <c r="F31" s="116" t="s">
        <v>204</v>
      </c>
      <c r="G31" s="116" t="s">
        <v>253</v>
      </c>
      <c r="H31" s="116" t="s">
        <v>254</v>
      </c>
      <c r="I31" s="116" t="s">
        <v>653</v>
      </c>
      <c r="J31" s="117">
        <v>2.21</v>
      </c>
      <c r="K31" s="117" t="s">
        <v>255</v>
      </c>
      <c r="L31" s="116">
        <v>1E-3</v>
      </c>
      <c r="M31" s="116">
        <v>2.3599999999999999E-2</v>
      </c>
      <c r="N31" s="69">
        <v>540908.20889984933</v>
      </c>
      <c r="O31" s="60">
        <v>104.36000000000001</v>
      </c>
      <c r="P31" s="84">
        <v>0</v>
      </c>
      <c r="Q31" s="84">
        <v>564.4918100000001</v>
      </c>
      <c r="R31" s="24">
        <v>5.0528415978269028E-4</v>
      </c>
      <c r="S31" s="24">
        <v>3.0913737870242389E-3</v>
      </c>
      <c r="T31" s="24">
        <v>1.061010097672226E-3</v>
      </c>
    </row>
    <row r="32" spans="1:20" x14ac:dyDescent="0.25">
      <c r="A32" s="16" t="s">
        <v>654</v>
      </c>
      <c r="B32" s="116" t="s">
        <v>655</v>
      </c>
      <c r="C32" s="116" t="s">
        <v>377</v>
      </c>
      <c r="D32" s="116" t="s">
        <v>249</v>
      </c>
      <c r="E32" s="116" t="s">
        <v>652</v>
      </c>
      <c r="F32" s="116" t="s">
        <v>204</v>
      </c>
      <c r="G32" s="116" t="s">
        <v>253</v>
      </c>
      <c r="H32" s="116" t="s">
        <v>254</v>
      </c>
      <c r="I32" s="116" t="s">
        <v>656</v>
      </c>
      <c r="J32" s="117">
        <v>12.16</v>
      </c>
      <c r="K32" s="117" t="s">
        <v>255</v>
      </c>
      <c r="L32" s="116">
        <v>2.07E-2</v>
      </c>
      <c r="M32" s="116">
        <v>2.69E-2</v>
      </c>
      <c r="N32" s="69">
        <v>1597631.5725498882</v>
      </c>
      <c r="O32" s="60">
        <v>102.42999999999999</v>
      </c>
      <c r="P32" s="84">
        <v>0</v>
      </c>
      <c r="Q32" s="84">
        <v>1636.4540200000001</v>
      </c>
      <c r="R32" s="24">
        <v>4.6909754651941715E-4</v>
      </c>
      <c r="S32" s="24">
        <v>8.9618502367615205E-3</v>
      </c>
      <c r="T32" s="24">
        <v>3.0758537304488203E-3</v>
      </c>
    </row>
    <row r="33" spans="1:20" x14ac:dyDescent="0.25">
      <c r="A33" s="16" t="s">
        <v>744</v>
      </c>
      <c r="B33" s="116" t="s">
        <v>745</v>
      </c>
      <c r="C33" s="116" t="s">
        <v>377</v>
      </c>
      <c r="D33" s="116" t="s">
        <v>249</v>
      </c>
      <c r="E33" s="116" t="s">
        <v>746</v>
      </c>
      <c r="F33" s="116" t="s">
        <v>200</v>
      </c>
      <c r="G33" s="116" t="s">
        <v>253</v>
      </c>
      <c r="H33" s="116" t="s">
        <v>254</v>
      </c>
      <c r="I33" s="116" t="s">
        <v>747</v>
      </c>
      <c r="J33" s="117">
        <v>3.2</v>
      </c>
      <c r="K33" s="117" t="s">
        <v>255</v>
      </c>
      <c r="L33" s="116">
        <v>1.4999999999999999E-2</v>
      </c>
      <c r="M33" s="116">
        <v>2.3700000000000002E-2</v>
      </c>
      <c r="N33" s="69">
        <v>58499.762963100547</v>
      </c>
      <c r="O33" s="60">
        <v>109.37</v>
      </c>
      <c r="P33" s="84">
        <v>0</v>
      </c>
      <c r="Q33" s="84">
        <v>63.981190000000005</v>
      </c>
      <c r="R33" s="24">
        <v>1.7969666368569852E-4</v>
      </c>
      <c r="S33" s="24">
        <v>3.503855505514196E-4</v>
      </c>
      <c r="T33" s="24">
        <v>1.2025805768747157E-4</v>
      </c>
    </row>
    <row r="34" spans="1:20" x14ac:dyDescent="0.25">
      <c r="A34" s="16" t="s">
        <v>590</v>
      </c>
      <c r="B34" s="116" t="s">
        <v>591</v>
      </c>
      <c r="C34" s="116" t="s">
        <v>377</v>
      </c>
      <c r="D34" s="116" t="s">
        <v>249</v>
      </c>
      <c r="E34" s="116" t="s">
        <v>592</v>
      </c>
      <c r="F34" s="116" t="s">
        <v>223</v>
      </c>
      <c r="G34" s="116" t="s">
        <v>567</v>
      </c>
      <c r="H34" s="116" t="s">
        <v>427</v>
      </c>
      <c r="I34" s="116" t="s">
        <v>593</v>
      </c>
      <c r="J34" s="117">
        <v>2.13</v>
      </c>
      <c r="K34" s="117" t="s">
        <v>255</v>
      </c>
      <c r="L34" s="116">
        <v>8.3000000000000001E-3</v>
      </c>
      <c r="M34" s="116">
        <v>2.3399999999999997E-2</v>
      </c>
      <c r="N34" s="69">
        <v>718842.4489539871</v>
      </c>
      <c r="O34" s="60">
        <v>109.00000000000001</v>
      </c>
      <c r="P34" s="84">
        <v>0</v>
      </c>
      <c r="Q34" s="84">
        <v>783.53827000000001</v>
      </c>
      <c r="R34" s="24">
        <v>5.2155044930208443E-4</v>
      </c>
      <c r="S34" s="24">
        <v>4.29095626561583E-3</v>
      </c>
      <c r="T34" s="24">
        <v>1.4727264446629028E-3</v>
      </c>
    </row>
    <row r="35" spans="1:20" x14ac:dyDescent="0.25">
      <c r="A35" s="16" t="s">
        <v>594</v>
      </c>
      <c r="B35" s="116" t="s">
        <v>595</v>
      </c>
      <c r="C35" s="116" t="s">
        <v>377</v>
      </c>
      <c r="D35" s="116" t="s">
        <v>249</v>
      </c>
      <c r="E35" s="116" t="s">
        <v>592</v>
      </c>
      <c r="F35" s="116" t="s">
        <v>223</v>
      </c>
      <c r="G35" s="116" t="s">
        <v>567</v>
      </c>
      <c r="H35" s="116" t="s">
        <v>427</v>
      </c>
      <c r="I35" s="116" t="s">
        <v>593</v>
      </c>
      <c r="J35" s="117">
        <v>5.9</v>
      </c>
      <c r="K35" s="117" t="s">
        <v>255</v>
      </c>
      <c r="L35" s="116">
        <v>1.6500000000000001E-2</v>
      </c>
      <c r="M35" s="116">
        <v>2.7000000000000003E-2</v>
      </c>
      <c r="N35" s="69">
        <v>1220925.069446278</v>
      </c>
      <c r="O35" s="60">
        <v>106.13</v>
      </c>
      <c r="P35" s="84">
        <v>0</v>
      </c>
      <c r="Q35" s="84">
        <v>1295.7677800000001</v>
      </c>
      <c r="R35" s="24">
        <v>5.7709927163157441E-4</v>
      </c>
      <c r="S35" s="24">
        <v>7.0961216410962468E-3</v>
      </c>
      <c r="T35" s="24">
        <v>2.4355051295045773E-3</v>
      </c>
    </row>
    <row r="36" spans="1:20" x14ac:dyDescent="0.25">
      <c r="A36" s="16" t="s">
        <v>764</v>
      </c>
      <c r="B36" s="116" t="s">
        <v>765</v>
      </c>
      <c r="C36" s="116" t="s">
        <v>377</v>
      </c>
      <c r="D36" s="116" t="s">
        <v>249</v>
      </c>
      <c r="E36" s="116" t="s">
        <v>592</v>
      </c>
      <c r="F36" s="116" t="s">
        <v>223</v>
      </c>
      <c r="G36" s="116" t="s">
        <v>567</v>
      </c>
      <c r="H36" s="116" t="s">
        <v>427</v>
      </c>
      <c r="I36" s="116" t="s">
        <v>766</v>
      </c>
      <c r="J36" s="117">
        <v>14.24</v>
      </c>
      <c r="K36" s="117" t="s">
        <v>255</v>
      </c>
      <c r="L36" s="116">
        <v>9.5999999999999992E-3</v>
      </c>
      <c r="M36" s="116">
        <v>2.7000000000000003E-2</v>
      </c>
      <c r="N36" s="69">
        <v>298868.87530148448</v>
      </c>
      <c r="O36" s="60">
        <v>86.5</v>
      </c>
      <c r="P36" s="84">
        <v>0</v>
      </c>
      <c r="Q36" s="84">
        <v>258.52157999999997</v>
      </c>
      <c r="R36" s="24">
        <v>7.4717218825371117E-4</v>
      </c>
      <c r="S36" s="24">
        <v>1.4157633851093242E-3</v>
      </c>
      <c r="T36" s="24">
        <v>4.8591317356079641E-4</v>
      </c>
    </row>
    <row r="37" spans="1:20" x14ac:dyDescent="0.25">
      <c r="A37" s="16" t="s">
        <v>898</v>
      </c>
      <c r="B37" s="116" t="s">
        <v>899</v>
      </c>
      <c r="C37" s="116" t="s">
        <v>377</v>
      </c>
      <c r="D37" s="116" t="s">
        <v>249</v>
      </c>
      <c r="E37" s="116" t="s">
        <v>827</v>
      </c>
      <c r="F37" s="116" t="s">
        <v>200</v>
      </c>
      <c r="G37" s="116" t="s">
        <v>253</v>
      </c>
      <c r="H37" s="116" t="s">
        <v>254</v>
      </c>
      <c r="I37" s="116" t="s">
        <v>900</v>
      </c>
      <c r="J37" s="117">
        <v>4.37</v>
      </c>
      <c r="K37" s="117" t="s">
        <v>255</v>
      </c>
      <c r="L37" s="116">
        <v>1.3899999999999999E-2</v>
      </c>
      <c r="M37" s="116">
        <v>2.3799999999999998E-2</v>
      </c>
      <c r="N37" s="69">
        <v>1831885.312949877</v>
      </c>
      <c r="O37" s="60">
        <v>100.13000000000001</v>
      </c>
      <c r="P37" s="84">
        <v>0</v>
      </c>
      <c r="Q37" s="84">
        <v>1834.26676</v>
      </c>
      <c r="R37" s="24">
        <v>9.1594265647493853E-4</v>
      </c>
      <c r="S37" s="24">
        <v>1.0045148715751748E-2</v>
      </c>
      <c r="T37" s="24">
        <v>3.4476595048996673E-3</v>
      </c>
    </row>
    <row r="38" spans="1:20" x14ac:dyDescent="0.25">
      <c r="A38" s="16" t="s">
        <v>825</v>
      </c>
      <c r="B38" s="116" t="s">
        <v>826</v>
      </c>
      <c r="C38" s="116" t="s">
        <v>377</v>
      </c>
      <c r="D38" s="116" t="s">
        <v>249</v>
      </c>
      <c r="E38" s="116" t="s">
        <v>827</v>
      </c>
      <c r="F38" s="116" t="s">
        <v>200</v>
      </c>
      <c r="G38" s="116" t="s">
        <v>567</v>
      </c>
      <c r="H38" s="116" t="s">
        <v>427</v>
      </c>
      <c r="I38" s="116" t="s">
        <v>828</v>
      </c>
      <c r="J38" s="117">
        <v>4.04</v>
      </c>
      <c r="K38" s="117" t="s">
        <v>255</v>
      </c>
      <c r="L38" s="116">
        <v>1E-3</v>
      </c>
      <c r="M38" s="116">
        <v>2.3799999999999998E-2</v>
      </c>
      <c r="N38" s="69">
        <v>3165127.0121381679</v>
      </c>
      <c r="O38" s="60">
        <v>99.07</v>
      </c>
      <c r="P38" s="84">
        <v>0</v>
      </c>
      <c r="Q38" s="84">
        <v>3135.6913300000001</v>
      </c>
      <c r="R38" s="24">
        <v>1.0664594254039942E-3</v>
      </c>
      <c r="S38" s="24">
        <v>1.7172249109798726E-2</v>
      </c>
      <c r="T38" s="24">
        <v>5.8937970496210591E-3</v>
      </c>
    </row>
    <row r="39" spans="1:20" x14ac:dyDescent="0.25">
      <c r="A39" s="16" t="s">
        <v>980</v>
      </c>
      <c r="B39" s="116" t="s">
        <v>981</v>
      </c>
      <c r="C39" s="116" t="s">
        <v>377</v>
      </c>
      <c r="D39" s="116" t="s">
        <v>249</v>
      </c>
      <c r="E39" s="116" t="s">
        <v>827</v>
      </c>
      <c r="F39" s="116" t="s">
        <v>200</v>
      </c>
      <c r="G39" s="116" t="s">
        <v>567</v>
      </c>
      <c r="H39" s="116" t="s">
        <v>427</v>
      </c>
      <c r="I39" s="116" t="s">
        <v>982</v>
      </c>
      <c r="J39" s="117">
        <v>3.47</v>
      </c>
      <c r="K39" s="117" t="s">
        <v>255</v>
      </c>
      <c r="L39" s="116">
        <v>1.7500000000000002E-2</v>
      </c>
      <c r="M39" s="116">
        <v>2.4300000000000002E-2</v>
      </c>
      <c r="N39" s="69">
        <v>858107.79042897921</v>
      </c>
      <c r="O39" s="60">
        <v>109.67</v>
      </c>
      <c r="P39" s="84">
        <v>0</v>
      </c>
      <c r="Q39" s="84">
        <v>941.08681000000001</v>
      </c>
      <c r="R39" s="24">
        <v>2.5988022527135884E-4</v>
      </c>
      <c r="S39" s="24">
        <v>5.1537525331824749E-3</v>
      </c>
      <c r="T39" s="24">
        <v>1.768852249948752E-3</v>
      </c>
    </row>
    <row r="40" spans="1:20" x14ac:dyDescent="0.25">
      <c r="A40" s="16" t="s">
        <v>500</v>
      </c>
      <c r="B40" s="116" t="s">
        <v>501</v>
      </c>
      <c r="C40" s="116" t="s">
        <v>377</v>
      </c>
      <c r="D40" s="116" t="s">
        <v>249</v>
      </c>
      <c r="E40" s="116" t="s">
        <v>502</v>
      </c>
      <c r="F40" s="116" t="s">
        <v>225</v>
      </c>
      <c r="G40" s="116" t="s">
        <v>503</v>
      </c>
      <c r="H40" s="116" t="s">
        <v>427</v>
      </c>
      <c r="I40" s="116" t="s">
        <v>504</v>
      </c>
      <c r="J40" s="117">
        <v>4.2</v>
      </c>
      <c r="K40" s="117" t="s">
        <v>255</v>
      </c>
      <c r="L40" s="116">
        <v>3.85E-2</v>
      </c>
      <c r="M40" s="116">
        <v>2.52E-2</v>
      </c>
      <c r="N40" s="69">
        <v>891313.45567503502</v>
      </c>
      <c r="O40" s="60">
        <v>120.55</v>
      </c>
      <c r="P40" s="84">
        <v>0</v>
      </c>
      <c r="Q40" s="84">
        <v>1074.47837</v>
      </c>
      <c r="R40" s="24">
        <v>3.4511833824041186E-4</v>
      </c>
      <c r="S40" s="24">
        <v>5.8842559075259768E-3</v>
      </c>
      <c r="T40" s="24">
        <v>2.0195729682958448E-3</v>
      </c>
    </row>
    <row r="41" spans="1:20" x14ac:dyDescent="0.25">
      <c r="A41" s="16" t="s">
        <v>538</v>
      </c>
      <c r="B41" s="116" t="s">
        <v>539</v>
      </c>
      <c r="C41" s="116" t="s">
        <v>377</v>
      </c>
      <c r="D41" s="116" t="s">
        <v>249</v>
      </c>
      <c r="E41" s="116" t="s">
        <v>502</v>
      </c>
      <c r="F41" s="116" t="s">
        <v>225</v>
      </c>
      <c r="G41" s="116" t="s">
        <v>503</v>
      </c>
      <c r="H41" s="116" t="s">
        <v>427</v>
      </c>
      <c r="I41" s="116" t="s">
        <v>540</v>
      </c>
      <c r="J41" s="117">
        <v>1.86</v>
      </c>
      <c r="K41" s="117" t="s">
        <v>255</v>
      </c>
      <c r="L41" s="116">
        <v>4.4999999999999998E-2</v>
      </c>
      <c r="M41" s="116">
        <v>2.63E-2</v>
      </c>
      <c r="N41" s="69">
        <v>1896761.3217083388</v>
      </c>
      <c r="O41" s="60">
        <v>117.23000000000002</v>
      </c>
      <c r="P41" s="84">
        <v>0</v>
      </c>
      <c r="Q41" s="84">
        <v>2223.5733</v>
      </c>
      <c r="R41" s="24">
        <v>6.4175077950121386E-4</v>
      </c>
      <c r="S41" s="24">
        <v>1.2177140733267649E-2</v>
      </c>
      <c r="T41" s="24">
        <v>4.1793940716595224E-3</v>
      </c>
    </row>
    <row r="42" spans="1:20" x14ac:dyDescent="0.25">
      <c r="A42" s="16" t="s">
        <v>625</v>
      </c>
      <c r="B42" s="116" t="s">
        <v>626</v>
      </c>
      <c r="C42" s="116" t="s">
        <v>377</v>
      </c>
      <c r="D42" s="116" t="s">
        <v>249</v>
      </c>
      <c r="E42" s="116" t="s">
        <v>502</v>
      </c>
      <c r="F42" s="116" t="s">
        <v>225</v>
      </c>
      <c r="G42" s="116" t="s">
        <v>503</v>
      </c>
      <c r="H42" s="116" t="s">
        <v>427</v>
      </c>
      <c r="I42" s="116" t="s">
        <v>627</v>
      </c>
      <c r="J42" s="117">
        <v>6.66</v>
      </c>
      <c r="K42" s="117" t="s">
        <v>255</v>
      </c>
      <c r="L42" s="116">
        <v>2.3900000000000001E-2</v>
      </c>
      <c r="M42" s="116">
        <v>2.8199999999999999E-2</v>
      </c>
      <c r="N42" s="69">
        <v>2360791.7656906848</v>
      </c>
      <c r="O42" s="60">
        <v>108.05</v>
      </c>
      <c r="P42" s="84">
        <v>0</v>
      </c>
      <c r="Q42" s="84">
        <v>2550.8355000000001</v>
      </c>
      <c r="R42" s="24">
        <v>6.0702029485395896E-4</v>
      </c>
      <c r="S42" s="24">
        <v>1.3969354134138575E-2</v>
      </c>
      <c r="T42" s="24">
        <v>4.7945110541121596E-3</v>
      </c>
    </row>
    <row r="43" spans="1:20" x14ac:dyDescent="0.25">
      <c r="A43" s="16" t="s">
        <v>791</v>
      </c>
      <c r="B43" s="116" t="s">
        <v>792</v>
      </c>
      <c r="C43" s="116" t="s">
        <v>377</v>
      </c>
      <c r="D43" s="116" t="s">
        <v>249</v>
      </c>
      <c r="E43" s="116" t="s">
        <v>502</v>
      </c>
      <c r="F43" s="116" t="s">
        <v>225</v>
      </c>
      <c r="G43" s="116" t="s">
        <v>503</v>
      </c>
      <c r="H43" s="116" t="s">
        <v>427</v>
      </c>
      <c r="I43" s="116" t="s">
        <v>793</v>
      </c>
      <c r="J43" s="117">
        <v>3.75</v>
      </c>
      <c r="K43" s="117" t="s">
        <v>255</v>
      </c>
      <c r="L43" s="116">
        <v>0.01</v>
      </c>
      <c r="M43" s="116">
        <v>2.3700000000000002E-2</v>
      </c>
      <c r="N43" s="69">
        <v>730038.97132610797</v>
      </c>
      <c r="O43" s="60">
        <v>104.44</v>
      </c>
      <c r="P43" s="84">
        <v>0</v>
      </c>
      <c r="Q43" s="84">
        <v>762.45269999999994</v>
      </c>
      <c r="R43" s="24">
        <v>6.0748445074779677E-4</v>
      </c>
      <c r="S43" s="24">
        <v>4.1754835922701086E-3</v>
      </c>
      <c r="T43" s="24">
        <v>1.433094332577566E-3</v>
      </c>
    </row>
    <row r="44" spans="1:20" x14ac:dyDescent="0.25">
      <c r="A44" s="16" t="s">
        <v>794</v>
      </c>
      <c r="B44" s="116" t="s">
        <v>795</v>
      </c>
      <c r="C44" s="116" t="s">
        <v>377</v>
      </c>
      <c r="D44" s="116" t="s">
        <v>249</v>
      </c>
      <c r="E44" s="116" t="s">
        <v>502</v>
      </c>
      <c r="F44" s="116" t="s">
        <v>200</v>
      </c>
      <c r="G44" s="116" t="s">
        <v>503</v>
      </c>
      <c r="H44" s="116" t="s">
        <v>427</v>
      </c>
      <c r="I44" s="116" t="s">
        <v>793</v>
      </c>
      <c r="J44" s="117">
        <v>11.64</v>
      </c>
      <c r="K44" s="117" t="s">
        <v>255</v>
      </c>
      <c r="L44" s="116">
        <v>1.2500000000000001E-2</v>
      </c>
      <c r="M44" s="116">
        <v>2.8999999999999998E-2</v>
      </c>
      <c r="N44" s="69">
        <v>3867046.0088634542</v>
      </c>
      <c r="O44" s="60">
        <v>91.1</v>
      </c>
      <c r="P44" s="84">
        <v>0</v>
      </c>
      <c r="Q44" s="84">
        <v>3522.8789100000004</v>
      </c>
      <c r="R44" s="24">
        <v>9.0101678519625234E-4</v>
      </c>
      <c r="S44" s="24">
        <v>1.9292636889159689E-2</v>
      </c>
      <c r="T44" s="24">
        <v>6.6215488518540679E-3</v>
      </c>
    </row>
    <row r="45" spans="1:20" x14ac:dyDescent="0.25">
      <c r="A45" s="16" t="s">
        <v>2808</v>
      </c>
      <c r="B45" s="116" t="s">
        <v>602</v>
      </c>
      <c r="C45" s="116" t="s">
        <v>377</v>
      </c>
      <c r="D45" s="116" t="s">
        <v>249</v>
      </c>
      <c r="E45" s="116" t="s">
        <v>603</v>
      </c>
      <c r="F45" s="116" t="s">
        <v>204</v>
      </c>
      <c r="G45" s="116" t="s">
        <v>503</v>
      </c>
      <c r="H45" s="116" t="s">
        <v>427</v>
      </c>
      <c r="I45" s="116" t="s">
        <v>604</v>
      </c>
      <c r="J45" s="117">
        <v>6.24</v>
      </c>
      <c r="K45" s="117" t="s">
        <v>255</v>
      </c>
      <c r="L45" s="116">
        <v>2.6499999999999999E-2</v>
      </c>
      <c r="M45" s="116">
        <v>2.6499999999999999E-2</v>
      </c>
      <c r="N45" s="69">
        <v>1080649.0062319324</v>
      </c>
      <c r="O45" s="60">
        <v>112.76000000000002</v>
      </c>
      <c r="P45" s="84">
        <v>0</v>
      </c>
      <c r="Q45" s="84">
        <v>1218.53982</v>
      </c>
      <c r="R45" s="24">
        <v>7.2260828346201462E-4</v>
      </c>
      <c r="S45" s="24">
        <v>6.6731916943015245E-3</v>
      </c>
      <c r="T45" s="24">
        <v>2.2903486472827593E-3</v>
      </c>
    </row>
    <row r="46" spans="1:20" x14ac:dyDescent="0.25">
      <c r="A46" s="16" t="s">
        <v>785</v>
      </c>
      <c r="B46" s="116" t="s">
        <v>786</v>
      </c>
      <c r="C46" s="116" t="s">
        <v>377</v>
      </c>
      <c r="D46" s="116" t="s">
        <v>249</v>
      </c>
      <c r="E46" s="116" t="s">
        <v>486</v>
      </c>
      <c r="F46" s="116" t="s">
        <v>223</v>
      </c>
      <c r="G46" s="116" t="s">
        <v>487</v>
      </c>
      <c r="H46" s="116" t="s">
        <v>254</v>
      </c>
      <c r="I46" s="116" t="s">
        <v>787</v>
      </c>
      <c r="J46" s="117">
        <v>7.69</v>
      </c>
      <c r="K46" s="117" t="s">
        <v>255</v>
      </c>
      <c r="L46" s="116">
        <v>9.0000000000000011E-3</v>
      </c>
      <c r="M46" s="116">
        <v>3.2000000000000001E-2</v>
      </c>
      <c r="N46" s="69">
        <v>1672318.404746966</v>
      </c>
      <c r="O46" s="60">
        <v>92.19</v>
      </c>
      <c r="P46" s="84">
        <v>0</v>
      </c>
      <c r="Q46" s="84">
        <v>1541.7103400000001</v>
      </c>
      <c r="R46" s="24">
        <v>8.7850489533859385E-4</v>
      </c>
      <c r="S46" s="24">
        <v>8.4429974852252097E-3</v>
      </c>
      <c r="T46" s="24">
        <v>2.8977749711296616E-3</v>
      </c>
    </row>
    <row r="47" spans="1:20" x14ac:dyDescent="0.25">
      <c r="A47" s="16" t="s">
        <v>484</v>
      </c>
      <c r="B47" s="116" t="s">
        <v>485</v>
      </c>
      <c r="C47" s="116" t="s">
        <v>377</v>
      </c>
      <c r="D47" s="116" t="s">
        <v>249</v>
      </c>
      <c r="E47" s="116" t="s">
        <v>486</v>
      </c>
      <c r="F47" s="116" t="s">
        <v>223</v>
      </c>
      <c r="G47" s="116" t="s">
        <v>487</v>
      </c>
      <c r="H47" s="116" t="s">
        <v>254</v>
      </c>
      <c r="I47" s="116" t="s">
        <v>488</v>
      </c>
      <c r="J47" s="117">
        <v>1</v>
      </c>
      <c r="K47" s="117" t="s">
        <v>255</v>
      </c>
      <c r="L47" s="116">
        <v>6.5000000000000006E-3</v>
      </c>
      <c r="M47" s="116">
        <v>2.5499999999999998E-2</v>
      </c>
      <c r="N47" s="69">
        <v>161619.37295816734</v>
      </c>
      <c r="O47" s="60">
        <v>109.23</v>
      </c>
      <c r="P47" s="84">
        <v>0.58459497839999996</v>
      </c>
      <c r="Q47" s="84">
        <v>177.12144000000001</v>
      </c>
      <c r="R47" s="24">
        <v>1.480332783601265E-4</v>
      </c>
      <c r="S47" s="24">
        <v>9.6998497947381457E-4</v>
      </c>
      <c r="T47" s="24">
        <v>3.3291472617511545E-4</v>
      </c>
    </row>
    <row r="48" spans="1:20" x14ac:dyDescent="0.25">
      <c r="A48" s="16" t="s">
        <v>518</v>
      </c>
      <c r="B48" s="116" t="s">
        <v>519</v>
      </c>
      <c r="C48" s="116" t="s">
        <v>377</v>
      </c>
      <c r="D48" s="116" t="s">
        <v>249</v>
      </c>
      <c r="E48" s="116" t="s">
        <v>486</v>
      </c>
      <c r="F48" s="116" t="s">
        <v>223</v>
      </c>
      <c r="G48" s="116" t="s">
        <v>503</v>
      </c>
      <c r="H48" s="116" t="s">
        <v>427</v>
      </c>
      <c r="I48" s="116" t="s">
        <v>520</v>
      </c>
      <c r="J48" s="117">
        <v>3.35</v>
      </c>
      <c r="K48" s="117" t="s">
        <v>255</v>
      </c>
      <c r="L48" s="116">
        <v>1.34E-2</v>
      </c>
      <c r="M48" s="116">
        <v>0.03</v>
      </c>
      <c r="N48" s="69">
        <v>2255956.8030591668</v>
      </c>
      <c r="O48" s="60">
        <v>107.07</v>
      </c>
      <c r="P48" s="84">
        <v>0</v>
      </c>
      <c r="Q48" s="84">
        <v>2415.4529500000003</v>
      </c>
      <c r="R48" s="24">
        <v>7.2950657213176687E-4</v>
      </c>
      <c r="S48" s="24">
        <v>1.3227947334471283E-2</v>
      </c>
      <c r="T48" s="24">
        <v>4.5400481016760301E-3</v>
      </c>
    </row>
    <row r="49" spans="1:20" x14ac:dyDescent="0.25">
      <c r="A49" s="16" t="s">
        <v>635</v>
      </c>
      <c r="B49" s="116" t="s">
        <v>636</v>
      </c>
      <c r="C49" s="116" t="s">
        <v>377</v>
      </c>
      <c r="D49" s="116" t="s">
        <v>249</v>
      </c>
      <c r="E49" s="116" t="s">
        <v>486</v>
      </c>
      <c r="F49" s="116" t="s">
        <v>223</v>
      </c>
      <c r="G49" s="116" t="s">
        <v>503</v>
      </c>
      <c r="H49" s="116" t="s">
        <v>427</v>
      </c>
      <c r="I49" s="116" t="s">
        <v>637</v>
      </c>
      <c r="J49" s="117">
        <v>3.33</v>
      </c>
      <c r="K49" s="117" t="s">
        <v>255</v>
      </c>
      <c r="L49" s="116">
        <v>1.77E-2</v>
      </c>
      <c r="M49" s="116">
        <v>3.0099999999999998E-2</v>
      </c>
      <c r="N49" s="69">
        <v>1713023.1420173226</v>
      </c>
      <c r="O49" s="60">
        <v>107.4</v>
      </c>
      <c r="P49" s="84">
        <v>0</v>
      </c>
      <c r="Q49" s="84">
        <v>1839.7868500000002</v>
      </c>
      <c r="R49" s="24">
        <v>6.2136243935738595E-4</v>
      </c>
      <c r="S49" s="24">
        <v>1.0075378847041013E-2</v>
      </c>
      <c r="T49" s="24">
        <v>3.4580349809053505E-3</v>
      </c>
    </row>
    <row r="50" spans="1:20" x14ac:dyDescent="0.25">
      <c r="A50" s="16" t="s">
        <v>638</v>
      </c>
      <c r="B50" s="116" t="s">
        <v>639</v>
      </c>
      <c r="C50" s="116" t="s">
        <v>377</v>
      </c>
      <c r="D50" s="116" t="s">
        <v>249</v>
      </c>
      <c r="E50" s="116" t="s">
        <v>486</v>
      </c>
      <c r="F50" s="116" t="s">
        <v>223</v>
      </c>
      <c r="G50" s="116" t="s">
        <v>503</v>
      </c>
      <c r="H50" s="116" t="s">
        <v>427</v>
      </c>
      <c r="I50" s="116" t="s">
        <v>637</v>
      </c>
      <c r="J50" s="117">
        <v>6.33</v>
      </c>
      <c r="K50" s="117" t="s">
        <v>255</v>
      </c>
      <c r="L50" s="116">
        <v>2.4799999999999999E-2</v>
      </c>
      <c r="M50" s="116">
        <v>3.1400000000000004E-2</v>
      </c>
      <c r="N50" s="69">
        <v>3335080.7120098583</v>
      </c>
      <c r="O50" s="60">
        <v>107.59</v>
      </c>
      <c r="P50" s="84">
        <v>0</v>
      </c>
      <c r="Q50" s="84">
        <v>3588.2133399999998</v>
      </c>
      <c r="R50" s="24">
        <v>1.0123207877425211E-3</v>
      </c>
      <c r="S50" s="24">
        <v>1.9650433301285082E-2</v>
      </c>
      <c r="T50" s="24">
        <v>6.7443504385691321E-3</v>
      </c>
    </row>
    <row r="51" spans="1:20" x14ac:dyDescent="0.25">
      <c r="A51" s="16" t="s">
        <v>788</v>
      </c>
      <c r="B51" s="116" t="s">
        <v>789</v>
      </c>
      <c r="C51" s="116" t="s">
        <v>377</v>
      </c>
      <c r="D51" s="116" t="s">
        <v>249</v>
      </c>
      <c r="E51" s="116" t="s">
        <v>486</v>
      </c>
      <c r="F51" s="116" t="s">
        <v>223</v>
      </c>
      <c r="G51" s="116" t="s">
        <v>487</v>
      </c>
      <c r="H51" s="116" t="s">
        <v>254</v>
      </c>
      <c r="I51" s="116" t="s">
        <v>790</v>
      </c>
      <c r="J51" s="117">
        <v>11.18</v>
      </c>
      <c r="K51" s="117" t="s">
        <v>255</v>
      </c>
      <c r="L51" s="116">
        <v>1.6899999999999998E-2</v>
      </c>
      <c r="M51" s="116">
        <v>3.32E-2</v>
      </c>
      <c r="N51" s="69">
        <v>2817769.3764210031</v>
      </c>
      <c r="O51" s="60">
        <v>92.05</v>
      </c>
      <c r="P51" s="84">
        <v>0</v>
      </c>
      <c r="Q51" s="84">
        <v>2593.7567100000001</v>
      </c>
      <c r="R51" s="24">
        <v>1.0522270638001288E-3</v>
      </c>
      <c r="S51" s="24">
        <v>1.4204407152004968E-2</v>
      </c>
      <c r="T51" s="24">
        <v>4.8751850982835182E-3</v>
      </c>
    </row>
    <row r="52" spans="1:20" x14ac:dyDescent="0.25">
      <c r="A52" s="16" t="s">
        <v>461</v>
      </c>
      <c r="B52" s="116" t="s">
        <v>462</v>
      </c>
      <c r="C52" s="116" t="s">
        <v>377</v>
      </c>
      <c r="D52" s="116" t="s">
        <v>249</v>
      </c>
      <c r="E52" s="116" t="s">
        <v>463</v>
      </c>
      <c r="F52" s="116" t="s">
        <v>223</v>
      </c>
      <c r="G52" s="116" t="s">
        <v>443</v>
      </c>
      <c r="H52" s="116" t="s">
        <v>254</v>
      </c>
      <c r="I52" s="116" t="s">
        <v>464</v>
      </c>
      <c r="J52" s="117">
        <v>2.52</v>
      </c>
      <c r="K52" s="117" t="s">
        <v>255</v>
      </c>
      <c r="L52" s="116">
        <v>3.2000000000000001E-2</v>
      </c>
      <c r="M52" s="116">
        <v>2.9900000000000003E-2</v>
      </c>
      <c r="N52" s="69">
        <v>785907.23393342993</v>
      </c>
      <c r="O52" s="60">
        <v>112.5</v>
      </c>
      <c r="P52" s="84">
        <v>0</v>
      </c>
      <c r="Q52" s="84">
        <v>884.14563999999996</v>
      </c>
      <c r="R52" s="24">
        <v>5.6022361543809946E-4</v>
      </c>
      <c r="S52" s="24">
        <v>4.841920833905047E-3</v>
      </c>
      <c r="T52" s="24">
        <v>1.6618265052470336E-3</v>
      </c>
    </row>
    <row r="53" spans="1:20" x14ac:dyDescent="0.25">
      <c r="A53" s="16" t="s">
        <v>657</v>
      </c>
      <c r="B53" s="116" t="s">
        <v>658</v>
      </c>
      <c r="C53" s="116" t="s">
        <v>377</v>
      </c>
      <c r="D53" s="116" t="s">
        <v>249</v>
      </c>
      <c r="E53" s="116" t="s">
        <v>463</v>
      </c>
      <c r="F53" s="116" t="s">
        <v>223</v>
      </c>
      <c r="G53" s="116" t="s">
        <v>443</v>
      </c>
      <c r="H53" s="116" t="s">
        <v>254</v>
      </c>
      <c r="I53" s="116" t="s">
        <v>659</v>
      </c>
      <c r="J53" s="117">
        <v>4.29</v>
      </c>
      <c r="K53" s="117" t="s">
        <v>255</v>
      </c>
      <c r="L53" s="116">
        <v>1.1399999999999999E-2</v>
      </c>
      <c r="M53" s="116">
        <v>3.1E-2</v>
      </c>
      <c r="N53" s="69">
        <v>839154.10252838349</v>
      </c>
      <c r="O53" s="60">
        <v>100.96000000000001</v>
      </c>
      <c r="P53" s="84">
        <v>10.490877216000001</v>
      </c>
      <c r="Q53" s="84">
        <v>857.70086000000003</v>
      </c>
      <c r="R53" s="24">
        <v>3.5512490040274668E-4</v>
      </c>
      <c r="S53" s="24">
        <v>4.6970990698911048E-3</v>
      </c>
      <c r="T53" s="24">
        <v>1.6121213047221219E-3</v>
      </c>
    </row>
    <row r="54" spans="1:20" x14ac:dyDescent="0.25">
      <c r="A54" s="16" t="s">
        <v>755</v>
      </c>
      <c r="B54" s="116" t="s">
        <v>756</v>
      </c>
      <c r="C54" s="116" t="s">
        <v>377</v>
      </c>
      <c r="D54" s="116" t="s">
        <v>249</v>
      </c>
      <c r="E54" s="116" t="s">
        <v>463</v>
      </c>
      <c r="F54" s="116" t="s">
        <v>223</v>
      </c>
      <c r="G54" s="116" t="s">
        <v>523</v>
      </c>
      <c r="H54" s="116" t="s">
        <v>427</v>
      </c>
      <c r="I54" s="116" t="s">
        <v>757</v>
      </c>
      <c r="J54" s="117">
        <v>6.5</v>
      </c>
      <c r="K54" s="117" t="s">
        <v>255</v>
      </c>
      <c r="L54" s="116">
        <v>9.1999999999999998E-3</v>
      </c>
      <c r="M54" s="116">
        <v>3.2899999999999999E-2</v>
      </c>
      <c r="N54" s="69">
        <v>1685694.8953874684</v>
      </c>
      <c r="O54" s="60">
        <v>96.51</v>
      </c>
      <c r="P54" s="84">
        <v>0</v>
      </c>
      <c r="Q54" s="84">
        <v>1626.8641399999999</v>
      </c>
      <c r="R54" s="24">
        <v>8.4221073637703316E-4</v>
      </c>
      <c r="S54" s="24">
        <v>8.9093323735657572E-3</v>
      </c>
      <c r="T54" s="24">
        <v>3.0578287399437051E-3</v>
      </c>
    </row>
    <row r="55" spans="1:20" x14ac:dyDescent="0.25">
      <c r="A55" s="16" t="s">
        <v>799</v>
      </c>
      <c r="B55" s="116" t="s">
        <v>800</v>
      </c>
      <c r="C55" s="116" t="s">
        <v>377</v>
      </c>
      <c r="D55" s="116" t="s">
        <v>249</v>
      </c>
      <c r="E55" s="116" t="s">
        <v>463</v>
      </c>
      <c r="F55" s="116" t="s">
        <v>223</v>
      </c>
      <c r="G55" s="116" t="s">
        <v>523</v>
      </c>
      <c r="H55" s="116" t="s">
        <v>427</v>
      </c>
      <c r="I55" s="116" t="s">
        <v>801</v>
      </c>
      <c r="J55" s="117">
        <v>8.2799999999999994</v>
      </c>
      <c r="K55" s="117" t="s">
        <v>255</v>
      </c>
      <c r="L55" s="116">
        <v>9.1999999999999998E-3</v>
      </c>
      <c r="M55" s="116">
        <v>3.27E-2</v>
      </c>
      <c r="N55" s="69">
        <v>577267.83323640598</v>
      </c>
      <c r="O55" s="60">
        <v>96.469671000000005</v>
      </c>
      <c r="P55" s="84">
        <v>0</v>
      </c>
      <c r="Q55" s="84">
        <v>556.88837999999998</v>
      </c>
      <c r="R55" s="24">
        <v>2.8841587421729473E-4</v>
      </c>
      <c r="S55" s="24">
        <v>3.0497344863699496E-3</v>
      </c>
      <c r="T55" s="24">
        <v>1.0467188079421872E-3</v>
      </c>
    </row>
    <row r="56" spans="1:20" x14ac:dyDescent="0.25">
      <c r="A56" s="16" t="s">
        <v>465</v>
      </c>
      <c r="B56" s="116" t="s">
        <v>466</v>
      </c>
      <c r="C56" s="116" t="s">
        <v>377</v>
      </c>
      <c r="D56" s="116" t="s">
        <v>249</v>
      </c>
      <c r="E56" s="116" t="s">
        <v>467</v>
      </c>
      <c r="F56" s="116" t="s">
        <v>223</v>
      </c>
      <c r="G56" s="116" t="s">
        <v>443</v>
      </c>
      <c r="H56" s="116" t="s">
        <v>254</v>
      </c>
      <c r="I56" s="116" t="s">
        <v>468</v>
      </c>
      <c r="J56" s="117">
        <v>2.61</v>
      </c>
      <c r="K56" s="117" t="s">
        <v>255</v>
      </c>
      <c r="L56" s="116">
        <v>2.3399999999999997E-2</v>
      </c>
      <c r="M56" s="116">
        <v>3.1400000000000004E-2</v>
      </c>
      <c r="N56" s="69">
        <v>1355765.3733509746</v>
      </c>
      <c r="O56" s="60">
        <v>110.3</v>
      </c>
      <c r="P56" s="84">
        <v>0</v>
      </c>
      <c r="Q56" s="84">
        <v>1495.40921</v>
      </c>
      <c r="R56" s="24">
        <v>5.2366333010174623E-4</v>
      </c>
      <c r="S56" s="24">
        <v>8.1894347283242696E-3</v>
      </c>
      <c r="T56" s="24">
        <v>2.810748081468261E-3</v>
      </c>
    </row>
    <row r="57" spans="1:20" x14ac:dyDescent="0.25">
      <c r="A57" s="16" t="s">
        <v>666</v>
      </c>
      <c r="B57" s="116" t="s">
        <v>667</v>
      </c>
      <c r="C57" s="116" t="s">
        <v>377</v>
      </c>
      <c r="D57" s="116" t="s">
        <v>249</v>
      </c>
      <c r="E57" s="116" t="s">
        <v>467</v>
      </c>
      <c r="F57" s="116" t="s">
        <v>223</v>
      </c>
      <c r="G57" s="116" t="s">
        <v>443</v>
      </c>
      <c r="H57" s="116" t="s">
        <v>254</v>
      </c>
      <c r="I57" s="116" t="s">
        <v>668</v>
      </c>
      <c r="J57" s="117">
        <v>5.89</v>
      </c>
      <c r="K57" s="117" t="s">
        <v>255</v>
      </c>
      <c r="L57" s="116">
        <v>6.5000000000000006E-3</v>
      </c>
      <c r="M57" s="116">
        <v>3.1800000000000002E-2</v>
      </c>
      <c r="N57" s="69">
        <v>2100697.9925684137</v>
      </c>
      <c r="O57" s="60">
        <v>95.32</v>
      </c>
      <c r="P57" s="84">
        <v>0</v>
      </c>
      <c r="Q57" s="84">
        <v>2002.3853300000001</v>
      </c>
      <c r="R57" s="24">
        <v>9.8407583082097956E-4</v>
      </c>
      <c r="S57" s="24">
        <v>1.0965830524067089E-2</v>
      </c>
      <c r="T57" s="24">
        <v>3.7636525755098769E-3</v>
      </c>
    </row>
    <row r="58" spans="1:20" x14ac:dyDescent="0.25">
      <c r="A58" s="16" t="s">
        <v>933</v>
      </c>
      <c r="B58" s="116" t="s">
        <v>934</v>
      </c>
      <c r="C58" s="116" t="s">
        <v>377</v>
      </c>
      <c r="D58" s="116" t="s">
        <v>249</v>
      </c>
      <c r="E58" s="116" t="s">
        <v>467</v>
      </c>
      <c r="F58" s="116" t="s">
        <v>223</v>
      </c>
      <c r="G58" s="116" t="s">
        <v>443</v>
      </c>
      <c r="H58" s="116" t="s">
        <v>254</v>
      </c>
      <c r="I58" s="116" t="s">
        <v>935</v>
      </c>
      <c r="J58" s="117">
        <v>8.8000000000000007</v>
      </c>
      <c r="K58" s="117" t="s">
        <v>255</v>
      </c>
      <c r="L58" s="116">
        <v>2.6600000000000002E-2</v>
      </c>
      <c r="M58" s="116">
        <v>3.0299999999999997E-2</v>
      </c>
      <c r="N58" s="69">
        <v>287070.99282310711</v>
      </c>
      <c r="O58" s="60">
        <v>99.52</v>
      </c>
      <c r="P58" s="84">
        <v>0</v>
      </c>
      <c r="Q58" s="84">
        <v>285.69304999999997</v>
      </c>
      <c r="R58" s="24">
        <v>9.5690330941035709E-4</v>
      </c>
      <c r="S58" s="24">
        <v>1.5645647824456569E-3</v>
      </c>
      <c r="T58" s="24">
        <v>5.3698424939907638E-4</v>
      </c>
    </row>
    <row r="59" spans="1:20" x14ac:dyDescent="0.25">
      <c r="A59" s="16" t="s">
        <v>521</v>
      </c>
      <c r="B59" s="116" t="s">
        <v>522</v>
      </c>
      <c r="C59" s="116" t="s">
        <v>377</v>
      </c>
      <c r="D59" s="116" t="s">
        <v>249</v>
      </c>
      <c r="E59" s="116" t="s">
        <v>491</v>
      </c>
      <c r="F59" s="116" t="s">
        <v>223</v>
      </c>
      <c r="G59" s="116" t="s">
        <v>523</v>
      </c>
      <c r="H59" s="116" t="s">
        <v>427</v>
      </c>
      <c r="I59" s="116" t="s">
        <v>524</v>
      </c>
      <c r="J59" s="117">
        <v>2.2599999999999998</v>
      </c>
      <c r="K59" s="117" t="s">
        <v>255</v>
      </c>
      <c r="L59" s="116">
        <v>1.34E-2</v>
      </c>
      <c r="M59" s="116">
        <v>2.9600000000000001E-2</v>
      </c>
      <c r="N59" s="69">
        <v>284460.14734130888</v>
      </c>
      <c r="O59" s="60">
        <v>109.13999999999999</v>
      </c>
      <c r="P59" s="84">
        <v>0</v>
      </c>
      <c r="Q59" s="84">
        <v>310.45979999999997</v>
      </c>
      <c r="R59" s="24">
        <v>5.335132673532886E-4</v>
      </c>
      <c r="S59" s="24">
        <v>1.7001970102007108E-3</v>
      </c>
      <c r="T59" s="24">
        <v>5.8353545062292335E-4</v>
      </c>
    </row>
    <row r="60" spans="1:20" x14ac:dyDescent="0.25">
      <c r="A60" s="16" t="s">
        <v>751</v>
      </c>
      <c r="B60" s="116" t="s">
        <v>752</v>
      </c>
      <c r="C60" s="116" t="s">
        <v>377</v>
      </c>
      <c r="D60" s="116" t="s">
        <v>249</v>
      </c>
      <c r="E60" s="116" t="s">
        <v>491</v>
      </c>
      <c r="F60" s="116" t="s">
        <v>223</v>
      </c>
      <c r="G60" s="116" t="s">
        <v>443</v>
      </c>
      <c r="H60" s="116" t="s">
        <v>254</v>
      </c>
      <c r="I60" s="116" t="s">
        <v>391</v>
      </c>
      <c r="J60" s="117">
        <v>4.37</v>
      </c>
      <c r="K60" s="117" t="s">
        <v>255</v>
      </c>
      <c r="L60" s="116">
        <v>6.8999999999999999E-3</v>
      </c>
      <c r="M60" s="116">
        <v>3.0099999999999998E-2</v>
      </c>
      <c r="N60" s="69">
        <v>151281.11768017264</v>
      </c>
      <c r="O60" s="60">
        <v>100.81</v>
      </c>
      <c r="P60" s="84">
        <v>0</v>
      </c>
      <c r="Q60" s="84">
        <v>152.50648999999999</v>
      </c>
      <c r="R60" s="24">
        <v>8.7709367857242949E-4</v>
      </c>
      <c r="S60" s="24">
        <v>8.3518406677516568E-4</v>
      </c>
      <c r="T60" s="24">
        <v>2.8664884588945285E-4</v>
      </c>
    </row>
    <row r="61" spans="1:20" x14ac:dyDescent="0.25">
      <c r="A61" s="16" t="s">
        <v>605</v>
      </c>
      <c r="B61" s="116" t="s">
        <v>606</v>
      </c>
      <c r="C61" s="116" t="s">
        <v>377</v>
      </c>
      <c r="D61" s="116" t="s">
        <v>249</v>
      </c>
      <c r="E61" s="116" t="s">
        <v>491</v>
      </c>
      <c r="F61" s="116" t="s">
        <v>223</v>
      </c>
      <c r="G61" s="116" t="s">
        <v>443</v>
      </c>
      <c r="H61" s="116" t="s">
        <v>254</v>
      </c>
      <c r="I61" s="116" t="s">
        <v>607</v>
      </c>
      <c r="J61" s="117">
        <v>3.59</v>
      </c>
      <c r="K61" s="117" t="s">
        <v>255</v>
      </c>
      <c r="L61" s="116">
        <v>1.8200000000000001E-2</v>
      </c>
      <c r="M61" s="116">
        <v>2.9600000000000001E-2</v>
      </c>
      <c r="N61" s="69">
        <v>578999.79213661596</v>
      </c>
      <c r="O61" s="60">
        <v>107.72</v>
      </c>
      <c r="P61" s="84">
        <v>0</v>
      </c>
      <c r="Q61" s="84">
        <v>623.69857999999999</v>
      </c>
      <c r="R61" s="24">
        <v>1.0846226900462247E-3</v>
      </c>
      <c r="S61" s="24">
        <v>3.4156127813727536E-3</v>
      </c>
      <c r="T61" s="24">
        <v>1.1722942291825785E-3</v>
      </c>
    </row>
    <row r="62" spans="1:20" x14ac:dyDescent="0.25">
      <c r="A62" s="16" t="s">
        <v>660</v>
      </c>
      <c r="B62" s="116" t="s">
        <v>661</v>
      </c>
      <c r="C62" s="116" t="s">
        <v>377</v>
      </c>
      <c r="D62" s="116" t="s">
        <v>249</v>
      </c>
      <c r="E62" s="116" t="s">
        <v>491</v>
      </c>
      <c r="F62" s="116" t="s">
        <v>223</v>
      </c>
      <c r="G62" s="116" t="s">
        <v>443</v>
      </c>
      <c r="H62" s="116" t="s">
        <v>254</v>
      </c>
      <c r="I62" s="116" t="s">
        <v>662</v>
      </c>
      <c r="J62" s="117">
        <v>4.6500000000000004</v>
      </c>
      <c r="K62" s="117" t="s">
        <v>255</v>
      </c>
      <c r="L62" s="116">
        <v>7.8000000000000005E-3</v>
      </c>
      <c r="M62" s="116">
        <v>2.98E-2</v>
      </c>
      <c r="N62" s="69">
        <v>352384.08298102341</v>
      </c>
      <c r="O62" s="60">
        <v>99.78</v>
      </c>
      <c r="P62" s="84">
        <v>0</v>
      </c>
      <c r="Q62" s="84">
        <v>351.60884000000004</v>
      </c>
      <c r="R62" s="24">
        <v>8.9528476367129936E-4</v>
      </c>
      <c r="S62" s="24">
        <v>1.9255449450400347E-3</v>
      </c>
      <c r="T62" s="24">
        <v>6.6087855140151293E-4</v>
      </c>
    </row>
    <row r="63" spans="1:20" x14ac:dyDescent="0.25">
      <c r="A63" s="16" t="s">
        <v>753</v>
      </c>
      <c r="B63" s="116" t="s">
        <v>754</v>
      </c>
      <c r="C63" s="116" t="s">
        <v>377</v>
      </c>
      <c r="D63" s="116" t="s">
        <v>249</v>
      </c>
      <c r="E63" s="116" t="s">
        <v>491</v>
      </c>
      <c r="F63" s="116" t="s">
        <v>223</v>
      </c>
      <c r="G63" s="116" t="s">
        <v>443</v>
      </c>
      <c r="H63" s="116" t="s">
        <v>254</v>
      </c>
      <c r="I63" s="116" t="s">
        <v>391</v>
      </c>
      <c r="J63" s="117">
        <v>4.37</v>
      </c>
      <c r="K63" s="117" t="s">
        <v>255</v>
      </c>
      <c r="L63" s="116">
        <v>6.8999999999999999E-3</v>
      </c>
      <c r="M63" s="116">
        <v>2.92E-2</v>
      </c>
      <c r="N63" s="69">
        <v>176870.44067340906</v>
      </c>
      <c r="O63" s="60">
        <v>101.2</v>
      </c>
      <c r="P63" s="84">
        <v>0</v>
      </c>
      <c r="Q63" s="84">
        <v>178.99289000000002</v>
      </c>
      <c r="R63" s="24">
        <v>9.13586986949427E-4</v>
      </c>
      <c r="S63" s="24">
        <v>9.8023375788164769E-4</v>
      </c>
      <c r="T63" s="24">
        <v>3.3643227472429405E-4</v>
      </c>
    </row>
    <row r="64" spans="1:20" x14ac:dyDescent="0.25">
      <c r="A64" s="16" t="s">
        <v>686</v>
      </c>
      <c r="B64" s="116" t="s">
        <v>687</v>
      </c>
      <c r="C64" s="116" t="s">
        <v>377</v>
      </c>
      <c r="D64" s="116" t="s">
        <v>249</v>
      </c>
      <c r="E64" s="116" t="s">
        <v>688</v>
      </c>
      <c r="F64" s="116" t="s">
        <v>201</v>
      </c>
      <c r="G64" s="116" t="s">
        <v>523</v>
      </c>
      <c r="H64" s="116" t="s">
        <v>427</v>
      </c>
      <c r="I64" s="116" t="s">
        <v>685</v>
      </c>
      <c r="J64" s="117">
        <v>5.28</v>
      </c>
      <c r="K64" s="117" t="s">
        <v>255</v>
      </c>
      <c r="L64" s="116">
        <v>4.4000000000000003E-3</v>
      </c>
      <c r="M64" s="116">
        <v>2.7400000000000001E-2</v>
      </c>
      <c r="N64" s="69">
        <v>873258.0062210547</v>
      </c>
      <c r="O64" s="60">
        <v>98.69</v>
      </c>
      <c r="P64" s="84">
        <v>0</v>
      </c>
      <c r="Q64" s="84">
        <v>861.81832999999995</v>
      </c>
      <c r="R64" s="24">
        <v>1.1538718977297858E-3</v>
      </c>
      <c r="S64" s="24">
        <v>4.7196479157757924E-3</v>
      </c>
      <c r="T64" s="24">
        <v>1.619860437813995E-3</v>
      </c>
    </row>
    <row r="65" spans="1:20" x14ac:dyDescent="0.25">
      <c r="A65" s="16" t="s">
        <v>663</v>
      </c>
      <c r="B65" s="116" t="s">
        <v>664</v>
      </c>
      <c r="C65" s="116" t="s">
        <v>377</v>
      </c>
      <c r="D65" s="116" t="s">
        <v>249</v>
      </c>
      <c r="E65" s="116" t="s">
        <v>546</v>
      </c>
      <c r="F65" s="116" t="s">
        <v>223</v>
      </c>
      <c r="G65" s="116" t="s">
        <v>523</v>
      </c>
      <c r="H65" s="116" t="s">
        <v>427</v>
      </c>
      <c r="I65" s="116" t="s">
        <v>665</v>
      </c>
      <c r="J65" s="117">
        <v>5.49</v>
      </c>
      <c r="K65" s="117" t="s">
        <v>255</v>
      </c>
      <c r="L65" s="116">
        <v>8.3999999999999995E-3</v>
      </c>
      <c r="M65" s="116">
        <v>3.0099999999999998E-2</v>
      </c>
      <c r="N65" s="69">
        <v>642302.81676481816</v>
      </c>
      <c r="O65" s="60">
        <v>98.550000000000011</v>
      </c>
      <c r="P65" s="84">
        <v>0</v>
      </c>
      <c r="Q65" s="84">
        <v>632.98943000000008</v>
      </c>
      <c r="R65" s="24">
        <v>7.8243734530980406E-4</v>
      </c>
      <c r="S65" s="24">
        <v>3.4664930415295387E-3</v>
      </c>
      <c r="T65" s="24">
        <v>1.1897571675128229E-3</v>
      </c>
    </row>
    <row r="66" spans="1:20" x14ac:dyDescent="0.25">
      <c r="A66" s="16" t="s">
        <v>1001</v>
      </c>
      <c r="B66" s="116" t="s">
        <v>1002</v>
      </c>
      <c r="C66" s="116" t="s">
        <v>377</v>
      </c>
      <c r="D66" s="116" t="s">
        <v>249</v>
      </c>
      <c r="E66" s="116" t="s">
        <v>642</v>
      </c>
      <c r="F66" s="116" t="s">
        <v>200</v>
      </c>
      <c r="G66" s="116" t="s">
        <v>443</v>
      </c>
      <c r="H66" s="116" t="s">
        <v>254</v>
      </c>
      <c r="I66" s="116" t="s">
        <v>1003</v>
      </c>
      <c r="J66" s="117">
        <v>1.4</v>
      </c>
      <c r="K66" s="117" t="s">
        <v>255</v>
      </c>
      <c r="L66" s="116">
        <v>2.4199999999999999E-2</v>
      </c>
      <c r="M66" s="116">
        <v>3.56E-2</v>
      </c>
      <c r="N66" s="69">
        <v>33.48153432771155</v>
      </c>
      <c r="O66" s="60">
        <v>5557000</v>
      </c>
      <c r="P66" s="84">
        <v>0</v>
      </c>
      <c r="Q66" s="84">
        <v>1860.5688600000001</v>
      </c>
      <c r="R66" s="24">
        <v>1.1616255881661017E-3</v>
      </c>
      <c r="S66" s="24">
        <v>1.0189189109329276E-2</v>
      </c>
      <c r="T66" s="24">
        <v>3.4970965262977011E-3</v>
      </c>
    </row>
    <row r="67" spans="1:20" x14ac:dyDescent="0.25">
      <c r="A67" s="16" t="s">
        <v>1004</v>
      </c>
      <c r="B67" s="116" t="s">
        <v>1005</v>
      </c>
      <c r="C67" s="116" t="s">
        <v>377</v>
      </c>
      <c r="D67" s="116" t="s">
        <v>249</v>
      </c>
      <c r="E67" s="116" t="s">
        <v>642</v>
      </c>
      <c r="F67" s="116" t="s">
        <v>200</v>
      </c>
      <c r="G67" s="116" t="s">
        <v>443</v>
      </c>
      <c r="H67" s="116" t="s">
        <v>254</v>
      </c>
      <c r="I67" s="116" t="s">
        <v>1006</v>
      </c>
      <c r="J67" s="117">
        <v>1.01</v>
      </c>
      <c r="K67" s="117" t="s">
        <v>255</v>
      </c>
      <c r="L67" s="116">
        <v>1.95E-2</v>
      </c>
      <c r="M67" s="116">
        <v>3.56E-2</v>
      </c>
      <c r="N67" s="69">
        <v>18.674614405197733</v>
      </c>
      <c r="O67" s="60">
        <v>5397000</v>
      </c>
      <c r="P67" s="84">
        <v>16.28870641</v>
      </c>
      <c r="Q67" s="84">
        <v>1024.1576500000001</v>
      </c>
      <c r="R67" s="24">
        <v>7.5243218522896707E-4</v>
      </c>
      <c r="S67" s="24">
        <v>5.6086803331838334E-3</v>
      </c>
      <c r="T67" s="24">
        <v>1.924990919280578E-3</v>
      </c>
    </row>
    <row r="68" spans="1:20" x14ac:dyDescent="0.25">
      <c r="A68" s="16" t="s">
        <v>1023</v>
      </c>
      <c r="B68" s="116" t="s">
        <v>1024</v>
      </c>
      <c r="C68" s="116" t="s">
        <v>377</v>
      </c>
      <c r="D68" s="116" t="s">
        <v>249</v>
      </c>
      <c r="E68" s="116" t="s">
        <v>642</v>
      </c>
      <c r="F68" s="116" t="s">
        <v>200</v>
      </c>
      <c r="G68" s="116" t="s">
        <v>523</v>
      </c>
      <c r="H68" s="116" t="s">
        <v>427</v>
      </c>
      <c r="I68" s="116" t="s">
        <v>1025</v>
      </c>
      <c r="J68" s="117">
        <v>4.34</v>
      </c>
      <c r="K68" s="117" t="s">
        <v>255</v>
      </c>
      <c r="L68" s="116">
        <v>1.4999999999999999E-2</v>
      </c>
      <c r="M68" s="116">
        <v>3.7999999999999999E-2</v>
      </c>
      <c r="N68" s="69">
        <v>6.0728576056469912</v>
      </c>
      <c r="O68" s="60">
        <v>4910638</v>
      </c>
      <c r="P68" s="84">
        <v>0</v>
      </c>
      <c r="Q68" s="84">
        <v>298.21605</v>
      </c>
      <c r="R68" s="24">
        <v>2.1628526268420084E-4</v>
      </c>
      <c r="S68" s="24">
        <v>1.6331455364071794E-3</v>
      </c>
      <c r="T68" s="24">
        <v>5.6052228700700793E-4</v>
      </c>
    </row>
    <row r="69" spans="1:20" x14ac:dyDescent="0.25">
      <c r="A69" s="16" t="s">
        <v>804</v>
      </c>
      <c r="B69" s="116" t="s">
        <v>805</v>
      </c>
      <c r="C69" s="116" t="s">
        <v>377</v>
      </c>
      <c r="D69" s="116" t="s">
        <v>249</v>
      </c>
      <c r="E69" s="116" t="s">
        <v>536</v>
      </c>
      <c r="F69" s="116" t="s">
        <v>223</v>
      </c>
      <c r="G69" s="116" t="s">
        <v>523</v>
      </c>
      <c r="H69" s="116" t="s">
        <v>427</v>
      </c>
      <c r="I69" s="116" t="s">
        <v>806</v>
      </c>
      <c r="J69" s="117">
        <v>6.82</v>
      </c>
      <c r="K69" s="117" t="s">
        <v>255</v>
      </c>
      <c r="L69" s="116">
        <v>3.4999999999999996E-3</v>
      </c>
      <c r="M69" s="116">
        <v>3.3000000000000002E-2</v>
      </c>
      <c r="N69" s="69">
        <v>4148268.6493139383</v>
      </c>
      <c r="O69" s="60">
        <v>88.99</v>
      </c>
      <c r="P69" s="84">
        <v>233.33873300599998</v>
      </c>
      <c r="Q69" s="84">
        <v>3740.3057899999999</v>
      </c>
      <c r="R69" s="24">
        <v>1.4243844208923261E-3</v>
      </c>
      <c r="S69" s="24">
        <v>2.0483349926123794E-2</v>
      </c>
      <c r="T69" s="24">
        <v>7.0302210612619718E-3</v>
      </c>
    </row>
    <row r="70" spans="1:20" x14ac:dyDescent="0.25">
      <c r="A70" s="16" t="s">
        <v>534</v>
      </c>
      <c r="B70" s="116" t="s">
        <v>535</v>
      </c>
      <c r="C70" s="116" t="s">
        <v>377</v>
      </c>
      <c r="D70" s="116" t="s">
        <v>249</v>
      </c>
      <c r="E70" s="116" t="s">
        <v>536</v>
      </c>
      <c r="F70" s="116" t="s">
        <v>223</v>
      </c>
      <c r="G70" s="116" t="s">
        <v>523</v>
      </c>
      <c r="H70" s="116" t="s">
        <v>427</v>
      </c>
      <c r="I70" s="116" t="s">
        <v>537</v>
      </c>
      <c r="J70" s="117">
        <v>2.6</v>
      </c>
      <c r="K70" s="117" t="s">
        <v>255</v>
      </c>
      <c r="L70" s="116">
        <v>3.7000000000000005E-2</v>
      </c>
      <c r="M70" s="116">
        <v>3.0499999999999999E-2</v>
      </c>
      <c r="N70" s="69">
        <v>89062.959129551673</v>
      </c>
      <c r="O70" s="60">
        <v>114.36</v>
      </c>
      <c r="P70" s="84">
        <v>0</v>
      </c>
      <c r="Q70" s="84">
        <v>101.85239999999999</v>
      </c>
      <c r="R70" s="24">
        <v>2.3691308224875872E-4</v>
      </c>
      <c r="S70" s="24">
        <v>5.5778283037535576E-4</v>
      </c>
      <c r="T70" s="24">
        <v>1.9144019976507826E-4</v>
      </c>
    </row>
    <row r="71" spans="1:20" x14ac:dyDescent="0.25">
      <c r="A71" s="16" t="s">
        <v>596</v>
      </c>
      <c r="B71" s="116" t="s">
        <v>597</v>
      </c>
      <c r="C71" s="116" t="s">
        <v>377</v>
      </c>
      <c r="D71" s="116" t="s">
        <v>249</v>
      </c>
      <c r="E71" s="116" t="s">
        <v>536</v>
      </c>
      <c r="F71" s="116" t="s">
        <v>223</v>
      </c>
      <c r="G71" s="116" t="s">
        <v>443</v>
      </c>
      <c r="H71" s="116" t="s">
        <v>254</v>
      </c>
      <c r="I71" s="116" t="s">
        <v>598</v>
      </c>
      <c r="J71" s="117">
        <v>3.19</v>
      </c>
      <c r="K71" s="117" t="s">
        <v>255</v>
      </c>
      <c r="L71" s="116">
        <v>2.6000000000000002E-2</v>
      </c>
      <c r="M71" s="116">
        <v>2.8799999999999999E-2</v>
      </c>
      <c r="N71" s="69">
        <v>430801.41260847752</v>
      </c>
      <c r="O71" s="60">
        <v>111.35999999999999</v>
      </c>
      <c r="P71" s="84">
        <v>6.2894495930000005</v>
      </c>
      <c r="Q71" s="84">
        <v>486.0299</v>
      </c>
      <c r="R71" s="24">
        <v>1.1943102122735491E-3</v>
      </c>
      <c r="S71" s="24">
        <v>2.6616862564755582E-3</v>
      </c>
      <c r="T71" s="24">
        <v>9.135343020665298E-4</v>
      </c>
    </row>
    <row r="72" spans="1:20" x14ac:dyDescent="0.25">
      <c r="A72" s="16" t="s">
        <v>558</v>
      </c>
      <c r="B72" s="116" t="s">
        <v>559</v>
      </c>
      <c r="C72" s="116" t="s">
        <v>377</v>
      </c>
      <c r="D72" s="116" t="s">
        <v>249</v>
      </c>
      <c r="E72" s="116" t="s">
        <v>536</v>
      </c>
      <c r="F72" s="116" t="s">
        <v>223</v>
      </c>
      <c r="G72" s="116" t="s">
        <v>523</v>
      </c>
      <c r="H72" s="116" t="s">
        <v>427</v>
      </c>
      <c r="I72" s="116" t="s">
        <v>560</v>
      </c>
      <c r="J72" s="117">
        <v>4.08</v>
      </c>
      <c r="K72" s="117" t="s">
        <v>255</v>
      </c>
      <c r="L72" s="116">
        <v>2.81E-2</v>
      </c>
      <c r="M72" s="116">
        <v>3.1200000000000002E-2</v>
      </c>
      <c r="N72" s="69">
        <v>830844.74475771934</v>
      </c>
      <c r="O72" s="60">
        <v>112.12</v>
      </c>
      <c r="P72" s="84">
        <v>0</v>
      </c>
      <c r="Q72" s="84">
        <v>931.54313000000002</v>
      </c>
      <c r="R72" s="24">
        <v>6.2236363251850092E-4</v>
      </c>
      <c r="S72" s="24">
        <v>5.1014876789169227E-3</v>
      </c>
      <c r="T72" s="24">
        <v>1.750914096250911E-3</v>
      </c>
    </row>
    <row r="73" spans="1:20" x14ac:dyDescent="0.25">
      <c r="A73" s="16" t="s">
        <v>672</v>
      </c>
      <c r="B73" s="116" t="s">
        <v>673</v>
      </c>
      <c r="C73" s="116" t="s">
        <v>377</v>
      </c>
      <c r="D73" s="116" t="s">
        <v>249</v>
      </c>
      <c r="E73" s="116" t="s">
        <v>536</v>
      </c>
      <c r="F73" s="116" t="s">
        <v>223</v>
      </c>
      <c r="G73" s="116" t="s">
        <v>443</v>
      </c>
      <c r="H73" s="116" t="s">
        <v>254</v>
      </c>
      <c r="I73" s="116" t="s">
        <v>674</v>
      </c>
      <c r="J73" s="117">
        <v>2.72</v>
      </c>
      <c r="K73" s="117" t="s">
        <v>255</v>
      </c>
      <c r="L73" s="116">
        <v>2.4E-2</v>
      </c>
      <c r="M73" s="116">
        <v>2.9399999999999999E-2</v>
      </c>
      <c r="N73" s="69">
        <v>590801.5005730117</v>
      </c>
      <c r="O73" s="60">
        <v>110.4</v>
      </c>
      <c r="P73" s="84">
        <v>50.340978235999998</v>
      </c>
      <c r="Q73" s="84">
        <v>660.77526999999998</v>
      </c>
      <c r="R73" s="24">
        <v>1.0239123100103068E-3</v>
      </c>
      <c r="S73" s="24">
        <v>3.6186589647631269E-3</v>
      </c>
      <c r="T73" s="24">
        <v>1.2419830037252292E-3</v>
      </c>
    </row>
    <row r="74" spans="1:20" x14ac:dyDescent="0.25">
      <c r="A74" s="16" t="s">
        <v>675</v>
      </c>
      <c r="B74" s="116" t="s">
        <v>676</v>
      </c>
      <c r="C74" s="116" t="s">
        <v>377</v>
      </c>
      <c r="D74" s="116" t="s">
        <v>249</v>
      </c>
      <c r="E74" s="116" t="s">
        <v>536</v>
      </c>
      <c r="F74" s="116" t="s">
        <v>223</v>
      </c>
      <c r="G74" s="116" t="s">
        <v>523</v>
      </c>
      <c r="H74" s="116" t="s">
        <v>427</v>
      </c>
      <c r="I74" s="116" t="s">
        <v>674</v>
      </c>
      <c r="J74" s="117">
        <v>3.87</v>
      </c>
      <c r="K74" s="117" t="s">
        <v>255</v>
      </c>
      <c r="L74" s="116">
        <v>2.6000000000000002E-2</v>
      </c>
      <c r="M74" s="116">
        <v>2.9300000000000003E-2</v>
      </c>
      <c r="N74" s="69">
        <v>351105.45406887721</v>
      </c>
      <c r="O74" s="60">
        <v>111.25</v>
      </c>
      <c r="P74" s="84">
        <v>0</v>
      </c>
      <c r="Q74" s="84">
        <v>390.60482000000002</v>
      </c>
      <c r="R74" s="24">
        <v>7.1617926859238016E-4</v>
      </c>
      <c r="S74" s="24">
        <v>2.1391018970378351E-3</v>
      </c>
      <c r="T74" s="24">
        <v>7.3417479381931549E-4</v>
      </c>
    </row>
    <row r="75" spans="1:20" x14ac:dyDescent="0.25">
      <c r="A75" s="16" t="s">
        <v>440</v>
      </c>
      <c r="B75" s="116" t="s">
        <v>441</v>
      </c>
      <c r="C75" s="116" t="s">
        <v>377</v>
      </c>
      <c r="D75" s="116" t="s">
        <v>249</v>
      </c>
      <c r="E75" s="116" t="s">
        <v>442</v>
      </c>
      <c r="F75" s="116" t="s">
        <v>223</v>
      </c>
      <c r="G75" s="116" t="s">
        <v>443</v>
      </c>
      <c r="H75" s="116" t="s">
        <v>254</v>
      </c>
      <c r="I75" s="116" t="s">
        <v>444</v>
      </c>
      <c r="J75" s="117">
        <v>0.03</v>
      </c>
      <c r="K75" s="117" t="s">
        <v>255</v>
      </c>
      <c r="L75" s="116">
        <v>4.9000000000000002E-2</v>
      </c>
      <c r="M75" s="116">
        <v>0.45</v>
      </c>
      <c r="N75" s="69">
        <v>5096634.0948994672</v>
      </c>
      <c r="O75" s="60">
        <v>117.36</v>
      </c>
      <c r="P75" s="84">
        <v>0</v>
      </c>
      <c r="Q75" s="84">
        <v>5981.4097699999993</v>
      </c>
      <c r="R75" s="24">
        <v>3.8319792149257979E-2</v>
      </c>
      <c r="S75" s="24">
        <v>3.2756495390834243E-2</v>
      </c>
      <c r="T75" s="24">
        <v>1.1242565528604045E-2</v>
      </c>
    </row>
    <row r="76" spans="1:20" x14ac:dyDescent="0.25">
      <c r="A76" s="16" t="s">
        <v>541</v>
      </c>
      <c r="B76" s="116" t="s">
        <v>542</v>
      </c>
      <c r="C76" s="116" t="s">
        <v>377</v>
      </c>
      <c r="D76" s="116" t="s">
        <v>249</v>
      </c>
      <c r="E76" s="116" t="s">
        <v>442</v>
      </c>
      <c r="F76" s="116" t="s">
        <v>223</v>
      </c>
      <c r="G76" s="116" t="s">
        <v>443</v>
      </c>
      <c r="H76" s="116" t="s">
        <v>254</v>
      </c>
      <c r="I76" s="116" t="s">
        <v>543</v>
      </c>
      <c r="J76" s="117">
        <v>3.27</v>
      </c>
      <c r="K76" s="117" t="s">
        <v>255</v>
      </c>
      <c r="L76" s="116">
        <v>2.35E-2</v>
      </c>
      <c r="M76" s="116">
        <v>2.8500000000000001E-2</v>
      </c>
      <c r="N76" s="69">
        <v>956286.9859253529</v>
      </c>
      <c r="O76" s="60">
        <v>110.9</v>
      </c>
      <c r="P76" s="84">
        <v>25.038677369999998</v>
      </c>
      <c r="Q76" s="84">
        <v>1073.37103</v>
      </c>
      <c r="R76" s="24">
        <v>1.0064368865493761E-3</v>
      </c>
      <c r="S76" s="24">
        <v>5.8781916887212368E-3</v>
      </c>
      <c r="T76" s="24">
        <v>2.0174916291147565E-3</v>
      </c>
    </row>
    <row r="77" spans="1:20" x14ac:dyDescent="0.25">
      <c r="A77" s="16" t="s">
        <v>474</v>
      </c>
      <c r="B77" s="116" t="s">
        <v>475</v>
      </c>
      <c r="C77" s="116" t="s">
        <v>377</v>
      </c>
      <c r="D77" s="116" t="s">
        <v>249</v>
      </c>
      <c r="E77" s="116" t="s">
        <v>442</v>
      </c>
      <c r="F77" s="116" t="s">
        <v>223</v>
      </c>
      <c r="G77" s="116" t="s">
        <v>443</v>
      </c>
      <c r="H77" s="116" t="s">
        <v>254</v>
      </c>
      <c r="I77" s="116" t="s">
        <v>476</v>
      </c>
      <c r="J77" s="117">
        <v>1.72</v>
      </c>
      <c r="K77" s="117" t="s">
        <v>255</v>
      </c>
      <c r="L77" s="116">
        <v>1.7600000000000001E-2</v>
      </c>
      <c r="M77" s="116">
        <v>2.9600000000000001E-2</v>
      </c>
      <c r="N77" s="69">
        <v>1586277.2149922466</v>
      </c>
      <c r="O77" s="60">
        <v>111.29</v>
      </c>
      <c r="P77" s="84">
        <v>0</v>
      </c>
      <c r="Q77" s="84">
        <v>1765.3679099999999</v>
      </c>
      <c r="R77" s="24">
        <v>1.1876966630426709E-3</v>
      </c>
      <c r="S77" s="24">
        <v>9.667832171786097E-3</v>
      </c>
      <c r="T77" s="24">
        <v>3.3181582893408376E-3</v>
      </c>
    </row>
    <row r="78" spans="1:20" x14ac:dyDescent="0.25">
      <c r="A78" s="16" t="s">
        <v>512</v>
      </c>
      <c r="B78" s="116" t="s">
        <v>513</v>
      </c>
      <c r="C78" s="116" t="s">
        <v>377</v>
      </c>
      <c r="D78" s="116" t="s">
        <v>249</v>
      </c>
      <c r="E78" s="116" t="s">
        <v>442</v>
      </c>
      <c r="F78" s="116" t="s">
        <v>223</v>
      </c>
      <c r="G78" s="116" t="s">
        <v>443</v>
      </c>
      <c r="H78" s="116" t="s">
        <v>254</v>
      </c>
      <c r="I78" s="116" t="s">
        <v>514</v>
      </c>
      <c r="J78" s="117">
        <v>2.41</v>
      </c>
      <c r="K78" s="117" t="s">
        <v>255</v>
      </c>
      <c r="L78" s="116">
        <v>2.1499999999999998E-2</v>
      </c>
      <c r="M78" s="116">
        <v>2.9300000000000003E-2</v>
      </c>
      <c r="N78" s="69">
        <v>253608.71141671608</v>
      </c>
      <c r="O78" s="60">
        <v>112.3</v>
      </c>
      <c r="P78" s="84">
        <v>0</v>
      </c>
      <c r="Q78" s="84">
        <v>284.80258000000003</v>
      </c>
      <c r="R78" s="24">
        <v>2.0765584338816896E-4</v>
      </c>
      <c r="S78" s="24">
        <v>1.5596882269892874E-3</v>
      </c>
      <c r="T78" s="24">
        <v>5.3531053572433923E-4</v>
      </c>
    </row>
    <row r="79" spans="1:20" x14ac:dyDescent="0.25">
      <c r="A79" s="16" t="s">
        <v>689</v>
      </c>
      <c r="B79" s="116" t="s">
        <v>690</v>
      </c>
      <c r="C79" s="116" t="s">
        <v>377</v>
      </c>
      <c r="D79" s="116" t="s">
        <v>249</v>
      </c>
      <c r="E79" s="116" t="s">
        <v>442</v>
      </c>
      <c r="F79" s="116" t="s">
        <v>223</v>
      </c>
      <c r="G79" s="116" t="s">
        <v>443</v>
      </c>
      <c r="H79" s="116" t="s">
        <v>254</v>
      </c>
      <c r="I79" s="116" t="s">
        <v>691</v>
      </c>
      <c r="J79" s="117">
        <v>4.43</v>
      </c>
      <c r="K79" s="117" t="s">
        <v>255</v>
      </c>
      <c r="L79" s="116">
        <v>6.5000000000000006E-3</v>
      </c>
      <c r="M79" s="116">
        <v>2.6800000000000001E-2</v>
      </c>
      <c r="N79" s="69">
        <v>319639.9199305661</v>
      </c>
      <c r="O79" s="60">
        <v>101.81</v>
      </c>
      <c r="P79" s="84">
        <v>0</v>
      </c>
      <c r="Q79" s="84">
        <v>325.42540000000002</v>
      </c>
      <c r="R79" s="24">
        <v>6.346975268206954E-4</v>
      </c>
      <c r="S79" s="24">
        <v>1.7821543791607494E-3</v>
      </c>
      <c r="T79" s="24">
        <v>6.1166456150891395E-4</v>
      </c>
    </row>
    <row r="80" spans="1:20" x14ac:dyDescent="0.25">
      <c r="A80" s="16" t="s">
        <v>712</v>
      </c>
      <c r="B80" s="116" t="s">
        <v>713</v>
      </c>
      <c r="C80" s="116" t="s">
        <v>377</v>
      </c>
      <c r="D80" s="116" t="s">
        <v>249</v>
      </c>
      <c r="E80" s="116" t="s">
        <v>442</v>
      </c>
      <c r="F80" s="116" t="s">
        <v>223</v>
      </c>
      <c r="G80" s="116" t="s">
        <v>443</v>
      </c>
      <c r="H80" s="116" t="s">
        <v>254</v>
      </c>
      <c r="I80" s="116" t="s">
        <v>714</v>
      </c>
      <c r="J80" s="117">
        <v>5.17</v>
      </c>
      <c r="K80" s="117" t="s">
        <v>255</v>
      </c>
      <c r="L80" s="116">
        <v>1.43E-2</v>
      </c>
      <c r="M80" s="116">
        <v>3.0800000000000001E-2</v>
      </c>
      <c r="N80" s="69">
        <v>768692.15742528113</v>
      </c>
      <c r="O80" s="60">
        <v>102.75000000000001</v>
      </c>
      <c r="P80" s="84">
        <v>0</v>
      </c>
      <c r="Q80" s="84">
        <v>789.83118999999999</v>
      </c>
      <c r="R80" s="24">
        <v>1.9106486315004999E-3</v>
      </c>
      <c r="S80" s="24">
        <v>4.3254187105746687E-3</v>
      </c>
      <c r="T80" s="24">
        <v>1.4845545200141527E-3</v>
      </c>
    </row>
    <row r="81" spans="1:20" x14ac:dyDescent="0.25">
      <c r="A81" s="16" t="s">
        <v>796</v>
      </c>
      <c r="B81" s="116" t="s">
        <v>797</v>
      </c>
      <c r="C81" s="116" t="s">
        <v>377</v>
      </c>
      <c r="D81" s="116" t="s">
        <v>249</v>
      </c>
      <c r="E81" s="116" t="s">
        <v>442</v>
      </c>
      <c r="F81" s="116" t="s">
        <v>223</v>
      </c>
      <c r="G81" s="116" t="s">
        <v>443</v>
      </c>
      <c r="H81" s="116" t="s">
        <v>254</v>
      </c>
      <c r="I81" s="116" t="s">
        <v>798</v>
      </c>
      <c r="J81" s="117">
        <v>5.99</v>
      </c>
      <c r="K81" s="117" t="s">
        <v>255</v>
      </c>
      <c r="L81" s="116">
        <v>2.5000000000000001E-3</v>
      </c>
      <c r="M81" s="116">
        <v>3.1099999999999999E-2</v>
      </c>
      <c r="N81" s="69">
        <v>1035316.7348984858</v>
      </c>
      <c r="O81" s="60">
        <v>92.21</v>
      </c>
      <c r="P81" s="84">
        <v>0</v>
      </c>
      <c r="Q81" s="84">
        <v>954.66556000000003</v>
      </c>
      <c r="R81" s="24">
        <v>7.9786012741023477E-4</v>
      </c>
      <c r="S81" s="24">
        <v>5.2281149793100019E-3</v>
      </c>
      <c r="T81" s="24">
        <v>1.7943746589696495E-3</v>
      </c>
    </row>
    <row r="82" spans="1:20" x14ac:dyDescent="0.25">
      <c r="A82" s="16" t="s">
        <v>927</v>
      </c>
      <c r="B82" s="116" t="s">
        <v>928</v>
      </c>
      <c r="C82" s="116" t="s">
        <v>377</v>
      </c>
      <c r="D82" s="116" t="s">
        <v>249</v>
      </c>
      <c r="E82" s="116" t="s">
        <v>442</v>
      </c>
      <c r="F82" s="116" t="s">
        <v>223</v>
      </c>
      <c r="G82" s="116" t="s">
        <v>443</v>
      </c>
      <c r="H82" s="116" t="s">
        <v>254</v>
      </c>
      <c r="I82" s="116" t="s">
        <v>929</v>
      </c>
      <c r="J82" s="117">
        <v>6.73</v>
      </c>
      <c r="K82" s="117" t="s">
        <v>255</v>
      </c>
      <c r="L82" s="116">
        <v>3.61E-2</v>
      </c>
      <c r="M82" s="116">
        <v>3.3500000000000002E-2</v>
      </c>
      <c r="N82" s="69">
        <v>506494.79688162263</v>
      </c>
      <c r="O82" s="60">
        <v>104.99000000000001</v>
      </c>
      <c r="P82" s="84">
        <v>0</v>
      </c>
      <c r="Q82" s="84">
        <v>531.76889000000006</v>
      </c>
      <c r="R82" s="24">
        <v>1.1024345157653512E-3</v>
      </c>
      <c r="S82" s="24">
        <v>2.9121705190035896E-3</v>
      </c>
      <c r="T82" s="24">
        <v>9.9950460205605303E-4</v>
      </c>
    </row>
    <row r="83" spans="1:20" x14ac:dyDescent="0.25">
      <c r="A83" s="16" t="s">
        <v>1041</v>
      </c>
      <c r="B83" s="116" t="s">
        <v>1042</v>
      </c>
      <c r="C83" s="116" t="s">
        <v>377</v>
      </c>
      <c r="D83" s="116" t="s">
        <v>249</v>
      </c>
      <c r="E83" s="116" t="s">
        <v>827</v>
      </c>
      <c r="F83" s="116" t="s">
        <v>200</v>
      </c>
      <c r="G83" s="116" t="s">
        <v>523</v>
      </c>
      <c r="H83" s="116" t="s">
        <v>427</v>
      </c>
      <c r="I83" s="116" t="s">
        <v>1043</v>
      </c>
      <c r="J83" s="117">
        <v>0.25</v>
      </c>
      <c r="K83" s="117" t="s">
        <v>255</v>
      </c>
      <c r="L83" s="116">
        <v>1.5900000000000001E-2</v>
      </c>
      <c r="M83" s="116">
        <v>6.3099999999999989E-2</v>
      </c>
      <c r="N83" s="69">
        <v>9.3286481851003202</v>
      </c>
      <c r="O83" s="60">
        <v>5566000</v>
      </c>
      <c r="P83" s="84">
        <v>0</v>
      </c>
      <c r="Q83" s="84">
        <v>519.23256000000003</v>
      </c>
      <c r="R83" s="24">
        <v>6.2315619138946692E-4</v>
      </c>
      <c r="S83" s="24">
        <v>2.8435167648464027E-3</v>
      </c>
      <c r="T83" s="24">
        <v>9.7594150958576326E-4</v>
      </c>
    </row>
    <row r="84" spans="1:20" x14ac:dyDescent="0.25">
      <c r="A84" s="16" t="s">
        <v>1044</v>
      </c>
      <c r="B84" s="116" t="s">
        <v>1045</v>
      </c>
      <c r="C84" s="116" t="s">
        <v>377</v>
      </c>
      <c r="D84" s="116" t="s">
        <v>249</v>
      </c>
      <c r="E84" s="116" t="s">
        <v>827</v>
      </c>
      <c r="F84" s="116" t="s">
        <v>200</v>
      </c>
      <c r="G84" s="116" t="s">
        <v>523</v>
      </c>
      <c r="H84" s="116" t="s">
        <v>427</v>
      </c>
      <c r="I84" s="116" t="s">
        <v>1043</v>
      </c>
      <c r="J84" s="117">
        <v>1.49</v>
      </c>
      <c r="K84" s="117" t="s">
        <v>255</v>
      </c>
      <c r="L84" s="116">
        <v>2.0199999999999999E-2</v>
      </c>
      <c r="M84" s="116">
        <v>3.3799999999999997E-2</v>
      </c>
      <c r="N84" s="69">
        <v>16.954356262153244</v>
      </c>
      <c r="O84" s="60">
        <v>5510000</v>
      </c>
      <c r="P84" s="84">
        <v>0</v>
      </c>
      <c r="Q84" s="84">
        <v>934.18502999999998</v>
      </c>
      <c r="R84" s="24">
        <v>8.0562396113819171E-4</v>
      </c>
      <c r="S84" s="24">
        <v>5.1159557372009558E-3</v>
      </c>
      <c r="T84" s="24">
        <v>1.7558797707343729E-3</v>
      </c>
    </row>
    <row r="85" spans="1:20" x14ac:dyDescent="0.25">
      <c r="A85" s="16" t="s">
        <v>1046</v>
      </c>
      <c r="B85" s="116" t="s">
        <v>1047</v>
      </c>
      <c r="C85" s="116" t="s">
        <v>377</v>
      </c>
      <c r="D85" s="116" t="s">
        <v>249</v>
      </c>
      <c r="E85" s="116" t="s">
        <v>827</v>
      </c>
      <c r="F85" s="116" t="s">
        <v>200</v>
      </c>
      <c r="G85" s="116" t="s">
        <v>523</v>
      </c>
      <c r="H85" s="116" t="s">
        <v>427</v>
      </c>
      <c r="I85" s="116" t="s">
        <v>1043</v>
      </c>
      <c r="J85" s="117">
        <v>2.56</v>
      </c>
      <c r="K85" s="117" t="s">
        <v>255</v>
      </c>
      <c r="L85" s="116">
        <v>2.5899999999999999E-2</v>
      </c>
      <c r="M85" s="116">
        <v>3.6600000000000001E-2</v>
      </c>
      <c r="N85" s="69">
        <v>8.6590174985460902</v>
      </c>
      <c r="O85" s="60">
        <v>5460000</v>
      </c>
      <c r="P85" s="84">
        <v>0</v>
      </c>
      <c r="Q85" s="84">
        <v>472.78235999999998</v>
      </c>
      <c r="R85" s="24">
        <v>4.0993312969493396E-4</v>
      </c>
      <c r="S85" s="24">
        <v>2.5891376434167518E-3</v>
      </c>
      <c r="T85" s="24">
        <v>8.8863443025206229E-4</v>
      </c>
    </row>
    <row r="86" spans="1:20" x14ac:dyDescent="0.25">
      <c r="A86" s="16" t="s">
        <v>1015</v>
      </c>
      <c r="B86" s="116" t="s">
        <v>1016</v>
      </c>
      <c r="C86" s="116" t="s">
        <v>377</v>
      </c>
      <c r="D86" s="116" t="s">
        <v>249</v>
      </c>
      <c r="E86" s="116" t="s">
        <v>827</v>
      </c>
      <c r="F86" s="116" t="s">
        <v>200</v>
      </c>
      <c r="G86" s="116" t="s">
        <v>523</v>
      </c>
      <c r="H86" s="116" t="s">
        <v>427</v>
      </c>
      <c r="I86" s="116" t="s">
        <v>1017</v>
      </c>
      <c r="J86" s="117">
        <v>2.8</v>
      </c>
      <c r="K86" s="117" t="s">
        <v>255</v>
      </c>
      <c r="L86" s="116">
        <v>2.9700000000000001E-2</v>
      </c>
      <c r="M86" s="116">
        <v>2.9100000000000001E-2</v>
      </c>
      <c r="N86" s="69">
        <v>19.205700811775227</v>
      </c>
      <c r="O86" s="60">
        <v>5594000</v>
      </c>
      <c r="P86" s="84">
        <v>0</v>
      </c>
      <c r="Q86" s="84">
        <v>1074.3669</v>
      </c>
      <c r="R86" s="24">
        <v>1.3718357722696591E-3</v>
      </c>
      <c r="S86" s="24">
        <v>5.8836454550270463E-3</v>
      </c>
      <c r="T86" s="24">
        <v>2.0193634510034899E-3</v>
      </c>
    </row>
    <row r="87" spans="1:20" x14ac:dyDescent="0.25">
      <c r="A87" s="16" t="s">
        <v>1032</v>
      </c>
      <c r="B87" s="116" t="s">
        <v>1033</v>
      </c>
      <c r="C87" s="116" t="s">
        <v>377</v>
      </c>
      <c r="D87" s="116" t="s">
        <v>249</v>
      </c>
      <c r="E87" s="116" t="s">
        <v>827</v>
      </c>
      <c r="F87" s="116" t="s">
        <v>200</v>
      </c>
      <c r="G87" s="116" t="s">
        <v>443</v>
      </c>
      <c r="H87" s="116" t="s">
        <v>254</v>
      </c>
      <c r="I87" s="116" t="s">
        <v>1034</v>
      </c>
      <c r="J87" s="117">
        <v>4.7300000000000004</v>
      </c>
      <c r="K87" s="117" t="s">
        <v>255</v>
      </c>
      <c r="L87" s="116">
        <v>3.0899999999999997E-2</v>
      </c>
      <c r="M87" s="116">
        <v>3.5200000000000002E-2</v>
      </c>
      <c r="N87" s="69">
        <v>11.470311846407387</v>
      </c>
      <c r="O87" s="60">
        <v>5195000</v>
      </c>
      <c r="P87" s="84">
        <v>0</v>
      </c>
      <c r="Q87" s="84">
        <v>595.8827</v>
      </c>
      <c r="R87" s="24">
        <v>6.0370062349512563E-4</v>
      </c>
      <c r="S87" s="24">
        <v>3.2632823475706903E-3</v>
      </c>
      <c r="T87" s="24">
        <v>1.1200119302495985E-3</v>
      </c>
    </row>
    <row r="88" spans="1:20" x14ac:dyDescent="0.25">
      <c r="A88" s="16" t="s">
        <v>618</v>
      </c>
      <c r="B88" s="116" t="s">
        <v>619</v>
      </c>
      <c r="C88" s="116" t="s">
        <v>377</v>
      </c>
      <c r="D88" s="116" t="s">
        <v>249</v>
      </c>
      <c r="E88" s="116" t="s">
        <v>580</v>
      </c>
      <c r="F88" s="116" t="s">
        <v>223</v>
      </c>
      <c r="G88" s="116" t="s">
        <v>443</v>
      </c>
      <c r="H88" s="116" t="s">
        <v>254</v>
      </c>
      <c r="I88" s="116" t="s">
        <v>620</v>
      </c>
      <c r="J88" s="117">
        <v>2.13</v>
      </c>
      <c r="K88" s="117" t="s">
        <v>255</v>
      </c>
      <c r="L88" s="116">
        <v>1.6E-2</v>
      </c>
      <c r="M88" s="116">
        <v>3.1E-2</v>
      </c>
      <c r="N88" s="69">
        <v>321432.15159615135</v>
      </c>
      <c r="O88" s="60">
        <v>109.97000000000001</v>
      </c>
      <c r="P88" s="84">
        <v>0</v>
      </c>
      <c r="Q88" s="84">
        <v>353.47894000000002</v>
      </c>
      <c r="R88" s="24">
        <v>8.2907551434586069E-4</v>
      </c>
      <c r="S88" s="24">
        <v>1.9357863303297769E-3</v>
      </c>
      <c r="T88" s="24">
        <v>6.6439356251151783E-4</v>
      </c>
    </row>
    <row r="89" spans="1:20" x14ac:dyDescent="0.25">
      <c r="A89" s="16" t="s">
        <v>644</v>
      </c>
      <c r="B89" s="116" t="s">
        <v>645</v>
      </c>
      <c r="C89" s="116" t="s">
        <v>377</v>
      </c>
      <c r="D89" s="116" t="s">
        <v>249</v>
      </c>
      <c r="E89" s="116" t="s">
        <v>580</v>
      </c>
      <c r="F89" s="116" t="s">
        <v>223</v>
      </c>
      <c r="G89" s="116" t="s">
        <v>443</v>
      </c>
      <c r="H89" s="116" t="s">
        <v>254</v>
      </c>
      <c r="I89" s="116" t="s">
        <v>646</v>
      </c>
      <c r="J89" s="117">
        <v>2.97</v>
      </c>
      <c r="K89" s="117" t="s">
        <v>255</v>
      </c>
      <c r="L89" s="116">
        <v>1.4199999999999999E-2</v>
      </c>
      <c r="M89" s="116">
        <v>2.9600000000000001E-2</v>
      </c>
      <c r="N89" s="69">
        <v>467170.55303208472</v>
      </c>
      <c r="O89" s="60">
        <v>107.02000000000001</v>
      </c>
      <c r="P89" s="84">
        <v>0</v>
      </c>
      <c r="Q89" s="84">
        <v>499.96593000000001</v>
      </c>
      <c r="R89" s="24">
        <v>4.852212961883149E-4</v>
      </c>
      <c r="S89" s="24">
        <v>2.738005304996711E-3</v>
      </c>
      <c r="T89" s="24">
        <v>9.3972824906367585E-4</v>
      </c>
    </row>
    <row r="90" spans="1:20" x14ac:dyDescent="0.25">
      <c r="A90" s="16" t="s">
        <v>807</v>
      </c>
      <c r="B90" s="116" t="s">
        <v>808</v>
      </c>
      <c r="C90" s="116" t="s">
        <v>377</v>
      </c>
      <c r="D90" s="116" t="s">
        <v>249</v>
      </c>
      <c r="E90" s="116" t="s">
        <v>580</v>
      </c>
      <c r="F90" s="116" t="s">
        <v>223</v>
      </c>
      <c r="G90" s="116" t="s">
        <v>443</v>
      </c>
      <c r="H90" s="116" t="s">
        <v>254</v>
      </c>
      <c r="I90" s="116" t="s">
        <v>809</v>
      </c>
      <c r="J90" s="117">
        <v>4.59</v>
      </c>
      <c r="K90" s="117" t="s">
        <v>255</v>
      </c>
      <c r="L90" s="116">
        <v>1.4199999999999999E-2</v>
      </c>
      <c r="M90" s="116">
        <v>2.87E-2</v>
      </c>
      <c r="N90" s="69">
        <v>250090.59976983877</v>
      </c>
      <c r="O90" s="60">
        <v>106.913082</v>
      </c>
      <c r="P90" s="84">
        <v>0</v>
      </c>
      <c r="Q90" s="84">
        <v>267.37957</v>
      </c>
      <c r="R90" s="24">
        <v>2.597537113528218E-4</v>
      </c>
      <c r="S90" s="24">
        <v>1.4642731377870876E-3</v>
      </c>
      <c r="T90" s="24">
        <v>5.0256251491276327E-4</v>
      </c>
    </row>
    <row r="91" spans="1:20" x14ac:dyDescent="0.25">
      <c r="A91" s="16" t="s">
        <v>453</v>
      </c>
      <c r="B91" s="116" t="s">
        <v>454</v>
      </c>
      <c r="C91" s="116" t="s">
        <v>377</v>
      </c>
      <c r="D91" s="116" t="s">
        <v>249</v>
      </c>
      <c r="E91" s="116" t="s">
        <v>455</v>
      </c>
      <c r="F91" s="116" t="s">
        <v>223</v>
      </c>
      <c r="G91" s="116" t="s">
        <v>443</v>
      </c>
      <c r="H91" s="116" t="s">
        <v>254</v>
      </c>
      <c r="I91" s="116" t="s">
        <v>456</v>
      </c>
      <c r="J91" s="117">
        <v>0.97</v>
      </c>
      <c r="K91" s="117" t="s">
        <v>255</v>
      </c>
      <c r="L91" s="116">
        <v>0.04</v>
      </c>
      <c r="M91" s="116">
        <v>3.0099999999999998E-2</v>
      </c>
      <c r="N91" s="69">
        <v>70506.662982623646</v>
      </c>
      <c r="O91" s="60">
        <v>112.25</v>
      </c>
      <c r="P91" s="84">
        <v>0</v>
      </c>
      <c r="Q91" s="84">
        <v>79.143729999999991</v>
      </c>
      <c r="R91" s="24">
        <v>8.6605910090413246E-4</v>
      </c>
      <c r="S91" s="24">
        <v>4.334214385312762E-4</v>
      </c>
      <c r="T91" s="24">
        <v>1.487573339592726E-4</v>
      </c>
    </row>
    <row r="92" spans="1:20" x14ac:dyDescent="0.25">
      <c r="A92" s="16" t="s">
        <v>497</v>
      </c>
      <c r="B92" s="116" t="s">
        <v>498</v>
      </c>
      <c r="C92" s="116" t="s">
        <v>377</v>
      </c>
      <c r="D92" s="116" t="s">
        <v>249</v>
      </c>
      <c r="E92" s="116" t="s">
        <v>455</v>
      </c>
      <c r="F92" s="116" t="s">
        <v>223</v>
      </c>
      <c r="G92" s="116" t="s">
        <v>443</v>
      </c>
      <c r="H92" s="116" t="s">
        <v>254</v>
      </c>
      <c r="I92" s="116" t="s">
        <v>499</v>
      </c>
      <c r="J92" s="117">
        <v>2.92</v>
      </c>
      <c r="K92" s="117" t="s">
        <v>255</v>
      </c>
      <c r="L92" s="116">
        <v>0.04</v>
      </c>
      <c r="M92" s="116">
        <v>2.8799999999999999E-2</v>
      </c>
      <c r="N92" s="69">
        <v>963715.21985521412</v>
      </c>
      <c r="O92" s="60">
        <v>115.78</v>
      </c>
      <c r="P92" s="84">
        <v>0</v>
      </c>
      <c r="Q92" s="84">
        <v>1115.7894799999999</v>
      </c>
      <c r="R92" s="24">
        <v>1.0641945752561685E-3</v>
      </c>
      <c r="S92" s="24">
        <v>6.1104913998830312E-3</v>
      </c>
      <c r="T92" s="24">
        <v>2.0972206933461833E-3</v>
      </c>
    </row>
    <row r="93" spans="1:20" x14ac:dyDescent="0.25">
      <c r="A93" s="16" t="s">
        <v>515</v>
      </c>
      <c r="B93" s="116" t="s">
        <v>516</v>
      </c>
      <c r="C93" s="116" t="s">
        <v>377</v>
      </c>
      <c r="D93" s="116" t="s">
        <v>249</v>
      </c>
      <c r="E93" s="116" t="s">
        <v>455</v>
      </c>
      <c r="F93" s="116" t="s">
        <v>223</v>
      </c>
      <c r="G93" s="116" t="s">
        <v>443</v>
      </c>
      <c r="H93" s="116" t="s">
        <v>254</v>
      </c>
      <c r="I93" s="116" t="s">
        <v>517</v>
      </c>
      <c r="J93" s="117">
        <v>4.2699999999999996</v>
      </c>
      <c r="K93" s="117" t="s">
        <v>255</v>
      </c>
      <c r="L93" s="116">
        <v>3.5000000000000003E-2</v>
      </c>
      <c r="M93" s="116">
        <v>3.1200000000000002E-2</v>
      </c>
      <c r="N93" s="69">
        <v>764567.21230718645</v>
      </c>
      <c r="O93" s="60">
        <v>115.14</v>
      </c>
      <c r="P93" s="84">
        <v>0</v>
      </c>
      <c r="Q93" s="84">
        <v>880.32268999999997</v>
      </c>
      <c r="R93" s="24">
        <v>8.672376681840016E-4</v>
      </c>
      <c r="S93" s="24">
        <v>4.820984892568529E-3</v>
      </c>
      <c r="T93" s="24">
        <v>1.6546409474036063E-3</v>
      </c>
    </row>
    <row r="94" spans="1:20" x14ac:dyDescent="0.25">
      <c r="A94" s="16" t="s">
        <v>741</v>
      </c>
      <c r="B94" s="116" t="s">
        <v>742</v>
      </c>
      <c r="C94" s="116" t="s">
        <v>377</v>
      </c>
      <c r="D94" s="116" t="s">
        <v>249</v>
      </c>
      <c r="E94" s="116" t="s">
        <v>455</v>
      </c>
      <c r="F94" s="116" t="s">
        <v>223</v>
      </c>
      <c r="G94" s="116" t="s">
        <v>443</v>
      </c>
      <c r="H94" s="116" t="s">
        <v>254</v>
      </c>
      <c r="I94" s="116" t="s">
        <v>743</v>
      </c>
      <c r="J94" s="117">
        <v>6.82</v>
      </c>
      <c r="K94" s="117" t="s">
        <v>255</v>
      </c>
      <c r="L94" s="116">
        <v>2.5000000000000001E-2</v>
      </c>
      <c r="M94" s="116">
        <v>3.1800000000000002E-2</v>
      </c>
      <c r="N94" s="69">
        <v>221993.40375362901</v>
      </c>
      <c r="O94" s="60">
        <v>106.56000000000002</v>
      </c>
      <c r="P94" s="84">
        <v>0</v>
      </c>
      <c r="Q94" s="84">
        <v>236.55617000000001</v>
      </c>
      <c r="R94" s="24">
        <v>3.746701772892703E-4</v>
      </c>
      <c r="S94" s="24">
        <v>1.2954723702667177E-3</v>
      </c>
      <c r="T94" s="24">
        <v>4.4462732778473377E-4</v>
      </c>
    </row>
    <row r="95" spans="1:20" x14ac:dyDescent="0.25">
      <c r="A95" s="16" t="s">
        <v>449</v>
      </c>
      <c r="B95" s="116" t="s">
        <v>450</v>
      </c>
      <c r="C95" s="116" t="s">
        <v>377</v>
      </c>
      <c r="D95" s="116" t="s">
        <v>249</v>
      </c>
      <c r="E95" s="116" t="s">
        <v>451</v>
      </c>
      <c r="F95" s="116" t="s">
        <v>235</v>
      </c>
      <c r="G95" s="116" t="s">
        <v>443</v>
      </c>
      <c r="H95" s="116" t="s">
        <v>254</v>
      </c>
      <c r="I95" s="116" t="s">
        <v>452</v>
      </c>
      <c r="J95" s="117">
        <v>3.38</v>
      </c>
      <c r="K95" s="117" t="s">
        <v>255</v>
      </c>
      <c r="L95" s="116">
        <v>2.9900000000000003E-2</v>
      </c>
      <c r="M95" s="116">
        <v>2.5699999999999997E-2</v>
      </c>
      <c r="N95" s="69">
        <v>2340.0954958340317</v>
      </c>
      <c r="O95" s="60">
        <v>112.51</v>
      </c>
      <c r="P95" s="84">
        <v>0.44905347254000005</v>
      </c>
      <c r="Q95" s="84">
        <v>2.7057699999999998</v>
      </c>
      <c r="R95" s="24">
        <v>1.3209907567353845E-5</v>
      </c>
      <c r="S95" s="24">
        <v>1.481783491547304E-5</v>
      </c>
      <c r="T95" s="24">
        <v>5.085723550140751E-6</v>
      </c>
    </row>
    <row r="96" spans="1:20" x14ac:dyDescent="0.25">
      <c r="A96" s="16" t="s">
        <v>509</v>
      </c>
      <c r="B96" s="116" t="s">
        <v>510</v>
      </c>
      <c r="C96" s="116" t="s">
        <v>377</v>
      </c>
      <c r="D96" s="116" t="s">
        <v>249</v>
      </c>
      <c r="E96" s="116" t="s">
        <v>451</v>
      </c>
      <c r="F96" s="116" t="s">
        <v>235</v>
      </c>
      <c r="G96" s="116" t="s">
        <v>443</v>
      </c>
      <c r="H96" s="116" t="s">
        <v>254</v>
      </c>
      <c r="I96" s="116" t="s">
        <v>511</v>
      </c>
      <c r="J96" s="117">
        <v>2.9</v>
      </c>
      <c r="K96" s="117" t="s">
        <v>255</v>
      </c>
      <c r="L96" s="116">
        <v>4.2999999999999997E-2</v>
      </c>
      <c r="M96" s="116">
        <v>2.6499999999999999E-2</v>
      </c>
      <c r="N96" s="69">
        <v>53127.853285775127</v>
      </c>
      <c r="O96" s="60">
        <v>116.38999999999999</v>
      </c>
      <c r="P96" s="84">
        <v>12.397136076000001</v>
      </c>
      <c r="Q96" s="84">
        <v>63.926730000000006</v>
      </c>
      <c r="R96" s="24">
        <v>1.0419104658176346E-4</v>
      </c>
      <c r="S96" s="24">
        <v>3.5008730669126273E-4</v>
      </c>
      <c r="T96" s="24">
        <v>1.201556955116249E-4</v>
      </c>
    </row>
    <row r="97" spans="1:20" x14ac:dyDescent="0.25">
      <c r="A97" s="16" t="s">
        <v>922</v>
      </c>
      <c r="B97" s="116" t="s">
        <v>923</v>
      </c>
      <c r="C97" s="116" t="s">
        <v>377</v>
      </c>
      <c r="D97" s="116" t="s">
        <v>249</v>
      </c>
      <c r="E97" s="116" t="s">
        <v>556</v>
      </c>
      <c r="F97" s="116" t="s">
        <v>204</v>
      </c>
      <c r="G97" s="116" t="s">
        <v>443</v>
      </c>
      <c r="H97" s="116" t="s">
        <v>254</v>
      </c>
      <c r="I97" s="116" t="s">
        <v>924</v>
      </c>
      <c r="J97" s="117">
        <v>3.94</v>
      </c>
      <c r="K97" s="117" t="s">
        <v>255</v>
      </c>
      <c r="L97" s="116">
        <v>2.2000000000000002E-2</v>
      </c>
      <c r="M97" s="116">
        <v>3.0800000000000001E-2</v>
      </c>
      <c r="N97" s="69">
        <v>16046.847240496721</v>
      </c>
      <c r="O97" s="60">
        <v>99.64</v>
      </c>
      <c r="P97" s="84">
        <v>0</v>
      </c>
      <c r="Q97" s="84">
        <v>15.98908</v>
      </c>
      <c r="R97" s="24">
        <v>5.8633991265314616E-5</v>
      </c>
      <c r="S97" s="24">
        <v>8.7562338221760047E-5</v>
      </c>
      <c r="T97" s="24">
        <v>3.0052828104785136E-5</v>
      </c>
    </row>
    <row r="98" spans="1:20" x14ac:dyDescent="0.25">
      <c r="A98" s="16" t="s">
        <v>554</v>
      </c>
      <c r="B98" s="116" t="s">
        <v>555</v>
      </c>
      <c r="C98" s="116" t="s">
        <v>377</v>
      </c>
      <c r="D98" s="116" t="s">
        <v>249</v>
      </c>
      <c r="E98" s="116" t="s">
        <v>556</v>
      </c>
      <c r="F98" s="116" t="s">
        <v>204</v>
      </c>
      <c r="G98" s="116" t="s">
        <v>443</v>
      </c>
      <c r="H98" s="116" t="s">
        <v>254</v>
      </c>
      <c r="I98" s="116" t="s">
        <v>557</v>
      </c>
      <c r="J98" s="117">
        <v>1.45</v>
      </c>
      <c r="K98" s="117" t="s">
        <v>255</v>
      </c>
      <c r="L98" s="116">
        <v>1.8000000000000002E-2</v>
      </c>
      <c r="M98" s="116">
        <v>3.2899999999999999E-2</v>
      </c>
      <c r="N98" s="69">
        <v>297143.54268555192</v>
      </c>
      <c r="O98" s="60">
        <v>109.59</v>
      </c>
      <c r="P98" s="84">
        <v>0</v>
      </c>
      <c r="Q98" s="84">
        <v>325.63961</v>
      </c>
      <c r="R98" s="24">
        <v>3.3257668806500488E-4</v>
      </c>
      <c r="S98" s="24">
        <v>1.7833274753282888E-3</v>
      </c>
      <c r="T98" s="24">
        <v>6.1206718732030054E-4</v>
      </c>
    </row>
    <row r="99" spans="1:20" x14ac:dyDescent="0.25">
      <c r="A99" s="16" t="s">
        <v>2809</v>
      </c>
      <c r="B99" s="116" t="s">
        <v>433</v>
      </c>
      <c r="C99" s="116" t="s">
        <v>377</v>
      </c>
      <c r="D99" s="116" t="s">
        <v>249</v>
      </c>
      <c r="E99" s="116" t="s">
        <v>434</v>
      </c>
      <c r="F99" s="116" t="s">
        <v>212</v>
      </c>
      <c r="G99" s="116" t="s">
        <v>435</v>
      </c>
      <c r="H99" s="116" t="s">
        <v>254</v>
      </c>
      <c r="I99" s="116" t="s">
        <v>436</v>
      </c>
      <c r="J99" s="117">
        <v>5.63</v>
      </c>
      <c r="K99" s="117" t="s">
        <v>255</v>
      </c>
      <c r="L99" s="116">
        <v>5.1500000000000004E-2</v>
      </c>
      <c r="M99" s="116">
        <v>3.2599999999999997E-2</v>
      </c>
      <c r="N99" s="69">
        <v>1662954.37090959</v>
      </c>
      <c r="O99" s="60">
        <v>151.19999999999999</v>
      </c>
      <c r="P99" s="84">
        <v>0</v>
      </c>
      <c r="Q99" s="84">
        <v>2514.3870099999999</v>
      </c>
      <c r="R99" s="24">
        <v>5.3174208397615934E-4</v>
      </c>
      <c r="S99" s="24">
        <v>1.3769748215033007E-2</v>
      </c>
      <c r="T99" s="24">
        <v>4.7260030345982803E-3</v>
      </c>
    </row>
    <row r="100" spans="1:20" x14ac:dyDescent="0.25">
      <c r="A100" s="16" t="s">
        <v>949</v>
      </c>
      <c r="B100" s="116" t="s">
        <v>950</v>
      </c>
      <c r="C100" s="116" t="s">
        <v>377</v>
      </c>
      <c r="D100" s="116" t="s">
        <v>249</v>
      </c>
      <c r="E100" s="116" t="s">
        <v>951</v>
      </c>
      <c r="F100" s="116" t="s">
        <v>223</v>
      </c>
      <c r="G100" s="116" t="s">
        <v>426</v>
      </c>
      <c r="H100" s="116" t="s">
        <v>427</v>
      </c>
      <c r="I100" s="116" t="s">
        <v>952</v>
      </c>
      <c r="J100" s="117">
        <v>7.73</v>
      </c>
      <c r="K100" s="117" t="s">
        <v>255</v>
      </c>
      <c r="L100" s="116">
        <v>2.5600000000000001E-2</v>
      </c>
      <c r="M100" s="116">
        <v>4.0500000000000001E-2</v>
      </c>
      <c r="N100" s="69">
        <v>5879.7494986125002</v>
      </c>
      <c r="O100" s="60">
        <v>94.1</v>
      </c>
      <c r="P100" s="84">
        <v>0</v>
      </c>
      <c r="Q100" s="84">
        <v>5.5328400000000002</v>
      </c>
      <c r="R100" s="24">
        <v>8.7977135423415481E-6</v>
      </c>
      <c r="S100" s="24">
        <v>3.0299955182342129E-5</v>
      </c>
      <c r="T100" s="24">
        <v>1.0399440708988847E-5</v>
      </c>
    </row>
    <row r="101" spans="1:20" x14ac:dyDescent="0.25">
      <c r="A101" s="16" t="s">
        <v>493</v>
      </c>
      <c r="B101" s="116" t="s">
        <v>494</v>
      </c>
      <c r="C101" s="116" t="s">
        <v>377</v>
      </c>
      <c r="D101" s="116" t="s">
        <v>249</v>
      </c>
      <c r="E101" s="116" t="s">
        <v>495</v>
      </c>
      <c r="F101" s="116" t="s">
        <v>206</v>
      </c>
      <c r="G101" s="116" t="s">
        <v>426</v>
      </c>
      <c r="H101" s="116" t="s">
        <v>427</v>
      </c>
      <c r="I101" s="116" t="s">
        <v>496</v>
      </c>
      <c r="J101" s="117">
        <v>1.1499999999999999</v>
      </c>
      <c r="K101" s="117" t="s">
        <v>255</v>
      </c>
      <c r="L101" s="116">
        <v>2.2000000000000002E-2</v>
      </c>
      <c r="M101" s="116">
        <v>2.75E-2</v>
      </c>
      <c r="N101" s="69">
        <v>286171.86209360184</v>
      </c>
      <c r="O101" s="60">
        <v>111.64</v>
      </c>
      <c r="P101" s="84">
        <v>0</v>
      </c>
      <c r="Q101" s="84">
        <v>319.48227000000003</v>
      </c>
      <c r="R101" s="24">
        <v>3.6063805737906822E-4</v>
      </c>
      <c r="S101" s="24">
        <v>1.7496075184810925E-3</v>
      </c>
      <c r="T101" s="24">
        <v>6.0049394604546062E-4</v>
      </c>
    </row>
    <row r="102" spans="1:20" x14ac:dyDescent="0.25">
      <c r="A102" s="16" t="s">
        <v>697</v>
      </c>
      <c r="B102" s="116" t="s">
        <v>698</v>
      </c>
      <c r="C102" s="116" t="s">
        <v>377</v>
      </c>
      <c r="D102" s="116" t="s">
        <v>249</v>
      </c>
      <c r="E102" s="116" t="s">
        <v>495</v>
      </c>
      <c r="F102" s="116" t="s">
        <v>206</v>
      </c>
      <c r="G102" s="116" t="s">
        <v>426</v>
      </c>
      <c r="H102" s="116" t="s">
        <v>427</v>
      </c>
      <c r="I102" s="116" t="s">
        <v>696</v>
      </c>
      <c r="J102" s="117">
        <v>4.45</v>
      </c>
      <c r="K102" s="117" t="s">
        <v>255</v>
      </c>
      <c r="L102" s="116">
        <v>2.1000000000000001E-2</v>
      </c>
      <c r="M102" s="116">
        <v>2.5899999999999999E-2</v>
      </c>
      <c r="N102" s="69">
        <v>1131014.1497047681</v>
      </c>
      <c r="O102" s="60">
        <v>106.1</v>
      </c>
      <c r="P102" s="84">
        <v>0</v>
      </c>
      <c r="Q102" s="84">
        <v>1200.0060100000001</v>
      </c>
      <c r="R102" s="24">
        <v>8.9109557664804773E-4</v>
      </c>
      <c r="S102" s="24">
        <v>6.5716934380067376E-3</v>
      </c>
      <c r="T102" s="24">
        <v>2.2555127839274727E-3</v>
      </c>
    </row>
    <row r="103" spans="1:20" x14ac:dyDescent="0.25">
      <c r="A103" s="16" t="s">
        <v>829</v>
      </c>
      <c r="B103" s="116" t="s">
        <v>830</v>
      </c>
      <c r="C103" s="116" t="s">
        <v>377</v>
      </c>
      <c r="D103" s="116" t="s">
        <v>249</v>
      </c>
      <c r="E103" s="116" t="s">
        <v>495</v>
      </c>
      <c r="F103" s="116" t="s">
        <v>206</v>
      </c>
      <c r="G103" s="116" t="s">
        <v>426</v>
      </c>
      <c r="H103" s="116" t="s">
        <v>427</v>
      </c>
      <c r="I103" s="116" t="s">
        <v>831</v>
      </c>
      <c r="J103" s="117">
        <v>9.32</v>
      </c>
      <c r="K103" s="117" t="s">
        <v>255</v>
      </c>
      <c r="L103" s="116">
        <v>5.7999999999999996E-3</v>
      </c>
      <c r="M103" s="116">
        <v>2.9300000000000003E-2</v>
      </c>
      <c r="N103" s="69">
        <v>462383.18712949258</v>
      </c>
      <c r="O103" s="60">
        <v>87.7</v>
      </c>
      <c r="P103" s="84">
        <v>0</v>
      </c>
      <c r="Q103" s="84">
        <v>405.51006000000001</v>
      </c>
      <c r="R103" s="24">
        <v>9.6659479752717623E-4</v>
      </c>
      <c r="S103" s="24">
        <v>2.2207287114734691E-3</v>
      </c>
      <c r="T103" s="24">
        <v>7.6219045298047837E-4</v>
      </c>
    </row>
    <row r="104" spans="1:20" x14ac:dyDescent="0.25">
      <c r="A104" s="16" t="s">
        <v>489</v>
      </c>
      <c r="B104" s="116" t="s">
        <v>490</v>
      </c>
      <c r="C104" s="116" t="s">
        <v>377</v>
      </c>
      <c r="D104" s="116" t="s">
        <v>249</v>
      </c>
      <c r="E104" s="116" t="s">
        <v>491</v>
      </c>
      <c r="F104" s="116" t="s">
        <v>223</v>
      </c>
      <c r="G104" s="116" t="s">
        <v>435</v>
      </c>
      <c r="H104" s="116" t="s">
        <v>254</v>
      </c>
      <c r="I104" s="116" t="s">
        <v>492</v>
      </c>
      <c r="J104" s="117">
        <v>1.0900000000000001</v>
      </c>
      <c r="K104" s="117" t="s">
        <v>255</v>
      </c>
      <c r="L104" s="116">
        <v>2.5000000000000001E-2</v>
      </c>
      <c r="M104" s="116">
        <v>2.87E-2</v>
      </c>
      <c r="N104" s="69">
        <v>1440.3741636085676</v>
      </c>
      <c r="O104" s="60">
        <v>112.16</v>
      </c>
      <c r="P104" s="84">
        <v>0</v>
      </c>
      <c r="Q104" s="84">
        <v>1.6155200000000001</v>
      </c>
      <c r="R104" s="24">
        <v>3.0586743440187264E-6</v>
      </c>
      <c r="S104" s="24">
        <v>8.8472075093762611E-6</v>
      </c>
      <c r="T104" s="24">
        <v>3.0365064694055248E-6</v>
      </c>
    </row>
    <row r="105" spans="1:20" x14ac:dyDescent="0.25">
      <c r="A105" s="16" t="s">
        <v>551</v>
      </c>
      <c r="B105" s="116" t="s">
        <v>552</v>
      </c>
      <c r="C105" s="116" t="s">
        <v>377</v>
      </c>
      <c r="D105" s="116" t="s">
        <v>249</v>
      </c>
      <c r="E105" s="116" t="s">
        <v>491</v>
      </c>
      <c r="F105" s="116" t="s">
        <v>223</v>
      </c>
      <c r="G105" s="116" t="s">
        <v>435</v>
      </c>
      <c r="H105" s="116" t="s">
        <v>254</v>
      </c>
      <c r="I105" s="116" t="s">
        <v>553</v>
      </c>
      <c r="J105" s="117">
        <v>1.94</v>
      </c>
      <c r="K105" s="117" t="s">
        <v>255</v>
      </c>
      <c r="L105" s="116">
        <v>1.95E-2</v>
      </c>
      <c r="M105" s="116">
        <v>3.2099999999999997E-2</v>
      </c>
      <c r="N105" s="69">
        <v>66428.477655830022</v>
      </c>
      <c r="O105" s="60">
        <v>110.25</v>
      </c>
      <c r="P105" s="84">
        <v>0</v>
      </c>
      <c r="Q105" s="84">
        <v>73.237399999999994</v>
      </c>
      <c r="R105" s="24">
        <v>1.1673008682090108E-4</v>
      </c>
      <c r="S105" s="24">
        <v>4.0107610877438408E-4</v>
      </c>
      <c r="T105" s="24">
        <v>1.3765588720810647E-4</v>
      </c>
    </row>
    <row r="106" spans="1:20" x14ac:dyDescent="0.25">
      <c r="A106" s="16" t="s">
        <v>632</v>
      </c>
      <c r="B106" s="116" t="s">
        <v>633</v>
      </c>
      <c r="C106" s="116" t="s">
        <v>377</v>
      </c>
      <c r="D106" s="116" t="s">
        <v>249</v>
      </c>
      <c r="E106" s="116" t="s">
        <v>491</v>
      </c>
      <c r="F106" s="116" t="s">
        <v>223</v>
      </c>
      <c r="G106" s="116" t="s">
        <v>435</v>
      </c>
      <c r="H106" s="116" t="s">
        <v>254</v>
      </c>
      <c r="I106" s="116" t="s">
        <v>634</v>
      </c>
      <c r="J106" s="117">
        <v>3.5</v>
      </c>
      <c r="K106" s="117" t="s">
        <v>255</v>
      </c>
      <c r="L106" s="116">
        <v>3.3500000000000002E-2</v>
      </c>
      <c r="M106" s="116">
        <v>3.3799999999999997E-2</v>
      </c>
      <c r="N106" s="69">
        <v>157282.71745993849</v>
      </c>
      <c r="O106" s="60">
        <v>111.29</v>
      </c>
      <c r="P106" s="84">
        <v>0</v>
      </c>
      <c r="Q106" s="84">
        <v>175.03994</v>
      </c>
      <c r="R106" s="24">
        <v>2.3600798646941708E-4</v>
      </c>
      <c r="S106" s="24">
        <v>9.5858588665492859E-4</v>
      </c>
      <c r="T106" s="24">
        <v>3.2900237088637397E-4</v>
      </c>
    </row>
    <row r="107" spans="1:20" x14ac:dyDescent="0.25">
      <c r="A107" s="16" t="s">
        <v>758</v>
      </c>
      <c r="B107" s="116" t="s">
        <v>759</v>
      </c>
      <c r="C107" s="116" t="s">
        <v>377</v>
      </c>
      <c r="D107" s="116" t="s">
        <v>249</v>
      </c>
      <c r="E107" s="116" t="s">
        <v>491</v>
      </c>
      <c r="F107" s="116" t="s">
        <v>223</v>
      </c>
      <c r="G107" s="116" t="s">
        <v>426</v>
      </c>
      <c r="H107" s="116" t="s">
        <v>427</v>
      </c>
      <c r="I107" s="116" t="s">
        <v>760</v>
      </c>
      <c r="J107" s="117">
        <v>5.16</v>
      </c>
      <c r="K107" s="117" t="s">
        <v>255</v>
      </c>
      <c r="L107" s="116">
        <v>1.3300000000000001E-2</v>
      </c>
      <c r="M107" s="116">
        <v>3.9199999999999999E-2</v>
      </c>
      <c r="N107" s="69">
        <v>40817.747781806909</v>
      </c>
      <c r="O107" s="60">
        <v>97.5</v>
      </c>
      <c r="P107" s="84">
        <v>0.30182552570000004</v>
      </c>
      <c r="Q107" s="84">
        <v>40.099129999999995</v>
      </c>
      <c r="R107" s="24">
        <v>3.437284023731108E-5</v>
      </c>
      <c r="S107" s="24">
        <v>2.1959822475454028E-4</v>
      </c>
      <c r="T107" s="24">
        <v>7.5369706139529773E-5</v>
      </c>
    </row>
    <row r="108" spans="1:20" x14ac:dyDescent="0.25">
      <c r="A108" s="16" t="s">
        <v>870</v>
      </c>
      <c r="B108" s="116" t="s">
        <v>871</v>
      </c>
      <c r="C108" s="116" t="s">
        <v>377</v>
      </c>
      <c r="D108" s="116" t="s">
        <v>249</v>
      </c>
      <c r="E108" s="116" t="s">
        <v>491</v>
      </c>
      <c r="F108" s="116" t="s">
        <v>223</v>
      </c>
      <c r="G108" s="116" t="s">
        <v>435</v>
      </c>
      <c r="H108" s="116" t="s">
        <v>254</v>
      </c>
      <c r="I108" s="116" t="s">
        <v>872</v>
      </c>
      <c r="J108" s="117">
        <v>5.75</v>
      </c>
      <c r="K108" s="117" t="s">
        <v>255</v>
      </c>
      <c r="L108" s="116">
        <v>1.8700000000000001E-2</v>
      </c>
      <c r="M108" s="116">
        <v>4.0399999999999998E-2</v>
      </c>
      <c r="N108" s="69">
        <v>182722.14229627373</v>
      </c>
      <c r="O108" s="60">
        <v>95.22</v>
      </c>
      <c r="P108" s="84">
        <v>0</v>
      </c>
      <c r="Q108" s="84">
        <v>173.98801999999998</v>
      </c>
      <c r="R108" s="24">
        <v>3.2678853423553309E-4</v>
      </c>
      <c r="S108" s="24">
        <v>9.5282516903876587E-4</v>
      </c>
      <c r="T108" s="24">
        <v>3.2702519828232258E-4</v>
      </c>
    </row>
    <row r="109" spans="1:20" x14ac:dyDescent="0.25">
      <c r="A109" s="16" t="s">
        <v>1020</v>
      </c>
      <c r="B109" s="116" t="s">
        <v>1021</v>
      </c>
      <c r="C109" s="116" t="s">
        <v>377</v>
      </c>
      <c r="D109" s="116" t="s">
        <v>249</v>
      </c>
      <c r="E109" s="116" t="s">
        <v>728</v>
      </c>
      <c r="F109" s="116" t="s">
        <v>200</v>
      </c>
      <c r="G109" s="116" t="s">
        <v>426</v>
      </c>
      <c r="H109" s="116" t="s">
        <v>427</v>
      </c>
      <c r="I109" s="116" t="s">
        <v>1022</v>
      </c>
      <c r="J109" s="117">
        <v>4.3899999999999997</v>
      </c>
      <c r="K109" s="117" t="s">
        <v>255</v>
      </c>
      <c r="L109" s="116">
        <v>1.09E-2</v>
      </c>
      <c r="M109" s="116">
        <v>3.7000000000000005E-2</v>
      </c>
      <c r="N109" s="69">
        <v>10.004051549986915</v>
      </c>
      <c r="O109" s="60">
        <v>4827766</v>
      </c>
      <c r="P109" s="84">
        <v>0</v>
      </c>
      <c r="Q109" s="84">
        <v>482.97219999999999</v>
      </c>
      <c r="R109" s="24">
        <v>5.5091423261120743E-4</v>
      </c>
      <c r="S109" s="24">
        <v>2.644941117819633E-3</v>
      </c>
      <c r="T109" s="24">
        <v>9.0778709631760598E-4</v>
      </c>
    </row>
    <row r="110" spans="1:20" x14ac:dyDescent="0.25">
      <c r="A110" s="16" t="s">
        <v>1026</v>
      </c>
      <c r="B110" s="116" t="s">
        <v>1027</v>
      </c>
      <c r="C110" s="116" t="s">
        <v>377</v>
      </c>
      <c r="D110" s="116" t="s">
        <v>249</v>
      </c>
      <c r="E110" s="116" t="s">
        <v>728</v>
      </c>
      <c r="F110" s="116" t="s">
        <v>200</v>
      </c>
      <c r="G110" s="116" t="s">
        <v>426</v>
      </c>
      <c r="H110" s="116" t="s">
        <v>427</v>
      </c>
      <c r="I110" s="116" t="s">
        <v>1028</v>
      </c>
      <c r="J110" s="117">
        <v>5.03</v>
      </c>
      <c r="K110" s="117" t="s">
        <v>255</v>
      </c>
      <c r="L110" s="116">
        <v>2.9900000000000003E-2</v>
      </c>
      <c r="M110" s="116">
        <v>3.4000000000000002E-2</v>
      </c>
      <c r="N110" s="69">
        <v>5.5186804857400409</v>
      </c>
      <c r="O110" s="60">
        <v>5169986</v>
      </c>
      <c r="P110" s="84">
        <v>0</v>
      </c>
      <c r="Q110" s="84">
        <v>285.31501000000003</v>
      </c>
      <c r="R110" s="24">
        <v>3.4491753035875255E-4</v>
      </c>
      <c r="S110" s="24">
        <v>1.5624944903249501E-3</v>
      </c>
      <c r="T110" s="24">
        <v>5.3627369124709199E-4</v>
      </c>
    </row>
    <row r="111" spans="1:20" x14ac:dyDescent="0.25">
      <c r="A111" s="16" t="s">
        <v>1012</v>
      </c>
      <c r="B111" s="116" t="s">
        <v>1013</v>
      </c>
      <c r="C111" s="116" t="s">
        <v>377</v>
      </c>
      <c r="D111" s="116" t="s">
        <v>249</v>
      </c>
      <c r="E111" s="116" t="s">
        <v>728</v>
      </c>
      <c r="F111" s="116" t="s">
        <v>200</v>
      </c>
      <c r="G111" s="116" t="s">
        <v>426</v>
      </c>
      <c r="H111" s="116" t="s">
        <v>427</v>
      </c>
      <c r="I111" s="116" t="s">
        <v>1014</v>
      </c>
      <c r="J111" s="117">
        <v>2.67</v>
      </c>
      <c r="K111" s="117" t="s">
        <v>255</v>
      </c>
      <c r="L111" s="116">
        <v>2.3199999999999998E-2</v>
      </c>
      <c r="M111" s="116">
        <v>3.5900000000000001E-2</v>
      </c>
      <c r="N111" s="69">
        <v>0.79662960986623998</v>
      </c>
      <c r="O111" s="60">
        <v>5424000</v>
      </c>
      <c r="P111" s="84">
        <v>0</v>
      </c>
      <c r="Q111" s="84">
        <v>43.20919</v>
      </c>
      <c r="R111" s="24">
        <v>1.3277160164437333E-4</v>
      </c>
      <c r="S111" s="24">
        <v>2.3663010686470344E-4</v>
      </c>
      <c r="T111" s="24">
        <v>8.1215326936696846E-5</v>
      </c>
    </row>
    <row r="112" spans="1:20" x14ac:dyDescent="0.25">
      <c r="A112" s="16" t="s">
        <v>998</v>
      </c>
      <c r="B112" s="116" t="s">
        <v>999</v>
      </c>
      <c r="C112" s="116" t="s">
        <v>377</v>
      </c>
      <c r="D112" s="116" t="s">
        <v>249</v>
      </c>
      <c r="E112" s="116" t="s">
        <v>728</v>
      </c>
      <c r="F112" s="116" t="s">
        <v>200</v>
      </c>
      <c r="G112" s="116" t="s">
        <v>435</v>
      </c>
      <c r="H112" s="116" t="s">
        <v>254</v>
      </c>
      <c r="I112" s="116" t="s">
        <v>1000</v>
      </c>
      <c r="J112" s="117">
        <v>0.79</v>
      </c>
      <c r="K112" s="117" t="s">
        <v>255</v>
      </c>
      <c r="L112" s="116">
        <v>2.2000000000000002E-2</v>
      </c>
      <c r="M112" s="116">
        <v>3.9199999999999999E-2</v>
      </c>
      <c r="N112" s="69">
        <v>7.0253495304870608</v>
      </c>
      <c r="O112" s="60">
        <v>5519000</v>
      </c>
      <c r="P112" s="84">
        <v>0</v>
      </c>
      <c r="Q112" s="84">
        <v>387.72904</v>
      </c>
      <c r="R112" s="24">
        <v>1.3955799623534091E-3</v>
      </c>
      <c r="S112" s="24">
        <v>2.1233530221174907E-3</v>
      </c>
      <c r="T112" s="24">
        <v>7.2876952209591553E-4</v>
      </c>
    </row>
    <row r="113" spans="1:20" x14ac:dyDescent="0.25">
      <c r="A113" s="16" t="s">
        <v>423</v>
      </c>
      <c r="B113" s="116" t="s">
        <v>424</v>
      </c>
      <c r="C113" s="116" t="s">
        <v>377</v>
      </c>
      <c r="D113" s="116" t="s">
        <v>249</v>
      </c>
      <c r="E113" s="116" t="s">
        <v>425</v>
      </c>
      <c r="F113" s="116" t="s">
        <v>223</v>
      </c>
      <c r="G113" s="116" t="s">
        <v>426</v>
      </c>
      <c r="H113" s="116" t="s">
        <v>427</v>
      </c>
      <c r="I113" s="116" t="s">
        <v>428</v>
      </c>
      <c r="J113" s="117">
        <v>1.46</v>
      </c>
      <c r="K113" s="117" t="s">
        <v>255</v>
      </c>
      <c r="L113" s="116">
        <v>4.7500000000000001E-2</v>
      </c>
      <c r="M113" s="116">
        <v>3.27E-2</v>
      </c>
      <c r="N113" s="69">
        <v>884290.25652495353</v>
      </c>
      <c r="O113" s="60">
        <v>137.97999999999999</v>
      </c>
      <c r="P113" s="84">
        <v>28.364762599999999</v>
      </c>
      <c r="Q113" s="84">
        <v>1248.50846</v>
      </c>
      <c r="R113" s="24">
        <v>6.8512739612462345E-4</v>
      </c>
      <c r="S113" s="24">
        <v>6.8373114680299789E-3</v>
      </c>
      <c r="T113" s="24">
        <v>2.346677240701154E-3</v>
      </c>
    </row>
    <row r="114" spans="1:20" x14ac:dyDescent="0.25">
      <c r="A114" s="16" t="s">
        <v>680</v>
      </c>
      <c r="B114" s="116" t="s">
        <v>681</v>
      </c>
      <c r="C114" s="116" t="s">
        <v>377</v>
      </c>
      <c r="D114" s="116" t="s">
        <v>249</v>
      </c>
      <c r="E114" s="116" t="s">
        <v>425</v>
      </c>
      <c r="F114" s="116" t="s">
        <v>223</v>
      </c>
      <c r="G114" s="116" t="s">
        <v>426</v>
      </c>
      <c r="H114" s="116" t="s">
        <v>427</v>
      </c>
      <c r="I114" s="116" t="s">
        <v>682</v>
      </c>
      <c r="J114" s="117">
        <v>4.28</v>
      </c>
      <c r="K114" s="117" t="s">
        <v>255</v>
      </c>
      <c r="L114" s="116">
        <v>5.0000000000000001E-3</v>
      </c>
      <c r="M114" s="116">
        <v>3.15E-2</v>
      </c>
      <c r="N114" s="69">
        <v>1143293.8333093782</v>
      </c>
      <c r="O114" s="60">
        <v>99.19</v>
      </c>
      <c r="P114" s="84">
        <v>0</v>
      </c>
      <c r="Q114" s="84">
        <v>1134.03315</v>
      </c>
      <c r="R114" s="24">
        <v>6.4054852469496056E-4</v>
      </c>
      <c r="S114" s="24">
        <v>6.2104007381905612E-3</v>
      </c>
      <c r="T114" s="24">
        <v>2.1315112140334542E-3</v>
      </c>
    </row>
    <row r="115" spans="1:20" x14ac:dyDescent="0.25">
      <c r="A115" s="16" t="s">
        <v>854</v>
      </c>
      <c r="B115" s="116" t="s">
        <v>855</v>
      </c>
      <c r="C115" s="116" t="s">
        <v>377</v>
      </c>
      <c r="D115" s="116" t="s">
        <v>249</v>
      </c>
      <c r="E115" s="116" t="s">
        <v>425</v>
      </c>
      <c r="F115" s="116" t="s">
        <v>223</v>
      </c>
      <c r="G115" s="116" t="s">
        <v>426</v>
      </c>
      <c r="H115" s="116" t="s">
        <v>427</v>
      </c>
      <c r="I115" s="116" t="s">
        <v>856</v>
      </c>
      <c r="J115" s="117">
        <v>6.1</v>
      </c>
      <c r="K115" s="117" t="s">
        <v>255</v>
      </c>
      <c r="L115" s="116">
        <v>5.8999999999999999E-3</v>
      </c>
      <c r="M115" s="116">
        <v>3.3700000000000001E-2</v>
      </c>
      <c r="N115" s="69">
        <v>1355861.9911877646</v>
      </c>
      <c r="O115" s="60">
        <v>91.47</v>
      </c>
      <c r="P115" s="84">
        <v>0</v>
      </c>
      <c r="Q115" s="84">
        <v>1240.20696</v>
      </c>
      <c r="R115" s="24">
        <v>1.2332801142335235E-3</v>
      </c>
      <c r="S115" s="24">
        <v>6.7918492681568196E-3</v>
      </c>
      <c r="T115" s="24">
        <v>2.3310738693682275E-3</v>
      </c>
    </row>
    <row r="116" spans="1:20" x14ac:dyDescent="0.25">
      <c r="A116" s="16" t="s">
        <v>1038</v>
      </c>
      <c r="B116" s="116" t="s">
        <v>1039</v>
      </c>
      <c r="C116" s="116" t="s">
        <v>377</v>
      </c>
      <c r="D116" s="116" t="s">
        <v>249</v>
      </c>
      <c r="E116" s="116" t="s">
        <v>820</v>
      </c>
      <c r="F116" s="116" t="s">
        <v>200</v>
      </c>
      <c r="G116" s="116" t="s">
        <v>426</v>
      </c>
      <c r="H116" s="116" t="s">
        <v>427</v>
      </c>
      <c r="I116" s="116" t="s">
        <v>1040</v>
      </c>
      <c r="J116" s="117">
        <v>4.7300000000000004</v>
      </c>
      <c r="K116" s="117" t="s">
        <v>255</v>
      </c>
      <c r="L116" s="116">
        <v>3.1699999999999999E-2</v>
      </c>
      <c r="M116" s="116">
        <v>3.5099999999999999E-2</v>
      </c>
      <c r="N116" s="69">
        <v>1.9338472413419601</v>
      </c>
      <c r="O116" s="60">
        <v>5221000</v>
      </c>
      <c r="P116" s="84">
        <v>0</v>
      </c>
      <c r="Q116" s="84">
        <v>100.96616</v>
      </c>
      <c r="R116" s="24">
        <v>1.1449658030443814E-4</v>
      </c>
      <c r="S116" s="24">
        <v>5.5292944002233657E-4</v>
      </c>
      <c r="T116" s="24">
        <v>1.8977443673308489E-4</v>
      </c>
    </row>
    <row r="117" spans="1:20" x14ac:dyDescent="0.25">
      <c r="A117" s="16" t="s">
        <v>1029</v>
      </c>
      <c r="B117" s="116" t="s">
        <v>1030</v>
      </c>
      <c r="C117" s="116" t="s">
        <v>377</v>
      </c>
      <c r="D117" s="116" t="s">
        <v>249</v>
      </c>
      <c r="E117" s="116" t="s">
        <v>820</v>
      </c>
      <c r="F117" s="116" t="s">
        <v>200</v>
      </c>
      <c r="G117" s="116" t="s">
        <v>435</v>
      </c>
      <c r="H117" s="116" t="s">
        <v>254</v>
      </c>
      <c r="I117" s="116" t="s">
        <v>1031</v>
      </c>
      <c r="J117" s="117">
        <v>4.07</v>
      </c>
      <c r="K117" s="117" t="s">
        <v>255</v>
      </c>
      <c r="L117" s="116">
        <v>2E-3</v>
      </c>
      <c r="M117" s="116">
        <v>3.7000000000000005E-2</v>
      </c>
      <c r="N117" s="69">
        <v>0.35213337827420799</v>
      </c>
      <c r="O117" s="60">
        <v>4729000</v>
      </c>
      <c r="P117" s="84">
        <v>0</v>
      </c>
      <c r="Q117" s="84">
        <v>16.65239</v>
      </c>
      <c r="R117" s="24">
        <v>3.0721809306770891E-5</v>
      </c>
      <c r="S117" s="24">
        <v>9.1194878340758491E-5</v>
      </c>
      <c r="T117" s="24">
        <v>3.1299575347915137E-5</v>
      </c>
    </row>
    <row r="118" spans="1:20" x14ac:dyDescent="0.25">
      <c r="A118" s="16" t="s">
        <v>1007</v>
      </c>
      <c r="B118" s="116" t="s">
        <v>1008</v>
      </c>
      <c r="C118" s="116" t="s">
        <v>377</v>
      </c>
      <c r="D118" s="116" t="s">
        <v>249</v>
      </c>
      <c r="E118" s="116" t="s">
        <v>820</v>
      </c>
      <c r="F118" s="116" t="s">
        <v>200</v>
      </c>
      <c r="G118" s="116" t="s">
        <v>426</v>
      </c>
      <c r="H118" s="116" t="s">
        <v>427</v>
      </c>
      <c r="I118" s="116" t="s">
        <v>671</v>
      </c>
      <c r="J118" s="117">
        <v>2.04</v>
      </c>
      <c r="K118" s="117" t="s">
        <v>255</v>
      </c>
      <c r="L118" s="116">
        <v>1.46E-2</v>
      </c>
      <c r="M118" s="116">
        <v>3.4599999999999999E-2</v>
      </c>
      <c r="N118" s="69">
        <v>21.98235908964234</v>
      </c>
      <c r="O118" s="60">
        <v>5387000</v>
      </c>
      <c r="P118" s="84">
        <v>0</v>
      </c>
      <c r="Q118" s="84">
        <v>1184.18968</v>
      </c>
      <c r="R118" s="24">
        <v>8.2538050875388951E-4</v>
      </c>
      <c r="S118" s="24">
        <v>6.4850771450813806E-3</v>
      </c>
      <c r="T118" s="24">
        <v>2.2257846540576767E-3</v>
      </c>
    </row>
    <row r="119" spans="1:20" x14ac:dyDescent="0.25">
      <c r="A119" s="16" t="s">
        <v>1009</v>
      </c>
      <c r="B119" s="116" t="s">
        <v>1010</v>
      </c>
      <c r="C119" s="116" t="s">
        <v>377</v>
      </c>
      <c r="D119" s="116" t="s">
        <v>249</v>
      </c>
      <c r="E119" s="116" t="s">
        <v>820</v>
      </c>
      <c r="F119" s="116" t="s">
        <v>200</v>
      </c>
      <c r="G119" s="116" t="s">
        <v>426</v>
      </c>
      <c r="H119" s="116" t="s">
        <v>427</v>
      </c>
      <c r="I119" s="116" t="s">
        <v>1011</v>
      </c>
      <c r="J119" s="117">
        <v>2.68</v>
      </c>
      <c r="K119" s="117" t="s">
        <v>255</v>
      </c>
      <c r="L119" s="116">
        <v>2.4199999999999999E-2</v>
      </c>
      <c r="M119" s="116">
        <v>3.7999999999999999E-2</v>
      </c>
      <c r="N119" s="69">
        <v>33.943348594300673</v>
      </c>
      <c r="O119" s="60">
        <v>5405000</v>
      </c>
      <c r="P119" s="84">
        <v>0</v>
      </c>
      <c r="Q119" s="84">
        <v>1834.6379899999999</v>
      </c>
      <c r="R119" s="24">
        <v>1.1208343876073397E-3</v>
      </c>
      <c r="S119" s="24">
        <v>1.0047181713698977E-2</v>
      </c>
      <c r="T119" s="24">
        <v>3.4483572630807095E-3</v>
      </c>
    </row>
    <row r="120" spans="1:20" x14ac:dyDescent="0.25">
      <c r="A120" s="16" t="s">
        <v>995</v>
      </c>
      <c r="B120" s="116" t="s">
        <v>996</v>
      </c>
      <c r="C120" s="116" t="s">
        <v>377</v>
      </c>
      <c r="D120" s="116" t="s">
        <v>249</v>
      </c>
      <c r="E120" s="116" t="s">
        <v>991</v>
      </c>
      <c r="F120" s="116" t="s">
        <v>201</v>
      </c>
      <c r="G120" s="116" t="s">
        <v>435</v>
      </c>
      <c r="H120" s="116" t="s">
        <v>254</v>
      </c>
      <c r="I120" s="116" t="s">
        <v>997</v>
      </c>
      <c r="J120" s="117">
        <v>0.66</v>
      </c>
      <c r="K120" s="117" t="s">
        <v>255</v>
      </c>
      <c r="L120" s="116">
        <v>3.85E-2</v>
      </c>
      <c r="M120" s="116">
        <v>2.4900000000000002E-2</v>
      </c>
      <c r="N120" s="69">
        <v>120466.15642362289</v>
      </c>
      <c r="O120" s="60">
        <v>117.44000000000001</v>
      </c>
      <c r="P120" s="84">
        <v>0</v>
      </c>
      <c r="Q120" s="84">
        <v>141.47545000000002</v>
      </c>
      <c r="R120" s="24">
        <v>4.8186462569449153E-4</v>
      </c>
      <c r="S120" s="24">
        <v>7.7477385834430154E-4</v>
      </c>
      <c r="T120" s="24">
        <v>2.6591507328108468E-4</v>
      </c>
    </row>
    <row r="121" spans="1:20" x14ac:dyDescent="0.25">
      <c r="A121" s="16" t="s">
        <v>989</v>
      </c>
      <c r="B121" s="116" t="s">
        <v>990</v>
      </c>
      <c r="C121" s="116" t="s">
        <v>377</v>
      </c>
      <c r="D121" s="116" t="s">
        <v>249</v>
      </c>
      <c r="E121" s="116" t="s">
        <v>991</v>
      </c>
      <c r="F121" s="116" t="s">
        <v>201</v>
      </c>
      <c r="G121" s="116" t="s">
        <v>426</v>
      </c>
      <c r="H121" s="116" t="s">
        <v>427</v>
      </c>
      <c r="I121" s="116" t="s">
        <v>992</v>
      </c>
      <c r="J121" s="117">
        <v>2.2000000000000002</v>
      </c>
      <c r="K121" s="117" t="s">
        <v>255</v>
      </c>
      <c r="L121" s="116">
        <v>2.4E-2</v>
      </c>
      <c r="M121" s="116">
        <v>2.4300000000000002E-2</v>
      </c>
      <c r="N121" s="69">
        <v>232214.01634989926</v>
      </c>
      <c r="O121" s="60">
        <v>111.91</v>
      </c>
      <c r="P121" s="84">
        <v>0</v>
      </c>
      <c r="Q121" s="84">
        <v>259.87070999999997</v>
      </c>
      <c r="R121" s="24">
        <v>7.8665508997268038E-4</v>
      </c>
      <c r="S121" s="24">
        <v>1.4231517387460015E-3</v>
      </c>
      <c r="T121" s="24">
        <v>4.8844897749579508E-4</v>
      </c>
    </row>
    <row r="122" spans="1:20" x14ac:dyDescent="0.25">
      <c r="A122" s="16" t="s">
        <v>993</v>
      </c>
      <c r="B122" s="116" t="s">
        <v>994</v>
      </c>
      <c r="C122" s="116" t="s">
        <v>377</v>
      </c>
      <c r="D122" s="116" t="s">
        <v>249</v>
      </c>
      <c r="E122" s="116" t="s">
        <v>991</v>
      </c>
      <c r="F122" s="116" t="s">
        <v>201</v>
      </c>
      <c r="G122" s="116" t="s">
        <v>426</v>
      </c>
      <c r="H122" s="116" t="s">
        <v>427</v>
      </c>
      <c r="I122" s="116" t="s">
        <v>992</v>
      </c>
      <c r="J122" s="117">
        <v>3.14</v>
      </c>
      <c r="K122" s="117" t="s">
        <v>255</v>
      </c>
      <c r="L122" s="116">
        <v>2.4E-2</v>
      </c>
      <c r="M122" s="116">
        <v>2.3E-2</v>
      </c>
      <c r="N122" s="69">
        <v>230086.51075947014</v>
      </c>
      <c r="O122" s="60">
        <v>112.33999999999999</v>
      </c>
      <c r="P122" s="84">
        <v>0</v>
      </c>
      <c r="Q122" s="84">
        <v>258.47919000000002</v>
      </c>
      <c r="R122" s="24">
        <v>7.7944788892614835E-4</v>
      </c>
      <c r="S122" s="24">
        <v>1.415531241201281E-3</v>
      </c>
      <c r="T122" s="24">
        <v>4.8583349797074615E-4</v>
      </c>
    </row>
    <row r="123" spans="1:20" x14ac:dyDescent="0.25">
      <c r="A123" s="16" t="s">
        <v>737</v>
      </c>
      <c r="B123" s="116" t="s">
        <v>738</v>
      </c>
      <c r="C123" s="116" t="s">
        <v>377</v>
      </c>
      <c r="D123" s="116" t="s">
        <v>249</v>
      </c>
      <c r="E123" s="116" t="s">
        <v>739</v>
      </c>
      <c r="F123" s="116" t="s">
        <v>200</v>
      </c>
      <c r="G123" s="116" t="s">
        <v>435</v>
      </c>
      <c r="H123" s="116" t="s">
        <v>254</v>
      </c>
      <c r="I123" s="116" t="s">
        <v>740</v>
      </c>
      <c r="J123" s="117">
        <v>1.72</v>
      </c>
      <c r="K123" s="117" t="s">
        <v>255</v>
      </c>
      <c r="L123" s="116">
        <v>2E-3</v>
      </c>
      <c r="M123" s="116">
        <v>2.64E-2</v>
      </c>
      <c r="N123" s="69">
        <v>731813.89673296001</v>
      </c>
      <c r="O123" s="60">
        <v>105.86</v>
      </c>
      <c r="P123" s="84">
        <v>0</v>
      </c>
      <c r="Q123" s="84">
        <v>774.69818999999995</v>
      </c>
      <c r="R123" s="24">
        <v>1.3123709636300009E-3</v>
      </c>
      <c r="S123" s="24">
        <v>4.2425445949714011E-3</v>
      </c>
      <c r="T123" s="24">
        <v>1.4561107666706387E-3</v>
      </c>
    </row>
    <row r="124" spans="1:20" x14ac:dyDescent="0.25">
      <c r="A124" s="16" t="s">
        <v>810</v>
      </c>
      <c r="B124" s="116" t="s">
        <v>811</v>
      </c>
      <c r="C124" s="116" t="s">
        <v>377</v>
      </c>
      <c r="D124" s="116" t="s">
        <v>249</v>
      </c>
      <c r="E124" s="116" t="s">
        <v>739</v>
      </c>
      <c r="F124" s="116" t="s">
        <v>200</v>
      </c>
      <c r="G124" s="116" t="s">
        <v>435</v>
      </c>
      <c r="H124" s="116" t="s">
        <v>254</v>
      </c>
      <c r="I124" s="116" t="s">
        <v>812</v>
      </c>
      <c r="J124" s="117">
        <v>3.95</v>
      </c>
      <c r="K124" s="117" t="s">
        <v>255</v>
      </c>
      <c r="L124" s="116">
        <v>2E-3</v>
      </c>
      <c r="M124" s="116">
        <v>2.5499999999999998E-2</v>
      </c>
      <c r="N124" s="69">
        <v>935116.16305965406</v>
      </c>
      <c r="O124" s="60">
        <v>99.050000000000011</v>
      </c>
      <c r="P124" s="84">
        <v>2.0308641430000001</v>
      </c>
      <c r="Q124" s="84">
        <v>928.26342</v>
      </c>
      <c r="R124" s="24">
        <v>1.1617922961738348E-3</v>
      </c>
      <c r="S124" s="24">
        <v>5.0835267283000467E-3</v>
      </c>
      <c r="T124" s="24">
        <v>1.744749603930931E-3</v>
      </c>
    </row>
    <row r="125" spans="1:20" x14ac:dyDescent="0.25">
      <c r="A125" s="16" t="s">
        <v>748</v>
      </c>
      <c r="B125" s="116" t="s">
        <v>749</v>
      </c>
      <c r="C125" s="116" t="s">
        <v>377</v>
      </c>
      <c r="D125" s="116" t="s">
        <v>249</v>
      </c>
      <c r="E125" s="116" t="s">
        <v>739</v>
      </c>
      <c r="F125" s="116" t="s">
        <v>200</v>
      </c>
      <c r="G125" s="116" t="s">
        <v>435</v>
      </c>
      <c r="H125" s="116" t="s">
        <v>254</v>
      </c>
      <c r="I125" s="116" t="s">
        <v>750</v>
      </c>
      <c r="J125" s="117">
        <v>3.21</v>
      </c>
      <c r="K125" s="117" t="s">
        <v>255</v>
      </c>
      <c r="L125" s="116">
        <v>2E-3</v>
      </c>
      <c r="M125" s="116">
        <v>2.6699999999999998E-2</v>
      </c>
      <c r="N125" s="69">
        <v>808994.19617650588</v>
      </c>
      <c r="O125" s="60">
        <v>103.03</v>
      </c>
      <c r="P125" s="84">
        <v>0</v>
      </c>
      <c r="Q125" s="84">
        <v>833.50671999999997</v>
      </c>
      <c r="R125" s="24">
        <v>9.6010970272761634E-4</v>
      </c>
      <c r="S125" s="24">
        <v>4.5646026742470393E-3</v>
      </c>
      <c r="T125" s="24">
        <v>1.5666463724206318E-3</v>
      </c>
    </row>
    <row r="126" spans="1:20" x14ac:dyDescent="0.25">
      <c r="A126" s="16" t="s">
        <v>544</v>
      </c>
      <c r="B126" s="116" t="s">
        <v>545</v>
      </c>
      <c r="C126" s="116" t="s">
        <v>377</v>
      </c>
      <c r="D126" s="116" t="s">
        <v>249</v>
      </c>
      <c r="E126" s="116" t="s">
        <v>546</v>
      </c>
      <c r="F126" s="116" t="s">
        <v>223</v>
      </c>
      <c r="G126" s="116" t="s">
        <v>426</v>
      </c>
      <c r="H126" s="116" t="s">
        <v>427</v>
      </c>
      <c r="I126" s="116" t="s">
        <v>547</v>
      </c>
      <c r="J126" s="117">
        <v>4.13</v>
      </c>
      <c r="K126" s="117" t="s">
        <v>255</v>
      </c>
      <c r="L126" s="116">
        <v>2.4E-2</v>
      </c>
      <c r="M126" s="116">
        <v>3.1400000000000004E-2</v>
      </c>
      <c r="N126" s="69">
        <v>1187515.3873571355</v>
      </c>
      <c r="O126" s="60">
        <v>109.47</v>
      </c>
      <c r="P126" s="84">
        <v>0</v>
      </c>
      <c r="Q126" s="84">
        <v>1299.9730900000002</v>
      </c>
      <c r="R126" s="24">
        <v>1.1018460749247178E-3</v>
      </c>
      <c r="S126" s="24">
        <v>7.1191515325313608E-3</v>
      </c>
      <c r="T126" s="24">
        <v>2.4434093653053451E-3</v>
      </c>
    </row>
    <row r="127" spans="1:20" x14ac:dyDescent="0.25">
      <c r="A127" s="16" t="s">
        <v>861</v>
      </c>
      <c r="B127" s="116" t="s">
        <v>862</v>
      </c>
      <c r="C127" s="116" t="s">
        <v>377</v>
      </c>
      <c r="D127" s="116" t="s">
        <v>249</v>
      </c>
      <c r="E127" s="116" t="s">
        <v>546</v>
      </c>
      <c r="F127" s="116" t="s">
        <v>223</v>
      </c>
      <c r="G127" s="116" t="s">
        <v>426</v>
      </c>
      <c r="H127" s="116" t="s">
        <v>427</v>
      </c>
      <c r="I127" s="116" t="s">
        <v>863</v>
      </c>
      <c r="J127" s="117">
        <v>6.28</v>
      </c>
      <c r="K127" s="117" t="s">
        <v>255</v>
      </c>
      <c r="L127" s="116">
        <v>1.4999999999999999E-2</v>
      </c>
      <c r="M127" s="116">
        <v>3.3099999999999997E-2</v>
      </c>
      <c r="N127" s="69">
        <v>288637.33808465058</v>
      </c>
      <c r="O127" s="60">
        <v>95.95</v>
      </c>
      <c r="P127" s="84">
        <v>2.3257267219999997</v>
      </c>
      <c r="Q127" s="84">
        <v>279.27325000000002</v>
      </c>
      <c r="R127" s="24">
        <v>1.1026123416427967E-3</v>
      </c>
      <c r="S127" s="24">
        <v>1.5294074939139807E-3</v>
      </c>
      <c r="T127" s="24">
        <v>5.249176923572017E-4</v>
      </c>
    </row>
    <row r="128" spans="1:20" x14ac:dyDescent="0.25">
      <c r="A128" s="16" t="s">
        <v>599</v>
      </c>
      <c r="B128" s="116" t="s">
        <v>600</v>
      </c>
      <c r="C128" s="116" t="s">
        <v>377</v>
      </c>
      <c r="D128" s="116" t="s">
        <v>249</v>
      </c>
      <c r="E128" s="116" t="s">
        <v>532</v>
      </c>
      <c r="F128" s="116" t="s">
        <v>223</v>
      </c>
      <c r="G128" s="116" t="s">
        <v>435</v>
      </c>
      <c r="H128" s="116" t="s">
        <v>254</v>
      </c>
      <c r="I128" s="116" t="s">
        <v>601</v>
      </c>
      <c r="J128" s="117">
        <v>2.2400000000000002</v>
      </c>
      <c r="K128" s="117" t="s">
        <v>255</v>
      </c>
      <c r="L128" s="116">
        <v>1.3999999999999999E-2</v>
      </c>
      <c r="M128" s="116">
        <v>3.1600000000000003E-2</v>
      </c>
      <c r="N128" s="69">
        <v>498732.86514128256</v>
      </c>
      <c r="O128" s="60">
        <v>107.61</v>
      </c>
      <c r="P128" s="84">
        <v>3.905207367</v>
      </c>
      <c r="Q128" s="84">
        <v>540.59163999999998</v>
      </c>
      <c r="R128" s="24">
        <v>5.6125688177051825E-4</v>
      </c>
      <c r="S128" s="24">
        <v>2.9604872839172707E-3</v>
      </c>
      <c r="T128" s="24">
        <v>1.0160877068476665E-3</v>
      </c>
    </row>
    <row r="129" spans="1:20" x14ac:dyDescent="0.25">
      <c r="A129" s="16" t="s">
        <v>983</v>
      </c>
      <c r="B129" s="116" t="s">
        <v>984</v>
      </c>
      <c r="C129" s="116" t="s">
        <v>377</v>
      </c>
      <c r="D129" s="116" t="s">
        <v>249</v>
      </c>
      <c r="E129" s="116" t="s">
        <v>566</v>
      </c>
      <c r="F129" s="116" t="s">
        <v>200</v>
      </c>
      <c r="G129" s="116" t="s">
        <v>426</v>
      </c>
      <c r="H129" s="116" t="s">
        <v>427</v>
      </c>
      <c r="I129" s="116" t="s">
        <v>985</v>
      </c>
      <c r="J129" s="117">
        <v>1.22</v>
      </c>
      <c r="K129" s="117" t="s">
        <v>255</v>
      </c>
      <c r="L129" s="116">
        <v>1.9E-2</v>
      </c>
      <c r="M129" s="116">
        <v>3.5699999999999996E-2</v>
      </c>
      <c r="N129" s="69">
        <v>6.4365363405859268</v>
      </c>
      <c r="O129" s="60">
        <v>5453000</v>
      </c>
      <c r="P129" s="84">
        <v>0</v>
      </c>
      <c r="Q129" s="84">
        <v>350.98433</v>
      </c>
      <c r="R129" s="24">
        <v>2.9528105058197664E-4</v>
      </c>
      <c r="S129" s="24">
        <v>1.9221248886113426E-3</v>
      </c>
      <c r="T129" s="24">
        <v>6.5970473203981602E-4</v>
      </c>
    </row>
    <row r="130" spans="1:20" x14ac:dyDescent="0.25">
      <c r="A130" s="16" t="s">
        <v>1035</v>
      </c>
      <c r="B130" s="116" t="s">
        <v>1036</v>
      </c>
      <c r="C130" s="116" t="s">
        <v>377</v>
      </c>
      <c r="D130" s="116" t="s">
        <v>249</v>
      </c>
      <c r="E130" s="116" t="s">
        <v>566</v>
      </c>
      <c r="F130" s="116" t="s">
        <v>200</v>
      </c>
      <c r="G130" s="116" t="s">
        <v>426</v>
      </c>
      <c r="H130" s="116" t="s">
        <v>427</v>
      </c>
      <c r="I130" s="116" t="s">
        <v>1037</v>
      </c>
      <c r="J130" s="117">
        <v>4.38</v>
      </c>
      <c r="K130" s="117" t="s">
        <v>255</v>
      </c>
      <c r="L130" s="116">
        <v>3.3099999999999997E-2</v>
      </c>
      <c r="M130" s="116">
        <v>3.5299999999999998E-2</v>
      </c>
      <c r="N130" s="69">
        <v>16.833130017173598</v>
      </c>
      <c r="O130" s="60">
        <v>5170870</v>
      </c>
      <c r="P130" s="84">
        <v>0</v>
      </c>
      <c r="Q130" s="84">
        <v>870.41926999999998</v>
      </c>
      <c r="R130" s="24">
        <v>1.1998809620909258E-3</v>
      </c>
      <c r="S130" s="24">
        <v>4.7667499640052765E-3</v>
      </c>
      <c r="T130" s="24">
        <v>1.6360266319514669E-3</v>
      </c>
    </row>
    <row r="131" spans="1:20" x14ac:dyDescent="0.25">
      <c r="A131" s="16" t="s">
        <v>1018</v>
      </c>
      <c r="B131" s="116" t="s">
        <v>1019</v>
      </c>
      <c r="C131" s="116" t="s">
        <v>377</v>
      </c>
      <c r="D131" s="116" t="s">
        <v>249</v>
      </c>
      <c r="E131" s="116" t="s">
        <v>566</v>
      </c>
      <c r="F131" s="116" t="s">
        <v>200</v>
      </c>
      <c r="G131" s="116" t="s">
        <v>426</v>
      </c>
      <c r="H131" s="116" t="s">
        <v>427</v>
      </c>
      <c r="I131" s="116" t="s">
        <v>736</v>
      </c>
      <c r="J131" s="117">
        <v>2.68</v>
      </c>
      <c r="K131" s="117" t="s">
        <v>255</v>
      </c>
      <c r="L131" s="116">
        <v>1.89E-2</v>
      </c>
      <c r="M131" s="116">
        <v>3.27E-2</v>
      </c>
      <c r="N131" s="69">
        <v>4.9471853308359988</v>
      </c>
      <c r="O131" s="60">
        <v>5395000</v>
      </c>
      <c r="P131" s="84">
        <v>0</v>
      </c>
      <c r="Q131" s="84">
        <v>266.90065000000004</v>
      </c>
      <c r="R131" s="24">
        <v>6.1839816635449987E-4</v>
      </c>
      <c r="S131" s="24">
        <v>1.4616503880715841E-3</v>
      </c>
      <c r="T131" s="24">
        <v>5.0166234426905255E-4</v>
      </c>
    </row>
    <row r="132" spans="1:20" x14ac:dyDescent="0.25">
      <c r="A132" s="16" t="s">
        <v>505</v>
      </c>
      <c r="B132" s="116" t="s">
        <v>506</v>
      </c>
      <c r="C132" s="116" t="s">
        <v>377</v>
      </c>
      <c r="D132" s="116" t="s">
        <v>249</v>
      </c>
      <c r="E132" s="116" t="s">
        <v>507</v>
      </c>
      <c r="F132" s="116" t="s">
        <v>223</v>
      </c>
      <c r="G132" s="116" t="s">
        <v>426</v>
      </c>
      <c r="H132" s="116" t="s">
        <v>427</v>
      </c>
      <c r="I132" s="116" t="s">
        <v>508</v>
      </c>
      <c r="J132" s="117">
        <v>0.78</v>
      </c>
      <c r="K132" s="117" t="s">
        <v>255</v>
      </c>
      <c r="L132" s="116">
        <v>2.75E-2</v>
      </c>
      <c r="M132" s="116">
        <v>3.1699999999999999E-2</v>
      </c>
      <c r="N132" s="69">
        <v>8436.2363913596473</v>
      </c>
      <c r="O132" s="60">
        <v>112.87</v>
      </c>
      <c r="P132" s="84">
        <v>0</v>
      </c>
      <c r="Q132" s="84">
        <v>9.5219799999999992</v>
      </c>
      <c r="R132" s="24">
        <v>3.0512734526291087E-5</v>
      </c>
      <c r="S132" s="24">
        <v>5.2146016737725672E-5</v>
      </c>
      <c r="T132" s="24">
        <v>1.7897366712606477E-5</v>
      </c>
    </row>
    <row r="133" spans="1:20" x14ac:dyDescent="0.25">
      <c r="A133" s="16" t="s">
        <v>548</v>
      </c>
      <c r="B133" s="116" t="s">
        <v>549</v>
      </c>
      <c r="C133" s="116" t="s">
        <v>377</v>
      </c>
      <c r="D133" s="116" t="s">
        <v>249</v>
      </c>
      <c r="E133" s="116" t="s">
        <v>507</v>
      </c>
      <c r="F133" s="116" t="s">
        <v>223</v>
      </c>
      <c r="G133" s="116" t="s">
        <v>426</v>
      </c>
      <c r="H133" s="116" t="s">
        <v>427</v>
      </c>
      <c r="I133" s="116" t="s">
        <v>550</v>
      </c>
      <c r="J133" s="117">
        <v>3.84</v>
      </c>
      <c r="K133" s="117" t="s">
        <v>255</v>
      </c>
      <c r="L133" s="116">
        <v>1.9599999999999999E-2</v>
      </c>
      <c r="M133" s="116">
        <v>3.1200000000000002E-2</v>
      </c>
      <c r="N133" s="69">
        <v>902357.71719074005</v>
      </c>
      <c r="O133" s="60">
        <v>108.21000000000001</v>
      </c>
      <c r="P133" s="84">
        <v>0</v>
      </c>
      <c r="Q133" s="84">
        <v>976.44128999999998</v>
      </c>
      <c r="R133" s="24">
        <v>8.5853667213739557E-4</v>
      </c>
      <c r="S133" s="24">
        <v>5.3473672336789664E-3</v>
      </c>
      <c r="T133" s="24">
        <v>1.8353039851439015E-3</v>
      </c>
    </row>
    <row r="134" spans="1:20" x14ac:dyDescent="0.25">
      <c r="A134" s="16" t="s">
        <v>699</v>
      </c>
      <c r="B134" s="116" t="s">
        <v>700</v>
      </c>
      <c r="C134" s="116" t="s">
        <v>377</v>
      </c>
      <c r="D134" s="116" t="s">
        <v>249</v>
      </c>
      <c r="E134" s="116" t="s">
        <v>507</v>
      </c>
      <c r="F134" s="116" t="s">
        <v>223</v>
      </c>
      <c r="G134" s="116" t="s">
        <v>426</v>
      </c>
      <c r="H134" s="116" t="s">
        <v>427</v>
      </c>
      <c r="I134" s="116" t="s">
        <v>701</v>
      </c>
      <c r="J134" s="117">
        <v>6.07</v>
      </c>
      <c r="K134" s="117" t="s">
        <v>255</v>
      </c>
      <c r="L134" s="116">
        <v>1.5800000000000002E-2</v>
      </c>
      <c r="M134" s="116">
        <v>3.2799999999999996E-2</v>
      </c>
      <c r="N134" s="69">
        <v>790651.53727201256</v>
      </c>
      <c r="O134" s="60">
        <v>100.66</v>
      </c>
      <c r="P134" s="84">
        <v>0</v>
      </c>
      <c r="Q134" s="84">
        <v>795.86983999999995</v>
      </c>
      <c r="R134" s="24">
        <v>6.6589604170973389E-4</v>
      </c>
      <c r="S134" s="24">
        <v>4.3584886754321111E-3</v>
      </c>
      <c r="T134" s="24">
        <v>1.4959046733960207E-3</v>
      </c>
    </row>
    <row r="135" spans="1:20" x14ac:dyDescent="0.25">
      <c r="A135" s="16" t="s">
        <v>477</v>
      </c>
      <c r="B135" s="116" t="s">
        <v>478</v>
      </c>
      <c r="C135" s="116" t="s">
        <v>377</v>
      </c>
      <c r="D135" s="116" t="s">
        <v>249</v>
      </c>
      <c r="E135" s="116" t="s">
        <v>479</v>
      </c>
      <c r="F135" s="116" t="s">
        <v>201</v>
      </c>
      <c r="G135" s="116" t="s">
        <v>426</v>
      </c>
      <c r="H135" s="116" t="s">
        <v>427</v>
      </c>
      <c r="I135" s="116" t="s">
        <v>480</v>
      </c>
      <c r="J135" s="117">
        <v>2.98</v>
      </c>
      <c r="K135" s="117" t="s">
        <v>255</v>
      </c>
      <c r="L135" s="116">
        <v>2.2499999999999999E-2</v>
      </c>
      <c r="M135" s="116">
        <v>2.4799999999999999E-2</v>
      </c>
      <c r="N135" s="69">
        <v>220932.83453278797</v>
      </c>
      <c r="O135" s="60">
        <v>113.07000000000001</v>
      </c>
      <c r="P135" s="84">
        <v>0</v>
      </c>
      <c r="Q135" s="84">
        <v>249.80876000000001</v>
      </c>
      <c r="R135" s="24">
        <v>5.400247402434714E-4</v>
      </c>
      <c r="S135" s="24">
        <v>1.3680486390635661E-3</v>
      </c>
      <c r="T135" s="24">
        <v>4.6953669150129497E-4</v>
      </c>
    </row>
    <row r="136" spans="1:20" x14ac:dyDescent="0.25">
      <c r="A136" s="16" t="s">
        <v>761</v>
      </c>
      <c r="B136" s="116" t="s">
        <v>762</v>
      </c>
      <c r="C136" s="116" t="s">
        <v>377</v>
      </c>
      <c r="D136" s="116" t="s">
        <v>249</v>
      </c>
      <c r="E136" s="116" t="s">
        <v>580</v>
      </c>
      <c r="F136" s="116" t="s">
        <v>223</v>
      </c>
      <c r="G136" s="116" t="s">
        <v>435</v>
      </c>
      <c r="H136" s="116" t="s">
        <v>254</v>
      </c>
      <c r="I136" s="116" t="s">
        <v>763</v>
      </c>
      <c r="J136" s="117">
        <v>7.19</v>
      </c>
      <c r="K136" s="117" t="s">
        <v>255</v>
      </c>
      <c r="L136" s="116">
        <v>1.15E-2</v>
      </c>
      <c r="M136" s="116">
        <v>3.7699999999999997E-2</v>
      </c>
      <c r="N136" s="69">
        <v>151894.23938762423</v>
      </c>
      <c r="O136" s="60">
        <v>92.59</v>
      </c>
      <c r="P136" s="84">
        <v>0</v>
      </c>
      <c r="Q136" s="84">
        <v>140.63888</v>
      </c>
      <c r="R136" s="24">
        <v>3.3037574790748941E-4</v>
      </c>
      <c r="S136" s="24">
        <v>7.7019247997317704E-4</v>
      </c>
      <c r="T136" s="24">
        <v>2.6434266921483316E-4</v>
      </c>
    </row>
    <row r="137" spans="1:20" x14ac:dyDescent="0.25">
      <c r="A137" s="16" t="s">
        <v>906</v>
      </c>
      <c r="B137" s="116" t="s">
        <v>907</v>
      </c>
      <c r="C137" s="116" t="s">
        <v>377</v>
      </c>
      <c r="D137" s="116" t="s">
        <v>249</v>
      </c>
      <c r="E137" s="116" t="s">
        <v>908</v>
      </c>
      <c r="F137" s="116" t="s">
        <v>204</v>
      </c>
      <c r="G137" s="116" t="s">
        <v>528</v>
      </c>
      <c r="H137" s="116" t="s">
        <v>254</v>
      </c>
      <c r="I137" s="116" t="s">
        <v>909</v>
      </c>
      <c r="J137" s="117">
        <v>2.25</v>
      </c>
      <c r="K137" s="117" t="s">
        <v>255</v>
      </c>
      <c r="L137" s="116">
        <v>3.2000000000000001E-2</v>
      </c>
      <c r="M137" s="116">
        <v>4.2999999999999997E-2</v>
      </c>
      <c r="N137" s="69">
        <v>226467.05581904692</v>
      </c>
      <c r="O137" s="60">
        <v>101.36</v>
      </c>
      <c r="P137" s="84">
        <v>0</v>
      </c>
      <c r="Q137" s="84">
        <v>229.54701</v>
      </c>
      <c r="R137" s="24">
        <v>3.920248228820819E-4</v>
      </c>
      <c r="S137" s="24">
        <v>1.2570875201958923E-3</v>
      </c>
      <c r="T137" s="24">
        <v>4.3145301877890377E-4</v>
      </c>
    </row>
    <row r="138" spans="1:20" x14ac:dyDescent="0.25">
      <c r="A138" s="16" t="s">
        <v>621</v>
      </c>
      <c r="B138" s="116" t="s">
        <v>622</v>
      </c>
      <c r="C138" s="116" t="s">
        <v>377</v>
      </c>
      <c r="D138" s="116" t="s">
        <v>249</v>
      </c>
      <c r="E138" s="116" t="s">
        <v>623</v>
      </c>
      <c r="F138" s="116" t="s">
        <v>204</v>
      </c>
      <c r="G138" s="116" t="s">
        <v>528</v>
      </c>
      <c r="H138" s="116" t="s">
        <v>254</v>
      </c>
      <c r="I138" s="116" t="s">
        <v>624</v>
      </c>
      <c r="J138" s="117">
        <v>0.5</v>
      </c>
      <c r="K138" s="117" t="s">
        <v>255</v>
      </c>
      <c r="L138" s="116">
        <v>3.15E-2</v>
      </c>
      <c r="M138" s="116">
        <v>4.1299999999999996E-2</v>
      </c>
      <c r="N138" s="69">
        <v>52404.806736622297</v>
      </c>
      <c r="O138" s="60">
        <v>110.56000000000002</v>
      </c>
      <c r="P138" s="84">
        <v>0.91689857159999999</v>
      </c>
      <c r="Q138" s="84">
        <v>58.855650000000004</v>
      </c>
      <c r="R138" s="24">
        <v>3.8648616323266828E-4</v>
      </c>
      <c r="S138" s="24">
        <v>3.2231612647891763E-4</v>
      </c>
      <c r="T138" s="24">
        <v>1.1062417177507384E-4</v>
      </c>
    </row>
    <row r="139" spans="1:20" x14ac:dyDescent="0.25">
      <c r="A139" s="16" t="s">
        <v>848</v>
      </c>
      <c r="B139" s="116" t="s">
        <v>849</v>
      </c>
      <c r="C139" s="116" t="s">
        <v>377</v>
      </c>
      <c r="D139" s="116" t="s">
        <v>249</v>
      </c>
      <c r="E139" s="116" t="s">
        <v>623</v>
      </c>
      <c r="F139" s="116" t="s">
        <v>204</v>
      </c>
      <c r="G139" s="116" t="s">
        <v>528</v>
      </c>
      <c r="H139" s="116" t="s">
        <v>254</v>
      </c>
      <c r="I139" s="116" t="s">
        <v>850</v>
      </c>
      <c r="J139" s="117">
        <v>2.82</v>
      </c>
      <c r="K139" s="117" t="s">
        <v>255</v>
      </c>
      <c r="L139" s="116">
        <v>0.01</v>
      </c>
      <c r="M139" s="116">
        <v>3.6900000000000002E-2</v>
      </c>
      <c r="N139" s="69">
        <v>66368.795666355218</v>
      </c>
      <c r="O139" s="60">
        <v>100.59</v>
      </c>
      <c r="P139" s="84">
        <v>0</v>
      </c>
      <c r="Q139" s="84">
        <v>66.760369999999995</v>
      </c>
      <c r="R139" s="24">
        <v>1.7972875188575148E-4</v>
      </c>
      <c r="S139" s="24">
        <v>3.6560540679950583E-4</v>
      </c>
      <c r="T139" s="24">
        <v>1.2548176154111772E-4</v>
      </c>
    </row>
    <row r="140" spans="1:20" x14ac:dyDescent="0.25">
      <c r="A140" s="16" t="s">
        <v>953</v>
      </c>
      <c r="B140" s="116" t="s">
        <v>954</v>
      </c>
      <c r="C140" s="116" t="s">
        <v>377</v>
      </c>
      <c r="D140" s="116" t="s">
        <v>249</v>
      </c>
      <c r="E140" s="116" t="s">
        <v>955</v>
      </c>
      <c r="F140" s="116" t="s">
        <v>228</v>
      </c>
      <c r="G140" s="116" t="s">
        <v>528</v>
      </c>
      <c r="H140" s="116" t="s">
        <v>254</v>
      </c>
      <c r="I140" s="116" t="s">
        <v>956</v>
      </c>
      <c r="J140" s="117">
        <v>4.8499999999999996</v>
      </c>
      <c r="K140" s="117" t="s">
        <v>255</v>
      </c>
      <c r="L140" s="116">
        <v>0.03</v>
      </c>
      <c r="M140" s="116">
        <v>4.2500000000000003E-2</v>
      </c>
      <c r="N140" s="69">
        <v>291181.17443182028</v>
      </c>
      <c r="O140" s="60">
        <v>95.81</v>
      </c>
      <c r="P140" s="84">
        <v>0</v>
      </c>
      <c r="Q140" s="84">
        <v>278.98068000000001</v>
      </c>
      <c r="R140" s="24">
        <v>1.040140793986727E-3</v>
      </c>
      <c r="S140" s="24">
        <v>1.5278052683141625E-3</v>
      </c>
      <c r="T140" s="24">
        <v>5.2436778229867319E-4</v>
      </c>
    </row>
    <row r="141" spans="1:20" x14ac:dyDescent="0.25">
      <c r="A141" s="16" t="s">
        <v>895</v>
      </c>
      <c r="B141" s="116" t="s">
        <v>896</v>
      </c>
      <c r="C141" s="116" t="s">
        <v>377</v>
      </c>
      <c r="D141" s="116" t="s">
        <v>249</v>
      </c>
      <c r="E141" s="116" t="s">
        <v>613</v>
      </c>
      <c r="F141" s="116" t="s">
        <v>223</v>
      </c>
      <c r="G141" s="116" t="s">
        <v>528</v>
      </c>
      <c r="H141" s="116" t="s">
        <v>254</v>
      </c>
      <c r="I141" s="116" t="s">
        <v>897</v>
      </c>
      <c r="J141" s="117">
        <v>4.59</v>
      </c>
      <c r="K141" s="117" t="s">
        <v>255</v>
      </c>
      <c r="L141" s="116">
        <v>1.5300000000000001E-2</v>
      </c>
      <c r="M141" s="116">
        <v>2.8900000000000002E-2</v>
      </c>
      <c r="N141" s="69">
        <v>40161.611250395632</v>
      </c>
      <c r="O141" s="60">
        <v>105.22</v>
      </c>
      <c r="P141" s="84">
        <v>0</v>
      </c>
      <c r="Q141" s="84">
        <v>42.258050000000004</v>
      </c>
      <c r="R141" s="24">
        <v>1.0174600038457136E-4</v>
      </c>
      <c r="S141" s="24">
        <v>2.3142129920496036E-4</v>
      </c>
      <c r="T141" s="24">
        <v>7.9427578865914468E-5</v>
      </c>
    </row>
    <row r="142" spans="1:20" x14ac:dyDescent="0.25">
      <c r="A142" s="16" t="s">
        <v>611</v>
      </c>
      <c r="B142" s="116" t="s">
        <v>612</v>
      </c>
      <c r="C142" s="116" t="s">
        <v>377</v>
      </c>
      <c r="D142" s="116" t="s">
        <v>249</v>
      </c>
      <c r="E142" s="116" t="s">
        <v>613</v>
      </c>
      <c r="F142" s="116" t="s">
        <v>223</v>
      </c>
      <c r="G142" s="116" t="s">
        <v>528</v>
      </c>
      <c r="H142" s="116" t="s">
        <v>254</v>
      </c>
      <c r="I142" s="116" t="s">
        <v>614</v>
      </c>
      <c r="J142" s="117">
        <v>4.12</v>
      </c>
      <c r="K142" s="117" t="s">
        <v>255</v>
      </c>
      <c r="L142" s="116">
        <v>1.83E-2</v>
      </c>
      <c r="M142" s="116">
        <v>2.9600000000000001E-2</v>
      </c>
      <c r="N142" s="69">
        <v>108970.34567566613</v>
      </c>
      <c r="O142" s="60">
        <v>107.06</v>
      </c>
      <c r="P142" s="84">
        <v>0</v>
      </c>
      <c r="Q142" s="84">
        <v>116.66364999999999</v>
      </c>
      <c r="R142" s="24">
        <v>5.2389589267147181E-4</v>
      </c>
      <c r="S142" s="24">
        <v>6.3889491950037383E-4</v>
      </c>
      <c r="T142" s="24">
        <v>2.1927919677222307E-4</v>
      </c>
    </row>
    <row r="143" spans="1:20" x14ac:dyDescent="0.25">
      <c r="A143" s="16" t="s">
        <v>845</v>
      </c>
      <c r="B143" s="116" t="s">
        <v>846</v>
      </c>
      <c r="C143" s="116" t="s">
        <v>377</v>
      </c>
      <c r="D143" s="116" t="s">
        <v>249</v>
      </c>
      <c r="E143" s="116" t="s">
        <v>847</v>
      </c>
      <c r="F143" s="116" t="s">
        <v>228</v>
      </c>
      <c r="G143" s="116" t="s">
        <v>528</v>
      </c>
      <c r="H143" s="116" t="s">
        <v>254</v>
      </c>
      <c r="I143" s="116" t="s">
        <v>844</v>
      </c>
      <c r="J143" s="117">
        <v>5.09</v>
      </c>
      <c r="K143" s="117" t="s">
        <v>255</v>
      </c>
      <c r="L143" s="116">
        <v>7.4999999999999997E-3</v>
      </c>
      <c r="M143" s="116">
        <v>4.2900000000000001E-2</v>
      </c>
      <c r="N143" s="69">
        <v>288633.91661820299</v>
      </c>
      <c r="O143" s="60">
        <v>90.28</v>
      </c>
      <c r="P143" s="84">
        <v>1.1707678029999999</v>
      </c>
      <c r="Q143" s="84">
        <v>261.74946999999997</v>
      </c>
      <c r="R143" s="24">
        <v>2.7547739186034478E-4</v>
      </c>
      <c r="S143" s="24">
        <v>1.433440549519199E-3</v>
      </c>
      <c r="T143" s="24">
        <v>4.9198026580820242E-4</v>
      </c>
    </row>
    <row r="144" spans="1:20" x14ac:dyDescent="0.25">
      <c r="A144" s="16" t="s">
        <v>930</v>
      </c>
      <c r="B144" s="116" t="s">
        <v>931</v>
      </c>
      <c r="C144" s="116" t="s">
        <v>377</v>
      </c>
      <c r="D144" s="116" t="s">
        <v>249</v>
      </c>
      <c r="E144" s="116" t="s">
        <v>575</v>
      </c>
      <c r="F144" s="116" t="s">
        <v>223</v>
      </c>
      <c r="G144" s="116" t="s">
        <v>576</v>
      </c>
      <c r="H144" s="116" t="s">
        <v>427</v>
      </c>
      <c r="I144" s="116" t="s">
        <v>932</v>
      </c>
      <c r="J144" s="117">
        <v>1.99</v>
      </c>
      <c r="K144" s="117" t="s">
        <v>255</v>
      </c>
      <c r="L144" s="116">
        <v>2.5000000000000001E-2</v>
      </c>
      <c r="M144" s="116">
        <v>3.5000000000000003E-2</v>
      </c>
      <c r="N144" s="69">
        <v>9816.8493643466827</v>
      </c>
      <c r="O144" s="60">
        <v>111.20000000000002</v>
      </c>
      <c r="P144" s="84">
        <v>0</v>
      </c>
      <c r="Q144" s="84">
        <v>10.91634</v>
      </c>
      <c r="R144" s="24">
        <v>2.7600693812710026E-5</v>
      </c>
      <c r="S144" s="24">
        <v>5.9782067212355444E-5</v>
      </c>
      <c r="T144" s="24">
        <v>2.0518184257842866E-5</v>
      </c>
    </row>
    <row r="145" spans="1:20" x14ac:dyDescent="0.25">
      <c r="A145" s="16" t="s">
        <v>573</v>
      </c>
      <c r="B145" s="116" t="s">
        <v>574</v>
      </c>
      <c r="C145" s="116" t="s">
        <v>377</v>
      </c>
      <c r="D145" s="116" t="s">
        <v>249</v>
      </c>
      <c r="E145" s="116" t="s">
        <v>575</v>
      </c>
      <c r="F145" s="116" t="s">
        <v>223</v>
      </c>
      <c r="G145" s="116" t="s">
        <v>576</v>
      </c>
      <c r="H145" s="116" t="s">
        <v>427</v>
      </c>
      <c r="I145" s="116" t="s">
        <v>577</v>
      </c>
      <c r="J145" s="117">
        <v>4.97</v>
      </c>
      <c r="K145" s="117" t="s">
        <v>255</v>
      </c>
      <c r="L145" s="116">
        <v>1.9E-2</v>
      </c>
      <c r="M145" s="116">
        <v>3.8699999999999998E-2</v>
      </c>
      <c r="N145" s="69">
        <v>288367.8855658684</v>
      </c>
      <c r="O145" s="60">
        <v>102.11000000000001</v>
      </c>
      <c r="P145" s="84">
        <v>0</v>
      </c>
      <c r="Q145" s="84">
        <v>294.45245</v>
      </c>
      <c r="R145" s="24">
        <v>9.5950175991311266E-4</v>
      </c>
      <c r="S145" s="24">
        <v>1.6125346184474587E-3</v>
      </c>
      <c r="T145" s="24">
        <v>5.5344828250798923E-4</v>
      </c>
    </row>
    <row r="146" spans="1:20" x14ac:dyDescent="0.25">
      <c r="A146" s="16" t="s">
        <v>835</v>
      </c>
      <c r="B146" s="116" t="s">
        <v>836</v>
      </c>
      <c r="C146" s="116" t="s">
        <v>377</v>
      </c>
      <c r="D146" s="116" t="s">
        <v>249</v>
      </c>
      <c r="E146" s="116" t="s">
        <v>575</v>
      </c>
      <c r="F146" s="116" t="s">
        <v>223</v>
      </c>
      <c r="G146" s="116" t="s">
        <v>576</v>
      </c>
      <c r="H146" s="116" t="s">
        <v>427</v>
      </c>
      <c r="I146" s="116" t="s">
        <v>837</v>
      </c>
      <c r="J146" s="117">
        <v>6.71</v>
      </c>
      <c r="K146" s="117" t="s">
        <v>255</v>
      </c>
      <c r="L146" s="116">
        <v>3.9000000000000003E-3</v>
      </c>
      <c r="M146" s="116">
        <v>4.1500000000000002E-2</v>
      </c>
      <c r="N146" s="69">
        <v>314280.34473503346</v>
      </c>
      <c r="O146" s="60">
        <v>83.82</v>
      </c>
      <c r="P146" s="84">
        <v>0</v>
      </c>
      <c r="Q146" s="84">
        <v>263.42978000000005</v>
      </c>
      <c r="R146" s="24">
        <v>1.3373631690852487E-3</v>
      </c>
      <c r="S146" s="24">
        <v>1.4426425719330845E-3</v>
      </c>
      <c r="T146" s="24">
        <v>4.9513855056209407E-4</v>
      </c>
    </row>
    <row r="147" spans="1:20" x14ac:dyDescent="0.25">
      <c r="A147" s="16" t="s">
        <v>530</v>
      </c>
      <c r="B147" s="116" t="s">
        <v>531</v>
      </c>
      <c r="C147" s="116" t="s">
        <v>377</v>
      </c>
      <c r="D147" s="116" t="s">
        <v>249</v>
      </c>
      <c r="E147" s="116" t="s">
        <v>532</v>
      </c>
      <c r="F147" s="116" t="s">
        <v>223</v>
      </c>
      <c r="G147" s="116" t="s">
        <v>528</v>
      </c>
      <c r="H147" s="116" t="s">
        <v>254</v>
      </c>
      <c r="I147" s="116" t="s">
        <v>533</v>
      </c>
      <c r="J147" s="117">
        <v>1.71</v>
      </c>
      <c r="K147" s="117" t="s">
        <v>255</v>
      </c>
      <c r="L147" s="116">
        <v>2.0499999999999997E-2</v>
      </c>
      <c r="M147" s="116">
        <v>3.7900000000000003E-2</v>
      </c>
      <c r="N147" s="69">
        <v>180435.64346332368</v>
      </c>
      <c r="O147" s="60">
        <v>110.12000000000002</v>
      </c>
      <c r="P147" s="84">
        <v>0</v>
      </c>
      <c r="Q147" s="84">
        <v>198.69573</v>
      </c>
      <c r="R147" s="24">
        <v>4.8766838252925482E-4</v>
      </c>
      <c r="S147" s="24">
        <v>1.0881340710959927E-3</v>
      </c>
      <c r="T147" s="24">
        <v>3.7346542883297848E-4</v>
      </c>
    </row>
    <row r="148" spans="1:20" x14ac:dyDescent="0.25">
      <c r="A148" s="16" t="s">
        <v>561</v>
      </c>
      <c r="B148" s="116" t="s">
        <v>562</v>
      </c>
      <c r="C148" s="116" t="s">
        <v>377</v>
      </c>
      <c r="D148" s="116" t="s">
        <v>249</v>
      </c>
      <c r="E148" s="116" t="s">
        <v>532</v>
      </c>
      <c r="F148" s="116" t="s">
        <v>223</v>
      </c>
      <c r="G148" s="116" t="s">
        <v>528</v>
      </c>
      <c r="H148" s="116" t="s">
        <v>254</v>
      </c>
      <c r="I148" s="116" t="s">
        <v>563</v>
      </c>
      <c r="J148" s="117">
        <v>2.5499999999999998</v>
      </c>
      <c r="K148" s="117" t="s">
        <v>255</v>
      </c>
      <c r="L148" s="116">
        <v>2.0499999999999997E-2</v>
      </c>
      <c r="M148" s="116">
        <v>3.6900000000000002E-2</v>
      </c>
      <c r="N148" s="69">
        <v>441287.18602582382</v>
      </c>
      <c r="O148" s="60">
        <v>108.46000000000001</v>
      </c>
      <c r="P148" s="84">
        <v>0</v>
      </c>
      <c r="Q148" s="84">
        <v>478.62008000000003</v>
      </c>
      <c r="R148" s="24">
        <v>5.0079172048455689E-4</v>
      </c>
      <c r="S148" s="24">
        <v>2.6211072384831305E-3</v>
      </c>
      <c r="T148" s="24">
        <v>8.9960691870567355E-4</v>
      </c>
    </row>
    <row r="149" spans="1:20" x14ac:dyDescent="0.25">
      <c r="A149" s="16" t="s">
        <v>683</v>
      </c>
      <c r="B149" s="116" t="s">
        <v>684</v>
      </c>
      <c r="C149" s="116" t="s">
        <v>377</v>
      </c>
      <c r="D149" s="116" t="s">
        <v>249</v>
      </c>
      <c r="E149" s="116" t="s">
        <v>532</v>
      </c>
      <c r="F149" s="116" t="s">
        <v>223</v>
      </c>
      <c r="G149" s="116" t="s">
        <v>528</v>
      </c>
      <c r="H149" s="116" t="s">
        <v>254</v>
      </c>
      <c r="I149" s="116" t="s">
        <v>685</v>
      </c>
      <c r="J149" s="117">
        <v>5.27</v>
      </c>
      <c r="K149" s="117" t="s">
        <v>255</v>
      </c>
      <c r="L149" s="116">
        <v>8.3999999999999995E-3</v>
      </c>
      <c r="M149" s="116">
        <v>4.2300000000000004E-2</v>
      </c>
      <c r="N149" s="69">
        <v>503954.3044738305</v>
      </c>
      <c r="O149" s="60">
        <v>93.32</v>
      </c>
      <c r="P149" s="84">
        <v>0</v>
      </c>
      <c r="Q149" s="84">
        <v>470.29015999999996</v>
      </c>
      <c r="R149" s="24">
        <v>7.4411960715579364E-4</v>
      </c>
      <c r="S149" s="24">
        <v>2.5754893997832051E-3</v>
      </c>
      <c r="T149" s="24">
        <v>8.8395012957918136E-4</v>
      </c>
    </row>
    <row r="150" spans="1:20" x14ac:dyDescent="0.25">
      <c r="A150" s="16" t="s">
        <v>777</v>
      </c>
      <c r="B150" s="116" t="s">
        <v>778</v>
      </c>
      <c r="C150" s="116" t="s">
        <v>377</v>
      </c>
      <c r="D150" s="116" t="s">
        <v>249</v>
      </c>
      <c r="E150" s="116" t="s">
        <v>532</v>
      </c>
      <c r="F150" s="116" t="s">
        <v>223</v>
      </c>
      <c r="G150" s="116" t="s">
        <v>528</v>
      </c>
      <c r="H150" s="116" t="s">
        <v>254</v>
      </c>
      <c r="I150" s="116" t="s">
        <v>779</v>
      </c>
      <c r="J150" s="117">
        <v>6.25</v>
      </c>
      <c r="K150" s="117" t="s">
        <v>255</v>
      </c>
      <c r="L150" s="116">
        <v>5.0000000000000001E-3</v>
      </c>
      <c r="M150" s="116">
        <v>4.0300000000000002E-2</v>
      </c>
      <c r="N150" s="69">
        <v>200948.27743728366</v>
      </c>
      <c r="O150" s="60">
        <v>88.06</v>
      </c>
      <c r="P150" s="84">
        <v>6.5129814372999997</v>
      </c>
      <c r="Q150" s="84">
        <v>178.68547000000001</v>
      </c>
      <c r="R150" s="24">
        <v>1.1465566912086315E-3</v>
      </c>
      <c r="S150" s="24">
        <v>9.7855020798283334E-4</v>
      </c>
      <c r="T150" s="24">
        <v>3.3585445283485616E-4</v>
      </c>
    </row>
    <row r="151" spans="1:20" x14ac:dyDescent="0.25">
      <c r="A151" s="16" t="s">
        <v>780</v>
      </c>
      <c r="B151" s="116" t="s">
        <v>781</v>
      </c>
      <c r="C151" s="116" t="s">
        <v>377</v>
      </c>
      <c r="D151" s="116" t="s">
        <v>249</v>
      </c>
      <c r="E151" s="116" t="s">
        <v>532</v>
      </c>
      <c r="F151" s="116" t="s">
        <v>223</v>
      </c>
      <c r="G151" s="116" t="s">
        <v>528</v>
      </c>
      <c r="H151" s="116" t="s">
        <v>254</v>
      </c>
      <c r="I151" s="116" t="s">
        <v>779</v>
      </c>
      <c r="J151" s="117">
        <v>6.14</v>
      </c>
      <c r="K151" s="117" t="s">
        <v>255</v>
      </c>
      <c r="L151" s="116">
        <v>9.7000000000000003E-3</v>
      </c>
      <c r="M151" s="116">
        <v>4.4699999999999997E-2</v>
      </c>
      <c r="N151" s="69">
        <v>447311.17236761615</v>
      </c>
      <c r="O151" s="60">
        <v>88.66</v>
      </c>
      <c r="P151" s="84">
        <v>15.651767446999999</v>
      </c>
      <c r="Q151" s="84">
        <v>401.51931000000002</v>
      </c>
      <c r="R151" s="24">
        <v>1.1023408382500404E-3</v>
      </c>
      <c r="S151" s="24">
        <v>2.1988738329402143E-3</v>
      </c>
      <c r="T151" s="24">
        <v>7.5468950084569826E-4</v>
      </c>
    </row>
    <row r="152" spans="1:20" x14ac:dyDescent="0.25">
      <c r="A152" s="16" t="s">
        <v>733</v>
      </c>
      <c r="B152" s="116" t="s">
        <v>734</v>
      </c>
      <c r="C152" s="116" t="s">
        <v>377</v>
      </c>
      <c r="D152" s="116" t="s">
        <v>249</v>
      </c>
      <c r="E152" s="116" t="s">
        <v>735</v>
      </c>
      <c r="F152" s="116" t="s">
        <v>234</v>
      </c>
      <c r="G152" s="116" t="s">
        <v>576</v>
      </c>
      <c r="H152" s="116" t="s">
        <v>427</v>
      </c>
      <c r="I152" s="116" t="s">
        <v>736</v>
      </c>
      <c r="J152" s="117">
        <v>1.29</v>
      </c>
      <c r="K152" s="117" t="s">
        <v>255</v>
      </c>
      <c r="L152" s="116">
        <v>1.8500000000000003E-2</v>
      </c>
      <c r="M152" s="116">
        <v>3.5699999999999996E-2</v>
      </c>
      <c r="N152" s="69">
        <v>61306.927767790003</v>
      </c>
      <c r="O152" s="60">
        <v>109.43</v>
      </c>
      <c r="P152" s="84">
        <v>0</v>
      </c>
      <c r="Q152" s="84">
        <v>67.088170000000005</v>
      </c>
      <c r="R152" s="24">
        <v>1.0389595947632525E-4</v>
      </c>
      <c r="S152" s="24">
        <v>3.6740056539956868E-4</v>
      </c>
      <c r="T152" s="24">
        <v>1.2609788936415373E-4</v>
      </c>
    </row>
    <row r="153" spans="1:20" x14ac:dyDescent="0.25">
      <c r="A153" s="16" t="s">
        <v>884</v>
      </c>
      <c r="B153" s="116" t="s">
        <v>885</v>
      </c>
      <c r="C153" s="116" t="s">
        <v>377</v>
      </c>
      <c r="D153" s="116" t="s">
        <v>249</v>
      </c>
      <c r="E153" s="116" t="s">
        <v>735</v>
      </c>
      <c r="F153" s="116" t="s">
        <v>234</v>
      </c>
      <c r="G153" s="116" t="s">
        <v>576</v>
      </c>
      <c r="H153" s="116" t="s">
        <v>427</v>
      </c>
      <c r="I153" s="116" t="s">
        <v>886</v>
      </c>
      <c r="J153" s="117">
        <v>0</v>
      </c>
      <c r="K153" s="117" t="s">
        <v>255</v>
      </c>
      <c r="L153" s="116">
        <v>0.01</v>
      </c>
      <c r="M153" s="116">
        <v>4.7100000000000003E-2</v>
      </c>
      <c r="N153" s="69">
        <v>794660.62433188921</v>
      </c>
      <c r="O153" s="60">
        <v>92.686800000000005</v>
      </c>
      <c r="P153" s="84">
        <v>0</v>
      </c>
      <c r="Q153" s="84">
        <v>736.54549999999995</v>
      </c>
      <c r="R153" s="24">
        <v>6.7113319139086873E-4</v>
      </c>
      <c r="S153" s="24">
        <v>4.033605822643665E-3</v>
      </c>
      <c r="T153" s="24">
        <v>1.3843995591274181E-3</v>
      </c>
    </row>
    <row r="154" spans="1:20" x14ac:dyDescent="0.25">
      <c r="A154" s="16" t="s">
        <v>901</v>
      </c>
      <c r="B154" s="116" t="s">
        <v>902</v>
      </c>
      <c r="C154" s="116" t="s">
        <v>377</v>
      </c>
      <c r="D154" s="116" t="s">
        <v>249</v>
      </c>
      <c r="E154" s="116" t="s">
        <v>735</v>
      </c>
      <c r="F154" s="116" t="s">
        <v>234</v>
      </c>
      <c r="G154" s="116" t="s">
        <v>576</v>
      </c>
      <c r="H154" s="116" t="s">
        <v>427</v>
      </c>
      <c r="I154" s="116" t="s">
        <v>903</v>
      </c>
      <c r="J154" s="117">
        <v>2.59</v>
      </c>
      <c r="K154" s="117" t="s">
        <v>255</v>
      </c>
      <c r="L154" s="116">
        <v>3.5400000000000001E-2</v>
      </c>
      <c r="M154" s="116">
        <v>4.5899999999999996E-2</v>
      </c>
      <c r="N154" s="69">
        <v>0</v>
      </c>
      <c r="O154" s="60">
        <v>0</v>
      </c>
      <c r="P154" s="84">
        <v>4.6198982530000006</v>
      </c>
      <c r="Q154" s="84">
        <v>4.6198999999999995</v>
      </c>
      <c r="R154" s="24">
        <v>0</v>
      </c>
      <c r="S154" s="24">
        <v>2.5300345382642982E-5</v>
      </c>
      <c r="T154" s="24">
        <v>8.6834927688958237E-6</v>
      </c>
    </row>
    <row r="155" spans="1:20" x14ac:dyDescent="0.25">
      <c r="A155" s="16" t="s">
        <v>901</v>
      </c>
      <c r="B155" s="116" t="s">
        <v>913</v>
      </c>
      <c r="C155" s="116" t="s">
        <v>377</v>
      </c>
      <c r="D155" s="116" t="s">
        <v>249</v>
      </c>
      <c r="E155" s="116" t="s">
        <v>735</v>
      </c>
      <c r="F155" s="116" t="s">
        <v>234</v>
      </c>
      <c r="G155" s="116" t="s">
        <v>576</v>
      </c>
      <c r="H155" s="116" t="s">
        <v>427</v>
      </c>
      <c r="I155" s="116" t="s">
        <v>914</v>
      </c>
      <c r="J155" s="117">
        <v>0</v>
      </c>
      <c r="K155" s="117" t="s">
        <v>255</v>
      </c>
      <c r="L155" s="116">
        <v>3.5400000000000001E-2</v>
      </c>
      <c r="M155" s="116">
        <v>4.5100000000000001E-2</v>
      </c>
      <c r="N155" s="69">
        <v>232945.44292300683</v>
      </c>
      <c r="O155" s="60">
        <v>99.490382999999994</v>
      </c>
      <c r="P155" s="84">
        <v>4.6198982530000006</v>
      </c>
      <c r="Q155" s="84">
        <v>236.37821</v>
      </c>
      <c r="R155" s="24">
        <v>3.3907140059534334E-4</v>
      </c>
      <c r="S155" s="24">
        <v>1.2944977930108689E-3</v>
      </c>
      <c r="T155" s="24">
        <v>4.4429283691411906E-4</v>
      </c>
    </row>
    <row r="156" spans="1:20" x14ac:dyDescent="0.25">
      <c r="A156" s="16" t="s">
        <v>628</v>
      </c>
      <c r="B156" s="116" t="s">
        <v>629</v>
      </c>
      <c r="C156" s="116" t="s">
        <v>377</v>
      </c>
      <c r="D156" s="116" t="s">
        <v>249</v>
      </c>
      <c r="E156" s="116" t="s">
        <v>630</v>
      </c>
      <c r="F156" s="116" t="s">
        <v>223</v>
      </c>
      <c r="G156" s="116" t="s">
        <v>576</v>
      </c>
      <c r="H156" s="116" t="s">
        <v>427</v>
      </c>
      <c r="I156" s="116" t="s">
        <v>631</v>
      </c>
      <c r="J156" s="117">
        <v>3.5</v>
      </c>
      <c r="K156" s="117" t="s">
        <v>255</v>
      </c>
      <c r="L156" s="116">
        <v>2.75E-2</v>
      </c>
      <c r="M156" s="116">
        <v>3.0099999999999998E-2</v>
      </c>
      <c r="N156" s="69">
        <v>632613.96563212958</v>
      </c>
      <c r="O156" s="60">
        <v>110.48</v>
      </c>
      <c r="P156" s="84">
        <v>0</v>
      </c>
      <c r="Q156" s="84">
        <v>698.91191000000003</v>
      </c>
      <c r="R156" s="24">
        <v>1.2385432348808927E-3</v>
      </c>
      <c r="S156" s="24">
        <v>3.8275098411313423E-3</v>
      </c>
      <c r="T156" s="24">
        <v>1.3136640439360527E-3</v>
      </c>
    </row>
    <row r="157" spans="1:20" x14ac:dyDescent="0.25">
      <c r="A157" s="16" t="s">
        <v>774</v>
      </c>
      <c r="B157" s="116" t="s">
        <v>775</v>
      </c>
      <c r="C157" s="116" t="s">
        <v>377</v>
      </c>
      <c r="D157" s="116" t="s">
        <v>249</v>
      </c>
      <c r="E157" s="116" t="s">
        <v>630</v>
      </c>
      <c r="F157" s="116" t="s">
        <v>223</v>
      </c>
      <c r="G157" s="116" t="s">
        <v>576</v>
      </c>
      <c r="H157" s="116" t="s">
        <v>427</v>
      </c>
      <c r="I157" s="116" t="s">
        <v>776</v>
      </c>
      <c r="J157" s="117">
        <v>5.15</v>
      </c>
      <c r="K157" s="117" t="s">
        <v>255</v>
      </c>
      <c r="L157" s="116">
        <v>8.5000000000000006E-3</v>
      </c>
      <c r="M157" s="116">
        <v>3.4200000000000001E-2</v>
      </c>
      <c r="N157" s="69">
        <v>264278.98673395906</v>
      </c>
      <c r="O157" s="60">
        <v>96.94</v>
      </c>
      <c r="P157" s="84">
        <v>0</v>
      </c>
      <c r="Q157" s="84">
        <v>256.19204999999999</v>
      </c>
      <c r="R157" s="24">
        <v>4.2061878170641731E-4</v>
      </c>
      <c r="S157" s="24">
        <v>1.4030059848237711E-3</v>
      </c>
      <c r="T157" s="24">
        <v>4.8153462491040878E-4</v>
      </c>
    </row>
    <row r="158" spans="1:20" x14ac:dyDescent="0.25">
      <c r="A158" s="16" t="s">
        <v>925</v>
      </c>
      <c r="B158" s="116" t="s">
        <v>926</v>
      </c>
      <c r="C158" s="116" t="s">
        <v>377</v>
      </c>
      <c r="D158" s="116" t="s">
        <v>249</v>
      </c>
      <c r="E158" s="116" t="s">
        <v>630</v>
      </c>
      <c r="F158" s="116" t="s">
        <v>223</v>
      </c>
      <c r="G158" s="116" t="s">
        <v>576</v>
      </c>
      <c r="H158" s="116" t="s">
        <v>427</v>
      </c>
      <c r="I158" s="116" t="s">
        <v>924</v>
      </c>
      <c r="J158" s="117">
        <v>6.48</v>
      </c>
      <c r="K158" s="117" t="s">
        <v>255</v>
      </c>
      <c r="L158" s="116">
        <v>3.1800000000000002E-2</v>
      </c>
      <c r="M158" s="116">
        <v>3.6400000000000002E-2</v>
      </c>
      <c r="N158" s="69">
        <v>215488.30946881798</v>
      </c>
      <c r="O158" s="60">
        <v>101.6</v>
      </c>
      <c r="P158" s="84">
        <v>0</v>
      </c>
      <c r="Q158" s="84">
        <v>218.93611999999999</v>
      </c>
      <c r="R158" s="24">
        <v>6.252217683821342E-4</v>
      </c>
      <c r="S158" s="24">
        <v>1.1989782144063226E-3</v>
      </c>
      <c r="T158" s="24">
        <v>4.1150895362888993E-4</v>
      </c>
    </row>
    <row r="159" spans="1:20" x14ac:dyDescent="0.25">
      <c r="A159" s="16" t="s">
        <v>525</v>
      </c>
      <c r="B159" s="116" t="s">
        <v>526</v>
      </c>
      <c r="C159" s="116" t="s">
        <v>377</v>
      </c>
      <c r="D159" s="116" t="s">
        <v>249</v>
      </c>
      <c r="E159" s="116" t="s">
        <v>527</v>
      </c>
      <c r="F159" s="116" t="s">
        <v>225</v>
      </c>
      <c r="G159" s="116" t="s">
        <v>528</v>
      </c>
      <c r="H159" s="116" t="s">
        <v>254</v>
      </c>
      <c r="I159" s="116" t="s">
        <v>529</v>
      </c>
      <c r="J159" s="117">
        <v>2.5499999999999998</v>
      </c>
      <c r="K159" s="117" t="s">
        <v>255</v>
      </c>
      <c r="L159" s="116">
        <v>1.9400000000000001E-2</v>
      </c>
      <c r="M159" s="116">
        <v>2.9900000000000003E-2</v>
      </c>
      <c r="N159" s="69">
        <v>313838.58989065466</v>
      </c>
      <c r="O159" s="60">
        <v>109.98999999999998</v>
      </c>
      <c r="P159" s="84">
        <v>0</v>
      </c>
      <c r="Q159" s="84">
        <v>345.19105999999999</v>
      </c>
      <c r="R159" s="24">
        <v>8.6828499281821738E-4</v>
      </c>
      <c r="S159" s="24">
        <v>1.8903987188035752E-3</v>
      </c>
      <c r="T159" s="24">
        <v>6.4881579112047551E-4</v>
      </c>
    </row>
    <row r="160" spans="1:20" x14ac:dyDescent="0.25">
      <c r="A160" s="16" t="s">
        <v>582</v>
      </c>
      <c r="B160" s="116" t="s">
        <v>583</v>
      </c>
      <c r="C160" s="116" t="s">
        <v>377</v>
      </c>
      <c r="D160" s="116" t="s">
        <v>249</v>
      </c>
      <c r="E160" s="116" t="s">
        <v>527</v>
      </c>
      <c r="F160" s="116" t="s">
        <v>225</v>
      </c>
      <c r="G160" s="116" t="s">
        <v>528</v>
      </c>
      <c r="H160" s="116" t="s">
        <v>254</v>
      </c>
      <c r="I160" s="116" t="s">
        <v>584</v>
      </c>
      <c r="J160" s="117">
        <v>3.52</v>
      </c>
      <c r="K160" s="117" t="s">
        <v>255</v>
      </c>
      <c r="L160" s="116">
        <v>1.23E-2</v>
      </c>
      <c r="M160" s="116">
        <v>2.9300000000000003E-2</v>
      </c>
      <c r="N160" s="69">
        <v>1257773.9608294084</v>
      </c>
      <c r="O160" s="60">
        <v>105.97000000000001</v>
      </c>
      <c r="P160" s="84">
        <v>0</v>
      </c>
      <c r="Q160" s="84">
        <v>1332.8630700000001</v>
      </c>
      <c r="R160" s="24">
        <v>9.8907073075552346E-4</v>
      </c>
      <c r="S160" s="24">
        <v>7.2992696852247569E-3</v>
      </c>
      <c r="T160" s="24">
        <v>2.5052288643202863E-3</v>
      </c>
    </row>
    <row r="161" spans="1:20" x14ac:dyDescent="0.25">
      <c r="A161" s="16" t="s">
        <v>578</v>
      </c>
      <c r="B161" s="116" t="s">
        <v>579</v>
      </c>
      <c r="C161" s="116" t="s">
        <v>377</v>
      </c>
      <c r="D161" s="116" t="s">
        <v>249</v>
      </c>
      <c r="E161" s="116" t="s">
        <v>580</v>
      </c>
      <c r="F161" s="116" t="s">
        <v>223</v>
      </c>
      <c r="G161" s="116" t="s">
        <v>576</v>
      </c>
      <c r="H161" s="116" t="s">
        <v>427</v>
      </c>
      <c r="I161" s="116" t="s">
        <v>581</v>
      </c>
      <c r="J161" s="117">
        <v>2.17</v>
      </c>
      <c r="K161" s="117" t="s">
        <v>255</v>
      </c>
      <c r="L161" s="116">
        <v>2.1499999999999998E-2</v>
      </c>
      <c r="M161" s="116">
        <v>3.4799999999999998E-2</v>
      </c>
      <c r="N161" s="69">
        <v>536042.839739018</v>
      </c>
      <c r="O161" s="60">
        <v>110.54000000000002</v>
      </c>
      <c r="P161" s="84">
        <v>0</v>
      </c>
      <c r="Q161" s="84">
        <v>592.54175999999995</v>
      </c>
      <c r="R161" s="24">
        <v>2.7331007922657492E-4</v>
      </c>
      <c r="S161" s="24">
        <v>3.2449860779755289E-3</v>
      </c>
      <c r="T161" s="24">
        <v>1.1137323509662123E-3</v>
      </c>
    </row>
    <row r="162" spans="1:20" x14ac:dyDescent="0.25">
      <c r="A162" s="16" t="s">
        <v>615</v>
      </c>
      <c r="B162" s="116" t="s">
        <v>616</v>
      </c>
      <c r="C162" s="116" t="s">
        <v>377</v>
      </c>
      <c r="D162" s="116" t="s">
        <v>249</v>
      </c>
      <c r="E162" s="116" t="s">
        <v>587</v>
      </c>
      <c r="F162" s="116" t="s">
        <v>224</v>
      </c>
      <c r="G162" s="116" t="s">
        <v>588</v>
      </c>
      <c r="H162" s="116" t="s">
        <v>427</v>
      </c>
      <c r="I162" s="116" t="s">
        <v>617</v>
      </c>
      <c r="J162" s="117">
        <v>1.22</v>
      </c>
      <c r="K162" s="117" t="s">
        <v>255</v>
      </c>
      <c r="L162" s="116">
        <v>4.6500000000000007E-2</v>
      </c>
      <c r="M162" s="116">
        <v>4.41E-2</v>
      </c>
      <c r="N162" s="69">
        <v>12161.781729628618</v>
      </c>
      <c r="O162" s="60">
        <v>113.5</v>
      </c>
      <c r="P162" s="84">
        <v>0</v>
      </c>
      <c r="Q162" s="84">
        <v>13.80362</v>
      </c>
      <c r="R162" s="24">
        <v>4.2427464303456419E-5</v>
      </c>
      <c r="S162" s="24">
        <v>7.5593920546063414E-5</v>
      </c>
      <c r="T162" s="24">
        <v>2.5945071203832506E-5</v>
      </c>
    </row>
    <row r="163" spans="1:20" x14ac:dyDescent="0.25">
      <c r="A163" s="16" t="s">
        <v>585</v>
      </c>
      <c r="B163" s="116" t="s">
        <v>586</v>
      </c>
      <c r="C163" s="116" t="s">
        <v>377</v>
      </c>
      <c r="D163" s="116" t="s">
        <v>249</v>
      </c>
      <c r="E163" s="116" t="s">
        <v>587</v>
      </c>
      <c r="F163" s="116" t="s">
        <v>224</v>
      </c>
      <c r="G163" s="116" t="s">
        <v>588</v>
      </c>
      <c r="H163" s="116" t="s">
        <v>427</v>
      </c>
      <c r="I163" s="116" t="s">
        <v>589</v>
      </c>
      <c r="J163" s="117">
        <v>2.3199999999999998</v>
      </c>
      <c r="K163" s="117" t="s">
        <v>255</v>
      </c>
      <c r="L163" s="116">
        <v>2.8500000000000001E-2</v>
      </c>
      <c r="M163" s="116">
        <v>4.1100000000000005E-2</v>
      </c>
      <c r="N163" s="69">
        <v>302672.15593026456</v>
      </c>
      <c r="O163" s="60">
        <v>109.76000000000002</v>
      </c>
      <c r="P163" s="84">
        <v>0</v>
      </c>
      <c r="Q163" s="84">
        <v>332.21296000000001</v>
      </c>
      <c r="R163" s="24">
        <v>5.5742699544857673E-4</v>
      </c>
      <c r="S163" s="24">
        <v>1.8193256625879692E-3</v>
      </c>
      <c r="T163" s="24">
        <v>6.2442235457336266E-4</v>
      </c>
    </row>
    <row r="164" spans="1:20" x14ac:dyDescent="0.25">
      <c r="A164" s="16" t="s">
        <v>730</v>
      </c>
      <c r="B164" s="116" t="s">
        <v>731</v>
      </c>
      <c r="C164" s="116" t="s">
        <v>377</v>
      </c>
      <c r="D164" s="116" t="s">
        <v>249</v>
      </c>
      <c r="E164" s="116" t="s">
        <v>587</v>
      </c>
      <c r="F164" s="116" t="s">
        <v>224</v>
      </c>
      <c r="G164" s="116" t="s">
        <v>588</v>
      </c>
      <c r="H164" s="116" t="s">
        <v>427</v>
      </c>
      <c r="I164" s="116" t="s">
        <v>732</v>
      </c>
      <c r="J164" s="117">
        <v>3.92</v>
      </c>
      <c r="K164" s="117" t="s">
        <v>255</v>
      </c>
      <c r="L164" s="116">
        <v>2.4500000000000001E-2</v>
      </c>
      <c r="M164" s="116">
        <v>4.7199999999999999E-2</v>
      </c>
      <c r="N164" s="69">
        <v>698431.69189995807</v>
      </c>
      <c r="O164" s="60">
        <v>101.92000000000002</v>
      </c>
      <c r="P164" s="84">
        <v>9.5041331610000004</v>
      </c>
      <c r="Q164" s="84">
        <v>721.34570999999994</v>
      </c>
      <c r="R164" s="24">
        <v>1.3647907999999181E-3</v>
      </c>
      <c r="S164" s="24">
        <v>3.9503659393683461E-3</v>
      </c>
      <c r="T164" s="24">
        <v>1.3558302683302722E-3</v>
      </c>
    </row>
    <row r="165" spans="1:20" x14ac:dyDescent="0.25">
      <c r="A165" s="16" t="s">
        <v>838</v>
      </c>
      <c r="B165" s="116" t="s">
        <v>839</v>
      </c>
      <c r="C165" s="116" t="s">
        <v>377</v>
      </c>
      <c r="D165" s="116" t="s">
        <v>249</v>
      </c>
      <c r="E165" s="116" t="s">
        <v>587</v>
      </c>
      <c r="F165" s="116" t="s">
        <v>224</v>
      </c>
      <c r="G165" s="116" t="s">
        <v>588</v>
      </c>
      <c r="H165" s="116" t="s">
        <v>427</v>
      </c>
      <c r="I165" s="116" t="s">
        <v>840</v>
      </c>
      <c r="J165" s="117">
        <v>5.0199999999999996</v>
      </c>
      <c r="K165" s="117" t="s">
        <v>255</v>
      </c>
      <c r="L165" s="116">
        <v>4.3E-3</v>
      </c>
      <c r="M165" s="116">
        <v>4.7500000000000001E-2</v>
      </c>
      <c r="N165" s="69">
        <v>224253.46920386126</v>
      </c>
      <c r="O165" s="60">
        <v>87.77</v>
      </c>
      <c r="P165" s="84">
        <v>2.0080135160000001</v>
      </c>
      <c r="Q165" s="84">
        <v>198.83528000000001</v>
      </c>
      <c r="R165" s="24">
        <v>3.58805550726178E-4</v>
      </c>
      <c r="S165" s="24">
        <v>1.0888983004512056E-3</v>
      </c>
      <c r="T165" s="24">
        <v>3.7372772486014345E-4</v>
      </c>
    </row>
    <row r="166" spans="1:20" x14ac:dyDescent="0.25">
      <c r="A166" s="16" t="s">
        <v>2810</v>
      </c>
      <c r="B166" s="116" t="s">
        <v>971</v>
      </c>
      <c r="C166" s="116" t="s">
        <v>377</v>
      </c>
      <c r="D166" s="116" t="s">
        <v>249</v>
      </c>
      <c r="E166" s="116" t="s">
        <v>587</v>
      </c>
      <c r="F166" s="116" t="s">
        <v>224</v>
      </c>
      <c r="G166" s="116" t="s">
        <v>588</v>
      </c>
      <c r="H166" s="116" t="s">
        <v>427</v>
      </c>
      <c r="I166" s="116" t="s">
        <v>972</v>
      </c>
      <c r="J166" s="117">
        <v>0</v>
      </c>
      <c r="K166" s="117" t="s">
        <v>255</v>
      </c>
      <c r="L166" s="116">
        <v>4.3E-3</v>
      </c>
      <c r="M166" s="116">
        <v>4.6100000000000002E-2</v>
      </c>
      <c r="N166" s="69">
        <v>634994.61656004656</v>
      </c>
      <c r="O166" s="60">
        <v>86.067920000000001</v>
      </c>
      <c r="P166" s="84">
        <v>0</v>
      </c>
      <c r="Q166" s="84">
        <v>546.52665999999999</v>
      </c>
      <c r="R166" s="24">
        <v>1.0159913864960745E-3</v>
      </c>
      <c r="S166" s="24">
        <v>2.9929897311245465E-3</v>
      </c>
      <c r="T166" s="24">
        <v>1.0272430788802326E-3</v>
      </c>
    </row>
    <row r="167" spans="1:20" x14ac:dyDescent="0.25">
      <c r="A167" s="16" t="s">
        <v>841</v>
      </c>
      <c r="B167" s="116" t="s">
        <v>842</v>
      </c>
      <c r="C167" s="116" t="s">
        <v>377</v>
      </c>
      <c r="D167" s="116" t="s">
        <v>249</v>
      </c>
      <c r="E167" s="116" t="s">
        <v>843</v>
      </c>
      <c r="F167" s="116" t="s">
        <v>224</v>
      </c>
      <c r="G167" s="116" t="s">
        <v>588</v>
      </c>
      <c r="H167" s="116" t="s">
        <v>427</v>
      </c>
      <c r="I167" s="116" t="s">
        <v>844</v>
      </c>
      <c r="J167" s="117">
        <v>6.05</v>
      </c>
      <c r="K167" s="117" t="s">
        <v>255</v>
      </c>
      <c r="L167" s="116">
        <v>1.54E-2</v>
      </c>
      <c r="M167" s="116">
        <v>4.5700000000000005E-2</v>
      </c>
      <c r="N167" s="69">
        <v>35289.006095001394</v>
      </c>
      <c r="O167" s="60">
        <v>90.46</v>
      </c>
      <c r="P167" s="84">
        <v>0.29391534000000002</v>
      </c>
      <c r="Q167" s="84">
        <v>32.216349999999998</v>
      </c>
      <c r="R167" s="24">
        <v>1.0082573170000398E-4</v>
      </c>
      <c r="S167" s="24">
        <v>1.7642909629388302E-4</v>
      </c>
      <c r="T167" s="24">
        <v>6.0553354459017945E-5</v>
      </c>
    </row>
    <row r="168" spans="1:20" x14ac:dyDescent="0.25">
      <c r="A168" s="16" t="s">
        <v>832</v>
      </c>
      <c r="B168" s="116" t="s">
        <v>833</v>
      </c>
      <c r="C168" s="116" t="s">
        <v>377</v>
      </c>
      <c r="D168" s="116" t="s">
        <v>249</v>
      </c>
      <c r="E168" s="116" t="s">
        <v>459</v>
      </c>
      <c r="F168" s="116" t="s">
        <v>226</v>
      </c>
      <c r="G168" s="116" t="s">
        <v>422</v>
      </c>
      <c r="H168" s="116" t="s">
        <v>254</v>
      </c>
      <c r="I168" s="116" t="s">
        <v>834</v>
      </c>
      <c r="J168" s="117">
        <v>4.22</v>
      </c>
      <c r="K168" s="117" t="s">
        <v>255</v>
      </c>
      <c r="L168" s="116">
        <v>7.4999999999999997E-3</v>
      </c>
      <c r="M168" s="116">
        <v>4.1100000000000005E-2</v>
      </c>
      <c r="N168" s="69">
        <v>1105878.2110782252</v>
      </c>
      <c r="O168" s="60">
        <v>94.68</v>
      </c>
      <c r="P168" s="84">
        <v>0</v>
      </c>
      <c r="Q168" s="84">
        <v>1047.04549</v>
      </c>
      <c r="R168" s="24">
        <v>7.1858848161531603E-4</v>
      </c>
      <c r="S168" s="24">
        <v>5.7340229287081235E-3</v>
      </c>
      <c r="T168" s="24">
        <v>1.9680105502543313E-3</v>
      </c>
    </row>
    <row r="169" spans="1:20" x14ac:dyDescent="0.25">
      <c r="A169" s="16" t="s">
        <v>457</v>
      </c>
      <c r="B169" s="116" t="s">
        <v>458</v>
      </c>
      <c r="C169" s="116" t="s">
        <v>377</v>
      </c>
      <c r="D169" s="116" t="s">
        <v>249</v>
      </c>
      <c r="E169" s="116" t="s">
        <v>459</v>
      </c>
      <c r="F169" s="116" t="s">
        <v>226</v>
      </c>
      <c r="G169" s="116" t="s">
        <v>422</v>
      </c>
      <c r="H169" s="116" t="s">
        <v>254</v>
      </c>
      <c r="I169" s="116" t="s">
        <v>460</v>
      </c>
      <c r="J169" s="117">
        <v>1.0900000000000001</v>
      </c>
      <c r="K169" s="117" t="s">
        <v>255</v>
      </c>
      <c r="L169" s="116">
        <v>2.4E-2</v>
      </c>
      <c r="M169" s="116">
        <v>3.3099999999999997E-2</v>
      </c>
      <c r="N169" s="69">
        <v>36997.690133443059</v>
      </c>
      <c r="O169" s="60">
        <v>111.48</v>
      </c>
      <c r="P169" s="84">
        <v>0</v>
      </c>
      <c r="Q169" s="84">
        <v>41.245019999999997</v>
      </c>
      <c r="R169" s="24">
        <v>2.2079722414447989E-4</v>
      </c>
      <c r="S169" s="24">
        <v>2.2587355815364345E-4</v>
      </c>
      <c r="T169" s="24">
        <v>7.7523503305907838E-5</v>
      </c>
    </row>
    <row r="170" spans="1:20" x14ac:dyDescent="0.25">
      <c r="A170" s="16" t="s">
        <v>569</v>
      </c>
      <c r="B170" s="116" t="s">
        <v>570</v>
      </c>
      <c r="C170" s="116" t="s">
        <v>377</v>
      </c>
      <c r="D170" s="116" t="s">
        <v>249</v>
      </c>
      <c r="E170" s="116" t="s">
        <v>571</v>
      </c>
      <c r="F170" s="116" t="s">
        <v>223</v>
      </c>
      <c r="G170" s="116" t="s">
        <v>422</v>
      </c>
      <c r="H170" s="116" t="s">
        <v>254</v>
      </c>
      <c r="I170" s="116" t="s">
        <v>572</v>
      </c>
      <c r="J170" s="117">
        <v>3.52</v>
      </c>
      <c r="K170" s="117" t="s">
        <v>255</v>
      </c>
      <c r="L170" s="116">
        <v>1.8000000000000002E-2</v>
      </c>
      <c r="M170" s="116">
        <v>3.32E-2</v>
      </c>
      <c r="N170" s="69">
        <v>685857.68540423317</v>
      </c>
      <c r="O170" s="60">
        <v>106.61</v>
      </c>
      <c r="P170" s="84">
        <v>3.4661963340000002</v>
      </c>
      <c r="Q170" s="84">
        <v>734.65906999999993</v>
      </c>
      <c r="R170" s="24">
        <v>8.1842831346832503E-4</v>
      </c>
      <c r="S170" s="24">
        <v>4.0232750080069456E-3</v>
      </c>
      <c r="T170" s="24">
        <v>1.3808538544013357E-3</v>
      </c>
    </row>
    <row r="171" spans="1:20" x14ac:dyDescent="0.25">
      <c r="A171" s="16" t="s">
        <v>915</v>
      </c>
      <c r="B171" s="116" t="s">
        <v>916</v>
      </c>
      <c r="C171" s="116" t="s">
        <v>377</v>
      </c>
      <c r="D171" s="116" t="s">
        <v>249</v>
      </c>
      <c r="E171" s="116" t="s">
        <v>917</v>
      </c>
      <c r="F171" s="116" t="s">
        <v>223</v>
      </c>
      <c r="G171" s="116" t="s">
        <v>588</v>
      </c>
      <c r="H171" s="116" t="s">
        <v>427</v>
      </c>
      <c r="I171" s="116" t="s">
        <v>918</v>
      </c>
      <c r="J171" s="117">
        <v>4.42</v>
      </c>
      <c r="K171" s="117" t="s">
        <v>255</v>
      </c>
      <c r="L171" s="116">
        <v>2.8900000000000002E-2</v>
      </c>
      <c r="M171" s="116">
        <v>3.5200000000000002E-2</v>
      </c>
      <c r="N171" s="69">
        <v>284737.35874385724</v>
      </c>
      <c r="O171" s="60">
        <v>101.01</v>
      </c>
      <c r="P171" s="84">
        <v>0</v>
      </c>
      <c r="Q171" s="84">
        <v>287.61321000000004</v>
      </c>
      <c r="R171" s="24">
        <v>1.4236867937192862E-3</v>
      </c>
      <c r="S171" s="24">
        <v>1.5750803155069649E-3</v>
      </c>
      <c r="T171" s="24">
        <v>5.4059335251280694E-4</v>
      </c>
    </row>
    <row r="172" spans="1:20" x14ac:dyDescent="0.25">
      <c r="A172" s="16" t="s">
        <v>2811</v>
      </c>
      <c r="B172" s="116" t="s">
        <v>420</v>
      </c>
      <c r="C172" s="116" t="s">
        <v>377</v>
      </c>
      <c r="D172" s="116" t="s">
        <v>249</v>
      </c>
      <c r="E172" s="116" t="s">
        <v>421</v>
      </c>
      <c r="F172" s="116" t="s">
        <v>223</v>
      </c>
      <c r="G172" s="116" t="s">
        <v>422</v>
      </c>
      <c r="H172" s="116" t="s">
        <v>254</v>
      </c>
      <c r="I172" s="116" t="s">
        <v>419</v>
      </c>
      <c r="J172" s="117">
        <v>1.2</v>
      </c>
      <c r="K172" s="117" t="s">
        <v>255</v>
      </c>
      <c r="L172" s="116">
        <v>4.9500000000000002E-2</v>
      </c>
      <c r="M172" s="116">
        <v>6.1600000000000002E-2</v>
      </c>
      <c r="N172" s="69">
        <v>679151.03488047456</v>
      </c>
      <c r="O172" s="60">
        <v>134.31</v>
      </c>
      <c r="P172" s="84">
        <v>0</v>
      </c>
      <c r="Q172" s="84">
        <v>912.16774999999996</v>
      </c>
      <c r="R172" s="24">
        <v>1.0309965061780181E-3</v>
      </c>
      <c r="S172" s="24">
        <v>4.9953806623321585E-3</v>
      </c>
      <c r="T172" s="24">
        <v>1.7144964309065076E-3</v>
      </c>
    </row>
    <row r="173" spans="1:20" x14ac:dyDescent="0.25">
      <c r="A173" s="16" t="s">
        <v>936</v>
      </c>
      <c r="B173" s="116" t="s">
        <v>937</v>
      </c>
      <c r="C173" s="116" t="s">
        <v>377</v>
      </c>
      <c r="D173" s="116" t="s">
        <v>249</v>
      </c>
      <c r="E173" s="116" t="s">
        <v>421</v>
      </c>
      <c r="F173" s="116" t="s">
        <v>223</v>
      </c>
      <c r="G173" s="116" t="s">
        <v>588</v>
      </c>
      <c r="H173" s="116" t="s">
        <v>427</v>
      </c>
      <c r="I173" s="116" t="s">
        <v>406</v>
      </c>
      <c r="J173" s="117">
        <v>3.77</v>
      </c>
      <c r="K173" s="117" t="s">
        <v>255</v>
      </c>
      <c r="L173" s="116">
        <v>2.8500000000000001E-2</v>
      </c>
      <c r="M173" s="116">
        <v>0.05</v>
      </c>
      <c r="N173" s="69">
        <v>736.32376704404942</v>
      </c>
      <c r="O173" s="60">
        <v>104.62</v>
      </c>
      <c r="P173" s="84">
        <v>0</v>
      </c>
      <c r="Q173" s="84">
        <v>0.77034000000000002</v>
      </c>
      <c r="R173" s="24">
        <v>1.1985021518694751E-5</v>
      </c>
      <c r="S173" s="24">
        <v>4.21867747398541E-6</v>
      </c>
      <c r="T173" s="24">
        <v>1.447919179980348E-6</v>
      </c>
    </row>
    <row r="174" spans="1:20" x14ac:dyDescent="0.25">
      <c r="A174" s="16" t="s">
        <v>919</v>
      </c>
      <c r="B174" s="116" t="s">
        <v>920</v>
      </c>
      <c r="C174" s="116" t="s">
        <v>377</v>
      </c>
      <c r="D174" s="116" t="s">
        <v>249</v>
      </c>
      <c r="E174" s="116" t="s">
        <v>421</v>
      </c>
      <c r="F174" s="116" t="s">
        <v>223</v>
      </c>
      <c r="G174" s="116" t="s">
        <v>422</v>
      </c>
      <c r="H174" s="116" t="s">
        <v>254</v>
      </c>
      <c r="I174" s="116" t="s">
        <v>921</v>
      </c>
      <c r="J174" s="117">
        <v>4.74</v>
      </c>
      <c r="K174" s="117" t="s">
        <v>255</v>
      </c>
      <c r="L174" s="116">
        <v>3.6200000000000003E-2</v>
      </c>
      <c r="M174" s="116">
        <v>4.5100000000000001E-2</v>
      </c>
      <c r="N174" s="69">
        <v>2188844.3886344321</v>
      </c>
      <c r="O174" s="60">
        <v>99.56</v>
      </c>
      <c r="P174" s="84">
        <v>0</v>
      </c>
      <c r="Q174" s="84">
        <v>2179.2134700000001</v>
      </c>
      <c r="R174" s="24">
        <v>1.2316254477862999E-3</v>
      </c>
      <c r="S174" s="24">
        <v>1.1934209280180933E-2</v>
      </c>
      <c r="T174" s="24">
        <v>4.096016019529726E-3</v>
      </c>
    </row>
    <row r="175" spans="1:20" x14ac:dyDescent="0.25">
      <c r="A175" s="16" t="s">
        <v>445</v>
      </c>
      <c r="B175" s="116" t="s">
        <v>446</v>
      </c>
      <c r="C175" s="116" t="s">
        <v>377</v>
      </c>
      <c r="D175" s="116" t="s">
        <v>249</v>
      </c>
      <c r="E175" s="116" t="s">
        <v>447</v>
      </c>
      <c r="F175" s="116" t="s">
        <v>226</v>
      </c>
      <c r="G175" s="116" t="s">
        <v>422</v>
      </c>
      <c r="H175" s="116" t="s">
        <v>254</v>
      </c>
      <c r="I175" s="116" t="s">
        <v>448</v>
      </c>
      <c r="J175" s="117">
        <v>0.99</v>
      </c>
      <c r="K175" s="117" t="s">
        <v>255</v>
      </c>
      <c r="L175" s="116">
        <v>4.3400000000000001E-2</v>
      </c>
      <c r="M175" s="116">
        <v>3.85E-2</v>
      </c>
      <c r="N175" s="69">
        <v>380.83796355510464</v>
      </c>
      <c r="O175" s="60">
        <v>111.83000000000001</v>
      </c>
      <c r="P175" s="84">
        <v>9.1976661140000006E-3</v>
      </c>
      <c r="Q175" s="84">
        <v>0.43508999999999998</v>
      </c>
      <c r="R175" s="24">
        <v>4.3776516391549201E-7</v>
      </c>
      <c r="S175" s="24">
        <v>2.3827198148302204E-6</v>
      </c>
      <c r="T175" s="24">
        <v>8.1778845187534022E-7</v>
      </c>
    </row>
    <row r="176" spans="1:20" x14ac:dyDescent="0.25">
      <c r="A176" s="16" t="s">
        <v>481</v>
      </c>
      <c r="B176" s="116" t="s">
        <v>482</v>
      </c>
      <c r="C176" s="116" t="s">
        <v>377</v>
      </c>
      <c r="D176" s="116" t="s">
        <v>249</v>
      </c>
      <c r="E176" s="116" t="s">
        <v>447</v>
      </c>
      <c r="F176" s="116" t="s">
        <v>226</v>
      </c>
      <c r="G176" s="116" t="s">
        <v>422</v>
      </c>
      <c r="H176" s="116" t="s">
        <v>254</v>
      </c>
      <c r="I176" s="116" t="s">
        <v>483</v>
      </c>
      <c r="J176" s="117">
        <v>3.56</v>
      </c>
      <c r="K176" s="117" t="s">
        <v>255</v>
      </c>
      <c r="L176" s="116">
        <v>3.9E-2</v>
      </c>
      <c r="M176" s="116">
        <v>4.4400000000000002E-2</v>
      </c>
      <c r="N176" s="69">
        <v>1200951.3170728085</v>
      </c>
      <c r="O176" s="60">
        <v>111.7</v>
      </c>
      <c r="P176" s="84">
        <v>0</v>
      </c>
      <c r="Q176" s="84">
        <v>1341.46262</v>
      </c>
      <c r="R176" s="24">
        <v>8.1568107085148425E-4</v>
      </c>
      <c r="S176" s="24">
        <v>7.3463641212807981E-3</v>
      </c>
      <c r="T176" s="24">
        <v>2.5213924458352016E-3</v>
      </c>
    </row>
    <row r="177" spans="1:20" x14ac:dyDescent="0.25">
      <c r="A177" s="16" t="s">
        <v>702</v>
      </c>
      <c r="B177" s="116" t="s">
        <v>703</v>
      </c>
      <c r="C177" s="116" t="s">
        <v>377</v>
      </c>
      <c r="D177" s="116" t="s">
        <v>249</v>
      </c>
      <c r="E177" s="116" t="s">
        <v>447</v>
      </c>
      <c r="F177" s="116" t="s">
        <v>226</v>
      </c>
      <c r="G177" s="116" t="s">
        <v>422</v>
      </c>
      <c r="H177" s="116" t="s">
        <v>254</v>
      </c>
      <c r="I177" s="116" t="s">
        <v>704</v>
      </c>
      <c r="J177" s="117">
        <v>4.6399999999999997</v>
      </c>
      <c r="K177" s="117" t="s">
        <v>255</v>
      </c>
      <c r="L177" s="116">
        <v>3.2500000000000001E-2</v>
      </c>
      <c r="M177" s="116">
        <v>4.5100000000000001E-2</v>
      </c>
      <c r="N177" s="69">
        <v>383448.66904945328</v>
      </c>
      <c r="O177" s="60">
        <v>105.39</v>
      </c>
      <c r="P177" s="84">
        <v>6.9424494249999995</v>
      </c>
      <c r="Q177" s="84">
        <v>411.05900000000003</v>
      </c>
      <c r="R177" s="24">
        <v>9.6974264491011316E-4</v>
      </c>
      <c r="S177" s="24">
        <v>2.2511168364345207E-3</v>
      </c>
      <c r="T177" s="24">
        <v>7.7262015500109292E-4</v>
      </c>
    </row>
    <row r="178" spans="1:20" x14ac:dyDescent="0.25">
      <c r="A178" s="16" t="s">
        <v>965</v>
      </c>
      <c r="B178" s="116" t="s">
        <v>966</v>
      </c>
      <c r="C178" s="116" t="s">
        <v>377</v>
      </c>
      <c r="D178" s="116" t="s">
        <v>249</v>
      </c>
      <c r="E178" s="116" t="s">
        <v>963</v>
      </c>
      <c r="F178" s="116" t="s">
        <v>226</v>
      </c>
      <c r="G178" s="116" t="s">
        <v>472</v>
      </c>
      <c r="H178" s="116" t="s">
        <v>427</v>
      </c>
      <c r="I178" s="116" t="s">
        <v>967</v>
      </c>
      <c r="J178" s="117">
        <v>3.69</v>
      </c>
      <c r="K178" s="117" t="s">
        <v>255</v>
      </c>
      <c r="L178" s="116">
        <v>3.85E-2</v>
      </c>
      <c r="M178" s="116">
        <v>4.3299999999999998E-2</v>
      </c>
      <c r="N178" s="69">
        <v>14431.69583091015</v>
      </c>
      <c r="O178" s="60">
        <v>101.63</v>
      </c>
      <c r="P178" s="84">
        <v>0</v>
      </c>
      <c r="Q178" s="84">
        <v>14.666930000000001</v>
      </c>
      <c r="R178" s="24">
        <v>1.1868170913577426E-4</v>
      </c>
      <c r="S178" s="24">
        <v>8.0321737419218562E-5</v>
      </c>
      <c r="T178" s="24">
        <v>2.7567735361566536E-5</v>
      </c>
    </row>
    <row r="179" spans="1:20" x14ac:dyDescent="0.25">
      <c r="A179" s="16" t="s">
        <v>2812</v>
      </c>
      <c r="B179" s="116" t="s">
        <v>962</v>
      </c>
      <c r="C179" s="116" t="s">
        <v>377</v>
      </c>
      <c r="D179" s="116" t="s">
        <v>249</v>
      </c>
      <c r="E179" s="116" t="s">
        <v>963</v>
      </c>
      <c r="F179" s="116" t="s">
        <v>226</v>
      </c>
      <c r="G179" s="116" t="s">
        <v>472</v>
      </c>
      <c r="H179" s="116" t="s">
        <v>427</v>
      </c>
      <c r="I179" s="116" t="s">
        <v>964</v>
      </c>
      <c r="J179" s="117">
        <v>0</v>
      </c>
      <c r="K179" s="117" t="s">
        <v>255</v>
      </c>
      <c r="L179" s="116">
        <v>3.85E-2</v>
      </c>
      <c r="M179" s="116">
        <v>4.2699999999999995E-2</v>
      </c>
      <c r="N179" s="69">
        <v>153553.243640884</v>
      </c>
      <c r="O179" s="60">
        <v>101.63</v>
      </c>
      <c r="P179" s="84">
        <v>0</v>
      </c>
      <c r="Q179" s="84">
        <v>156.05616000000001</v>
      </c>
      <c r="R179" s="24">
        <v>1.2627733852046382E-3</v>
      </c>
      <c r="S179" s="24">
        <v>8.5462342195480301E-4</v>
      </c>
      <c r="T179" s="24">
        <v>2.9332075086076535E-4</v>
      </c>
    </row>
    <row r="180" spans="1:20" x14ac:dyDescent="0.25">
      <c r="A180" s="16" t="s">
        <v>692</v>
      </c>
      <c r="B180" s="116" t="s">
        <v>693</v>
      </c>
      <c r="C180" s="116" t="s">
        <v>377</v>
      </c>
      <c r="D180" s="116" t="s">
        <v>249</v>
      </c>
      <c r="E180" s="116" t="s">
        <v>694</v>
      </c>
      <c r="F180" s="116" t="s">
        <v>225</v>
      </c>
      <c r="G180" s="116" t="s">
        <v>695</v>
      </c>
      <c r="H180" s="116" t="s">
        <v>254</v>
      </c>
      <c r="I180" s="116" t="s">
        <v>696</v>
      </c>
      <c r="J180" s="117">
        <v>3.57</v>
      </c>
      <c r="K180" s="117" t="s">
        <v>255</v>
      </c>
      <c r="L180" s="116">
        <v>2.75E-2</v>
      </c>
      <c r="M180" s="116">
        <v>3.9599999999999996E-2</v>
      </c>
      <c r="N180" s="69">
        <v>96628.090105627562</v>
      </c>
      <c r="O180" s="60">
        <v>106.24</v>
      </c>
      <c r="P180" s="84">
        <v>3.6161491580000003</v>
      </c>
      <c r="Q180" s="84">
        <v>104.41513999999999</v>
      </c>
      <c r="R180" s="24">
        <v>1.0873384803238827E-4</v>
      </c>
      <c r="S180" s="24">
        <v>5.7181737812009368E-4</v>
      </c>
      <c r="T180" s="24">
        <v>1.9625708633373994E-4</v>
      </c>
    </row>
    <row r="181" spans="1:20" x14ac:dyDescent="0.25">
      <c r="A181" s="16" t="s">
        <v>715</v>
      </c>
      <c r="B181" s="116" t="s">
        <v>716</v>
      </c>
      <c r="C181" s="116" t="s">
        <v>377</v>
      </c>
      <c r="D181" s="116" t="s">
        <v>249</v>
      </c>
      <c r="E181" s="116" t="s">
        <v>717</v>
      </c>
      <c r="F181" s="116" t="s">
        <v>228</v>
      </c>
      <c r="G181" s="116" t="s">
        <v>695</v>
      </c>
      <c r="H181" s="116" t="s">
        <v>254</v>
      </c>
      <c r="I181" s="116" t="s">
        <v>714</v>
      </c>
      <c r="J181" s="117">
        <v>3.18</v>
      </c>
      <c r="K181" s="117" t="s">
        <v>255</v>
      </c>
      <c r="L181" s="116">
        <v>2.8799999999999999E-2</v>
      </c>
      <c r="M181" s="116">
        <v>3.78E-2</v>
      </c>
      <c r="N181" s="69">
        <v>328667.60133360542</v>
      </c>
      <c r="O181" s="60">
        <v>108.32</v>
      </c>
      <c r="P181" s="84">
        <v>5.2679039089999993</v>
      </c>
      <c r="Q181" s="84">
        <v>361.28065000000004</v>
      </c>
      <c r="R181" s="24">
        <v>1.3016538666677441E-3</v>
      </c>
      <c r="S181" s="24">
        <v>1.978511488358137E-3</v>
      </c>
      <c r="T181" s="24">
        <v>6.7905753627069501E-4</v>
      </c>
    </row>
    <row r="182" spans="1:20" x14ac:dyDescent="0.25">
      <c r="A182" s="16" t="s">
        <v>469</v>
      </c>
      <c r="B182" s="116" t="s">
        <v>470</v>
      </c>
      <c r="C182" s="116" t="s">
        <v>377</v>
      </c>
      <c r="D182" s="116" t="s">
        <v>249</v>
      </c>
      <c r="E182" s="116" t="s">
        <v>471</v>
      </c>
      <c r="F182" s="116" t="s">
        <v>224</v>
      </c>
      <c r="G182" s="116" t="s">
        <v>472</v>
      </c>
      <c r="H182" s="116" t="s">
        <v>427</v>
      </c>
      <c r="I182" s="116" t="s">
        <v>473</v>
      </c>
      <c r="J182" s="117">
        <v>2.4</v>
      </c>
      <c r="K182" s="117" t="s">
        <v>255</v>
      </c>
      <c r="L182" s="116">
        <v>0.04</v>
      </c>
      <c r="M182" s="116">
        <v>7.3700000000000002E-2</v>
      </c>
      <c r="N182" s="69">
        <v>532125.28490177391</v>
      </c>
      <c r="O182" s="60">
        <v>103.93</v>
      </c>
      <c r="P182" s="84">
        <v>0</v>
      </c>
      <c r="Q182" s="84">
        <v>553.03781000000004</v>
      </c>
      <c r="R182" s="24">
        <v>2.0501823847505839E-4</v>
      </c>
      <c r="S182" s="24">
        <v>3.0286472873136839E-3</v>
      </c>
      <c r="T182" s="24">
        <v>1.0394813359728529E-3</v>
      </c>
    </row>
    <row r="183" spans="1:20" x14ac:dyDescent="0.25">
      <c r="A183" s="16" t="s">
        <v>608</v>
      </c>
      <c r="B183" s="116" t="s">
        <v>609</v>
      </c>
      <c r="C183" s="116" t="s">
        <v>377</v>
      </c>
      <c r="D183" s="116" t="s">
        <v>249</v>
      </c>
      <c r="E183" s="116" t="s">
        <v>471</v>
      </c>
      <c r="F183" s="116" t="s">
        <v>224</v>
      </c>
      <c r="G183" s="116" t="s">
        <v>472</v>
      </c>
      <c r="H183" s="116" t="s">
        <v>427</v>
      </c>
      <c r="I183" s="116" t="s">
        <v>610</v>
      </c>
      <c r="J183" s="117">
        <v>3.08</v>
      </c>
      <c r="K183" s="117" t="s">
        <v>255</v>
      </c>
      <c r="L183" s="116">
        <v>2.7799999999999998E-2</v>
      </c>
      <c r="M183" s="116">
        <v>7.6600000000000001E-2</v>
      </c>
      <c r="N183" s="69">
        <v>91247.625319013576</v>
      </c>
      <c r="O183" s="60">
        <v>99.89</v>
      </c>
      <c r="P183" s="84">
        <v>0</v>
      </c>
      <c r="Q183" s="84">
        <v>91.14725</v>
      </c>
      <c r="R183" s="24">
        <v>6.4983281445364624E-5</v>
      </c>
      <c r="S183" s="24">
        <v>4.9915732065155215E-4</v>
      </c>
      <c r="T183" s="24">
        <v>1.7131896497321153E-4</v>
      </c>
    </row>
    <row r="184" spans="1:20" x14ac:dyDescent="0.25">
      <c r="A184" s="16" t="s">
        <v>677</v>
      </c>
      <c r="B184" s="116" t="s">
        <v>678</v>
      </c>
      <c r="C184" s="116" t="s">
        <v>377</v>
      </c>
      <c r="D184" s="116" t="s">
        <v>249</v>
      </c>
      <c r="E184" s="116" t="s">
        <v>471</v>
      </c>
      <c r="F184" s="116" t="s">
        <v>224</v>
      </c>
      <c r="G184" s="116" t="s">
        <v>472</v>
      </c>
      <c r="H184" s="116" t="s">
        <v>427</v>
      </c>
      <c r="I184" s="116" t="s">
        <v>679</v>
      </c>
      <c r="J184" s="117">
        <v>4.9400000000000004</v>
      </c>
      <c r="K184" s="117" t="s">
        <v>255</v>
      </c>
      <c r="L184" s="116">
        <v>1.29E-2</v>
      </c>
      <c r="M184" s="116">
        <v>7.1500000000000008E-2</v>
      </c>
      <c r="N184" s="69">
        <v>144687.16594323434</v>
      </c>
      <c r="O184" s="60">
        <v>85.02</v>
      </c>
      <c r="P184" s="84">
        <v>30.539478657</v>
      </c>
      <c r="Q184" s="84">
        <v>131.1865</v>
      </c>
      <c r="R184" s="24">
        <v>1.7592560820215702E-4</v>
      </c>
      <c r="S184" s="24">
        <v>7.1842761954589787E-4</v>
      </c>
      <c r="T184" s="24">
        <v>2.4657612158850888E-4</v>
      </c>
    </row>
    <row r="185" spans="1:20" x14ac:dyDescent="0.25">
      <c r="A185" s="16" t="s">
        <v>857</v>
      </c>
      <c r="B185" s="116" t="s">
        <v>858</v>
      </c>
      <c r="C185" s="116" t="s">
        <v>377</v>
      </c>
      <c r="D185" s="116" t="s">
        <v>249</v>
      </c>
      <c r="E185" s="116" t="s">
        <v>859</v>
      </c>
      <c r="F185" s="116" t="s">
        <v>225</v>
      </c>
      <c r="G185" s="116" t="s">
        <v>472</v>
      </c>
      <c r="H185" s="116" t="s">
        <v>427</v>
      </c>
      <c r="I185" s="116" t="s">
        <v>860</v>
      </c>
      <c r="J185" s="117">
        <v>4.1900000000000004</v>
      </c>
      <c r="K185" s="117" t="s">
        <v>255</v>
      </c>
      <c r="L185" s="116">
        <v>1.8000000000000002E-2</v>
      </c>
      <c r="M185" s="116">
        <v>3.8699999999999998E-2</v>
      </c>
      <c r="N185" s="69">
        <v>1179202.9200755609</v>
      </c>
      <c r="O185" s="60">
        <v>102.19</v>
      </c>
      <c r="P185" s="84">
        <v>72.158605059999999</v>
      </c>
      <c r="Q185" s="84">
        <v>1221.78251</v>
      </c>
      <c r="R185" s="24">
        <v>1.1280646387966356E-3</v>
      </c>
      <c r="S185" s="24">
        <v>6.6909499091912066E-3</v>
      </c>
      <c r="T185" s="24">
        <v>2.296443557381846E-3</v>
      </c>
    </row>
    <row r="186" spans="1:20" x14ac:dyDescent="0.25">
      <c r="A186" s="16" t="s">
        <v>968</v>
      </c>
      <c r="B186" s="116" t="s">
        <v>969</v>
      </c>
      <c r="C186" s="116" t="s">
        <v>377</v>
      </c>
      <c r="D186" s="116" t="s">
        <v>249</v>
      </c>
      <c r="E186" s="116" t="s">
        <v>859</v>
      </c>
      <c r="F186" s="116" t="s">
        <v>225</v>
      </c>
      <c r="G186" s="116" t="s">
        <v>472</v>
      </c>
      <c r="H186" s="116" t="s">
        <v>427</v>
      </c>
      <c r="I186" s="116" t="s">
        <v>970</v>
      </c>
      <c r="J186" s="117">
        <v>6.46</v>
      </c>
      <c r="K186" s="117" t="s">
        <v>255</v>
      </c>
      <c r="L186" s="116">
        <v>3.3000000000000002E-2</v>
      </c>
      <c r="M186" s="116">
        <v>4.2000000000000003E-2</v>
      </c>
      <c r="N186" s="69">
        <v>750448.18320732785</v>
      </c>
      <c r="O186" s="60">
        <v>97.42</v>
      </c>
      <c r="P186" s="84">
        <v>34.892825100000003</v>
      </c>
      <c r="Q186" s="84">
        <v>747.70227999999997</v>
      </c>
      <c r="R186" s="24">
        <v>1.2828174071920135E-3</v>
      </c>
      <c r="S186" s="24">
        <v>4.0947046315698678E-3</v>
      </c>
      <c r="T186" s="24">
        <v>1.405369670699998E-3</v>
      </c>
    </row>
    <row r="187" spans="1:20" x14ac:dyDescent="0.25">
      <c r="A187" s="16" t="s">
        <v>718</v>
      </c>
      <c r="B187" s="116" t="s">
        <v>719</v>
      </c>
      <c r="C187" s="116" t="s">
        <v>377</v>
      </c>
      <c r="D187" s="116" t="s">
        <v>249</v>
      </c>
      <c r="E187" s="116" t="s">
        <v>720</v>
      </c>
      <c r="F187" s="116" t="s">
        <v>223</v>
      </c>
      <c r="G187" s="116" t="s">
        <v>695</v>
      </c>
      <c r="H187" s="116" t="s">
        <v>254</v>
      </c>
      <c r="I187" s="116" t="s">
        <v>721</v>
      </c>
      <c r="J187" s="117">
        <v>2.25</v>
      </c>
      <c r="K187" s="117" t="s">
        <v>255</v>
      </c>
      <c r="L187" s="116">
        <v>1E-3</v>
      </c>
      <c r="M187" s="116">
        <v>3.3300000000000003E-2</v>
      </c>
      <c r="N187" s="69">
        <v>265826.20884399093</v>
      </c>
      <c r="O187" s="60">
        <v>103.63</v>
      </c>
      <c r="P187" s="84">
        <v>0</v>
      </c>
      <c r="Q187" s="84">
        <v>275.47570000000002</v>
      </c>
      <c r="R187" s="24">
        <v>4.6940052064062249E-4</v>
      </c>
      <c r="S187" s="24">
        <v>1.5086106527252416E-3</v>
      </c>
      <c r="T187" s="24">
        <v>5.1777987596192897E-4</v>
      </c>
    </row>
    <row r="188" spans="1:20" x14ac:dyDescent="0.25">
      <c r="A188" s="16" t="s">
        <v>867</v>
      </c>
      <c r="B188" s="116" t="s">
        <v>868</v>
      </c>
      <c r="C188" s="116" t="s">
        <v>377</v>
      </c>
      <c r="D188" s="116" t="s">
        <v>249</v>
      </c>
      <c r="E188" s="116" t="s">
        <v>720</v>
      </c>
      <c r="F188" s="116" t="s">
        <v>223</v>
      </c>
      <c r="G188" s="116" t="s">
        <v>695</v>
      </c>
      <c r="H188" s="116" t="s">
        <v>254</v>
      </c>
      <c r="I188" s="116" t="s">
        <v>869</v>
      </c>
      <c r="J188" s="117">
        <v>3.49</v>
      </c>
      <c r="K188" s="117" t="s">
        <v>255</v>
      </c>
      <c r="L188" s="116">
        <v>3.0000000000000001E-3</v>
      </c>
      <c r="M188" s="116">
        <v>3.9599999999999996E-2</v>
      </c>
      <c r="N188" s="69">
        <v>431588.52284086659</v>
      </c>
      <c r="O188" s="60">
        <v>94.81</v>
      </c>
      <c r="P188" s="84">
        <v>0.69551427939999999</v>
      </c>
      <c r="Q188" s="84">
        <v>409.88459</v>
      </c>
      <c r="R188" s="24">
        <v>8.4858144483064611E-4</v>
      </c>
      <c r="S188" s="24">
        <v>2.2446853165702749E-3</v>
      </c>
      <c r="T188" s="24">
        <v>7.7041275208269229E-4</v>
      </c>
    </row>
    <row r="189" spans="1:20" x14ac:dyDescent="0.25">
      <c r="A189" s="16" t="s">
        <v>910</v>
      </c>
      <c r="B189" s="116" t="s">
        <v>911</v>
      </c>
      <c r="C189" s="116" t="s">
        <v>377</v>
      </c>
      <c r="D189" s="116" t="s">
        <v>249</v>
      </c>
      <c r="E189" s="116" t="s">
        <v>720</v>
      </c>
      <c r="F189" s="116" t="s">
        <v>223</v>
      </c>
      <c r="G189" s="116" t="s">
        <v>695</v>
      </c>
      <c r="H189" s="116" t="s">
        <v>254</v>
      </c>
      <c r="I189" s="116" t="s">
        <v>912</v>
      </c>
      <c r="J189" s="117">
        <v>2.99</v>
      </c>
      <c r="K189" s="117" t="s">
        <v>255</v>
      </c>
      <c r="L189" s="116">
        <v>3.0000000000000001E-3</v>
      </c>
      <c r="M189" s="116">
        <v>3.9599999999999996E-2</v>
      </c>
      <c r="N189" s="69">
        <v>286954.06722348504</v>
      </c>
      <c r="O189" s="60">
        <v>92.74</v>
      </c>
      <c r="P189" s="84">
        <v>0.44439913510000001</v>
      </c>
      <c r="Q189" s="84">
        <v>266.56559999999996</v>
      </c>
      <c r="R189" s="24">
        <v>1.0638566982667298E-3</v>
      </c>
      <c r="S189" s="24">
        <v>1.4598155256891829E-3</v>
      </c>
      <c r="T189" s="24">
        <v>5.0103258945786197E-4</v>
      </c>
    </row>
    <row r="190" spans="1:20" x14ac:dyDescent="0.25">
      <c r="A190" s="16" t="s">
        <v>851</v>
      </c>
      <c r="B190" s="116" t="s">
        <v>852</v>
      </c>
      <c r="C190" s="116" t="s">
        <v>377</v>
      </c>
      <c r="D190" s="116" t="s">
        <v>249</v>
      </c>
      <c r="E190" s="116" t="s">
        <v>853</v>
      </c>
      <c r="F190" s="116" t="s">
        <v>226</v>
      </c>
      <c r="G190" s="116" t="s">
        <v>472</v>
      </c>
      <c r="H190" s="116" t="s">
        <v>427</v>
      </c>
      <c r="I190" s="116" t="s">
        <v>850</v>
      </c>
      <c r="J190" s="117">
        <v>4.05</v>
      </c>
      <c r="K190" s="117" t="s">
        <v>255</v>
      </c>
      <c r="L190" s="116">
        <v>1.5700000000000002E-2</v>
      </c>
      <c r="M190" s="116">
        <v>5.5800000000000002E-2</v>
      </c>
      <c r="N190" s="69">
        <v>295804.34510053904</v>
      </c>
      <c r="O190" s="60">
        <v>93.79</v>
      </c>
      <c r="P190" s="84">
        <v>0</v>
      </c>
      <c r="Q190" s="84">
        <v>277.43490000000003</v>
      </c>
      <c r="R190" s="24">
        <v>6.4193154229339443E-4</v>
      </c>
      <c r="S190" s="24">
        <v>1.5193399838089609E-3</v>
      </c>
      <c r="T190" s="24">
        <v>5.2146235805739015E-4</v>
      </c>
    </row>
    <row r="191" spans="1:20" x14ac:dyDescent="0.25">
      <c r="A191" s="16" t="s">
        <v>887</v>
      </c>
      <c r="B191" s="116" t="s">
        <v>888</v>
      </c>
      <c r="C191" s="116" t="s">
        <v>377</v>
      </c>
      <c r="D191" s="116" t="s">
        <v>249</v>
      </c>
      <c r="E191" s="116" t="s">
        <v>889</v>
      </c>
      <c r="F191" s="116" t="s">
        <v>205</v>
      </c>
      <c r="G191" s="116" t="s">
        <v>472</v>
      </c>
      <c r="H191" s="116" t="s">
        <v>427</v>
      </c>
      <c r="I191" s="116" t="s">
        <v>890</v>
      </c>
      <c r="J191" s="117">
        <v>4.04</v>
      </c>
      <c r="K191" s="117" t="s">
        <v>255</v>
      </c>
      <c r="L191" s="116">
        <v>3.3000000000000002E-2</v>
      </c>
      <c r="M191" s="116">
        <v>4.7400000000000005E-2</v>
      </c>
      <c r="N191" s="69">
        <v>287770.49712003133</v>
      </c>
      <c r="O191" s="60">
        <v>99.9</v>
      </c>
      <c r="P191" s="84">
        <v>0</v>
      </c>
      <c r="Q191" s="84">
        <v>287.48273</v>
      </c>
      <c r="R191" s="24">
        <v>1.1068096043078128E-3</v>
      </c>
      <c r="S191" s="24">
        <v>1.5743657569525528E-3</v>
      </c>
      <c r="T191" s="24">
        <v>5.4034810431771913E-4</v>
      </c>
    </row>
    <row r="192" spans="1:20" x14ac:dyDescent="0.25">
      <c r="A192" s="16" t="s">
        <v>957</v>
      </c>
      <c r="B192" s="116" t="s">
        <v>958</v>
      </c>
      <c r="C192" s="116" t="s">
        <v>377</v>
      </c>
      <c r="D192" s="116" t="s">
        <v>249</v>
      </c>
      <c r="E192" s="116" t="s">
        <v>959</v>
      </c>
      <c r="F192" s="116" t="s">
        <v>223</v>
      </c>
      <c r="G192" s="116" t="s">
        <v>960</v>
      </c>
      <c r="H192" s="116" t="s">
        <v>254</v>
      </c>
      <c r="I192" s="116" t="s">
        <v>961</v>
      </c>
      <c r="J192" s="117">
        <v>4.1900000000000004</v>
      </c>
      <c r="K192" s="117" t="s">
        <v>255</v>
      </c>
      <c r="L192" s="116">
        <v>9.3999999999999986E-3</v>
      </c>
      <c r="M192" s="116">
        <v>5.8200000000000002E-2</v>
      </c>
      <c r="N192" s="69">
        <v>158911.51871380262</v>
      </c>
      <c r="O192" s="60">
        <v>89.04</v>
      </c>
      <c r="P192" s="84">
        <v>0</v>
      </c>
      <c r="Q192" s="84">
        <v>141.49482</v>
      </c>
      <c r="R192" s="24">
        <v>3.880812706696362E-4</v>
      </c>
      <c r="S192" s="24">
        <v>7.7487993589794152E-4</v>
      </c>
      <c r="T192" s="24">
        <v>2.6595148083426401E-4</v>
      </c>
    </row>
    <row r="193" spans="1:20" x14ac:dyDescent="0.25">
      <c r="A193" s="16" t="s">
        <v>2813</v>
      </c>
      <c r="B193" s="116" t="s">
        <v>416</v>
      </c>
      <c r="C193" s="116" t="s">
        <v>377</v>
      </c>
      <c r="D193" s="116" t="s">
        <v>249</v>
      </c>
      <c r="E193" s="116" t="s">
        <v>417</v>
      </c>
      <c r="F193" s="116" t="s">
        <v>228</v>
      </c>
      <c r="G193" s="116" t="s">
        <v>418</v>
      </c>
      <c r="H193" s="116" t="s">
        <v>254</v>
      </c>
      <c r="I193" s="116" t="s">
        <v>419</v>
      </c>
      <c r="J193" s="117">
        <v>1.1499999999999999</v>
      </c>
      <c r="K193" s="117" t="s">
        <v>255</v>
      </c>
      <c r="L193" s="116">
        <v>4.9500000000000002E-2</v>
      </c>
      <c r="M193" s="116">
        <v>0.1242</v>
      </c>
      <c r="N193" s="69">
        <v>341578.92712956091</v>
      </c>
      <c r="O193" s="60">
        <v>128.6</v>
      </c>
      <c r="P193" s="84">
        <v>0</v>
      </c>
      <c r="Q193" s="84">
        <v>439.27050000000003</v>
      </c>
      <c r="R193" s="24">
        <v>6.2064299184679526E-4</v>
      </c>
      <c r="S193" s="24">
        <v>2.405613837183981E-3</v>
      </c>
      <c r="T193" s="24">
        <v>8.256460551828511E-4</v>
      </c>
    </row>
    <row r="194" spans="1:20" x14ac:dyDescent="0.25">
      <c r="A194" s="16" t="s">
        <v>877</v>
      </c>
      <c r="B194" s="116" t="s">
        <v>878</v>
      </c>
      <c r="C194" s="116" t="s">
        <v>377</v>
      </c>
      <c r="D194" s="116" t="s">
        <v>249</v>
      </c>
      <c r="E194" s="116" t="s">
        <v>879</v>
      </c>
      <c r="F194" s="116" t="s">
        <v>223</v>
      </c>
      <c r="G194" s="116" t="s">
        <v>431</v>
      </c>
      <c r="H194" s="116" t="s">
        <v>431</v>
      </c>
      <c r="I194" s="116" t="s">
        <v>880</v>
      </c>
      <c r="J194" s="117">
        <v>3.25</v>
      </c>
      <c r="K194" s="117" t="s">
        <v>255</v>
      </c>
      <c r="L194" s="116">
        <v>1.9E-2</v>
      </c>
      <c r="M194" s="116">
        <v>3.5499999999999997E-2</v>
      </c>
      <c r="N194" s="69">
        <v>691745.81724551762</v>
      </c>
      <c r="O194" s="60">
        <v>101.4</v>
      </c>
      <c r="P194" s="84">
        <v>18.102858148999999</v>
      </c>
      <c r="Q194" s="84">
        <v>709.01166000000001</v>
      </c>
      <c r="R194" s="24">
        <v>1.2914045826732813E-3</v>
      </c>
      <c r="S194" s="24">
        <v>3.8828199481203136E-3</v>
      </c>
      <c r="T194" s="24">
        <v>1.3326473782274129E-3</v>
      </c>
    </row>
    <row r="195" spans="1:20" x14ac:dyDescent="0.25">
      <c r="A195" s="16" t="s">
        <v>976</v>
      </c>
      <c r="B195" s="116" t="s">
        <v>977</v>
      </c>
      <c r="C195" s="116" t="s">
        <v>377</v>
      </c>
      <c r="D195" s="116" t="s">
        <v>249</v>
      </c>
      <c r="E195" s="116" t="s">
        <v>978</v>
      </c>
      <c r="F195" s="116" t="s">
        <v>231</v>
      </c>
      <c r="G195" s="116" t="s">
        <v>431</v>
      </c>
      <c r="H195" s="116" t="s">
        <v>431</v>
      </c>
      <c r="I195" s="116" t="s">
        <v>979</v>
      </c>
      <c r="J195" s="117">
        <v>3.15</v>
      </c>
      <c r="K195" s="117" t="s">
        <v>255</v>
      </c>
      <c r="L195" s="116">
        <v>1.5800000000000002E-2</v>
      </c>
      <c r="M195" s="116">
        <v>6.3299999999999995E-2</v>
      </c>
      <c r="N195" s="69">
        <v>288633.91661820299</v>
      </c>
      <c r="O195" s="60">
        <v>95.09</v>
      </c>
      <c r="P195" s="84">
        <v>0</v>
      </c>
      <c r="Q195" s="84">
        <v>274.46199000000001</v>
      </c>
      <c r="R195" s="24">
        <v>3.4085764327754545E-4</v>
      </c>
      <c r="S195" s="24">
        <v>1.5030591877329604E-3</v>
      </c>
      <c r="T195" s="24">
        <v>5.158745222844127E-4</v>
      </c>
    </row>
    <row r="196" spans="1:20" x14ac:dyDescent="0.25">
      <c r="A196" s="16" t="s">
        <v>881</v>
      </c>
      <c r="B196" s="116" t="s">
        <v>882</v>
      </c>
      <c r="C196" s="116" t="s">
        <v>377</v>
      </c>
      <c r="D196" s="116" t="s">
        <v>249</v>
      </c>
      <c r="E196" s="116" t="s">
        <v>630</v>
      </c>
      <c r="F196" s="116" t="s">
        <v>223</v>
      </c>
      <c r="G196" s="116" t="s">
        <v>431</v>
      </c>
      <c r="H196" s="116" t="s">
        <v>431</v>
      </c>
      <c r="I196" s="116" t="s">
        <v>883</v>
      </c>
      <c r="J196" s="117">
        <v>0</v>
      </c>
      <c r="K196" s="117" t="s">
        <v>255</v>
      </c>
      <c r="L196" s="116">
        <v>8.5000000000000006E-3</v>
      </c>
      <c r="M196" s="116">
        <v>3.3700000000000001E-2</v>
      </c>
      <c r="N196" s="69">
        <v>375224.09160366392</v>
      </c>
      <c r="O196" s="60">
        <v>96.359786999999997</v>
      </c>
      <c r="P196" s="84">
        <v>0</v>
      </c>
      <c r="Q196" s="84">
        <v>361.56514000000004</v>
      </c>
      <c r="R196" s="24">
        <v>5.9719579762165798E-4</v>
      </c>
      <c r="S196" s="24">
        <v>1.9800694647770871E-3</v>
      </c>
      <c r="T196" s="24">
        <v>6.795922592858735E-4</v>
      </c>
    </row>
    <row r="197" spans="1:20" x14ac:dyDescent="0.25">
      <c r="A197" s="16" t="s">
        <v>722</v>
      </c>
      <c r="B197" s="116" t="s">
        <v>723</v>
      </c>
      <c r="C197" s="116" t="s">
        <v>377</v>
      </c>
      <c r="D197" s="116" t="s">
        <v>249</v>
      </c>
      <c r="E197" s="116" t="s">
        <v>724</v>
      </c>
      <c r="F197" s="116" t="s">
        <v>231</v>
      </c>
      <c r="G197" s="116" t="s">
        <v>431</v>
      </c>
      <c r="H197" s="116" t="s">
        <v>431</v>
      </c>
      <c r="I197" s="116" t="s">
        <v>725</v>
      </c>
      <c r="J197" s="117">
        <v>2.36</v>
      </c>
      <c r="K197" s="117" t="s">
        <v>255</v>
      </c>
      <c r="L197" s="116">
        <v>1.6500000000000001E-2</v>
      </c>
      <c r="M197" s="116">
        <v>3.6499999999999998E-2</v>
      </c>
      <c r="N197" s="69">
        <v>232989.63895240688</v>
      </c>
      <c r="O197" s="60">
        <v>106.4</v>
      </c>
      <c r="P197" s="84">
        <v>10.207182921999999</v>
      </c>
      <c r="Q197" s="84">
        <v>250.39339999999999</v>
      </c>
      <c r="R197" s="24">
        <v>9.221771445646138E-4</v>
      </c>
      <c r="S197" s="24">
        <v>1.3712503520713171E-3</v>
      </c>
      <c r="T197" s="24">
        <v>4.7063557182606546E-4</v>
      </c>
    </row>
    <row r="198" spans="1:20" x14ac:dyDescent="0.25">
      <c r="A198" s="16" t="s">
        <v>873</v>
      </c>
      <c r="B198" s="116" t="s">
        <v>874</v>
      </c>
      <c r="C198" s="116" t="s">
        <v>377</v>
      </c>
      <c r="D198" s="116" t="s">
        <v>249</v>
      </c>
      <c r="E198" s="116" t="s">
        <v>875</v>
      </c>
      <c r="F198" s="116" t="s">
        <v>231</v>
      </c>
      <c r="G198" s="116" t="s">
        <v>431</v>
      </c>
      <c r="H198" s="116" t="s">
        <v>431</v>
      </c>
      <c r="I198" s="116" t="s">
        <v>876</v>
      </c>
      <c r="J198" s="117">
        <v>2.87</v>
      </c>
      <c r="K198" s="117" t="s">
        <v>255</v>
      </c>
      <c r="L198" s="116">
        <v>2.9500000000000002E-2</v>
      </c>
      <c r="M198" s="116">
        <v>5.3600000000000002E-2</v>
      </c>
      <c r="N198" s="69">
        <v>260064.93155133325</v>
      </c>
      <c r="O198" s="60">
        <v>100.70000000000002</v>
      </c>
      <c r="P198" s="84">
        <v>0</v>
      </c>
      <c r="Q198" s="84">
        <v>261.88539000000003</v>
      </c>
      <c r="R198" s="24">
        <v>1.4290773847343034E-3</v>
      </c>
      <c r="S198" s="24">
        <v>1.4341848996013242E-3</v>
      </c>
      <c r="T198" s="24">
        <v>4.9223573894336748E-4</v>
      </c>
    </row>
    <row r="199" spans="1:20" x14ac:dyDescent="0.25">
      <c r="A199" s="16" t="s">
        <v>708</v>
      </c>
      <c r="B199" s="116" t="s">
        <v>709</v>
      </c>
      <c r="C199" s="116" t="s">
        <v>377</v>
      </c>
      <c r="D199" s="116" t="s">
        <v>249</v>
      </c>
      <c r="E199" s="116" t="s">
        <v>710</v>
      </c>
      <c r="F199" s="116" t="s">
        <v>228</v>
      </c>
      <c r="G199" s="116" t="s">
        <v>431</v>
      </c>
      <c r="H199" s="116" t="s">
        <v>431</v>
      </c>
      <c r="I199" s="116" t="s">
        <v>711</v>
      </c>
      <c r="J199" s="117">
        <v>3.31</v>
      </c>
      <c r="K199" s="117" t="s">
        <v>255</v>
      </c>
      <c r="L199" s="116">
        <v>3.7000000000000005E-2</v>
      </c>
      <c r="M199" s="116">
        <v>6.5599999999999992E-2</v>
      </c>
      <c r="N199" s="69">
        <v>544317.7469735695</v>
      </c>
      <c r="O199" s="60">
        <v>102.66999999999999</v>
      </c>
      <c r="P199" s="84">
        <v>0</v>
      </c>
      <c r="Q199" s="84">
        <v>558.85103000000004</v>
      </c>
      <c r="R199" s="24">
        <v>6.1934803899699273E-4</v>
      </c>
      <c r="S199" s="24">
        <v>3.0604827109776784E-3</v>
      </c>
      <c r="T199" s="24">
        <v>1.0504077746044253E-3</v>
      </c>
    </row>
    <row r="200" spans="1:20" x14ac:dyDescent="0.25">
      <c r="A200" s="16" t="s">
        <v>782</v>
      </c>
      <c r="B200" s="116" t="s">
        <v>783</v>
      </c>
      <c r="C200" s="116" t="s">
        <v>377</v>
      </c>
      <c r="D200" s="116" t="s">
        <v>249</v>
      </c>
      <c r="E200" s="116" t="s">
        <v>710</v>
      </c>
      <c r="F200" s="116" t="s">
        <v>228</v>
      </c>
      <c r="G200" s="116" t="s">
        <v>431</v>
      </c>
      <c r="H200" s="116" t="s">
        <v>431</v>
      </c>
      <c r="I200" s="116" t="s">
        <v>784</v>
      </c>
      <c r="J200" s="117">
        <v>4.78</v>
      </c>
      <c r="K200" s="117" t="s">
        <v>255</v>
      </c>
      <c r="L200" s="116">
        <v>2.5000000000000001E-2</v>
      </c>
      <c r="M200" s="116">
        <v>6.5299999999999997E-2</v>
      </c>
      <c r="N200" s="69">
        <v>151053.06201906712</v>
      </c>
      <c r="O200" s="60">
        <v>91.65</v>
      </c>
      <c r="P200" s="84">
        <v>0</v>
      </c>
      <c r="Q200" s="84">
        <v>138.44013000000001</v>
      </c>
      <c r="R200" s="24">
        <v>1.0571282946257058E-3</v>
      </c>
      <c r="S200" s="24">
        <v>7.5815128115716665E-4</v>
      </c>
      <c r="T200" s="24">
        <v>2.6020993263490508E-4</v>
      </c>
    </row>
    <row r="201" spans="1:20" x14ac:dyDescent="0.25">
      <c r="A201" s="16" t="s">
        <v>2814</v>
      </c>
      <c r="B201" s="116" t="s">
        <v>429</v>
      </c>
      <c r="C201" s="116" t="s">
        <v>377</v>
      </c>
      <c r="D201" s="116" t="s">
        <v>249</v>
      </c>
      <c r="E201" s="116" t="s">
        <v>430</v>
      </c>
      <c r="F201" s="116" t="s">
        <v>228</v>
      </c>
      <c r="G201" s="116" t="s">
        <v>431</v>
      </c>
      <c r="H201" s="116" t="s">
        <v>431</v>
      </c>
      <c r="I201" s="116" t="s">
        <v>432</v>
      </c>
      <c r="J201" s="117">
        <v>1.66</v>
      </c>
      <c r="K201" s="117" t="s">
        <v>255</v>
      </c>
      <c r="L201" s="116">
        <v>6.3200000000000006E-2</v>
      </c>
      <c r="M201" s="116">
        <v>0.45</v>
      </c>
      <c r="N201" s="69">
        <v>537.06326454247335</v>
      </c>
      <c r="O201" s="60">
        <v>9.77</v>
      </c>
      <c r="P201" s="84">
        <v>0</v>
      </c>
      <c r="Q201" s="84">
        <v>5.2469999999999996E-2</v>
      </c>
      <c r="R201" s="24">
        <v>6.2060504445836709E-6</v>
      </c>
      <c r="S201" s="24">
        <v>2.8734585645301354E-7</v>
      </c>
      <c r="T201" s="24">
        <v>9.8621802546367648E-8</v>
      </c>
    </row>
    <row r="202" spans="1:20" x14ac:dyDescent="0.25">
      <c r="A202" s="16" t="s">
        <v>437</v>
      </c>
      <c r="B202" s="116" t="s">
        <v>438</v>
      </c>
      <c r="C202" s="116" t="s">
        <v>377</v>
      </c>
      <c r="D202" s="116" t="s">
        <v>249</v>
      </c>
      <c r="E202" s="116" t="s">
        <v>430</v>
      </c>
      <c r="F202" s="116" t="s">
        <v>228</v>
      </c>
      <c r="G202" s="116" t="s">
        <v>431</v>
      </c>
      <c r="H202" s="116" t="s">
        <v>431</v>
      </c>
      <c r="I202" s="116" t="s">
        <v>439</v>
      </c>
      <c r="J202" s="117">
        <v>1.26</v>
      </c>
      <c r="K202" s="117" t="s">
        <v>255</v>
      </c>
      <c r="L202" s="116">
        <v>6.7799999999999999E-2</v>
      </c>
      <c r="M202" s="116">
        <v>0.45</v>
      </c>
      <c r="N202" s="69">
        <v>237914.4636982689</v>
      </c>
      <c r="O202" s="60">
        <v>22.6</v>
      </c>
      <c r="P202" s="84">
        <v>0</v>
      </c>
      <c r="Q202" s="84">
        <v>53.76867</v>
      </c>
      <c r="R202" s="24">
        <v>5.2387302956945605E-4</v>
      </c>
      <c r="S202" s="24">
        <v>2.9445787176461701E-4</v>
      </c>
      <c r="T202" s="24">
        <v>1.0106276264381174E-4</v>
      </c>
    </row>
    <row r="203" spans="1:20" x14ac:dyDescent="0.25">
      <c r="A203" s="16" t="s">
        <v>767</v>
      </c>
      <c r="B203" s="116" t="s">
        <v>768</v>
      </c>
      <c r="C203" s="116" t="s">
        <v>377</v>
      </c>
      <c r="D203" s="116" t="s">
        <v>249</v>
      </c>
      <c r="E203" s="116" t="s">
        <v>769</v>
      </c>
      <c r="F203" s="116" t="s">
        <v>223</v>
      </c>
      <c r="G203" s="116" t="s">
        <v>431</v>
      </c>
      <c r="H203" s="116" t="s">
        <v>431</v>
      </c>
      <c r="I203" s="116" t="s">
        <v>770</v>
      </c>
      <c r="J203" s="117">
        <v>6.09</v>
      </c>
      <c r="K203" s="117" t="s">
        <v>255</v>
      </c>
      <c r="L203" s="116">
        <v>6.4000000000000003E-3</v>
      </c>
      <c r="M203" s="116">
        <v>3.5000000000000003E-2</v>
      </c>
      <c r="N203" s="69">
        <v>195655.11852231479</v>
      </c>
      <c r="O203" s="60">
        <v>92.96</v>
      </c>
      <c r="P203" s="84">
        <v>0</v>
      </c>
      <c r="Q203" s="84">
        <v>181.881</v>
      </c>
      <c r="R203" s="24">
        <v>8.7658151294232715E-4</v>
      </c>
      <c r="S203" s="24">
        <v>9.9605015661388512E-4</v>
      </c>
      <c r="T203" s="24">
        <v>3.4186072172547922E-4</v>
      </c>
    </row>
    <row r="204" spans="1:20" x14ac:dyDescent="0.25">
      <c r="A204" s="16" t="s">
        <v>973</v>
      </c>
      <c r="B204" s="116" t="s">
        <v>974</v>
      </c>
      <c r="C204" s="116" t="s">
        <v>377</v>
      </c>
      <c r="D204" s="116" t="s">
        <v>249</v>
      </c>
      <c r="E204" s="116" t="s">
        <v>959</v>
      </c>
      <c r="F204" s="116" t="s">
        <v>223</v>
      </c>
      <c r="G204" s="116" t="s">
        <v>431</v>
      </c>
      <c r="H204" s="116" t="s">
        <v>431</v>
      </c>
      <c r="I204" s="116" t="s">
        <v>975</v>
      </c>
      <c r="J204" s="117">
        <v>3.85</v>
      </c>
      <c r="K204" s="117" t="s">
        <v>255</v>
      </c>
      <c r="L204" s="116">
        <v>1.0800000000000001E-2</v>
      </c>
      <c r="M204" s="116">
        <v>3.8800000000000001E-2</v>
      </c>
      <c r="N204" s="69">
        <v>99878.52260050636</v>
      </c>
      <c r="O204" s="60">
        <v>100.35000000000001</v>
      </c>
      <c r="P204" s="84">
        <v>0</v>
      </c>
      <c r="Q204" s="84">
        <v>100.22810000000001</v>
      </c>
      <c r="R204" s="24">
        <v>3.2832097104140679E-4</v>
      </c>
      <c r="S204" s="24">
        <v>5.4888754021647211E-4</v>
      </c>
      <c r="T204" s="24">
        <v>1.8838719054312166E-4</v>
      </c>
    </row>
    <row r="205" spans="1:20" x14ac:dyDescent="0.25">
      <c r="A205" s="16" t="s">
        <v>891</v>
      </c>
      <c r="B205" s="116" t="s">
        <v>892</v>
      </c>
      <c r="C205" s="116" t="s">
        <v>377</v>
      </c>
      <c r="D205" s="116" t="s">
        <v>249</v>
      </c>
      <c r="E205" s="116" t="s">
        <v>893</v>
      </c>
      <c r="F205" s="116" t="s">
        <v>223</v>
      </c>
      <c r="G205" s="116" t="s">
        <v>431</v>
      </c>
      <c r="H205" s="116" t="s">
        <v>431</v>
      </c>
      <c r="I205" s="116" t="s">
        <v>894</v>
      </c>
      <c r="J205" s="117">
        <v>3.05</v>
      </c>
      <c r="K205" s="117" t="s">
        <v>255</v>
      </c>
      <c r="L205" s="116">
        <v>3.4300000000000004E-2</v>
      </c>
      <c r="M205" s="116">
        <v>4.53E-2</v>
      </c>
      <c r="N205" s="69">
        <v>466011.00373675348</v>
      </c>
      <c r="O205" s="60">
        <v>102.02</v>
      </c>
      <c r="P205" s="84">
        <v>0</v>
      </c>
      <c r="Q205" s="84">
        <v>475.42442999999997</v>
      </c>
      <c r="R205" s="24">
        <v>7.0182380080836371E-4</v>
      </c>
      <c r="S205" s="24">
        <v>2.603606632686026E-3</v>
      </c>
      <c r="T205" s="24">
        <v>8.9360042426490168E-4</v>
      </c>
    </row>
    <row r="206" spans="1:20" s="118" customFormat="1" x14ac:dyDescent="0.25">
      <c r="A206" s="92" t="s">
        <v>139</v>
      </c>
      <c r="B206" s="130" t="s">
        <v>249</v>
      </c>
      <c r="C206" s="130" t="s">
        <v>249</v>
      </c>
      <c r="D206" s="130" t="s">
        <v>249</v>
      </c>
      <c r="E206" s="130" t="s">
        <v>249</v>
      </c>
      <c r="F206" s="130" t="s">
        <v>249</v>
      </c>
      <c r="G206" s="130" t="s">
        <v>249</v>
      </c>
      <c r="H206" s="130" t="s">
        <v>249</v>
      </c>
      <c r="I206" s="130" t="s">
        <v>249</v>
      </c>
      <c r="J206" s="131" t="s">
        <v>249</v>
      </c>
      <c r="K206" s="131" t="s">
        <v>249</v>
      </c>
      <c r="L206" s="130" t="s">
        <v>249</v>
      </c>
      <c r="M206" s="130" t="s">
        <v>249</v>
      </c>
      <c r="N206" s="134" t="s">
        <v>249</v>
      </c>
      <c r="O206" s="135" t="s">
        <v>249</v>
      </c>
      <c r="P206" s="123" t="s">
        <v>249</v>
      </c>
      <c r="Q206" s="123">
        <v>483.70778009999992</v>
      </c>
      <c r="R206" s="136"/>
      <c r="S206" s="136">
        <v>2.6489694367413841E-3</v>
      </c>
      <c r="T206" s="136">
        <v>9.0916968132578652E-4</v>
      </c>
    </row>
    <row r="207" spans="1:20" x14ac:dyDescent="0.25">
      <c r="A207" s="16" t="s">
        <v>1362</v>
      </c>
      <c r="B207" s="116" t="s">
        <v>1363</v>
      </c>
      <c r="C207" s="116" t="s">
        <v>377</v>
      </c>
      <c r="D207" s="116" t="s">
        <v>249</v>
      </c>
      <c r="E207" s="116" t="s">
        <v>963</v>
      </c>
      <c r="F207" s="116" t="s">
        <v>226</v>
      </c>
      <c r="G207" s="116" t="s">
        <v>472</v>
      </c>
      <c r="H207" s="116" t="s">
        <v>427</v>
      </c>
      <c r="I207" s="116" t="s">
        <v>964</v>
      </c>
      <c r="J207" s="117">
        <v>0</v>
      </c>
      <c r="K207" s="117" t="s">
        <v>255</v>
      </c>
      <c r="L207" s="116">
        <v>4.7500000000000001E-2</v>
      </c>
      <c r="M207" s="116">
        <v>5.8899999999999994E-2</v>
      </c>
      <c r="N207" s="69">
        <v>3695.842541985</v>
      </c>
      <c r="O207" s="60">
        <v>100.25</v>
      </c>
      <c r="P207" s="84">
        <v>0</v>
      </c>
      <c r="Q207" s="84">
        <v>3.7050799999999997</v>
      </c>
      <c r="R207" s="24">
        <v>1.6799284281749999E-5</v>
      </c>
      <c r="S207" s="24">
        <v>2.0290439981454763E-5</v>
      </c>
      <c r="T207" s="24">
        <v>6.9640112098055241E-6</v>
      </c>
    </row>
    <row r="208" spans="1:20" x14ac:dyDescent="0.25">
      <c r="A208" s="16" t="s">
        <v>1188</v>
      </c>
      <c r="B208" s="116" t="s">
        <v>1189</v>
      </c>
      <c r="C208" s="116" t="s">
        <v>377</v>
      </c>
      <c r="D208" s="116" t="s">
        <v>249</v>
      </c>
      <c r="E208" s="116" t="s">
        <v>1190</v>
      </c>
      <c r="F208" s="116" t="s">
        <v>226</v>
      </c>
      <c r="G208" s="116" t="s">
        <v>588</v>
      </c>
      <c r="H208" s="116" t="s">
        <v>427</v>
      </c>
      <c r="I208" s="116" t="s">
        <v>1191</v>
      </c>
      <c r="J208" s="117">
        <v>3.18</v>
      </c>
      <c r="K208" s="117" t="s">
        <v>255</v>
      </c>
      <c r="L208" s="116">
        <v>2.5499999999999998E-2</v>
      </c>
      <c r="M208" s="116">
        <v>6.2300000000000001E-2</v>
      </c>
      <c r="N208" s="69">
        <v>7436.4551765808637</v>
      </c>
      <c r="O208" s="60">
        <v>89.91</v>
      </c>
      <c r="P208" s="84">
        <v>0</v>
      </c>
      <c r="Q208" s="84">
        <v>6.6861199999999998</v>
      </c>
      <c r="R208" s="24">
        <v>1.2771050810731531E-5</v>
      </c>
      <c r="S208" s="24">
        <v>3.6615759057511393E-5</v>
      </c>
      <c r="T208" s="24">
        <v>1.2567128005361534E-5</v>
      </c>
    </row>
    <row r="209" spans="1:20" x14ac:dyDescent="0.25">
      <c r="A209" s="16" t="s">
        <v>1399</v>
      </c>
      <c r="B209" s="116" t="s">
        <v>1400</v>
      </c>
      <c r="C209" s="116" t="s">
        <v>377</v>
      </c>
      <c r="D209" s="116" t="s">
        <v>249</v>
      </c>
      <c r="E209" s="116" t="s">
        <v>1401</v>
      </c>
      <c r="F209" s="116" t="s">
        <v>201</v>
      </c>
      <c r="G209" s="116" t="s">
        <v>588</v>
      </c>
      <c r="H209" s="116" t="s">
        <v>427</v>
      </c>
      <c r="I209" s="116" t="s">
        <v>1402</v>
      </c>
      <c r="J209" s="117">
        <v>2.0499999999999998</v>
      </c>
      <c r="K209" s="117" t="s">
        <v>255</v>
      </c>
      <c r="L209" s="116">
        <v>3.27E-2</v>
      </c>
      <c r="M209" s="116">
        <v>5.6600000000000004E-2</v>
      </c>
      <c r="N209" s="69">
        <v>1688.4863195738092</v>
      </c>
      <c r="O209" s="60">
        <v>96.6</v>
      </c>
      <c r="P209" s="84">
        <v>0</v>
      </c>
      <c r="Q209" s="84">
        <v>1.6310799999999999</v>
      </c>
      <c r="R209" s="24">
        <v>5.3502020627004057E-6</v>
      </c>
      <c r="S209" s="24">
        <v>8.9324200408496537E-6</v>
      </c>
      <c r="T209" s="24">
        <v>3.065752805361718E-6</v>
      </c>
    </row>
    <row r="210" spans="1:20" x14ac:dyDescent="0.25">
      <c r="A210" s="16" t="s">
        <v>1138</v>
      </c>
      <c r="B210" s="116" t="s">
        <v>1139</v>
      </c>
      <c r="C210" s="116" t="s">
        <v>377</v>
      </c>
      <c r="D210" s="116" t="s">
        <v>249</v>
      </c>
      <c r="E210" s="116" t="s">
        <v>1140</v>
      </c>
      <c r="F210" s="116" t="s">
        <v>212</v>
      </c>
      <c r="G210" s="116" t="s">
        <v>443</v>
      </c>
      <c r="H210" s="116" t="s">
        <v>254</v>
      </c>
      <c r="I210" s="116" t="s">
        <v>1141</v>
      </c>
      <c r="J210" s="117">
        <v>8.17</v>
      </c>
      <c r="K210" s="117" t="s">
        <v>255</v>
      </c>
      <c r="L210" s="116">
        <v>2.4E-2</v>
      </c>
      <c r="M210" s="116">
        <v>5.3800000000000001E-2</v>
      </c>
      <c r="N210" s="69">
        <v>3463.5487586506738</v>
      </c>
      <c r="O210" s="60">
        <v>79.239999999999995</v>
      </c>
      <c r="P210" s="84">
        <v>0</v>
      </c>
      <c r="Q210" s="84">
        <v>2.7445200000000001</v>
      </c>
      <c r="R210" s="24">
        <v>4.6116541973127407E-6</v>
      </c>
      <c r="S210" s="24">
        <v>1.5030044786590904E-5</v>
      </c>
      <c r="T210" s="24">
        <v>5.1585574523452823E-6</v>
      </c>
    </row>
    <row r="211" spans="1:20" x14ac:dyDescent="0.25">
      <c r="A211" s="16" t="s">
        <v>1341</v>
      </c>
      <c r="B211" s="116" t="s">
        <v>1342</v>
      </c>
      <c r="C211" s="116" t="s">
        <v>377</v>
      </c>
      <c r="D211" s="116" t="s">
        <v>249</v>
      </c>
      <c r="E211" s="116" t="s">
        <v>1343</v>
      </c>
      <c r="F211" s="116" t="s">
        <v>201</v>
      </c>
      <c r="G211" s="116" t="s">
        <v>1317</v>
      </c>
      <c r="H211" s="116" t="s">
        <v>427</v>
      </c>
      <c r="I211" s="116" t="s">
        <v>1344</v>
      </c>
      <c r="J211" s="117">
        <v>1.32</v>
      </c>
      <c r="K211" s="117" t="s">
        <v>255</v>
      </c>
      <c r="L211" s="116">
        <v>3.1800000000000002E-2</v>
      </c>
      <c r="M211" s="116">
        <v>6.8199999999999997E-2</v>
      </c>
      <c r="N211" s="69">
        <v>1590.9762179031338</v>
      </c>
      <c r="O211" s="60">
        <v>96.05</v>
      </c>
      <c r="P211" s="84">
        <v>0</v>
      </c>
      <c r="Q211" s="84">
        <v>1.5281300000000002</v>
      </c>
      <c r="R211" s="24">
        <v>1.4463420162755762E-5</v>
      </c>
      <c r="S211" s="24">
        <v>8.3686263316474861E-6</v>
      </c>
      <c r="T211" s="24">
        <v>2.8722495735692933E-6</v>
      </c>
    </row>
    <row r="212" spans="1:20" x14ac:dyDescent="0.25">
      <c r="A212" s="16" t="s">
        <v>1345</v>
      </c>
      <c r="B212" s="116" t="s">
        <v>1346</v>
      </c>
      <c r="C212" s="116" t="s">
        <v>377</v>
      </c>
      <c r="D212" s="116" t="s">
        <v>249</v>
      </c>
      <c r="E212" s="116" t="s">
        <v>1343</v>
      </c>
      <c r="F212" s="116" t="s">
        <v>201</v>
      </c>
      <c r="G212" s="116" t="s">
        <v>1317</v>
      </c>
      <c r="H212" s="116" t="s">
        <v>427</v>
      </c>
      <c r="I212" s="116" t="s">
        <v>1344</v>
      </c>
      <c r="J212" s="117">
        <v>2.72</v>
      </c>
      <c r="K212" s="117" t="s">
        <v>255</v>
      </c>
      <c r="L212" s="116">
        <v>3.2000000000000001E-2</v>
      </c>
      <c r="M212" s="116">
        <v>7.22E-2</v>
      </c>
      <c r="N212" s="69">
        <v>1138.5714921956062</v>
      </c>
      <c r="O212" s="60">
        <v>90.65</v>
      </c>
      <c r="P212" s="84">
        <v>0</v>
      </c>
      <c r="Q212" s="84">
        <v>1.0321199999999999</v>
      </c>
      <c r="R212" s="24">
        <v>7.590476614637375E-6</v>
      </c>
      <c r="S212" s="24">
        <v>5.6522852175011302E-6</v>
      </c>
      <c r="T212" s="24">
        <v>1.9399568295055648E-6</v>
      </c>
    </row>
    <row r="213" spans="1:20" x14ac:dyDescent="0.25">
      <c r="A213" s="16" t="s">
        <v>1347</v>
      </c>
      <c r="B213" s="116" t="s">
        <v>1348</v>
      </c>
      <c r="C213" s="116" t="s">
        <v>377</v>
      </c>
      <c r="D213" s="116" t="s">
        <v>249</v>
      </c>
      <c r="E213" s="116" t="s">
        <v>1343</v>
      </c>
      <c r="F213" s="116" t="s">
        <v>201</v>
      </c>
      <c r="G213" s="116" t="s">
        <v>1317</v>
      </c>
      <c r="H213" s="116" t="s">
        <v>427</v>
      </c>
      <c r="I213" s="116" t="s">
        <v>1344</v>
      </c>
      <c r="J213" s="117">
        <v>0</v>
      </c>
      <c r="K213" s="117" t="s">
        <v>255</v>
      </c>
      <c r="L213" s="116">
        <v>3.2000000000000001E-2</v>
      </c>
      <c r="M213" s="116">
        <v>7.2300000000000003E-2</v>
      </c>
      <c r="N213" s="69">
        <v>1188.5493629338125</v>
      </c>
      <c r="O213" s="60">
        <v>90.619410000000002</v>
      </c>
      <c r="P213" s="84">
        <v>0</v>
      </c>
      <c r="Q213" s="84">
        <v>1.0770599999999999</v>
      </c>
      <c r="R213" s="24">
        <v>7.9236624195587506E-6</v>
      </c>
      <c r="S213" s="24">
        <v>5.8983939041601443E-6</v>
      </c>
      <c r="T213" s="24">
        <v>2.0244253602170904E-6</v>
      </c>
    </row>
    <row r="214" spans="1:20" x14ac:dyDescent="0.25">
      <c r="A214" s="16" t="s">
        <v>1207</v>
      </c>
      <c r="B214" s="116" t="s">
        <v>1208</v>
      </c>
      <c r="C214" s="116" t="s">
        <v>377</v>
      </c>
      <c r="D214" s="116" t="s">
        <v>249</v>
      </c>
      <c r="E214" s="116" t="s">
        <v>623</v>
      </c>
      <c r="F214" s="116" t="s">
        <v>204</v>
      </c>
      <c r="G214" s="116" t="s">
        <v>528</v>
      </c>
      <c r="H214" s="116" t="s">
        <v>254</v>
      </c>
      <c r="I214" s="116" t="s">
        <v>1209</v>
      </c>
      <c r="J214" s="117">
        <v>1.65</v>
      </c>
      <c r="K214" s="117" t="s">
        <v>255</v>
      </c>
      <c r="L214" s="116">
        <v>2.7999999999999997E-2</v>
      </c>
      <c r="M214" s="116">
        <v>6.2300000000000001E-2</v>
      </c>
      <c r="N214" s="69">
        <v>5338.9535470128758</v>
      </c>
      <c r="O214" s="60">
        <v>95.33</v>
      </c>
      <c r="P214" s="84">
        <v>0</v>
      </c>
      <c r="Q214" s="84">
        <v>5.08962</v>
      </c>
      <c r="R214" s="24">
        <v>1.5355566726000937E-5</v>
      </c>
      <c r="S214" s="24">
        <v>2.7872712367455437E-5</v>
      </c>
      <c r="T214" s="24">
        <v>9.5663712345348539E-6</v>
      </c>
    </row>
    <row r="215" spans="1:20" x14ac:dyDescent="0.25">
      <c r="A215" s="16" t="s">
        <v>1310</v>
      </c>
      <c r="B215" s="116" t="s">
        <v>1311</v>
      </c>
      <c r="C215" s="116" t="s">
        <v>377</v>
      </c>
      <c r="D215" s="116" t="s">
        <v>249</v>
      </c>
      <c r="E215" s="116" t="s">
        <v>623</v>
      </c>
      <c r="F215" s="116" t="s">
        <v>204</v>
      </c>
      <c r="G215" s="116" t="s">
        <v>528</v>
      </c>
      <c r="H215" s="116" t="s">
        <v>254</v>
      </c>
      <c r="I215" s="116" t="s">
        <v>1312</v>
      </c>
      <c r="J215" s="117">
        <v>3.43</v>
      </c>
      <c r="K215" s="117" t="s">
        <v>255</v>
      </c>
      <c r="L215" s="116">
        <v>5.6500000000000002E-2</v>
      </c>
      <c r="M215" s="116">
        <v>6.6100000000000006E-2</v>
      </c>
      <c r="N215" s="69">
        <v>5046.8490475797898</v>
      </c>
      <c r="O215" s="60">
        <v>97.13</v>
      </c>
      <c r="P215" s="84">
        <v>0.30906111322999996</v>
      </c>
      <c r="Q215" s="84">
        <v>5.1116700000000002</v>
      </c>
      <c r="R215" s="24">
        <v>1.1951926213605071E-5</v>
      </c>
      <c r="S215" s="24">
        <v>2.7993466629601215E-5</v>
      </c>
      <c r="T215" s="24">
        <v>9.6078160743699486E-6</v>
      </c>
    </row>
    <row r="216" spans="1:20" x14ac:dyDescent="0.25">
      <c r="A216" s="16" t="s">
        <v>1351</v>
      </c>
      <c r="B216" s="116" t="s">
        <v>1352</v>
      </c>
      <c r="C216" s="116" t="s">
        <v>377</v>
      </c>
      <c r="D216" s="116" t="s">
        <v>249</v>
      </c>
      <c r="E216" s="116" t="s">
        <v>955</v>
      </c>
      <c r="F216" s="116" t="s">
        <v>228</v>
      </c>
      <c r="G216" s="116" t="s">
        <v>528</v>
      </c>
      <c r="H216" s="116" t="s">
        <v>254</v>
      </c>
      <c r="I216" s="116" t="s">
        <v>1353</v>
      </c>
      <c r="J216" s="117">
        <v>4.54</v>
      </c>
      <c r="K216" s="117" t="s">
        <v>255</v>
      </c>
      <c r="L216" s="116">
        <v>5.5E-2</v>
      </c>
      <c r="M216" s="116">
        <v>6.7599999999999993E-2</v>
      </c>
      <c r="N216" s="69">
        <v>1679.9284281749999</v>
      </c>
      <c r="O216" s="60">
        <v>96.34</v>
      </c>
      <c r="P216" s="84">
        <v>0</v>
      </c>
      <c r="Q216" s="84">
        <v>1.6184400000000001</v>
      </c>
      <c r="R216" s="24">
        <v>6.9016693227243028E-6</v>
      </c>
      <c r="S216" s="24">
        <v>8.8631985499869508E-6</v>
      </c>
      <c r="T216" s="24">
        <v>3.0419948563587437E-6</v>
      </c>
    </row>
    <row r="217" spans="1:20" x14ac:dyDescent="0.25">
      <c r="A217" s="16" t="s">
        <v>1284</v>
      </c>
      <c r="B217" s="116" t="s">
        <v>1285</v>
      </c>
      <c r="C217" s="116" t="s">
        <v>377</v>
      </c>
      <c r="D217" s="116" t="s">
        <v>249</v>
      </c>
      <c r="E217" s="116" t="s">
        <v>1286</v>
      </c>
      <c r="F217" s="116" t="s">
        <v>235</v>
      </c>
      <c r="G217" s="116" t="s">
        <v>435</v>
      </c>
      <c r="H217" s="116" t="s">
        <v>254</v>
      </c>
      <c r="I217" s="116" t="s">
        <v>1287</v>
      </c>
      <c r="J217" s="117">
        <v>3.25</v>
      </c>
      <c r="K217" s="117" t="s">
        <v>255</v>
      </c>
      <c r="L217" s="116">
        <v>2.1000000000000001E-2</v>
      </c>
      <c r="M217" s="116">
        <v>5.6100000000000004E-2</v>
      </c>
      <c r="N217" s="69">
        <v>614.71285871692612</v>
      </c>
      <c r="O217" s="60">
        <v>89.88</v>
      </c>
      <c r="P217" s="84">
        <v>0</v>
      </c>
      <c r="Q217" s="84">
        <v>0.55249999999999999</v>
      </c>
      <c r="R217" s="24">
        <v>1.4358256553971997E-6</v>
      </c>
      <c r="S217" s="24">
        <v>3.0257020333579186E-6</v>
      </c>
      <c r="T217" s="24">
        <v>1.0384704765936368E-6</v>
      </c>
    </row>
    <row r="218" spans="1:20" x14ac:dyDescent="0.25">
      <c r="A218" s="16" t="s">
        <v>1288</v>
      </c>
      <c r="B218" s="116" t="s">
        <v>1289</v>
      </c>
      <c r="C218" s="116" t="s">
        <v>377</v>
      </c>
      <c r="D218" s="116" t="s">
        <v>249</v>
      </c>
      <c r="E218" s="116" t="s">
        <v>1286</v>
      </c>
      <c r="F218" s="116" t="s">
        <v>235</v>
      </c>
      <c r="G218" s="116" t="s">
        <v>435</v>
      </c>
      <c r="H218" s="116" t="s">
        <v>254</v>
      </c>
      <c r="I218" s="116" t="s">
        <v>1290</v>
      </c>
      <c r="J218" s="117">
        <v>0</v>
      </c>
      <c r="K218" s="117" t="s">
        <v>255</v>
      </c>
      <c r="L218" s="116">
        <v>2.1000000000000001E-2</v>
      </c>
      <c r="M218" s="116">
        <v>5.5599999999999997E-2</v>
      </c>
      <c r="N218" s="69">
        <v>5570.8345996512189</v>
      </c>
      <c r="O218" s="60">
        <v>89.042298000000002</v>
      </c>
      <c r="P218" s="84">
        <v>0</v>
      </c>
      <c r="Q218" s="84">
        <v>4.9603999999999999</v>
      </c>
      <c r="R218" s="24">
        <v>1.3012168407944454E-5</v>
      </c>
      <c r="S218" s="24">
        <v>2.7165054056594784E-5</v>
      </c>
      <c r="T218" s="24">
        <v>9.3234913160091886E-6</v>
      </c>
    </row>
    <row r="219" spans="1:20" x14ac:dyDescent="0.25">
      <c r="A219" s="16" t="s">
        <v>1389</v>
      </c>
      <c r="B219" s="116" t="s">
        <v>1390</v>
      </c>
      <c r="C219" s="116" t="s">
        <v>377</v>
      </c>
      <c r="D219" s="116" t="s">
        <v>249</v>
      </c>
      <c r="E219" s="116" t="s">
        <v>1391</v>
      </c>
      <c r="F219" s="116" t="s">
        <v>224</v>
      </c>
      <c r="G219" s="116" t="s">
        <v>472</v>
      </c>
      <c r="H219" s="116" t="s">
        <v>427</v>
      </c>
      <c r="I219" s="116" t="s">
        <v>1392</v>
      </c>
      <c r="J219" s="117">
        <v>3.06</v>
      </c>
      <c r="K219" s="117" t="s">
        <v>255</v>
      </c>
      <c r="L219" s="116">
        <v>2.8500000000000001E-2</v>
      </c>
      <c r="M219" s="116">
        <v>6.54E-2</v>
      </c>
      <c r="N219" s="69">
        <v>4610.2972184740001</v>
      </c>
      <c r="O219" s="60">
        <v>90.45</v>
      </c>
      <c r="P219" s="84">
        <v>0</v>
      </c>
      <c r="Q219" s="84">
        <v>4.1700100000000004</v>
      </c>
      <c r="R219" s="24">
        <v>8.3605254317016756E-6</v>
      </c>
      <c r="S219" s="24">
        <v>2.2836575088005167E-5</v>
      </c>
      <c r="T219" s="24">
        <v>7.8378864653397876E-6</v>
      </c>
    </row>
    <row r="220" spans="1:20" x14ac:dyDescent="0.25">
      <c r="A220" s="16" t="s">
        <v>1161</v>
      </c>
      <c r="B220" s="116" t="s">
        <v>1162</v>
      </c>
      <c r="C220" s="116" t="s">
        <v>377</v>
      </c>
      <c r="D220" s="116" t="s">
        <v>249</v>
      </c>
      <c r="E220" s="116" t="s">
        <v>1163</v>
      </c>
      <c r="F220" s="116" t="s">
        <v>225</v>
      </c>
      <c r="G220" s="116" t="s">
        <v>576</v>
      </c>
      <c r="H220" s="116" t="s">
        <v>427</v>
      </c>
      <c r="I220" s="116" t="s">
        <v>1164</v>
      </c>
      <c r="J220" s="117">
        <v>3.53</v>
      </c>
      <c r="K220" s="117" t="s">
        <v>255</v>
      </c>
      <c r="L220" s="116">
        <v>1.7000000000000001E-2</v>
      </c>
      <c r="M220" s="116">
        <v>5.9299999999999999E-2</v>
      </c>
      <c r="N220" s="69">
        <v>3299.2074141444045</v>
      </c>
      <c r="O220" s="60">
        <v>87.52</v>
      </c>
      <c r="P220" s="84">
        <v>0</v>
      </c>
      <c r="Q220" s="84">
        <v>2.88747</v>
      </c>
      <c r="R220" s="24">
        <v>1.4303335706860334E-5</v>
      </c>
      <c r="S220" s="24">
        <v>1.5812893846624413E-5</v>
      </c>
      <c r="T220" s="24">
        <v>5.4272440670585141E-6</v>
      </c>
    </row>
    <row r="221" spans="1:20" x14ac:dyDescent="0.25">
      <c r="A221" s="16" t="s">
        <v>1245</v>
      </c>
      <c r="B221" s="116" t="s">
        <v>1246</v>
      </c>
      <c r="C221" s="116" t="s">
        <v>377</v>
      </c>
      <c r="D221" s="116" t="s">
        <v>249</v>
      </c>
      <c r="E221" s="116" t="s">
        <v>1163</v>
      </c>
      <c r="F221" s="116" t="s">
        <v>225</v>
      </c>
      <c r="G221" s="116" t="s">
        <v>576</v>
      </c>
      <c r="H221" s="116" t="s">
        <v>427</v>
      </c>
      <c r="I221" s="116" t="s">
        <v>1247</v>
      </c>
      <c r="J221" s="117">
        <v>4.5999999999999996</v>
      </c>
      <c r="K221" s="117" t="s">
        <v>255</v>
      </c>
      <c r="L221" s="116">
        <v>1.9900000000000001E-2</v>
      </c>
      <c r="M221" s="116">
        <v>5.9900000000000002E-2</v>
      </c>
      <c r="N221" s="69">
        <v>1803.8231497529061</v>
      </c>
      <c r="O221" s="60">
        <v>83.72</v>
      </c>
      <c r="P221" s="84">
        <v>0</v>
      </c>
      <c r="Q221" s="84">
        <v>1.5101600000000002</v>
      </c>
      <c r="R221" s="24">
        <v>8.1991961352404822E-6</v>
      </c>
      <c r="S221" s="24">
        <v>8.2702157152865067E-6</v>
      </c>
      <c r="T221" s="24">
        <v>2.8384734387921211E-6</v>
      </c>
    </row>
    <row r="222" spans="1:20" x14ac:dyDescent="0.25">
      <c r="A222" s="16" t="s">
        <v>1059</v>
      </c>
      <c r="B222" s="116" t="s">
        <v>1060</v>
      </c>
      <c r="C222" s="116" t="s">
        <v>377</v>
      </c>
      <c r="D222" s="116" t="s">
        <v>249</v>
      </c>
      <c r="E222" s="116" t="s">
        <v>463</v>
      </c>
      <c r="F222" s="116" t="s">
        <v>223</v>
      </c>
      <c r="G222" s="116" t="s">
        <v>443</v>
      </c>
      <c r="H222" s="116" t="s">
        <v>254</v>
      </c>
      <c r="I222" s="116" t="s">
        <v>1061</v>
      </c>
      <c r="J222" s="117">
        <v>1.21</v>
      </c>
      <c r="K222" s="117" t="s">
        <v>255</v>
      </c>
      <c r="L222" s="116">
        <v>3.39E-2</v>
      </c>
      <c r="M222" s="116">
        <v>5.6500000000000002E-2</v>
      </c>
      <c r="N222" s="69">
        <v>1760.362490794811</v>
      </c>
      <c r="O222" s="60">
        <v>99.8</v>
      </c>
      <c r="P222" s="84">
        <v>0</v>
      </c>
      <c r="Q222" s="84">
        <v>1.75684</v>
      </c>
      <c r="R222" s="24">
        <v>2.7035593519557482E-6</v>
      </c>
      <c r="S222" s="24">
        <v>9.6211300638633946E-6</v>
      </c>
      <c r="T222" s="24">
        <v>3.3021293612647332E-6</v>
      </c>
    </row>
    <row r="223" spans="1:20" x14ac:dyDescent="0.25">
      <c r="A223" s="16" t="s">
        <v>1145</v>
      </c>
      <c r="B223" s="116" t="s">
        <v>1146</v>
      </c>
      <c r="C223" s="116" t="s">
        <v>377</v>
      </c>
      <c r="D223" s="116" t="s">
        <v>249</v>
      </c>
      <c r="E223" s="116" t="s">
        <v>463</v>
      </c>
      <c r="F223" s="116" t="s">
        <v>223</v>
      </c>
      <c r="G223" s="116" t="s">
        <v>443</v>
      </c>
      <c r="H223" s="116" t="s">
        <v>254</v>
      </c>
      <c r="I223" s="116" t="s">
        <v>488</v>
      </c>
      <c r="J223" s="117">
        <v>6.1</v>
      </c>
      <c r="K223" s="117" t="s">
        <v>255</v>
      </c>
      <c r="L223" s="116">
        <v>2.4399999999999998E-2</v>
      </c>
      <c r="M223" s="116">
        <v>5.5599999999999997E-2</v>
      </c>
      <c r="N223" s="69">
        <v>9624.8939081362078</v>
      </c>
      <c r="O223" s="60">
        <v>84.62</v>
      </c>
      <c r="P223" s="84">
        <v>0</v>
      </c>
      <c r="Q223" s="84">
        <v>8.1445900000000009</v>
      </c>
      <c r="R223" s="24">
        <v>8.7615484472418872E-6</v>
      </c>
      <c r="S223" s="24">
        <v>4.4602900495686106E-5</v>
      </c>
      <c r="T223" s="24">
        <v>1.5308445717574245E-5</v>
      </c>
    </row>
    <row r="224" spans="1:20" x14ac:dyDescent="0.25">
      <c r="A224" s="16" t="s">
        <v>1231</v>
      </c>
      <c r="B224" s="116" t="s">
        <v>1232</v>
      </c>
      <c r="C224" s="116" t="s">
        <v>377</v>
      </c>
      <c r="D224" s="116" t="s">
        <v>249</v>
      </c>
      <c r="E224" s="116" t="s">
        <v>1233</v>
      </c>
      <c r="F224" s="116" t="s">
        <v>231</v>
      </c>
      <c r="G224" s="116" t="s">
        <v>588</v>
      </c>
      <c r="H224" s="116" t="s">
        <v>427</v>
      </c>
      <c r="I224" s="116" t="s">
        <v>1234</v>
      </c>
      <c r="J224" s="117">
        <v>4.6900000000000004</v>
      </c>
      <c r="K224" s="117" t="s">
        <v>255</v>
      </c>
      <c r="L224" s="116">
        <v>1.4999999999999999E-2</v>
      </c>
      <c r="M224" s="116">
        <v>6.0400000000000002E-2</v>
      </c>
      <c r="N224" s="69">
        <v>2507.5463442653136</v>
      </c>
      <c r="O224" s="60">
        <v>81.430000000000007</v>
      </c>
      <c r="P224" s="84">
        <v>0</v>
      </c>
      <c r="Q224" s="84">
        <v>2.04189</v>
      </c>
      <c r="R224" s="24">
        <v>6.4967389804008435E-6</v>
      </c>
      <c r="S224" s="24">
        <v>1.1182173257725248E-5</v>
      </c>
      <c r="T224" s="24">
        <v>3.837904943804129E-6</v>
      </c>
    </row>
    <row r="225" spans="1:20" x14ac:dyDescent="0.25">
      <c r="A225" s="16" t="s">
        <v>1135</v>
      </c>
      <c r="B225" s="116" t="s">
        <v>1136</v>
      </c>
      <c r="C225" s="116" t="s">
        <v>377</v>
      </c>
      <c r="D225" s="116" t="s">
        <v>249</v>
      </c>
      <c r="E225" s="116" t="s">
        <v>843</v>
      </c>
      <c r="F225" s="116" t="s">
        <v>224</v>
      </c>
      <c r="G225" s="116" t="s">
        <v>588</v>
      </c>
      <c r="H225" s="116" t="s">
        <v>427</v>
      </c>
      <c r="I225" s="116" t="s">
        <v>1137</v>
      </c>
      <c r="J225" s="117">
        <v>3.23</v>
      </c>
      <c r="K225" s="117" t="s">
        <v>255</v>
      </c>
      <c r="L225" s="116">
        <v>3.2500000000000001E-2</v>
      </c>
      <c r="M225" s="116">
        <v>6.6500000000000004E-2</v>
      </c>
      <c r="N225" s="69">
        <v>916.4178408501657</v>
      </c>
      <c r="O225" s="60">
        <v>89.97</v>
      </c>
      <c r="P225" s="84">
        <v>1.489179023E-2</v>
      </c>
      <c r="Q225" s="84">
        <v>0.83938999999999997</v>
      </c>
      <c r="R225" s="24">
        <v>2.6697717478453918E-6</v>
      </c>
      <c r="S225" s="24">
        <v>4.5968217733580153E-6</v>
      </c>
      <c r="T225" s="24">
        <v>1.5777044947473898E-6</v>
      </c>
    </row>
    <row r="226" spans="1:20" x14ac:dyDescent="0.25">
      <c r="A226" s="16" t="s">
        <v>1212</v>
      </c>
      <c r="B226" s="116" t="s">
        <v>1213</v>
      </c>
      <c r="C226" s="116" t="s">
        <v>377</v>
      </c>
      <c r="D226" s="116" t="s">
        <v>249</v>
      </c>
      <c r="E226" s="116" t="s">
        <v>843</v>
      </c>
      <c r="F226" s="116" t="s">
        <v>224</v>
      </c>
      <c r="G226" s="116" t="s">
        <v>588</v>
      </c>
      <c r="H226" s="116" t="s">
        <v>427</v>
      </c>
      <c r="I226" s="116" t="s">
        <v>397</v>
      </c>
      <c r="J226" s="117">
        <v>3.42</v>
      </c>
      <c r="K226" s="117" t="s">
        <v>255</v>
      </c>
      <c r="L226" s="116">
        <v>2.3E-2</v>
      </c>
      <c r="M226" s="116">
        <v>5.7699999999999994E-2</v>
      </c>
      <c r="N226" s="69">
        <v>2582.8740922350225</v>
      </c>
      <c r="O226" s="60">
        <v>89.28</v>
      </c>
      <c r="P226" s="84">
        <v>0</v>
      </c>
      <c r="Q226" s="84">
        <v>2.30599</v>
      </c>
      <c r="R226" s="24">
        <v>4.5716068441246742E-6</v>
      </c>
      <c r="S226" s="24">
        <v>1.2628486211589187E-5</v>
      </c>
      <c r="T226" s="24">
        <v>4.3343032295387527E-6</v>
      </c>
    </row>
    <row r="227" spans="1:20" x14ac:dyDescent="0.25">
      <c r="A227" s="16" t="s">
        <v>1169</v>
      </c>
      <c r="B227" s="116" t="s">
        <v>1170</v>
      </c>
      <c r="C227" s="116" t="s">
        <v>377</v>
      </c>
      <c r="D227" s="116" t="s">
        <v>249</v>
      </c>
      <c r="E227" s="116" t="s">
        <v>1171</v>
      </c>
      <c r="F227" s="116" t="s">
        <v>226</v>
      </c>
      <c r="G227" s="116" t="s">
        <v>588</v>
      </c>
      <c r="H227" s="116" t="s">
        <v>427</v>
      </c>
      <c r="I227" s="116" t="s">
        <v>1172</v>
      </c>
      <c r="J227" s="117">
        <v>2.61</v>
      </c>
      <c r="K227" s="117" t="s">
        <v>255</v>
      </c>
      <c r="L227" s="116">
        <v>2.4E-2</v>
      </c>
      <c r="M227" s="116">
        <v>6.0700000000000004E-2</v>
      </c>
      <c r="N227" s="69">
        <v>2442.837614561975</v>
      </c>
      <c r="O227" s="60">
        <v>91.2</v>
      </c>
      <c r="P227" s="84">
        <v>2.9314051379999997E-2</v>
      </c>
      <c r="Q227" s="84">
        <v>2.25718</v>
      </c>
      <c r="R227" s="24">
        <v>9.3736238488899593E-6</v>
      </c>
      <c r="S227" s="24">
        <v>1.2361183919737242E-5</v>
      </c>
      <c r="T227" s="24">
        <v>4.2425607065296389E-6</v>
      </c>
    </row>
    <row r="228" spans="1:20" x14ac:dyDescent="0.25">
      <c r="A228" s="16" t="s">
        <v>1354</v>
      </c>
      <c r="B228" s="116" t="s">
        <v>1355</v>
      </c>
      <c r="C228" s="116" t="s">
        <v>377</v>
      </c>
      <c r="D228" s="116" t="s">
        <v>249</v>
      </c>
      <c r="E228" s="116" t="s">
        <v>1356</v>
      </c>
      <c r="F228" s="116" t="s">
        <v>228</v>
      </c>
      <c r="G228" s="116" t="s">
        <v>443</v>
      </c>
      <c r="H228" s="116" t="s">
        <v>254</v>
      </c>
      <c r="I228" s="116" t="s">
        <v>1357</v>
      </c>
      <c r="J228" s="117">
        <v>6.96</v>
      </c>
      <c r="K228" s="117" t="s">
        <v>255</v>
      </c>
      <c r="L228" s="116">
        <v>5.3099999999999994E-2</v>
      </c>
      <c r="M228" s="116">
        <v>5.6900000000000006E-2</v>
      </c>
      <c r="N228" s="69">
        <v>2513.3409213926175</v>
      </c>
      <c r="O228" s="60">
        <v>99.18</v>
      </c>
      <c r="P228" s="84">
        <v>0</v>
      </c>
      <c r="Q228" s="84">
        <v>2.4927299999999999</v>
      </c>
      <c r="R228" s="24">
        <v>1.5532187506675015E-5</v>
      </c>
      <c r="S228" s="24">
        <v>1.365114611694531E-5</v>
      </c>
      <c r="T228" s="24">
        <v>4.6852968527045365E-6</v>
      </c>
    </row>
    <row r="229" spans="1:20" x14ac:dyDescent="0.25">
      <c r="A229" s="16" t="s">
        <v>1184</v>
      </c>
      <c r="B229" s="116" t="s">
        <v>1185</v>
      </c>
      <c r="C229" s="116" t="s">
        <v>377</v>
      </c>
      <c r="D229" s="116" t="s">
        <v>249</v>
      </c>
      <c r="E229" s="116" t="s">
        <v>1186</v>
      </c>
      <c r="F229" s="116" t="s">
        <v>226</v>
      </c>
      <c r="G229" s="116" t="s">
        <v>431</v>
      </c>
      <c r="H229" s="116" t="s">
        <v>431</v>
      </c>
      <c r="I229" s="116" t="s">
        <v>1187</v>
      </c>
      <c r="J229" s="117">
        <v>0.98</v>
      </c>
      <c r="K229" s="117" t="s">
        <v>255</v>
      </c>
      <c r="L229" s="116">
        <v>4.2000000000000003E-2</v>
      </c>
      <c r="M229" s="116">
        <v>6.4100000000000004E-2</v>
      </c>
      <c r="N229" s="69">
        <v>885.32228164822504</v>
      </c>
      <c r="O229" s="60">
        <v>99</v>
      </c>
      <c r="P229" s="84">
        <v>0</v>
      </c>
      <c r="Q229" s="84">
        <v>0.87647000000000008</v>
      </c>
      <c r="R229" s="24">
        <v>1.0294445135444477E-5</v>
      </c>
      <c r="S229" s="24">
        <v>4.7998860835786692E-6</v>
      </c>
      <c r="T229" s="24">
        <v>1.6473994907149775E-6</v>
      </c>
    </row>
    <row r="230" spans="1:20" x14ac:dyDescent="0.25">
      <c r="A230" s="16" t="s">
        <v>1221</v>
      </c>
      <c r="B230" s="116" t="s">
        <v>1222</v>
      </c>
      <c r="C230" s="116" t="s">
        <v>377</v>
      </c>
      <c r="D230" s="116" t="s">
        <v>249</v>
      </c>
      <c r="E230" s="116" t="s">
        <v>1186</v>
      </c>
      <c r="F230" s="116" t="s">
        <v>226</v>
      </c>
      <c r="G230" s="116" t="s">
        <v>431</v>
      </c>
      <c r="H230" s="116" t="s">
        <v>431</v>
      </c>
      <c r="I230" s="116" t="s">
        <v>1223</v>
      </c>
      <c r="J230" s="117">
        <v>1.04</v>
      </c>
      <c r="K230" s="117" t="s">
        <v>255</v>
      </c>
      <c r="L230" s="116">
        <v>3.0499999999999999E-2</v>
      </c>
      <c r="M230" s="116">
        <v>8.0399999999999985E-2</v>
      </c>
      <c r="N230" s="69">
        <v>1288.0851223031812</v>
      </c>
      <c r="O230" s="60">
        <v>95.88</v>
      </c>
      <c r="P230" s="84">
        <v>0</v>
      </c>
      <c r="Q230" s="84">
        <v>1.23502</v>
      </c>
      <c r="R230" s="24">
        <v>1.2267477355268393E-5</v>
      </c>
      <c r="S230" s="24">
        <v>6.7634434845931163E-6</v>
      </c>
      <c r="T230" s="24">
        <v>2.3213245393713548E-6</v>
      </c>
    </row>
    <row r="231" spans="1:20" x14ac:dyDescent="0.25">
      <c r="A231" s="16" t="s">
        <v>1067</v>
      </c>
      <c r="B231" s="116" t="s">
        <v>1068</v>
      </c>
      <c r="C231" s="116" t="s">
        <v>377</v>
      </c>
      <c r="D231" s="116" t="s">
        <v>249</v>
      </c>
      <c r="E231" s="116" t="s">
        <v>495</v>
      </c>
      <c r="F231" s="116" t="s">
        <v>206</v>
      </c>
      <c r="G231" s="116" t="s">
        <v>426</v>
      </c>
      <c r="H231" s="116" t="s">
        <v>427</v>
      </c>
      <c r="I231" s="116" t="s">
        <v>1069</v>
      </c>
      <c r="J231" s="117">
        <v>1.1299999999999999</v>
      </c>
      <c r="K231" s="117" t="s">
        <v>255</v>
      </c>
      <c r="L231" s="116">
        <v>3.6499999999999998E-2</v>
      </c>
      <c r="M231" s="116">
        <v>5.3200000000000004E-2</v>
      </c>
      <c r="N231" s="69">
        <v>13965.136956142884</v>
      </c>
      <c r="O231" s="60">
        <v>99.41</v>
      </c>
      <c r="P231" s="84">
        <v>0</v>
      </c>
      <c r="Q231" s="84">
        <v>13.88274</v>
      </c>
      <c r="R231" s="24">
        <v>8.7420265345709038E-6</v>
      </c>
      <c r="S231" s="24">
        <v>7.6027212030007805E-5</v>
      </c>
      <c r="T231" s="24">
        <v>2.6093783935249858E-5</v>
      </c>
    </row>
    <row r="232" spans="1:20" x14ac:dyDescent="0.25">
      <c r="A232" s="16" t="s">
        <v>1151</v>
      </c>
      <c r="B232" s="116" t="s">
        <v>1152</v>
      </c>
      <c r="C232" s="116" t="s">
        <v>377</v>
      </c>
      <c r="D232" s="116" t="s">
        <v>249</v>
      </c>
      <c r="E232" s="116" t="s">
        <v>495</v>
      </c>
      <c r="F232" s="116" t="s">
        <v>206</v>
      </c>
      <c r="G232" s="116" t="s">
        <v>426</v>
      </c>
      <c r="H232" s="116" t="s">
        <v>427</v>
      </c>
      <c r="I232" s="116" t="s">
        <v>696</v>
      </c>
      <c r="J232" s="117">
        <v>4.26</v>
      </c>
      <c r="K232" s="117" t="s">
        <v>255</v>
      </c>
      <c r="L232" s="116">
        <v>3.6000000000000004E-2</v>
      </c>
      <c r="M232" s="116">
        <v>5.1200000000000002E-2</v>
      </c>
      <c r="N232" s="69">
        <v>4499.0538698958371</v>
      </c>
      <c r="O232" s="60">
        <v>93.46</v>
      </c>
      <c r="P232" s="84">
        <v>0</v>
      </c>
      <c r="Q232" s="84">
        <v>4.2048199999999998</v>
      </c>
      <c r="R232" s="24">
        <v>5.3895988455397522E-6</v>
      </c>
      <c r="S232" s="24">
        <v>2.3027208007066139E-5</v>
      </c>
      <c r="T232" s="24">
        <v>7.9033148043266177E-6</v>
      </c>
    </row>
    <row r="233" spans="1:20" x14ac:dyDescent="0.25">
      <c r="A233" s="16" t="s">
        <v>1256</v>
      </c>
      <c r="B233" s="116" t="s">
        <v>1257</v>
      </c>
      <c r="C233" s="116" t="s">
        <v>377</v>
      </c>
      <c r="D233" s="116" t="s">
        <v>249</v>
      </c>
      <c r="E233" s="116" t="s">
        <v>495</v>
      </c>
      <c r="F233" s="116" t="s">
        <v>206</v>
      </c>
      <c r="G233" s="116" t="s">
        <v>426</v>
      </c>
      <c r="H233" s="116" t="s">
        <v>427</v>
      </c>
      <c r="I233" s="116" t="s">
        <v>831</v>
      </c>
      <c r="J233" s="117">
        <v>8.59</v>
      </c>
      <c r="K233" s="117" t="s">
        <v>255</v>
      </c>
      <c r="L233" s="116">
        <v>2.7900000000000001E-2</v>
      </c>
      <c r="M233" s="116">
        <v>5.4900000000000004E-2</v>
      </c>
      <c r="N233" s="69">
        <v>7825.9549822953786</v>
      </c>
      <c r="O233" s="60">
        <v>80.599999999999994</v>
      </c>
      <c r="P233" s="84">
        <v>0</v>
      </c>
      <c r="Q233" s="84">
        <v>6.3077200000000007</v>
      </c>
      <c r="R233" s="24">
        <v>1.8198202451621661E-5</v>
      </c>
      <c r="S233" s="24">
        <v>3.45434954386469E-5</v>
      </c>
      <c r="T233" s="24">
        <v>1.1855893202930709E-5</v>
      </c>
    </row>
    <row r="234" spans="1:20" x14ac:dyDescent="0.25">
      <c r="A234" s="16" t="s">
        <v>1358</v>
      </c>
      <c r="B234" s="116" t="s">
        <v>1359</v>
      </c>
      <c r="C234" s="116" t="s">
        <v>377</v>
      </c>
      <c r="D234" s="116" t="s">
        <v>249</v>
      </c>
      <c r="E234" s="116" t="s">
        <v>1360</v>
      </c>
      <c r="F234" s="116" t="s">
        <v>206</v>
      </c>
      <c r="G234" s="116" t="s">
        <v>472</v>
      </c>
      <c r="H234" s="116" t="s">
        <v>427</v>
      </c>
      <c r="I234" s="116" t="s">
        <v>1361</v>
      </c>
      <c r="J234" s="117">
        <v>2.98</v>
      </c>
      <c r="K234" s="117" t="s">
        <v>255</v>
      </c>
      <c r="L234" s="116">
        <v>3.6499999999999998E-2</v>
      </c>
      <c r="M234" s="116">
        <v>5.91E-2</v>
      </c>
      <c r="N234" s="69">
        <v>4081.0792529647943</v>
      </c>
      <c r="O234" s="60">
        <v>94.97</v>
      </c>
      <c r="P234" s="84">
        <v>0</v>
      </c>
      <c r="Q234" s="84">
        <v>3.8758000000000004</v>
      </c>
      <c r="R234" s="24">
        <v>2.0306234403928344E-6</v>
      </c>
      <c r="S234" s="24">
        <v>2.1225368218802933E-5</v>
      </c>
      <c r="T234" s="24">
        <v>7.2848938881115265E-6</v>
      </c>
    </row>
    <row r="235" spans="1:20" x14ac:dyDescent="0.25">
      <c r="A235" s="16" t="s">
        <v>1238</v>
      </c>
      <c r="B235" s="116" t="s">
        <v>1239</v>
      </c>
      <c r="C235" s="116" t="s">
        <v>377</v>
      </c>
      <c r="D235" s="116" t="s">
        <v>249</v>
      </c>
      <c r="E235" s="116" t="s">
        <v>491</v>
      </c>
      <c r="F235" s="116" t="s">
        <v>223</v>
      </c>
      <c r="G235" s="116" t="s">
        <v>435</v>
      </c>
      <c r="H235" s="116" t="s">
        <v>254</v>
      </c>
      <c r="I235" s="116" t="s">
        <v>1240</v>
      </c>
      <c r="J235" s="117">
        <v>4.92</v>
      </c>
      <c r="K235" s="117" t="s">
        <v>255</v>
      </c>
      <c r="L235" s="116">
        <v>2.0899999999999998E-2</v>
      </c>
      <c r="M235" s="116">
        <v>5.6500000000000002E-2</v>
      </c>
      <c r="N235" s="69">
        <v>64.630206488748598</v>
      </c>
      <c r="O235" s="60">
        <v>85.06</v>
      </c>
      <c r="P235" s="84">
        <v>0</v>
      </c>
      <c r="Q235" s="84">
        <v>5.4969999999999998E-2</v>
      </c>
      <c r="R235" s="24">
        <v>3.2840552077616156E-7</v>
      </c>
      <c r="S235" s="24">
        <v>3.0103681587997246E-7</v>
      </c>
      <c r="T235" s="24">
        <v>1.0332076397891804E-7</v>
      </c>
    </row>
    <row r="236" spans="1:20" x14ac:dyDescent="0.25">
      <c r="A236" s="16" t="s">
        <v>1396</v>
      </c>
      <c r="B236" s="116" t="s">
        <v>1397</v>
      </c>
      <c r="C236" s="116" t="s">
        <v>377</v>
      </c>
      <c r="D236" s="116" t="s">
        <v>249</v>
      </c>
      <c r="E236" s="116" t="s">
        <v>1398</v>
      </c>
      <c r="F236" s="116" t="s">
        <v>225</v>
      </c>
      <c r="G236" s="116" t="s">
        <v>472</v>
      </c>
      <c r="H236" s="116" t="s">
        <v>427</v>
      </c>
      <c r="I236" s="116" t="s">
        <v>975</v>
      </c>
      <c r="J236" s="117">
        <v>3.38</v>
      </c>
      <c r="K236" s="117" t="s">
        <v>255</v>
      </c>
      <c r="L236" s="116">
        <v>7.2499999999999995E-2</v>
      </c>
      <c r="M236" s="116">
        <v>6.5500000000000003E-2</v>
      </c>
      <c r="N236" s="69">
        <v>6669.706527210722</v>
      </c>
      <c r="O236" s="60">
        <v>107.80000000000001</v>
      </c>
      <c r="P236" s="84">
        <v>0</v>
      </c>
      <c r="Q236" s="84">
        <v>7.18994</v>
      </c>
      <c r="R236" s="24">
        <v>1.149949401243228E-5</v>
      </c>
      <c r="S236" s="24">
        <v>3.9374870728907568E-5</v>
      </c>
      <c r="T236" s="24">
        <v>1.351410030494055E-5</v>
      </c>
    </row>
    <row r="237" spans="1:20" x14ac:dyDescent="0.25">
      <c r="A237" s="16" t="s">
        <v>1248</v>
      </c>
      <c r="B237" s="116" t="s">
        <v>1249</v>
      </c>
      <c r="C237" s="116" t="s">
        <v>377</v>
      </c>
      <c r="D237" s="116" t="s">
        <v>249</v>
      </c>
      <c r="E237" s="116" t="s">
        <v>827</v>
      </c>
      <c r="F237" s="116" t="s">
        <v>200</v>
      </c>
      <c r="G237" s="116" t="s">
        <v>567</v>
      </c>
      <c r="H237" s="116" t="s">
        <v>427</v>
      </c>
      <c r="I237" s="116" t="s">
        <v>828</v>
      </c>
      <c r="J237" s="117">
        <v>3.73</v>
      </c>
      <c r="K237" s="117" t="s">
        <v>255</v>
      </c>
      <c r="L237" s="116">
        <v>2.5000000000000001E-2</v>
      </c>
      <c r="M237" s="116">
        <v>4.9800000000000004E-2</v>
      </c>
      <c r="N237" s="69">
        <v>30437.640935950873</v>
      </c>
      <c r="O237" s="60">
        <v>93.11</v>
      </c>
      <c r="P237" s="84">
        <v>0</v>
      </c>
      <c r="Q237" s="84">
        <v>28.340490000000003</v>
      </c>
      <c r="R237" s="24">
        <v>1.02586972574634E-5</v>
      </c>
      <c r="S237" s="24">
        <v>1.5520339949205386E-4</v>
      </c>
      <c r="T237" s="24">
        <v>5.3268347795832043E-5</v>
      </c>
    </row>
    <row r="238" spans="1:20" x14ac:dyDescent="0.25">
      <c r="A238" s="16" t="s">
        <v>1124</v>
      </c>
      <c r="B238" s="116" t="s">
        <v>1125</v>
      </c>
      <c r="C238" s="116" t="s">
        <v>377</v>
      </c>
      <c r="D238" s="116" t="s">
        <v>249</v>
      </c>
      <c r="E238" s="116" t="s">
        <v>642</v>
      </c>
      <c r="F238" s="116" t="s">
        <v>200</v>
      </c>
      <c r="G238" s="116" t="s">
        <v>253</v>
      </c>
      <c r="H238" s="116" t="s">
        <v>254</v>
      </c>
      <c r="I238" s="116" t="s">
        <v>1003</v>
      </c>
      <c r="J238" s="117">
        <v>1.4</v>
      </c>
      <c r="K238" s="117" t="s">
        <v>255</v>
      </c>
      <c r="L238" s="116">
        <v>2.0199999999999999E-2</v>
      </c>
      <c r="M238" s="116">
        <v>4.9000000000000002E-2</v>
      </c>
      <c r="N238" s="69">
        <v>2899.1735693430583</v>
      </c>
      <c r="O238" s="60">
        <v>97.31</v>
      </c>
      <c r="P238" s="84">
        <v>0</v>
      </c>
      <c r="Q238" s="84">
        <v>2.8211900000000001</v>
      </c>
      <c r="R238" s="24">
        <v>3.431630506118102E-6</v>
      </c>
      <c r="S238" s="24">
        <v>1.5449919130296881E-5</v>
      </c>
      <c r="T238" s="24">
        <v>5.302665201558738E-6</v>
      </c>
    </row>
    <row r="239" spans="1:20" x14ac:dyDescent="0.25">
      <c r="A239" s="16" t="s">
        <v>1269</v>
      </c>
      <c r="B239" s="116" t="s">
        <v>1270</v>
      </c>
      <c r="C239" s="116" t="s">
        <v>377</v>
      </c>
      <c r="D239" s="116" t="s">
        <v>249</v>
      </c>
      <c r="E239" s="116" t="s">
        <v>642</v>
      </c>
      <c r="F239" s="116" t="s">
        <v>200</v>
      </c>
      <c r="G239" s="116" t="s">
        <v>567</v>
      </c>
      <c r="H239" s="116" t="s">
        <v>427</v>
      </c>
      <c r="I239" s="116" t="s">
        <v>1271</v>
      </c>
      <c r="J239" s="117">
        <v>4.01</v>
      </c>
      <c r="K239" s="117" t="s">
        <v>255</v>
      </c>
      <c r="L239" s="116">
        <v>2.76E-2</v>
      </c>
      <c r="M239" s="116">
        <v>4.8399999999999999E-2</v>
      </c>
      <c r="N239" s="69">
        <v>13688.208866292649</v>
      </c>
      <c r="O239" s="60">
        <v>93.32</v>
      </c>
      <c r="P239" s="84">
        <v>0</v>
      </c>
      <c r="Q239" s="84">
        <v>12.77384</v>
      </c>
      <c r="R239" s="24">
        <v>1.0243349831320052E-5</v>
      </c>
      <c r="S239" s="24">
        <v>6.9954450066585903E-5</v>
      </c>
      <c r="T239" s="24">
        <v>2.4009512602227805E-5</v>
      </c>
    </row>
    <row r="240" spans="1:20" x14ac:dyDescent="0.25">
      <c r="A240" s="16" t="s">
        <v>1055</v>
      </c>
      <c r="B240" s="116" t="s">
        <v>1056</v>
      </c>
      <c r="C240" s="116" t="s">
        <v>377</v>
      </c>
      <c r="D240" s="116" t="s">
        <v>249</v>
      </c>
      <c r="E240" s="116" t="s">
        <v>1057</v>
      </c>
      <c r="F240" s="116" t="s">
        <v>225</v>
      </c>
      <c r="G240" s="116" t="s">
        <v>528</v>
      </c>
      <c r="H240" s="116" t="s">
        <v>254</v>
      </c>
      <c r="I240" s="116" t="s">
        <v>1058</v>
      </c>
      <c r="J240" s="117">
        <v>0.74</v>
      </c>
      <c r="K240" s="117" t="s">
        <v>255</v>
      </c>
      <c r="L240" s="116">
        <v>5.9000000000000004E-2</v>
      </c>
      <c r="M240" s="116">
        <v>5.7500000000000002E-2</v>
      </c>
      <c r="N240" s="69">
        <v>169.58762155340031</v>
      </c>
      <c r="O240" s="60">
        <v>101.61</v>
      </c>
      <c r="P240" s="84">
        <v>0</v>
      </c>
      <c r="Q240" s="84">
        <v>0.17232</v>
      </c>
      <c r="R240" s="24">
        <v>6.4450930570590626E-7</v>
      </c>
      <c r="S240" s="24">
        <v>9.4369045138142354E-7</v>
      </c>
      <c r="T240" s="24">
        <v>3.2389001362283351E-7</v>
      </c>
    </row>
    <row r="241" spans="1:20" x14ac:dyDescent="0.25">
      <c r="A241" s="16" t="s">
        <v>1192</v>
      </c>
      <c r="B241" s="116" t="s">
        <v>1193</v>
      </c>
      <c r="C241" s="116" t="s">
        <v>377</v>
      </c>
      <c r="D241" s="116" t="s">
        <v>249</v>
      </c>
      <c r="E241" s="116" t="s">
        <v>1057</v>
      </c>
      <c r="F241" s="116" t="s">
        <v>225</v>
      </c>
      <c r="G241" s="116" t="s">
        <v>528</v>
      </c>
      <c r="H241" s="116" t="s">
        <v>254</v>
      </c>
      <c r="I241" s="116" t="s">
        <v>1194</v>
      </c>
      <c r="J241" s="117">
        <v>4.0199999999999996</v>
      </c>
      <c r="K241" s="117" t="s">
        <v>255</v>
      </c>
      <c r="L241" s="116">
        <v>0.05</v>
      </c>
      <c r="M241" s="116">
        <v>6.1200000000000004E-2</v>
      </c>
      <c r="N241" s="69">
        <v>3388.9222220464912</v>
      </c>
      <c r="O241" s="60">
        <v>96.07</v>
      </c>
      <c r="P241" s="84">
        <v>0</v>
      </c>
      <c r="Q241" s="84">
        <v>3.2557399999999999</v>
      </c>
      <c r="R241" s="24">
        <v>3.274562109153579E-6</v>
      </c>
      <c r="S241" s="24">
        <v>1.7829681697890877E-5</v>
      </c>
      <c r="T241" s="24">
        <v>6.119438677764647E-6</v>
      </c>
    </row>
    <row r="242" spans="1:20" x14ac:dyDescent="0.25">
      <c r="A242" s="16" t="s">
        <v>1371</v>
      </c>
      <c r="B242" s="116" t="s">
        <v>1372</v>
      </c>
      <c r="C242" s="116" t="s">
        <v>377</v>
      </c>
      <c r="D242" s="116" t="s">
        <v>249</v>
      </c>
      <c r="E242" s="116" t="s">
        <v>1373</v>
      </c>
      <c r="F242" s="116" t="s">
        <v>226</v>
      </c>
      <c r="G242" s="116" t="s">
        <v>472</v>
      </c>
      <c r="H242" s="116" t="s">
        <v>427</v>
      </c>
      <c r="I242" s="116" t="s">
        <v>1370</v>
      </c>
      <c r="J242" s="117">
        <v>1.65</v>
      </c>
      <c r="K242" s="117" t="s">
        <v>255</v>
      </c>
      <c r="L242" s="116">
        <v>3.4700000000000002E-2</v>
      </c>
      <c r="M242" s="116">
        <v>6.2E-2</v>
      </c>
      <c r="N242" s="69">
        <v>672.00496983856351</v>
      </c>
      <c r="O242" s="60">
        <v>96.6</v>
      </c>
      <c r="P242" s="84">
        <v>0</v>
      </c>
      <c r="Q242" s="84">
        <v>0.64915999999999996</v>
      </c>
      <c r="R242" s="24">
        <v>5.6002094216040111E-6</v>
      </c>
      <c r="S242" s="24">
        <v>3.5550492886418578E-6</v>
      </c>
      <c r="T242" s="24">
        <v>1.2201511214217653E-6</v>
      </c>
    </row>
    <row r="243" spans="1:20" x14ac:dyDescent="0.25">
      <c r="A243" s="16" t="s">
        <v>1087</v>
      </c>
      <c r="B243" s="116" t="s">
        <v>1088</v>
      </c>
      <c r="C243" s="116" t="s">
        <v>377</v>
      </c>
      <c r="D243" s="116" t="s">
        <v>249</v>
      </c>
      <c r="E243" s="116" t="s">
        <v>1089</v>
      </c>
      <c r="F243" s="116" t="s">
        <v>225</v>
      </c>
      <c r="G243" s="116" t="s">
        <v>588</v>
      </c>
      <c r="H243" s="116" t="s">
        <v>427</v>
      </c>
      <c r="I243" s="116" t="s">
        <v>1090</v>
      </c>
      <c r="J243" s="117">
        <v>1.1399999999999999</v>
      </c>
      <c r="K243" s="117" t="s">
        <v>255</v>
      </c>
      <c r="L243" s="116">
        <v>2.9500000000000002E-2</v>
      </c>
      <c r="M243" s="116">
        <v>5.3600000000000002E-2</v>
      </c>
      <c r="N243" s="69">
        <v>1554.5001536927225</v>
      </c>
      <c r="O243" s="60">
        <v>98.35</v>
      </c>
      <c r="P243" s="84">
        <v>0</v>
      </c>
      <c r="Q243" s="84">
        <v>1.5288499999999998</v>
      </c>
      <c r="R243" s="24">
        <v>1.2968009460403662E-5</v>
      </c>
      <c r="S243" s="24">
        <v>8.37256932796245E-6</v>
      </c>
      <c r="T243" s="24">
        <v>2.8736028744618671E-6</v>
      </c>
    </row>
    <row r="244" spans="1:20" x14ac:dyDescent="0.25">
      <c r="A244" s="16" t="s">
        <v>1118</v>
      </c>
      <c r="B244" s="116" t="s">
        <v>1119</v>
      </c>
      <c r="C244" s="116" t="s">
        <v>377</v>
      </c>
      <c r="D244" s="116" t="s">
        <v>249</v>
      </c>
      <c r="E244" s="116" t="s">
        <v>820</v>
      </c>
      <c r="F244" s="116" t="s">
        <v>200</v>
      </c>
      <c r="G244" s="116" t="s">
        <v>567</v>
      </c>
      <c r="H244" s="116" t="s">
        <v>427</v>
      </c>
      <c r="I244" s="116" t="s">
        <v>1117</v>
      </c>
      <c r="J244" s="117">
        <v>3.31</v>
      </c>
      <c r="K244" s="117" t="s">
        <v>255</v>
      </c>
      <c r="L244" s="116">
        <v>2.6800000000000001E-2</v>
      </c>
      <c r="M244" s="116">
        <v>4.99E-2</v>
      </c>
      <c r="N244" s="69">
        <v>29609.028566908324</v>
      </c>
      <c r="O244" s="60">
        <v>94.81</v>
      </c>
      <c r="P244" s="84">
        <v>0</v>
      </c>
      <c r="Q244" s="84">
        <v>28.072320000000001</v>
      </c>
      <c r="R244" s="24">
        <v>1.1346403901910657E-5</v>
      </c>
      <c r="S244" s="24">
        <v>1.5373479765624283E-4</v>
      </c>
      <c r="T244" s="24">
        <v>5.2764299600885223E-5</v>
      </c>
    </row>
    <row r="245" spans="1:20" x14ac:dyDescent="0.25">
      <c r="A245" s="16" t="s">
        <v>1080</v>
      </c>
      <c r="B245" s="116" t="s">
        <v>1081</v>
      </c>
      <c r="C245" s="116" t="s">
        <v>377</v>
      </c>
      <c r="D245" s="116" t="s">
        <v>249</v>
      </c>
      <c r="E245" s="116" t="s">
        <v>479</v>
      </c>
      <c r="F245" s="116" t="s">
        <v>201</v>
      </c>
      <c r="G245" s="116" t="s">
        <v>426</v>
      </c>
      <c r="H245" s="116" t="s">
        <v>427</v>
      </c>
      <c r="I245" s="116" t="s">
        <v>1082</v>
      </c>
      <c r="J245" s="117">
        <v>1.79</v>
      </c>
      <c r="K245" s="117" t="s">
        <v>255</v>
      </c>
      <c r="L245" s="116">
        <v>3.61E-2</v>
      </c>
      <c r="M245" s="116">
        <v>5.21E-2</v>
      </c>
      <c r="N245" s="69">
        <v>4548.8331730938335</v>
      </c>
      <c r="O245" s="60">
        <v>97.92</v>
      </c>
      <c r="P245" s="84">
        <v>0</v>
      </c>
      <c r="Q245" s="84">
        <v>4.4542200000000003</v>
      </c>
      <c r="R245" s="24">
        <v>5.9268184665717697E-6</v>
      </c>
      <c r="S245" s="24">
        <v>2.4393018119499565E-5</v>
      </c>
      <c r="T245" s="24">
        <v>8.3720831968378455E-6</v>
      </c>
    </row>
    <row r="246" spans="1:20" x14ac:dyDescent="0.25">
      <c r="A246" s="16" t="s">
        <v>1111</v>
      </c>
      <c r="B246" s="116" t="s">
        <v>1112</v>
      </c>
      <c r="C246" s="116" t="s">
        <v>377</v>
      </c>
      <c r="D246" s="116" t="s">
        <v>249</v>
      </c>
      <c r="E246" s="116" t="s">
        <v>479</v>
      </c>
      <c r="F246" s="116" t="s">
        <v>201</v>
      </c>
      <c r="G246" s="116" t="s">
        <v>426</v>
      </c>
      <c r="H246" s="116" t="s">
        <v>427</v>
      </c>
      <c r="I246" s="116" t="s">
        <v>1113</v>
      </c>
      <c r="J246" s="117">
        <v>2.8</v>
      </c>
      <c r="K246" s="117" t="s">
        <v>255</v>
      </c>
      <c r="L246" s="116">
        <v>3.3000000000000002E-2</v>
      </c>
      <c r="M246" s="116">
        <v>4.8799999999999996E-2</v>
      </c>
      <c r="N246" s="69">
        <v>5009.2241945524829</v>
      </c>
      <c r="O246" s="60">
        <v>96.15000000000002</v>
      </c>
      <c r="P246" s="84">
        <v>0</v>
      </c>
      <c r="Q246" s="84">
        <v>4.81637</v>
      </c>
      <c r="R246" s="24">
        <v>1.6245517827603765E-5</v>
      </c>
      <c r="S246" s="24">
        <v>2.6376290502088828E-5</v>
      </c>
      <c r="T246" s="24">
        <v>9.0527747499570944E-6</v>
      </c>
    </row>
    <row r="247" spans="1:20" x14ac:dyDescent="0.25">
      <c r="A247" s="16" t="s">
        <v>1129</v>
      </c>
      <c r="B247" s="116" t="s">
        <v>1130</v>
      </c>
      <c r="C247" s="116" t="s">
        <v>377</v>
      </c>
      <c r="D247" s="116" t="s">
        <v>249</v>
      </c>
      <c r="E247" s="116" t="s">
        <v>479</v>
      </c>
      <c r="F247" s="116" t="s">
        <v>201</v>
      </c>
      <c r="G247" s="116" t="s">
        <v>426</v>
      </c>
      <c r="H247" s="116" t="s">
        <v>427</v>
      </c>
      <c r="I247" s="116" t="s">
        <v>1131</v>
      </c>
      <c r="J247" s="117">
        <v>5.14</v>
      </c>
      <c r="K247" s="117" t="s">
        <v>255</v>
      </c>
      <c r="L247" s="116">
        <v>2.6200000000000001E-2</v>
      </c>
      <c r="M247" s="116">
        <v>5.2600000000000001E-2</v>
      </c>
      <c r="N247" s="69">
        <v>8990.8032429931263</v>
      </c>
      <c r="O247" s="60">
        <v>88.74</v>
      </c>
      <c r="P247" s="84">
        <v>0</v>
      </c>
      <c r="Q247" s="84">
        <v>7.97844</v>
      </c>
      <c r="R247" s="24">
        <v>6.9515032871666351E-6</v>
      </c>
      <c r="S247" s="24">
        <v>4.3692999332170408E-5</v>
      </c>
      <c r="T247" s="24">
        <v>1.4996152740766944E-5</v>
      </c>
    </row>
    <row r="248" spans="1:20" x14ac:dyDescent="0.25">
      <c r="A248" s="16" t="s">
        <v>1406</v>
      </c>
      <c r="B248" s="116" t="s">
        <v>1407</v>
      </c>
      <c r="C248" s="116" t="s">
        <v>377</v>
      </c>
      <c r="D248" s="116" t="s">
        <v>249</v>
      </c>
      <c r="E248" s="116" t="s">
        <v>479</v>
      </c>
      <c r="F248" s="116" t="s">
        <v>201</v>
      </c>
      <c r="G248" s="116" t="s">
        <v>426</v>
      </c>
      <c r="H248" s="116" t="s">
        <v>427</v>
      </c>
      <c r="I248" s="116" t="s">
        <v>1113</v>
      </c>
      <c r="J248" s="117">
        <v>1.29</v>
      </c>
      <c r="K248" s="117" t="s">
        <v>255</v>
      </c>
      <c r="L248" s="116">
        <v>6.0900000333786009E-2</v>
      </c>
      <c r="M248" s="116">
        <v>5.45E-2</v>
      </c>
      <c r="N248" s="69">
        <v>566.89881979063068</v>
      </c>
      <c r="O248" s="60">
        <v>101.96000000000001</v>
      </c>
      <c r="P248" s="84">
        <v>0</v>
      </c>
      <c r="Q248" s="84">
        <v>0.57801000000000002</v>
      </c>
      <c r="R248" s="24">
        <v>1.9325063995126304E-6</v>
      </c>
      <c r="S248" s="24">
        <v>3.1654045833506073E-6</v>
      </c>
      <c r="T248" s="24">
        <v>1.0864186790513812E-6</v>
      </c>
    </row>
    <row r="249" spans="1:20" x14ac:dyDescent="0.25">
      <c r="A249" s="16" t="s">
        <v>1062</v>
      </c>
      <c r="B249" s="116" t="s">
        <v>1063</v>
      </c>
      <c r="C249" s="116" t="s">
        <v>377</v>
      </c>
      <c r="D249" s="116" t="s">
        <v>249</v>
      </c>
      <c r="E249" s="116" t="s">
        <v>991</v>
      </c>
      <c r="F249" s="116" t="s">
        <v>201</v>
      </c>
      <c r="G249" s="116" t="s">
        <v>426</v>
      </c>
      <c r="H249" s="116" t="s">
        <v>427</v>
      </c>
      <c r="I249" s="116" t="s">
        <v>1064</v>
      </c>
      <c r="J249" s="117">
        <v>4.74</v>
      </c>
      <c r="K249" s="117" t="s">
        <v>255</v>
      </c>
      <c r="L249" s="116">
        <v>3.95E-2</v>
      </c>
      <c r="M249" s="116">
        <v>5.1399999999999994E-2</v>
      </c>
      <c r="N249" s="69">
        <v>2779.2922387782728</v>
      </c>
      <c r="O249" s="60">
        <v>95.79</v>
      </c>
      <c r="P249" s="84">
        <v>0</v>
      </c>
      <c r="Q249" s="84">
        <v>2.66228</v>
      </c>
      <c r="R249" s="24">
        <v>1.1579903135017947E-5</v>
      </c>
      <c r="S249" s="24">
        <v>1.4579666985281666E-5</v>
      </c>
      <c r="T249" s="24">
        <v>5.0039804170601041E-6</v>
      </c>
    </row>
    <row r="250" spans="1:20" x14ac:dyDescent="0.25">
      <c r="A250" s="16" t="s">
        <v>1065</v>
      </c>
      <c r="B250" s="116" t="s">
        <v>1066</v>
      </c>
      <c r="C250" s="116" t="s">
        <v>377</v>
      </c>
      <c r="D250" s="116" t="s">
        <v>249</v>
      </c>
      <c r="E250" s="116" t="s">
        <v>991</v>
      </c>
      <c r="F250" s="116" t="s">
        <v>201</v>
      </c>
      <c r="G250" s="116" t="s">
        <v>426</v>
      </c>
      <c r="H250" s="116" t="s">
        <v>427</v>
      </c>
      <c r="I250" s="116" t="s">
        <v>1064</v>
      </c>
      <c r="J250" s="117">
        <v>5.52</v>
      </c>
      <c r="K250" s="117" t="s">
        <v>255</v>
      </c>
      <c r="L250" s="116">
        <v>3.95E-2</v>
      </c>
      <c r="M250" s="116">
        <v>5.2300000000000006E-2</v>
      </c>
      <c r="N250" s="69">
        <v>1992.7455488856674</v>
      </c>
      <c r="O250" s="60">
        <v>94.53</v>
      </c>
      <c r="P250" s="84">
        <v>0</v>
      </c>
      <c r="Q250" s="84">
        <v>1.88374</v>
      </c>
      <c r="R250" s="24">
        <v>8.3027614393576359E-6</v>
      </c>
      <c r="S250" s="24">
        <v>1.0316083164375828E-5</v>
      </c>
      <c r="T250" s="24">
        <v>3.5406486435809913E-6</v>
      </c>
    </row>
    <row r="251" spans="1:20" x14ac:dyDescent="0.25">
      <c r="A251" s="16" t="s">
        <v>1093</v>
      </c>
      <c r="B251" s="116" t="s">
        <v>1094</v>
      </c>
      <c r="C251" s="116" t="s">
        <v>377</v>
      </c>
      <c r="D251" s="116" t="s">
        <v>249</v>
      </c>
      <c r="E251" s="116" t="s">
        <v>991</v>
      </c>
      <c r="F251" s="116" t="s">
        <v>201</v>
      </c>
      <c r="G251" s="116" t="s">
        <v>426</v>
      </c>
      <c r="H251" s="116" t="s">
        <v>427</v>
      </c>
      <c r="I251" s="116" t="s">
        <v>1095</v>
      </c>
      <c r="J251" s="117">
        <v>6.44</v>
      </c>
      <c r="K251" s="117" t="s">
        <v>255</v>
      </c>
      <c r="L251" s="116">
        <v>3.0499999999999999E-2</v>
      </c>
      <c r="M251" s="116">
        <v>5.5199999999999999E-2</v>
      </c>
      <c r="N251" s="69">
        <v>7353.2461376263991</v>
      </c>
      <c r="O251" s="60">
        <v>86.53</v>
      </c>
      <c r="P251" s="84">
        <v>0</v>
      </c>
      <c r="Q251" s="84">
        <v>6.3627600000000006</v>
      </c>
      <c r="R251" s="24">
        <v>1.0088535685132975E-5</v>
      </c>
      <c r="S251" s="24">
        <v>3.4844915601390828E-5</v>
      </c>
      <c r="T251" s="24">
        <v>1.1959345537829737E-5</v>
      </c>
    </row>
    <row r="252" spans="1:20" x14ac:dyDescent="0.25">
      <c r="A252" s="16" t="s">
        <v>1096</v>
      </c>
      <c r="B252" s="116" t="s">
        <v>1097</v>
      </c>
      <c r="C252" s="116" t="s">
        <v>377</v>
      </c>
      <c r="D252" s="116" t="s">
        <v>249</v>
      </c>
      <c r="E252" s="116" t="s">
        <v>991</v>
      </c>
      <c r="F252" s="116" t="s">
        <v>201</v>
      </c>
      <c r="G252" s="116" t="s">
        <v>426</v>
      </c>
      <c r="H252" s="116" t="s">
        <v>427</v>
      </c>
      <c r="I252" s="116" t="s">
        <v>1095</v>
      </c>
      <c r="J252" s="117">
        <v>7.2</v>
      </c>
      <c r="K252" s="117" t="s">
        <v>255</v>
      </c>
      <c r="L252" s="116">
        <v>3.0499999999999999E-2</v>
      </c>
      <c r="M252" s="116">
        <v>5.5599999999999997E-2</v>
      </c>
      <c r="N252" s="69">
        <v>8556.5864304060779</v>
      </c>
      <c r="O252" s="60">
        <v>84.73</v>
      </c>
      <c r="P252" s="84">
        <v>0</v>
      </c>
      <c r="Q252" s="84">
        <v>7.25</v>
      </c>
      <c r="R252" s="24">
        <v>1.2534120295586445E-5</v>
      </c>
      <c r="S252" s="24">
        <v>3.9703782338180833E-5</v>
      </c>
      <c r="T252" s="24">
        <v>1.3626988154396141E-5</v>
      </c>
    </row>
    <row r="253" spans="1:20" x14ac:dyDescent="0.25">
      <c r="A253" s="16" t="s">
        <v>1126</v>
      </c>
      <c r="B253" s="116" t="s">
        <v>1127</v>
      </c>
      <c r="C253" s="116" t="s">
        <v>377</v>
      </c>
      <c r="D253" s="116" t="s">
        <v>249</v>
      </c>
      <c r="E253" s="116" t="s">
        <v>991</v>
      </c>
      <c r="F253" s="116" t="s">
        <v>201</v>
      </c>
      <c r="G253" s="116" t="s">
        <v>426</v>
      </c>
      <c r="H253" s="116" t="s">
        <v>427</v>
      </c>
      <c r="I253" s="116" t="s">
        <v>1128</v>
      </c>
      <c r="J253" s="117">
        <v>2.64</v>
      </c>
      <c r="K253" s="117" t="s">
        <v>255</v>
      </c>
      <c r="L253" s="116">
        <v>2.9100000000000001E-2</v>
      </c>
      <c r="M253" s="116">
        <v>5.28E-2</v>
      </c>
      <c r="N253" s="69">
        <v>4654.26926108506</v>
      </c>
      <c r="O253" s="60">
        <v>94.88</v>
      </c>
      <c r="P253" s="84">
        <v>0</v>
      </c>
      <c r="Q253" s="84">
        <v>4.4159700000000006</v>
      </c>
      <c r="R253" s="24">
        <v>7.7571154351417671E-6</v>
      </c>
      <c r="S253" s="24">
        <v>2.4183546440267091E-5</v>
      </c>
      <c r="T253" s="24">
        <v>8.3001890869198246E-6</v>
      </c>
    </row>
    <row r="254" spans="1:20" x14ac:dyDescent="0.25">
      <c r="A254" s="16" t="s">
        <v>1250</v>
      </c>
      <c r="B254" s="116" t="s">
        <v>1251</v>
      </c>
      <c r="C254" s="116" t="s">
        <v>377</v>
      </c>
      <c r="D254" s="116" t="s">
        <v>249</v>
      </c>
      <c r="E254" s="116" t="s">
        <v>991</v>
      </c>
      <c r="F254" s="116" t="s">
        <v>201</v>
      </c>
      <c r="G254" s="116" t="s">
        <v>426</v>
      </c>
      <c r="H254" s="116" t="s">
        <v>427</v>
      </c>
      <c r="I254" s="116" t="s">
        <v>1252</v>
      </c>
      <c r="J254" s="117">
        <v>8.06</v>
      </c>
      <c r="K254" s="117" t="s">
        <v>255</v>
      </c>
      <c r="L254" s="116">
        <v>2.63E-2</v>
      </c>
      <c r="M254" s="116">
        <v>5.62E-2</v>
      </c>
      <c r="N254" s="69">
        <v>8728.7557432888643</v>
      </c>
      <c r="O254" s="60">
        <v>79.77</v>
      </c>
      <c r="P254" s="84">
        <v>0</v>
      </c>
      <c r="Q254" s="84">
        <v>6.9629300000000001</v>
      </c>
      <c r="R254" s="24">
        <v>1.2583042248272814E-5</v>
      </c>
      <c r="S254" s="24">
        <v>3.8131676849101999E-5</v>
      </c>
      <c r="T254" s="24">
        <v>1.3087415811019245E-5</v>
      </c>
    </row>
    <row r="255" spans="1:20" x14ac:dyDescent="0.25">
      <c r="A255" s="16" t="s">
        <v>1313</v>
      </c>
      <c r="B255" s="116" t="s">
        <v>1314</v>
      </c>
      <c r="C255" s="116" t="s">
        <v>377</v>
      </c>
      <c r="D255" s="116" t="s">
        <v>249</v>
      </c>
      <c r="E255" s="116" t="s">
        <v>991</v>
      </c>
      <c r="F255" s="116" t="s">
        <v>201</v>
      </c>
      <c r="G255" s="116" t="s">
        <v>435</v>
      </c>
      <c r="H255" s="116" t="s">
        <v>254</v>
      </c>
      <c r="I255" s="116" t="s">
        <v>1315</v>
      </c>
      <c r="J255" s="117">
        <v>5.46</v>
      </c>
      <c r="K255" s="117" t="s">
        <v>255</v>
      </c>
      <c r="L255" s="116">
        <v>4.3799999999999999E-2</v>
      </c>
      <c r="M255" s="116">
        <v>5.3099999999999994E-2</v>
      </c>
      <c r="N255" s="69">
        <v>8352.7721377289181</v>
      </c>
      <c r="O255" s="60">
        <v>96.52</v>
      </c>
      <c r="P255" s="84">
        <v>0</v>
      </c>
      <c r="Q255" s="84">
        <v>8.0621000000000009</v>
      </c>
      <c r="R255" s="24">
        <v>1.6705544275457837E-5</v>
      </c>
      <c r="S255" s="24">
        <v>4.4151153598434168E-5</v>
      </c>
      <c r="T255" s="24">
        <v>1.5153398786145813E-5</v>
      </c>
    </row>
    <row r="256" spans="1:20" x14ac:dyDescent="0.25">
      <c r="A256" s="16" t="s">
        <v>1364</v>
      </c>
      <c r="B256" s="116" t="s">
        <v>1365</v>
      </c>
      <c r="C256" s="116" t="s">
        <v>377</v>
      </c>
      <c r="D256" s="116" t="s">
        <v>249</v>
      </c>
      <c r="E256" s="116" t="s">
        <v>991</v>
      </c>
      <c r="F256" s="116" t="s">
        <v>201</v>
      </c>
      <c r="G256" s="116" t="s">
        <v>426</v>
      </c>
      <c r="H256" s="116" t="s">
        <v>427</v>
      </c>
      <c r="I256" s="116" t="s">
        <v>1366</v>
      </c>
      <c r="J256" s="117">
        <v>4.09</v>
      </c>
      <c r="K256" s="117" t="s">
        <v>255</v>
      </c>
      <c r="L256" s="116">
        <v>1.7899999999999999E-2</v>
      </c>
      <c r="M256" s="116">
        <v>5.0599999999999999E-2</v>
      </c>
      <c r="N256" s="69">
        <v>3142.1410719332694</v>
      </c>
      <c r="O256" s="60">
        <v>88.26</v>
      </c>
      <c r="P256" s="84">
        <v>0</v>
      </c>
      <c r="Q256" s="84">
        <v>2.77325</v>
      </c>
      <c r="R256" s="24">
        <v>8.9775459198093402E-6</v>
      </c>
      <c r="S256" s="24">
        <v>1.5187381292325516E-5</v>
      </c>
      <c r="T256" s="24">
        <v>5.2125579171281514E-6</v>
      </c>
    </row>
    <row r="257" spans="1:20" x14ac:dyDescent="0.25">
      <c r="A257" s="16" t="s">
        <v>1227</v>
      </c>
      <c r="B257" s="116" t="s">
        <v>1228</v>
      </c>
      <c r="C257" s="116" t="s">
        <v>377</v>
      </c>
      <c r="D257" s="116" t="s">
        <v>249</v>
      </c>
      <c r="E257" s="116" t="s">
        <v>1229</v>
      </c>
      <c r="F257" s="116" t="s">
        <v>201</v>
      </c>
      <c r="G257" s="116" t="s">
        <v>523</v>
      </c>
      <c r="H257" s="116" t="s">
        <v>427</v>
      </c>
      <c r="I257" s="116" t="s">
        <v>1230</v>
      </c>
      <c r="J257" s="117">
        <v>5.37</v>
      </c>
      <c r="K257" s="117" t="s">
        <v>255</v>
      </c>
      <c r="L257" s="116">
        <v>1.95E-2</v>
      </c>
      <c r="M257" s="116">
        <v>5.2999999999999999E-2</v>
      </c>
      <c r="N257" s="69">
        <v>8599.8470451668745</v>
      </c>
      <c r="O257" s="60">
        <v>83.94</v>
      </c>
      <c r="P257" s="84">
        <v>0</v>
      </c>
      <c r="Q257" s="84">
        <v>7.2187099999999997</v>
      </c>
      <c r="R257" s="24">
        <v>7.543175580716722E-6</v>
      </c>
      <c r="S257" s="24">
        <v>3.9532426289993011E-5</v>
      </c>
      <c r="T257" s="24">
        <v>1.3568175953106339E-5</v>
      </c>
    </row>
    <row r="258" spans="1:20" x14ac:dyDescent="0.25">
      <c r="A258" s="16" t="s">
        <v>1336</v>
      </c>
      <c r="B258" s="116" t="s">
        <v>1337</v>
      </c>
      <c r="C258" s="116" t="s">
        <v>377</v>
      </c>
      <c r="D258" s="116" t="s">
        <v>249</v>
      </c>
      <c r="E258" s="116" t="s">
        <v>421</v>
      </c>
      <c r="F258" s="116" t="s">
        <v>223</v>
      </c>
      <c r="G258" s="116" t="s">
        <v>422</v>
      </c>
      <c r="H258" s="116" t="s">
        <v>254</v>
      </c>
      <c r="I258" s="116" t="s">
        <v>1338</v>
      </c>
      <c r="J258" s="117">
        <v>3.61</v>
      </c>
      <c r="K258" s="117" t="s">
        <v>255</v>
      </c>
      <c r="L258" s="116">
        <v>3.95E-2</v>
      </c>
      <c r="M258" s="116">
        <v>9.1499999999999998E-2</v>
      </c>
      <c r="N258" s="69">
        <v>22037.160572947563</v>
      </c>
      <c r="O258" s="60">
        <v>84.53</v>
      </c>
      <c r="P258" s="84">
        <v>0</v>
      </c>
      <c r="Q258" s="84">
        <v>18.62801</v>
      </c>
      <c r="R258" s="24">
        <v>1.408279303288525E-5</v>
      </c>
      <c r="S258" s="24">
        <v>1.0201413164599391E-4</v>
      </c>
      <c r="T258" s="24">
        <v>3.5012920222065218E-5</v>
      </c>
    </row>
    <row r="259" spans="1:20" x14ac:dyDescent="0.25">
      <c r="A259" s="16" t="s">
        <v>1102</v>
      </c>
      <c r="B259" s="116" t="s">
        <v>1103</v>
      </c>
      <c r="C259" s="116" t="s">
        <v>377</v>
      </c>
      <c r="D259" s="116" t="s">
        <v>249</v>
      </c>
      <c r="E259" s="116" t="s">
        <v>425</v>
      </c>
      <c r="F259" s="116" t="s">
        <v>223</v>
      </c>
      <c r="G259" s="116" t="s">
        <v>443</v>
      </c>
      <c r="H259" s="116" t="s">
        <v>254</v>
      </c>
      <c r="I259" s="116" t="s">
        <v>1104</v>
      </c>
      <c r="J259" s="117">
        <v>5.79</v>
      </c>
      <c r="K259" s="117" t="s">
        <v>255</v>
      </c>
      <c r="L259" s="116">
        <v>2.5499999999999998E-2</v>
      </c>
      <c r="M259" s="116">
        <v>5.5500000000000001E-2</v>
      </c>
      <c r="N259" s="69">
        <v>13021.651118980119</v>
      </c>
      <c r="O259" s="60">
        <v>84.91</v>
      </c>
      <c r="P259" s="84">
        <v>0</v>
      </c>
      <c r="Q259" s="84">
        <v>11.05668</v>
      </c>
      <c r="R259" s="24">
        <v>9.5545508329301721E-6</v>
      </c>
      <c r="S259" s="24">
        <v>6.0550622910747209E-5</v>
      </c>
      <c r="T259" s="24">
        <v>2.0781965156820513E-5</v>
      </c>
    </row>
    <row r="260" spans="1:20" x14ac:dyDescent="0.25">
      <c r="A260" s="16" t="s">
        <v>1108</v>
      </c>
      <c r="B260" s="116" t="s">
        <v>1109</v>
      </c>
      <c r="C260" s="116" t="s">
        <v>377</v>
      </c>
      <c r="D260" s="116" t="s">
        <v>249</v>
      </c>
      <c r="E260" s="116" t="s">
        <v>417</v>
      </c>
      <c r="F260" s="116" t="s">
        <v>228</v>
      </c>
      <c r="G260" s="116" t="s">
        <v>418</v>
      </c>
      <c r="H260" s="116" t="s">
        <v>254</v>
      </c>
      <c r="I260" s="116" t="s">
        <v>1110</v>
      </c>
      <c r="J260" s="117">
        <v>1.55</v>
      </c>
      <c r="K260" s="117" t="s">
        <v>255</v>
      </c>
      <c r="L260" s="116">
        <v>4.8000000000000001E-2</v>
      </c>
      <c r="M260" s="116">
        <v>0.1401</v>
      </c>
      <c r="N260" s="69">
        <v>11514.756641010816</v>
      </c>
      <c r="O260" s="60">
        <v>89.7</v>
      </c>
      <c r="P260" s="84">
        <v>0</v>
      </c>
      <c r="Q260" s="84">
        <v>10.32874</v>
      </c>
      <c r="R260" s="24">
        <v>1.0153097334028372E-5</v>
      </c>
      <c r="S260" s="24">
        <v>5.6564144108643017E-5</v>
      </c>
      <c r="T260" s="24">
        <v>1.9413740362736218E-5</v>
      </c>
    </row>
    <row r="261" spans="1:20" x14ac:dyDescent="0.25">
      <c r="A261" s="16" t="s">
        <v>1235</v>
      </c>
      <c r="B261" s="116" t="s">
        <v>1236</v>
      </c>
      <c r="C261" s="116" t="s">
        <v>377</v>
      </c>
      <c r="D261" s="116" t="s">
        <v>249</v>
      </c>
      <c r="E261" s="116" t="s">
        <v>417</v>
      </c>
      <c r="F261" s="116" t="s">
        <v>228</v>
      </c>
      <c r="G261" s="116" t="s">
        <v>418</v>
      </c>
      <c r="H261" s="116" t="s">
        <v>254</v>
      </c>
      <c r="I261" s="116" t="s">
        <v>1237</v>
      </c>
      <c r="J261" s="117">
        <v>2.81</v>
      </c>
      <c r="K261" s="117" t="s">
        <v>255</v>
      </c>
      <c r="L261" s="116">
        <v>3.4000000000000002E-2</v>
      </c>
      <c r="M261" s="116">
        <v>0.13880000000000001</v>
      </c>
      <c r="N261" s="69">
        <v>9856.694400646742</v>
      </c>
      <c r="O261" s="60">
        <v>77.959999999999994</v>
      </c>
      <c r="P261" s="84">
        <v>0</v>
      </c>
      <c r="Q261" s="84">
        <v>7.6842799999999993</v>
      </c>
      <c r="R261" s="24">
        <v>1.9713388801293484E-5</v>
      </c>
      <c r="S261" s="24">
        <v>4.2082066282156719E-5</v>
      </c>
      <c r="T261" s="24">
        <v>1.4443254142767334E-5</v>
      </c>
    </row>
    <row r="262" spans="1:20" x14ac:dyDescent="0.25">
      <c r="A262" s="16" t="s">
        <v>1120</v>
      </c>
      <c r="B262" s="116" t="s">
        <v>1121</v>
      </c>
      <c r="C262" s="116" t="s">
        <v>377</v>
      </c>
      <c r="D262" s="116" t="s">
        <v>249</v>
      </c>
      <c r="E262" s="116" t="s">
        <v>1122</v>
      </c>
      <c r="F262" s="116" t="s">
        <v>206</v>
      </c>
      <c r="G262" s="116" t="s">
        <v>528</v>
      </c>
      <c r="H262" s="116" t="s">
        <v>254</v>
      </c>
      <c r="I262" s="116" t="s">
        <v>1123</v>
      </c>
      <c r="J262" s="117">
        <v>2.7</v>
      </c>
      <c r="K262" s="117" t="s">
        <v>255</v>
      </c>
      <c r="L262" s="116">
        <v>0.04</v>
      </c>
      <c r="M262" s="116">
        <v>5.3800000000000001E-2</v>
      </c>
      <c r="N262" s="69">
        <v>340.51042586255187</v>
      </c>
      <c r="O262" s="60">
        <v>97.49</v>
      </c>
      <c r="P262" s="84">
        <v>0</v>
      </c>
      <c r="Q262" s="84">
        <v>0.33195999999999998</v>
      </c>
      <c r="R262" s="24">
        <v>5.0025943036189388E-7</v>
      </c>
      <c r="S262" s="24">
        <v>1.8179403565493115E-6</v>
      </c>
      <c r="T262" s="24">
        <v>6.239468948597714E-7</v>
      </c>
    </row>
    <row r="263" spans="1:20" x14ac:dyDescent="0.25">
      <c r="A263" s="16" t="s">
        <v>1199</v>
      </c>
      <c r="B263" s="116" t="s">
        <v>1200</v>
      </c>
      <c r="C263" s="116" t="s">
        <v>377</v>
      </c>
      <c r="D263" s="116" t="s">
        <v>249</v>
      </c>
      <c r="E263" s="116" t="s">
        <v>1201</v>
      </c>
      <c r="F263" s="116" t="s">
        <v>203</v>
      </c>
      <c r="G263" s="116" t="s">
        <v>435</v>
      </c>
      <c r="H263" s="116" t="s">
        <v>254</v>
      </c>
      <c r="I263" s="116" t="s">
        <v>1202</v>
      </c>
      <c r="J263" s="117">
        <v>2.5499999999999998</v>
      </c>
      <c r="K263" s="117" t="s">
        <v>255</v>
      </c>
      <c r="L263" s="116">
        <v>2.18E-2</v>
      </c>
      <c r="M263" s="116">
        <v>5.62E-2</v>
      </c>
      <c r="N263" s="69">
        <v>2102.4165793710149</v>
      </c>
      <c r="O263" s="60">
        <v>92.07</v>
      </c>
      <c r="P263" s="84">
        <v>0</v>
      </c>
      <c r="Q263" s="84">
        <v>1.9356900000000001</v>
      </c>
      <c r="R263" s="24">
        <v>5.0210201722408765E-6</v>
      </c>
      <c r="S263" s="24">
        <v>1.0600581301268035E-5</v>
      </c>
      <c r="T263" s="24">
        <v>3.6382930621493887E-6</v>
      </c>
    </row>
    <row r="264" spans="1:20" x14ac:dyDescent="0.25">
      <c r="A264" s="16" t="s">
        <v>1277</v>
      </c>
      <c r="B264" s="116" t="s">
        <v>1278</v>
      </c>
      <c r="C264" s="116" t="s">
        <v>377</v>
      </c>
      <c r="D264" s="116" t="s">
        <v>249</v>
      </c>
      <c r="E264" s="116" t="s">
        <v>1201</v>
      </c>
      <c r="F264" s="116" t="s">
        <v>203</v>
      </c>
      <c r="G264" s="116" t="s">
        <v>435</v>
      </c>
      <c r="H264" s="116" t="s">
        <v>254</v>
      </c>
      <c r="I264" s="116" t="s">
        <v>1279</v>
      </c>
      <c r="J264" s="117">
        <v>3.11</v>
      </c>
      <c r="K264" s="117" t="s">
        <v>255</v>
      </c>
      <c r="L264" s="116">
        <v>2.18E-2</v>
      </c>
      <c r="M264" s="116">
        <v>5.5199999999999999E-2</v>
      </c>
      <c r="N264" s="69">
        <v>2053.2459486810794</v>
      </c>
      <c r="O264" s="60">
        <v>91.407674</v>
      </c>
      <c r="P264" s="84">
        <v>0</v>
      </c>
      <c r="Q264" s="84">
        <v>1.8768199999999999</v>
      </c>
      <c r="R264" s="24">
        <v>4.9035901961845451E-6</v>
      </c>
      <c r="S264" s="24">
        <v>1.0278186588682006E-5</v>
      </c>
      <c r="T264" s="24">
        <v>3.5276419183356916E-6</v>
      </c>
    </row>
    <row r="265" spans="1:20" x14ac:dyDescent="0.25">
      <c r="A265" s="16" t="s">
        <v>1195</v>
      </c>
      <c r="B265" s="116" t="s">
        <v>1196</v>
      </c>
      <c r="C265" s="116" t="s">
        <v>377</v>
      </c>
      <c r="D265" s="116" t="s">
        <v>249</v>
      </c>
      <c r="E265" s="116" t="s">
        <v>1197</v>
      </c>
      <c r="F265" s="116" t="s">
        <v>226</v>
      </c>
      <c r="G265" s="116" t="s">
        <v>431</v>
      </c>
      <c r="H265" s="116" t="s">
        <v>431</v>
      </c>
      <c r="I265" s="116" t="s">
        <v>1198</v>
      </c>
      <c r="J265" s="117">
        <v>2.61</v>
      </c>
      <c r="K265" s="117" t="s">
        <v>255</v>
      </c>
      <c r="L265" s="116">
        <v>3.95E-2</v>
      </c>
      <c r="M265" s="116">
        <v>8.5199999999999998E-2</v>
      </c>
      <c r="N265" s="69">
        <v>3117.0961109510868</v>
      </c>
      <c r="O265" s="60">
        <v>90.26</v>
      </c>
      <c r="P265" s="84">
        <v>0</v>
      </c>
      <c r="Q265" s="84">
        <v>2.8134899999999998</v>
      </c>
      <c r="R265" s="24">
        <v>3.7178306178434705E-6</v>
      </c>
      <c r="S265" s="24">
        <v>1.5407750975261845E-5</v>
      </c>
      <c r="T265" s="24">
        <v>5.2881924003464822E-6</v>
      </c>
    </row>
    <row r="266" spans="1:20" x14ac:dyDescent="0.25">
      <c r="A266" s="16" t="s">
        <v>1180</v>
      </c>
      <c r="B266" s="116" t="s">
        <v>1181</v>
      </c>
      <c r="C266" s="116" t="s">
        <v>377</v>
      </c>
      <c r="D266" s="116" t="s">
        <v>249</v>
      </c>
      <c r="E266" s="116" t="s">
        <v>1182</v>
      </c>
      <c r="F266" s="116" t="s">
        <v>215</v>
      </c>
      <c r="G266" s="116" t="s">
        <v>443</v>
      </c>
      <c r="H266" s="116" t="s">
        <v>254</v>
      </c>
      <c r="I266" s="116" t="s">
        <v>1183</v>
      </c>
      <c r="J266" s="117">
        <v>3.79</v>
      </c>
      <c r="K266" s="117" t="s">
        <v>255</v>
      </c>
      <c r="L266" s="116">
        <v>2.3E-2</v>
      </c>
      <c r="M266" s="116">
        <v>5.4600000000000003E-2</v>
      </c>
      <c r="N266" s="69">
        <v>10478.092763013858</v>
      </c>
      <c r="O266" s="60">
        <v>89.710000000000008</v>
      </c>
      <c r="P266" s="84">
        <v>0</v>
      </c>
      <c r="Q266" s="84">
        <v>9.3998999999999988</v>
      </c>
      <c r="R266" s="24">
        <v>1.6320205838703432E-5</v>
      </c>
      <c r="S266" s="24">
        <v>5.1477459806988412E-5</v>
      </c>
      <c r="T266" s="24">
        <v>1.7667907027932175E-5</v>
      </c>
    </row>
    <row r="267" spans="1:20" x14ac:dyDescent="0.25">
      <c r="A267" s="16" t="s">
        <v>2815</v>
      </c>
      <c r="B267" s="116" t="s">
        <v>1323</v>
      </c>
      <c r="C267" s="116" t="s">
        <v>377</v>
      </c>
      <c r="D267" s="116" t="s">
        <v>249</v>
      </c>
      <c r="E267" s="116" t="s">
        <v>1324</v>
      </c>
      <c r="F267" s="116" t="s">
        <v>221</v>
      </c>
      <c r="G267" s="116" t="s">
        <v>528</v>
      </c>
      <c r="H267" s="116" t="s">
        <v>254</v>
      </c>
      <c r="I267" s="116" t="s">
        <v>1325</v>
      </c>
      <c r="J267" s="117">
        <v>0</v>
      </c>
      <c r="K267" s="117" t="s">
        <v>255</v>
      </c>
      <c r="L267" s="116">
        <v>1.9E-2</v>
      </c>
      <c r="M267" s="116">
        <v>5.6500000000000002E-2</v>
      </c>
      <c r="N267" s="69">
        <v>5375.7709701599997</v>
      </c>
      <c r="O267" s="60">
        <v>88.028604000000001</v>
      </c>
      <c r="P267" s="84">
        <v>0</v>
      </c>
      <c r="Q267" s="84">
        <v>4.7322199999999999</v>
      </c>
      <c r="R267" s="24">
        <v>1.5447617730344825E-5</v>
      </c>
      <c r="S267" s="24">
        <v>2.5915452807777393E-5</v>
      </c>
      <c r="T267" s="24">
        <v>8.8946077081374488E-6</v>
      </c>
    </row>
    <row r="268" spans="1:20" x14ac:dyDescent="0.25">
      <c r="A268" s="16" t="s">
        <v>1258</v>
      </c>
      <c r="B268" s="116" t="s">
        <v>1259</v>
      </c>
      <c r="C268" s="116" t="s">
        <v>377</v>
      </c>
      <c r="D268" s="116" t="s">
        <v>249</v>
      </c>
      <c r="E268" s="116" t="s">
        <v>1260</v>
      </c>
      <c r="F268" s="116" t="s">
        <v>201</v>
      </c>
      <c r="G268" s="116" t="s">
        <v>576</v>
      </c>
      <c r="H268" s="116" t="s">
        <v>427</v>
      </c>
      <c r="I268" s="116" t="s">
        <v>1261</v>
      </c>
      <c r="J268" s="117">
        <v>5.97</v>
      </c>
      <c r="K268" s="117" t="s">
        <v>255</v>
      </c>
      <c r="L268" s="116">
        <v>2.3799999999999998E-2</v>
      </c>
      <c r="M268" s="116">
        <v>5.7699999999999994E-2</v>
      </c>
      <c r="N268" s="69">
        <v>4356.343613936685</v>
      </c>
      <c r="O268" s="60">
        <v>83.2</v>
      </c>
      <c r="P268" s="84">
        <v>0</v>
      </c>
      <c r="Q268" s="84">
        <v>3.6244800000000001</v>
      </c>
      <c r="R268" s="24">
        <v>6.7003662361657196E-6</v>
      </c>
      <c r="S268" s="24">
        <v>1.9849043449529608E-5</v>
      </c>
      <c r="T268" s="24">
        <v>6.8125166932200997E-6</v>
      </c>
    </row>
    <row r="269" spans="1:20" x14ac:dyDescent="0.25">
      <c r="A269" s="16" t="s">
        <v>1272</v>
      </c>
      <c r="B269" s="116" t="s">
        <v>1273</v>
      </c>
      <c r="C269" s="116" t="s">
        <v>377</v>
      </c>
      <c r="D269" s="116" t="s">
        <v>249</v>
      </c>
      <c r="E269" s="116" t="s">
        <v>1260</v>
      </c>
      <c r="F269" s="116" t="s">
        <v>201</v>
      </c>
      <c r="G269" s="116" t="s">
        <v>576</v>
      </c>
      <c r="H269" s="116" t="s">
        <v>427</v>
      </c>
      <c r="I269" s="116" t="s">
        <v>1274</v>
      </c>
      <c r="J269" s="117">
        <v>4.18</v>
      </c>
      <c r="K269" s="117" t="s">
        <v>255</v>
      </c>
      <c r="L269" s="116">
        <v>3.2599999999999997E-2</v>
      </c>
      <c r="M269" s="116">
        <v>5.4900000000000004E-2</v>
      </c>
      <c r="N269" s="69">
        <v>4082.5309034785423</v>
      </c>
      <c r="O269" s="60">
        <v>92.89</v>
      </c>
      <c r="P269" s="84">
        <v>0</v>
      </c>
      <c r="Q269" s="84">
        <v>3.7922600000000002</v>
      </c>
      <c r="R269" s="24">
        <v>4.1417118237277884E-6</v>
      </c>
      <c r="S269" s="24">
        <v>2.0767871118591676E-5</v>
      </c>
      <c r="T269" s="24">
        <v>7.1278733928814225E-6</v>
      </c>
    </row>
    <row r="270" spans="1:20" x14ac:dyDescent="0.25">
      <c r="A270" s="16" t="s">
        <v>1307</v>
      </c>
      <c r="B270" s="116" t="s">
        <v>1308</v>
      </c>
      <c r="C270" s="116" t="s">
        <v>377</v>
      </c>
      <c r="D270" s="116" t="s">
        <v>249</v>
      </c>
      <c r="E270" s="116" t="s">
        <v>1260</v>
      </c>
      <c r="F270" s="116" t="s">
        <v>201</v>
      </c>
      <c r="G270" s="116" t="s">
        <v>576</v>
      </c>
      <c r="H270" s="116" t="s">
        <v>427</v>
      </c>
      <c r="I270" s="116" t="s">
        <v>1309</v>
      </c>
      <c r="J270" s="117">
        <v>5.26</v>
      </c>
      <c r="K270" s="117" t="s">
        <v>255</v>
      </c>
      <c r="L270" s="116">
        <v>5.1699999999999996E-2</v>
      </c>
      <c r="M270" s="116">
        <v>5.6600000000000004E-2</v>
      </c>
      <c r="N270" s="69">
        <v>12343.314108312403</v>
      </c>
      <c r="O270" s="60">
        <v>99.53</v>
      </c>
      <c r="P270" s="84">
        <v>0</v>
      </c>
      <c r="Q270" s="84">
        <v>12.285299999999999</v>
      </c>
      <c r="R270" s="24">
        <v>2.0227844835274843E-5</v>
      </c>
      <c r="S270" s="24">
        <v>6.72790175392073E-5</v>
      </c>
      <c r="T270" s="24">
        <v>2.3091260354924539E-5</v>
      </c>
    </row>
    <row r="271" spans="1:20" x14ac:dyDescent="0.25">
      <c r="A271" s="16" t="s">
        <v>1339</v>
      </c>
      <c r="B271" s="116" t="s">
        <v>1340</v>
      </c>
      <c r="C271" s="116" t="s">
        <v>377</v>
      </c>
      <c r="D271" s="116" t="s">
        <v>249</v>
      </c>
      <c r="E271" s="116" t="s">
        <v>1260</v>
      </c>
      <c r="F271" s="116" t="s">
        <v>201</v>
      </c>
      <c r="G271" s="116" t="s">
        <v>576</v>
      </c>
      <c r="H271" s="116" t="s">
        <v>427</v>
      </c>
      <c r="I271" s="116" t="s">
        <v>508</v>
      </c>
      <c r="J271" s="117">
        <v>2.1800000000000002</v>
      </c>
      <c r="K271" s="117" t="s">
        <v>255</v>
      </c>
      <c r="L271" s="116">
        <v>2.63E-2</v>
      </c>
      <c r="M271" s="116">
        <v>5.5500000000000001E-2</v>
      </c>
      <c r="N271" s="69">
        <v>80.207678824686923</v>
      </c>
      <c r="O271" s="60">
        <v>95.9</v>
      </c>
      <c r="P271" s="84">
        <v>0</v>
      </c>
      <c r="Q271" s="84">
        <v>7.6920000000000002E-2</v>
      </c>
      <c r="R271" s="24">
        <v>5.8157389461855598E-8</v>
      </c>
      <c r="S271" s="24">
        <v>4.2124343964867166E-7</v>
      </c>
      <c r="T271" s="24">
        <v>1.445776453567105E-7</v>
      </c>
    </row>
    <row r="272" spans="1:20" x14ac:dyDescent="0.25">
      <c r="A272" s="16" t="s">
        <v>1176</v>
      </c>
      <c r="B272" s="116" t="s">
        <v>1177</v>
      </c>
      <c r="C272" s="116" t="s">
        <v>377</v>
      </c>
      <c r="D272" s="116" t="s">
        <v>249</v>
      </c>
      <c r="E272" s="116" t="s">
        <v>1178</v>
      </c>
      <c r="F272" s="116" t="s">
        <v>223</v>
      </c>
      <c r="G272" s="116" t="s">
        <v>588</v>
      </c>
      <c r="H272" s="116" t="s">
        <v>427</v>
      </c>
      <c r="I272" s="116" t="s">
        <v>1179</v>
      </c>
      <c r="J272" s="117">
        <v>4</v>
      </c>
      <c r="K272" s="117" t="s">
        <v>255</v>
      </c>
      <c r="L272" s="116">
        <v>3.04E-2</v>
      </c>
      <c r="M272" s="116">
        <v>5.5599999999999997E-2</v>
      </c>
      <c r="N272" s="69">
        <v>4483.7084796722511</v>
      </c>
      <c r="O272" s="60">
        <v>91.49</v>
      </c>
      <c r="P272" s="84">
        <v>0</v>
      </c>
      <c r="Q272" s="84">
        <v>4.1021400000000003</v>
      </c>
      <c r="R272" s="24">
        <v>8.2724767464078778E-6</v>
      </c>
      <c r="S272" s="24">
        <v>2.2464892921482085E-5</v>
      </c>
      <c r="T272" s="24">
        <v>7.7103190603689089E-6</v>
      </c>
    </row>
    <row r="273" spans="1:20" x14ac:dyDescent="0.25">
      <c r="A273" s="16" t="s">
        <v>1381</v>
      </c>
      <c r="B273" s="116" t="s">
        <v>1382</v>
      </c>
      <c r="C273" s="116" t="s">
        <v>377</v>
      </c>
      <c r="D273" s="116" t="s">
        <v>249</v>
      </c>
      <c r="E273" s="116" t="s">
        <v>1178</v>
      </c>
      <c r="F273" s="116" t="s">
        <v>223</v>
      </c>
      <c r="G273" s="116" t="s">
        <v>431</v>
      </c>
      <c r="H273" s="116" t="s">
        <v>431</v>
      </c>
      <c r="I273" s="116" t="s">
        <v>1383</v>
      </c>
      <c r="J273" s="117">
        <v>6.07</v>
      </c>
      <c r="K273" s="117" t="s">
        <v>255</v>
      </c>
      <c r="L273" s="116">
        <v>5.4800000000000001E-2</v>
      </c>
      <c r="M273" s="116">
        <v>5.8799999999999998E-2</v>
      </c>
      <c r="N273" s="69">
        <v>755.96779267875002</v>
      </c>
      <c r="O273" s="60">
        <v>98.590000000000018</v>
      </c>
      <c r="P273" s="84">
        <v>0</v>
      </c>
      <c r="Q273" s="84">
        <v>0.74530999999999992</v>
      </c>
      <c r="R273" s="24">
        <v>2.5198926422625002E-6</v>
      </c>
      <c r="S273" s="24">
        <v>4.0816035882026974E-6</v>
      </c>
      <c r="T273" s="24">
        <v>1.4008731781176532E-6</v>
      </c>
    </row>
    <row r="274" spans="1:20" x14ac:dyDescent="0.25">
      <c r="A274" s="16" t="s">
        <v>1275</v>
      </c>
      <c r="B274" s="116" t="s">
        <v>1276</v>
      </c>
      <c r="C274" s="116" t="s">
        <v>377</v>
      </c>
      <c r="D274" s="116" t="s">
        <v>249</v>
      </c>
      <c r="E274" s="116" t="s">
        <v>566</v>
      </c>
      <c r="F274" s="116" t="s">
        <v>200</v>
      </c>
      <c r="G274" s="116" t="s">
        <v>567</v>
      </c>
      <c r="H274" s="116" t="s">
        <v>427</v>
      </c>
      <c r="I274" s="116" t="s">
        <v>866</v>
      </c>
      <c r="J274" s="117">
        <v>3.66</v>
      </c>
      <c r="K274" s="117" t="s">
        <v>255</v>
      </c>
      <c r="L274" s="116">
        <v>2.7400000000000001E-2</v>
      </c>
      <c r="M274" s="116">
        <v>0.05</v>
      </c>
      <c r="N274" s="69">
        <v>11283.464769510945</v>
      </c>
      <c r="O274" s="60">
        <v>93.39</v>
      </c>
      <c r="P274" s="84">
        <v>0</v>
      </c>
      <c r="Q274" s="84">
        <v>10.53763</v>
      </c>
      <c r="R274" s="24">
        <v>6.5906751492937991E-6</v>
      </c>
      <c r="S274" s="24">
        <v>5.7708105914521996E-5</v>
      </c>
      <c r="T274" s="24">
        <v>1.98063667841944E-5</v>
      </c>
    </row>
    <row r="275" spans="1:20" x14ac:dyDescent="0.25">
      <c r="A275" s="16" t="s">
        <v>1147</v>
      </c>
      <c r="B275" s="116" t="s">
        <v>1148</v>
      </c>
      <c r="C275" s="116" t="s">
        <v>377</v>
      </c>
      <c r="D275" s="116" t="s">
        <v>249</v>
      </c>
      <c r="E275" s="116" t="s">
        <v>1149</v>
      </c>
      <c r="F275" s="116" t="s">
        <v>202</v>
      </c>
      <c r="G275" s="116" t="s">
        <v>576</v>
      </c>
      <c r="H275" s="116" t="s">
        <v>427</v>
      </c>
      <c r="I275" s="116" t="s">
        <v>1150</v>
      </c>
      <c r="J275" s="117">
        <v>3.77</v>
      </c>
      <c r="K275" s="117" t="s">
        <v>255</v>
      </c>
      <c r="L275" s="116">
        <v>2.4900000000000002E-2</v>
      </c>
      <c r="M275" s="116">
        <v>5.57E-2</v>
      </c>
      <c r="N275" s="69">
        <v>1038.2330193451164</v>
      </c>
      <c r="O275" s="60">
        <v>88.61</v>
      </c>
      <c r="P275" s="84">
        <v>0</v>
      </c>
      <c r="Q275" s="84">
        <v>0.91998000000000002</v>
      </c>
      <c r="R275" s="24">
        <v>1.732845936780037E-6</v>
      </c>
      <c r="S275" s="24">
        <v>5.0381635414454623E-6</v>
      </c>
      <c r="T275" s="24">
        <v>1.7291802154870844E-6</v>
      </c>
    </row>
    <row r="276" spans="1:20" x14ac:dyDescent="0.25">
      <c r="A276" s="16" t="s">
        <v>1253</v>
      </c>
      <c r="B276" s="116" t="s">
        <v>1254</v>
      </c>
      <c r="C276" s="116" t="s">
        <v>377</v>
      </c>
      <c r="D276" s="116" t="s">
        <v>249</v>
      </c>
      <c r="E276" s="116" t="s">
        <v>1255</v>
      </c>
      <c r="F276" s="116" t="s">
        <v>207</v>
      </c>
      <c r="G276" s="116" t="s">
        <v>431</v>
      </c>
      <c r="H276" s="116" t="s">
        <v>431</v>
      </c>
      <c r="I276" s="116" t="s">
        <v>831</v>
      </c>
      <c r="J276" s="117">
        <v>0.25</v>
      </c>
      <c r="K276" s="117" t="s">
        <v>255</v>
      </c>
      <c r="L276" s="116">
        <v>0.01</v>
      </c>
      <c r="M276" s="116">
        <v>0.45</v>
      </c>
      <c r="N276" s="69">
        <v>20.772682078745429</v>
      </c>
      <c r="O276" s="60">
        <v>54.66</v>
      </c>
      <c r="P276" s="84">
        <v>0</v>
      </c>
      <c r="Q276" s="84">
        <v>1.1349999999999999E-2</v>
      </c>
      <c r="R276" s="24">
        <v>3.4313461712121142E-7</v>
      </c>
      <c r="S276" s="24">
        <v>6.2156955798393444E-8</v>
      </c>
      <c r="T276" s="24">
        <v>2.1333284903778782E-8</v>
      </c>
    </row>
    <row r="277" spans="1:20" x14ac:dyDescent="0.25">
      <c r="A277" s="16" t="s">
        <v>1408</v>
      </c>
      <c r="B277" s="116" t="s">
        <v>1409</v>
      </c>
      <c r="C277" s="116" t="s">
        <v>377</v>
      </c>
      <c r="D277" s="116" t="s">
        <v>249</v>
      </c>
      <c r="E277" s="116" t="s">
        <v>1255</v>
      </c>
      <c r="F277" s="116" t="s">
        <v>226</v>
      </c>
      <c r="G277" s="116" t="s">
        <v>431</v>
      </c>
      <c r="H277" s="116" t="s">
        <v>431</v>
      </c>
      <c r="I277" s="116" t="s">
        <v>831</v>
      </c>
      <c r="J277" s="117">
        <v>3.26</v>
      </c>
      <c r="K277" s="117" t="s">
        <v>255</v>
      </c>
      <c r="L277" s="116">
        <v>0.01</v>
      </c>
      <c r="M277" s="116">
        <v>0.45</v>
      </c>
      <c r="N277" s="69">
        <v>2358.2025405055911</v>
      </c>
      <c r="O277" s="60">
        <v>3.2</v>
      </c>
      <c r="P277" s="84">
        <v>0</v>
      </c>
      <c r="Q277" s="84">
        <v>7.5459999999999999E-2</v>
      </c>
      <c r="R277" s="24">
        <v>2.358202540505591E-5</v>
      </c>
      <c r="S277" s="24">
        <v>4.1324791934332765E-7</v>
      </c>
      <c r="T277" s="24">
        <v>1.4183345188010108E-7</v>
      </c>
    </row>
    <row r="278" spans="1:20" x14ac:dyDescent="0.25">
      <c r="A278" s="16" t="s">
        <v>1074</v>
      </c>
      <c r="B278" s="116" t="s">
        <v>1075</v>
      </c>
      <c r="C278" s="116" t="s">
        <v>377</v>
      </c>
      <c r="D278" s="116" t="s">
        <v>249</v>
      </c>
      <c r="E278" s="116" t="s">
        <v>442</v>
      </c>
      <c r="F278" s="116" t="s">
        <v>223</v>
      </c>
      <c r="G278" s="116" t="s">
        <v>443</v>
      </c>
      <c r="H278" s="116" t="s">
        <v>254</v>
      </c>
      <c r="I278" s="116" t="s">
        <v>1076</v>
      </c>
      <c r="J278" s="117">
        <v>0.98</v>
      </c>
      <c r="K278" s="117" t="s">
        <v>255</v>
      </c>
      <c r="L278" s="116">
        <v>3.5000000000000003E-2</v>
      </c>
      <c r="M278" s="116">
        <v>5.7200000000000001E-2</v>
      </c>
      <c r="N278" s="69">
        <v>6834.0483387370941</v>
      </c>
      <c r="O278" s="60">
        <v>98.8</v>
      </c>
      <c r="P278" s="84">
        <v>0</v>
      </c>
      <c r="Q278" s="84">
        <v>6.75204</v>
      </c>
      <c r="R278" s="24">
        <v>7.4312933522275054E-6</v>
      </c>
      <c r="S278" s="24">
        <v>3.6976762275681446E-5</v>
      </c>
      <c r="T278" s="24">
        <v>1.2691030220415023E-5</v>
      </c>
    </row>
    <row r="279" spans="1:20" x14ac:dyDescent="0.25">
      <c r="A279" s="16" t="s">
        <v>1153</v>
      </c>
      <c r="B279" s="116" t="s">
        <v>1154</v>
      </c>
      <c r="C279" s="116" t="s">
        <v>377</v>
      </c>
      <c r="D279" s="116" t="s">
        <v>249</v>
      </c>
      <c r="E279" s="116" t="s">
        <v>1155</v>
      </c>
      <c r="F279" s="116" t="s">
        <v>204</v>
      </c>
      <c r="G279" s="116" t="s">
        <v>528</v>
      </c>
      <c r="H279" s="116" t="s">
        <v>254</v>
      </c>
      <c r="I279" s="116" t="s">
        <v>1156</v>
      </c>
      <c r="J279" s="117">
        <v>2.56</v>
      </c>
      <c r="K279" s="117" t="s">
        <v>255</v>
      </c>
      <c r="L279" s="116">
        <v>2.3900000000000001E-2</v>
      </c>
      <c r="M279" s="116">
        <v>5.8899999999999994E-2</v>
      </c>
      <c r="N279" s="69">
        <v>2130.9119831502157</v>
      </c>
      <c r="O279" s="60">
        <v>92.2</v>
      </c>
      <c r="P279" s="84">
        <v>0</v>
      </c>
      <c r="Q279" s="84">
        <v>1.9647000000000001</v>
      </c>
      <c r="R279" s="24">
        <v>1.0419037622392094E-5</v>
      </c>
      <c r="S279" s="24">
        <v>1.0759451194458467E-5</v>
      </c>
      <c r="T279" s="24">
        <v>3.6928198106127035E-6</v>
      </c>
    </row>
    <row r="280" spans="1:20" x14ac:dyDescent="0.25">
      <c r="A280" s="16" t="s">
        <v>1051</v>
      </c>
      <c r="B280" s="116" t="s">
        <v>1052</v>
      </c>
      <c r="C280" s="116" t="s">
        <v>377</v>
      </c>
      <c r="D280" s="116" t="s">
        <v>249</v>
      </c>
      <c r="E280" s="116" t="s">
        <v>1053</v>
      </c>
      <c r="F280" s="116" t="s">
        <v>201</v>
      </c>
      <c r="G280" s="116" t="s">
        <v>523</v>
      </c>
      <c r="H280" s="116" t="s">
        <v>427</v>
      </c>
      <c r="I280" s="116" t="s">
        <v>1054</v>
      </c>
      <c r="J280" s="117">
        <v>0.75</v>
      </c>
      <c r="K280" s="117" t="s">
        <v>255</v>
      </c>
      <c r="L280" s="116">
        <v>4.0999999999999995E-2</v>
      </c>
      <c r="M280" s="116">
        <v>5.4900000000000004E-2</v>
      </c>
      <c r="N280" s="69">
        <v>1792.7395699587576</v>
      </c>
      <c r="O280" s="60">
        <v>100.03</v>
      </c>
      <c r="P280" s="84">
        <v>0</v>
      </c>
      <c r="Q280" s="84">
        <v>1.79328</v>
      </c>
      <c r="R280" s="24">
        <v>5.975798566529192E-6</v>
      </c>
      <c r="S280" s="24">
        <v>9.8206894884707469E-6</v>
      </c>
      <c r="T280" s="24">
        <v>3.3706214231055876E-6</v>
      </c>
    </row>
    <row r="281" spans="1:20" x14ac:dyDescent="0.25">
      <c r="A281" s="16" t="s">
        <v>1132</v>
      </c>
      <c r="B281" s="116" t="s">
        <v>1133</v>
      </c>
      <c r="C281" s="116" t="s">
        <v>377</v>
      </c>
      <c r="D281" s="116" t="s">
        <v>249</v>
      </c>
      <c r="E281" s="116" t="s">
        <v>1053</v>
      </c>
      <c r="F281" s="116" t="s">
        <v>201</v>
      </c>
      <c r="G281" s="116" t="s">
        <v>426</v>
      </c>
      <c r="H281" s="116" t="s">
        <v>427</v>
      </c>
      <c r="I281" s="116" t="s">
        <v>1134</v>
      </c>
      <c r="J281" s="117">
        <v>2.93</v>
      </c>
      <c r="K281" s="117" t="s">
        <v>255</v>
      </c>
      <c r="L281" s="116">
        <v>1.84E-2</v>
      </c>
      <c r="M281" s="116">
        <v>5.0199999999999995E-2</v>
      </c>
      <c r="N281" s="69">
        <v>3748.1872638856621</v>
      </c>
      <c r="O281" s="60">
        <v>91.39</v>
      </c>
      <c r="P281" s="84">
        <v>3.4483323029999999E-2</v>
      </c>
      <c r="Q281" s="84">
        <v>3.4599499999999996</v>
      </c>
      <c r="R281" s="24">
        <v>1.2493957546285541E-5</v>
      </c>
      <c r="S281" s="24">
        <v>1.8948014027722589E-5</v>
      </c>
      <c r="T281" s="24">
        <v>6.503268643421093E-6</v>
      </c>
    </row>
    <row r="282" spans="1:20" x14ac:dyDescent="0.25">
      <c r="A282" s="16" t="s">
        <v>1266</v>
      </c>
      <c r="B282" s="116" t="s">
        <v>1267</v>
      </c>
      <c r="C282" s="116" t="s">
        <v>377</v>
      </c>
      <c r="D282" s="116" t="s">
        <v>249</v>
      </c>
      <c r="E282" s="116" t="s">
        <v>1053</v>
      </c>
      <c r="F282" s="116" t="s">
        <v>201</v>
      </c>
      <c r="G282" s="116" t="s">
        <v>426</v>
      </c>
      <c r="H282" s="116" t="s">
        <v>427</v>
      </c>
      <c r="I282" s="116" t="s">
        <v>1268</v>
      </c>
      <c r="J282" s="117">
        <v>6.46</v>
      </c>
      <c r="K282" s="117" t="s">
        <v>255</v>
      </c>
      <c r="L282" s="116">
        <v>2.98E-2</v>
      </c>
      <c r="M282" s="116">
        <v>5.4800000000000001E-2</v>
      </c>
      <c r="N282" s="69">
        <v>3531.7646883729403</v>
      </c>
      <c r="O282" s="60">
        <v>86.29</v>
      </c>
      <c r="P282" s="84">
        <v>0</v>
      </c>
      <c r="Q282" s="84">
        <v>3.0475599999999998</v>
      </c>
      <c r="R282" s="24">
        <v>8.9971598984603887E-6</v>
      </c>
      <c r="S282" s="24">
        <v>1.6689608124489156E-5</v>
      </c>
      <c r="T282" s="24">
        <v>5.7281467613533101E-6</v>
      </c>
    </row>
    <row r="283" spans="1:20" x14ac:dyDescent="0.25">
      <c r="A283" s="16" t="s">
        <v>1302</v>
      </c>
      <c r="B283" s="116" t="s">
        <v>1303</v>
      </c>
      <c r="C283" s="116" t="s">
        <v>377</v>
      </c>
      <c r="D283" s="116" t="s">
        <v>249</v>
      </c>
      <c r="E283" s="116" t="s">
        <v>1053</v>
      </c>
      <c r="F283" s="116" t="s">
        <v>201</v>
      </c>
      <c r="G283" s="116" t="s">
        <v>426</v>
      </c>
      <c r="H283" s="116" t="s">
        <v>427</v>
      </c>
      <c r="I283" s="116" t="s">
        <v>909</v>
      </c>
      <c r="J283" s="117">
        <v>0</v>
      </c>
      <c r="K283" s="117" t="s">
        <v>255</v>
      </c>
      <c r="L283" s="116">
        <v>2.98E-2</v>
      </c>
      <c r="M283" s="116">
        <v>5.4199999999999998E-2</v>
      </c>
      <c r="N283" s="69">
        <v>3779.83896339375</v>
      </c>
      <c r="O283" s="60">
        <v>85.286278999999993</v>
      </c>
      <c r="P283" s="84">
        <v>0</v>
      </c>
      <c r="Q283" s="84">
        <v>3.2236799999999999</v>
      </c>
      <c r="R283" s="24">
        <v>9.6291283663497683E-6</v>
      </c>
      <c r="S283" s="24">
        <v>1.7654108834199554E-5</v>
      </c>
      <c r="T283" s="24">
        <v>6.0591791963536209E-6</v>
      </c>
    </row>
    <row r="284" spans="1:20" x14ac:dyDescent="0.25">
      <c r="A284" s="16" t="s">
        <v>1384</v>
      </c>
      <c r="B284" s="116" t="s">
        <v>1385</v>
      </c>
      <c r="C284" s="116" t="s">
        <v>377</v>
      </c>
      <c r="D284" s="116" t="s">
        <v>249</v>
      </c>
      <c r="E284" s="116" t="s">
        <v>1053</v>
      </c>
      <c r="F284" s="116" t="s">
        <v>201</v>
      </c>
      <c r="G284" s="116" t="s">
        <v>472</v>
      </c>
      <c r="H284" s="116" t="s">
        <v>427</v>
      </c>
      <c r="I284" s="116" t="s">
        <v>1386</v>
      </c>
      <c r="J284" s="117">
        <v>7.71</v>
      </c>
      <c r="K284" s="117" t="s">
        <v>255</v>
      </c>
      <c r="L284" s="116">
        <v>5.28E-2</v>
      </c>
      <c r="M284" s="116">
        <v>5.5899999999999998E-2</v>
      </c>
      <c r="N284" s="69">
        <v>3919.1890265108664</v>
      </c>
      <c r="O284" s="60">
        <v>98.56</v>
      </c>
      <c r="P284" s="84">
        <v>0</v>
      </c>
      <c r="Q284" s="84">
        <v>3.8627500000000001</v>
      </c>
      <c r="R284" s="24">
        <v>1.3063963421702887E-5</v>
      </c>
      <c r="S284" s="24">
        <v>2.1153901410594207E-5</v>
      </c>
      <c r="T284" s="24">
        <v>7.2603653094336133E-6</v>
      </c>
    </row>
    <row r="285" spans="1:20" x14ac:dyDescent="0.25">
      <c r="A285" s="16" t="s">
        <v>1070</v>
      </c>
      <c r="B285" s="116" t="s">
        <v>1071</v>
      </c>
      <c r="C285" s="116" t="s">
        <v>377</v>
      </c>
      <c r="D285" s="116" t="s">
        <v>249</v>
      </c>
      <c r="E285" s="116" t="s">
        <v>1072</v>
      </c>
      <c r="F285" s="116" t="s">
        <v>201</v>
      </c>
      <c r="G285" s="116" t="s">
        <v>523</v>
      </c>
      <c r="H285" s="116" t="s">
        <v>427</v>
      </c>
      <c r="I285" s="116" t="s">
        <v>1073</v>
      </c>
      <c r="J285" s="117">
        <v>1.96</v>
      </c>
      <c r="K285" s="117" t="s">
        <v>255</v>
      </c>
      <c r="L285" s="116">
        <v>2.9399999999999999E-2</v>
      </c>
      <c r="M285" s="116">
        <v>5.16E-2</v>
      </c>
      <c r="N285" s="69">
        <v>409.38853129342397</v>
      </c>
      <c r="O285" s="60">
        <v>95.88</v>
      </c>
      <c r="P285" s="84">
        <v>0.11393622427999998</v>
      </c>
      <c r="Q285" s="84">
        <v>0.40876000000000001</v>
      </c>
      <c r="R285" s="24">
        <v>2.5519435978822612E-6</v>
      </c>
      <c r="S285" s="24">
        <v>2.238526630145489E-6</v>
      </c>
      <c r="T285" s="24">
        <v>7.682989900677195E-7</v>
      </c>
    </row>
    <row r="286" spans="1:20" x14ac:dyDescent="0.25">
      <c r="A286" s="16" t="s">
        <v>1295</v>
      </c>
      <c r="B286" s="116" t="s">
        <v>1296</v>
      </c>
      <c r="C286" s="116" t="s">
        <v>377</v>
      </c>
      <c r="D286" s="116" t="s">
        <v>249</v>
      </c>
      <c r="E286" s="116" t="s">
        <v>1297</v>
      </c>
      <c r="F286" s="116" t="s">
        <v>225</v>
      </c>
      <c r="G286" s="116" t="s">
        <v>431</v>
      </c>
      <c r="H286" s="116" t="s">
        <v>431</v>
      </c>
      <c r="I286" s="116" t="s">
        <v>1298</v>
      </c>
      <c r="J286" s="117">
        <v>3.59</v>
      </c>
      <c r="K286" s="117" t="s">
        <v>255</v>
      </c>
      <c r="L286" s="116">
        <v>7.4999999999999997E-2</v>
      </c>
      <c r="M286" s="116">
        <v>6.6799999999999998E-2</v>
      </c>
      <c r="N286" s="69">
        <v>1764.8052899933859</v>
      </c>
      <c r="O286" s="60">
        <v>106.86</v>
      </c>
      <c r="P286" s="84">
        <v>0</v>
      </c>
      <c r="Q286" s="84">
        <v>1.8858699999999999</v>
      </c>
      <c r="R286" s="24">
        <v>6.3595679040913513E-6</v>
      </c>
      <c r="S286" s="24">
        <v>1.0327747861807597E-5</v>
      </c>
      <c r="T286" s="24">
        <v>3.5446521587215239E-6</v>
      </c>
    </row>
    <row r="287" spans="1:20" x14ac:dyDescent="0.25">
      <c r="A287" s="16" t="s">
        <v>1299</v>
      </c>
      <c r="B287" s="116" t="s">
        <v>1300</v>
      </c>
      <c r="C287" s="116" t="s">
        <v>377</v>
      </c>
      <c r="D287" s="116" t="s">
        <v>249</v>
      </c>
      <c r="E287" s="116" t="s">
        <v>1297</v>
      </c>
      <c r="F287" s="116" t="s">
        <v>225</v>
      </c>
      <c r="G287" s="116" t="s">
        <v>431</v>
      </c>
      <c r="H287" s="116" t="s">
        <v>431</v>
      </c>
      <c r="I287" s="116" t="s">
        <v>1301</v>
      </c>
      <c r="J287" s="117">
        <v>3.84</v>
      </c>
      <c r="K287" s="117" t="s">
        <v>255</v>
      </c>
      <c r="L287" s="116">
        <v>0.10539999999999999</v>
      </c>
      <c r="M287" s="116">
        <v>7.3399999999999993E-2</v>
      </c>
      <c r="N287" s="69">
        <v>1734.3945914135804</v>
      </c>
      <c r="O287" s="60">
        <v>115.36</v>
      </c>
      <c r="P287" s="84">
        <v>0</v>
      </c>
      <c r="Q287" s="84">
        <v>2.0007999999999999</v>
      </c>
      <c r="R287" s="24">
        <v>7.0791615976064504E-6</v>
      </c>
      <c r="S287" s="24">
        <v>1.0957148648583753E-5</v>
      </c>
      <c r="T287" s="24">
        <v>3.7606728136987308E-6</v>
      </c>
    </row>
    <row r="288" spans="1:20" x14ac:dyDescent="0.25">
      <c r="A288" s="16" t="s">
        <v>2816</v>
      </c>
      <c r="B288" s="116" t="s">
        <v>1330</v>
      </c>
      <c r="C288" s="116" t="s">
        <v>377</v>
      </c>
      <c r="D288" s="116" t="s">
        <v>249</v>
      </c>
      <c r="E288" s="116" t="s">
        <v>1331</v>
      </c>
      <c r="F288" s="116" t="s">
        <v>221</v>
      </c>
      <c r="G288" s="116" t="s">
        <v>528</v>
      </c>
      <c r="H288" s="116" t="s">
        <v>254</v>
      </c>
      <c r="I288" s="116" t="s">
        <v>1332</v>
      </c>
      <c r="J288" s="117">
        <v>0</v>
      </c>
      <c r="K288" s="117" t="s">
        <v>255</v>
      </c>
      <c r="L288" s="116">
        <v>0.05</v>
      </c>
      <c r="M288" s="116">
        <v>6.0100000000000001E-2</v>
      </c>
      <c r="N288" s="69">
        <v>4199.8210704374997</v>
      </c>
      <c r="O288" s="60">
        <v>96.151968999999994</v>
      </c>
      <c r="P288" s="84">
        <v>0</v>
      </c>
      <c r="Q288" s="84">
        <v>4.0382100000000003</v>
      </c>
      <c r="R288" s="24">
        <v>1.422077361066434E-5</v>
      </c>
      <c r="S288" s="24">
        <v>2.2114787707015895E-5</v>
      </c>
      <c r="T288" s="24">
        <v>7.5901572186157305E-6</v>
      </c>
    </row>
    <row r="289" spans="1:20" x14ac:dyDescent="0.25">
      <c r="A289" s="16" t="s">
        <v>1262</v>
      </c>
      <c r="B289" s="116" t="s">
        <v>1263</v>
      </c>
      <c r="C289" s="116" t="s">
        <v>377</v>
      </c>
      <c r="D289" s="116" t="s">
        <v>249</v>
      </c>
      <c r="E289" s="116" t="s">
        <v>1264</v>
      </c>
      <c r="F289" s="116" t="s">
        <v>224</v>
      </c>
      <c r="G289" s="116" t="s">
        <v>523</v>
      </c>
      <c r="H289" s="116" t="s">
        <v>427</v>
      </c>
      <c r="I289" s="116" t="s">
        <v>1265</v>
      </c>
      <c r="J289" s="117">
        <v>6.57</v>
      </c>
      <c r="K289" s="117" t="s">
        <v>255</v>
      </c>
      <c r="L289" s="116">
        <v>2.7999999999999997E-2</v>
      </c>
      <c r="M289" s="116">
        <v>5.9699999999999996E-2</v>
      </c>
      <c r="N289" s="69">
        <v>5665.8870819465355</v>
      </c>
      <c r="O289" s="60">
        <v>81.790000000000006</v>
      </c>
      <c r="P289" s="84">
        <v>0.19495276683999999</v>
      </c>
      <c r="Q289" s="84">
        <v>4.7345100000000002</v>
      </c>
      <c r="R289" s="24">
        <v>1.0224086767888555E-5</v>
      </c>
      <c r="S289" s="24">
        <v>2.592799372661249E-5</v>
      </c>
      <c r="T289" s="24">
        <v>8.8989119568096663E-6</v>
      </c>
    </row>
    <row r="290" spans="1:20" x14ac:dyDescent="0.25">
      <c r="A290" s="16" t="s">
        <v>1241</v>
      </c>
      <c r="B290" s="116" t="s">
        <v>1242</v>
      </c>
      <c r="C290" s="116" t="s">
        <v>377</v>
      </c>
      <c r="D290" s="116" t="s">
        <v>249</v>
      </c>
      <c r="E290" s="116" t="s">
        <v>1243</v>
      </c>
      <c r="F290" s="116" t="s">
        <v>224</v>
      </c>
      <c r="G290" s="116" t="s">
        <v>443</v>
      </c>
      <c r="H290" s="116" t="s">
        <v>254</v>
      </c>
      <c r="I290" s="116" t="s">
        <v>1244</v>
      </c>
      <c r="J290" s="117">
        <v>3.04</v>
      </c>
      <c r="K290" s="117" t="s">
        <v>255</v>
      </c>
      <c r="L290" s="116">
        <v>3.49E-2</v>
      </c>
      <c r="M290" s="116">
        <v>7.17E-2</v>
      </c>
      <c r="N290" s="69">
        <v>9440.7184827629408</v>
      </c>
      <c r="O290" s="60">
        <v>90.72</v>
      </c>
      <c r="P290" s="84">
        <v>0</v>
      </c>
      <c r="Q290" s="84">
        <v>8.5646200000000015</v>
      </c>
      <c r="R290" s="24">
        <v>9.9848707328644708E-6</v>
      </c>
      <c r="S290" s="24">
        <v>4.6903145970928326E-5</v>
      </c>
      <c r="T290" s="24">
        <v>1.6097927625779902E-5</v>
      </c>
    </row>
    <row r="291" spans="1:20" x14ac:dyDescent="0.25">
      <c r="A291" s="16" t="s">
        <v>2817</v>
      </c>
      <c r="B291" s="116" t="s">
        <v>1349</v>
      </c>
      <c r="C291" s="116" t="s">
        <v>377</v>
      </c>
      <c r="D291" s="116" t="s">
        <v>249</v>
      </c>
      <c r="E291" s="116" t="s">
        <v>1243</v>
      </c>
      <c r="F291" s="116" t="s">
        <v>224</v>
      </c>
      <c r="G291" s="116" t="s">
        <v>443</v>
      </c>
      <c r="H291" s="116" t="s">
        <v>254</v>
      </c>
      <c r="I291" s="116" t="s">
        <v>1350</v>
      </c>
      <c r="J291" s="117">
        <v>0</v>
      </c>
      <c r="K291" s="117" t="s">
        <v>255</v>
      </c>
      <c r="L291" s="116">
        <v>3.49E-2</v>
      </c>
      <c r="M291" s="116">
        <v>7.1099999999999997E-2</v>
      </c>
      <c r="N291" s="69">
        <v>2519.8926422625</v>
      </c>
      <c r="O291" s="60">
        <v>88.403514999999999</v>
      </c>
      <c r="P291" s="84">
        <v>0</v>
      </c>
      <c r="Q291" s="84">
        <v>2.2276700000000003</v>
      </c>
      <c r="R291" s="24">
        <v>2.665136381264463E-6</v>
      </c>
      <c r="S291" s="24">
        <v>1.219957583466142E-5</v>
      </c>
      <c r="T291" s="24">
        <v>4.1870941657798141E-6</v>
      </c>
    </row>
    <row r="292" spans="1:20" x14ac:dyDescent="0.25">
      <c r="A292" s="16" t="s">
        <v>1291</v>
      </c>
      <c r="B292" s="116" t="s">
        <v>1292</v>
      </c>
      <c r="C292" s="116" t="s">
        <v>377</v>
      </c>
      <c r="D292" s="116" t="s">
        <v>249</v>
      </c>
      <c r="E292" s="116" t="s">
        <v>1293</v>
      </c>
      <c r="F292" s="116" t="s">
        <v>206</v>
      </c>
      <c r="G292" s="116" t="s">
        <v>528</v>
      </c>
      <c r="H292" s="116" t="s">
        <v>254</v>
      </c>
      <c r="I292" s="116" t="s">
        <v>1294</v>
      </c>
      <c r="J292" s="117">
        <v>4.0599999999999996</v>
      </c>
      <c r="K292" s="117" t="s">
        <v>255</v>
      </c>
      <c r="L292" s="116">
        <v>4.7300000000000002E-2</v>
      </c>
      <c r="M292" s="116">
        <v>6.0199999999999997E-2</v>
      </c>
      <c r="N292" s="69">
        <v>3516.158657253723</v>
      </c>
      <c r="O292" s="60">
        <v>96.34</v>
      </c>
      <c r="P292" s="84">
        <v>0</v>
      </c>
      <c r="Q292" s="84">
        <v>3.38747</v>
      </c>
      <c r="R292" s="24">
        <v>8.9035834477133631E-6</v>
      </c>
      <c r="S292" s="24">
        <v>1.8551085732016195E-5</v>
      </c>
      <c r="T292" s="24">
        <v>6.3670363535685923E-6</v>
      </c>
    </row>
    <row r="293" spans="1:20" x14ac:dyDescent="0.25">
      <c r="A293" s="16" t="s">
        <v>1098</v>
      </c>
      <c r="B293" s="116" t="s">
        <v>1099</v>
      </c>
      <c r="C293" s="116" t="s">
        <v>377</v>
      </c>
      <c r="D293" s="116" t="s">
        <v>249</v>
      </c>
      <c r="E293" s="116" t="s">
        <v>1100</v>
      </c>
      <c r="F293" s="116" t="s">
        <v>223</v>
      </c>
      <c r="G293" s="116" t="s">
        <v>567</v>
      </c>
      <c r="H293" s="116" t="s">
        <v>427</v>
      </c>
      <c r="I293" s="116" t="s">
        <v>1101</v>
      </c>
      <c r="J293" s="117">
        <v>2.4</v>
      </c>
      <c r="K293" s="117" t="s">
        <v>255</v>
      </c>
      <c r="L293" s="116">
        <v>1.44E-2</v>
      </c>
      <c r="M293" s="116">
        <v>5.1399999999999994E-2</v>
      </c>
      <c r="N293" s="69">
        <v>5537.9544340008151</v>
      </c>
      <c r="O293" s="60">
        <v>91.68</v>
      </c>
      <c r="P293" s="84">
        <v>0.59366871535999999</v>
      </c>
      <c r="Q293" s="84">
        <v>5.1631499999999999</v>
      </c>
      <c r="R293" s="24">
        <v>1.2306565408890701E-5</v>
      </c>
      <c r="S293" s="24">
        <v>2.8275390866121153E-5</v>
      </c>
      <c r="T293" s="24">
        <v>9.7045770881890257E-6</v>
      </c>
    </row>
    <row r="294" spans="1:20" x14ac:dyDescent="0.25">
      <c r="A294" s="16" t="s">
        <v>1142</v>
      </c>
      <c r="B294" s="116" t="s">
        <v>1143</v>
      </c>
      <c r="C294" s="116" t="s">
        <v>377</v>
      </c>
      <c r="D294" s="116" t="s">
        <v>249</v>
      </c>
      <c r="E294" s="116" t="s">
        <v>527</v>
      </c>
      <c r="F294" s="116" t="s">
        <v>225</v>
      </c>
      <c r="G294" s="116" t="s">
        <v>528</v>
      </c>
      <c r="H294" s="116" t="s">
        <v>254</v>
      </c>
      <c r="I294" s="116" t="s">
        <v>1144</v>
      </c>
      <c r="J294" s="117">
        <v>4.68</v>
      </c>
      <c r="K294" s="117" t="s">
        <v>255</v>
      </c>
      <c r="L294" s="116">
        <v>2.4300000000000002E-2</v>
      </c>
      <c r="M294" s="116">
        <v>5.5E-2</v>
      </c>
      <c r="N294" s="69">
        <v>5996.0110453948864</v>
      </c>
      <c r="O294" s="60">
        <v>87.67</v>
      </c>
      <c r="P294" s="84">
        <v>0</v>
      </c>
      <c r="Q294" s="84">
        <v>5.2566999999999995</v>
      </c>
      <c r="R294" s="24">
        <v>4.0939161796068502E-6</v>
      </c>
      <c r="S294" s="24">
        <v>2.8787706567877954E-5</v>
      </c>
      <c r="T294" s="24">
        <v>9.8804122249950602E-6</v>
      </c>
    </row>
    <row r="295" spans="1:20" x14ac:dyDescent="0.25">
      <c r="A295" s="16" t="s">
        <v>1403</v>
      </c>
      <c r="B295" s="116" t="s">
        <v>1404</v>
      </c>
      <c r="C295" s="116" t="s">
        <v>377</v>
      </c>
      <c r="D295" s="116" t="s">
        <v>249</v>
      </c>
      <c r="E295" s="116" t="s">
        <v>527</v>
      </c>
      <c r="F295" s="116" t="s">
        <v>225</v>
      </c>
      <c r="G295" s="116" t="s">
        <v>528</v>
      </c>
      <c r="H295" s="116" t="s">
        <v>254</v>
      </c>
      <c r="I295" s="116" t="s">
        <v>1405</v>
      </c>
      <c r="J295" s="117">
        <v>0.66</v>
      </c>
      <c r="K295" s="117" t="s">
        <v>255</v>
      </c>
      <c r="L295" s="116">
        <v>6.3999999761581425E-2</v>
      </c>
      <c r="M295" s="116">
        <v>5.8099999999999999E-2</v>
      </c>
      <c r="N295" s="69">
        <v>2100.7957407453723</v>
      </c>
      <c r="O295" s="60">
        <v>100.97</v>
      </c>
      <c r="P295" s="84">
        <v>0</v>
      </c>
      <c r="Q295" s="84">
        <v>2.1211700000000002</v>
      </c>
      <c r="R295" s="24">
        <v>3.0244772423439147E-6</v>
      </c>
      <c r="S295" s="24">
        <v>1.161634096307297E-5</v>
      </c>
      <c r="T295" s="24">
        <v>3.9869184087531679E-6</v>
      </c>
    </row>
    <row r="296" spans="1:20" x14ac:dyDescent="0.25">
      <c r="A296" s="16" t="s">
        <v>1173</v>
      </c>
      <c r="B296" s="116" t="s">
        <v>1174</v>
      </c>
      <c r="C296" s="116" t="s">
        <v>377</v>
      </c>
      <c r="D296" s="116" t="s">
        <v>249</v>
      </c>
      <c r="E296" s="116" t="s">
        <v>889</v>
      </c>
      <c r="F296" s="116" t="s">
        <v>205</v>
      </c>
      <c r="G296" s="116" t="s">
        <v>472</v>
      </c>
      <c r="H296" s="116" t="s">
        <v>427</v>
      </c>
      <c r="I296" s="116" t="s">
        <v>1175</v>
      </c>
      <c r="J296" s="117">
        <v>3.74</v>
      </c>
      <c r="K296" s="117" t="s">
        <v>255</v>
      </c>
      <c r="L296" s="116">
        <v>3.1600000000000003E-2</v>
      </c>
      <c r="M296" s="116">
        <v>6.83E-2</v>
      </c>
      <c r="N296" s="69">
        <v>6977.0148543385367</v>
      </c>
      <c r="O296" s="60">
        <v>86.050000000000011</v>
      </c>
      <c r="P296" s="84">
        <v>0</v>
      </c>
      <c r="Q296" s="84">
        <v>6.0037200000000004</v>
      </c>
      <c r="R296" s="24">
        <v>9.0001637754632417E-6</v>
      </c>
      <c r="S296" s="24">
        <v>3.2878674772328697E-5</v>
      </c>
      <c r="T296" s="24">
        <v>1.128449949273258E-5</v>
      </c>
    </row>
    <row r="297" spans="1:20" x14ac:dyDescent="0.25">
      <c r="A297" s="16" t="s">
        <v>2818</v>
      </c>
      <c r="B297" s="116" t="s">
        <v>1316</v>
      </c>
      <c r="C297" s="116" t="s">
        <v>377</v>
      </c>
      <c r="D297" s="116" t="s">
        <v>249</v>
      </c>
      <c r="E297" s="116" t="s">
        <v>889</v>
      </c>
      <c r="F297" s="116" t="s">
        <v>205</v>
      </c>
      <c r="G297" s="116" t="s">
        <v>1317</v>
      </c>
      <c r="H297" s="116" t="s">
        <v>427</v>
      </c>
      <c r="I297" s="116" t="s">
        <v>1318</v>
      </c>
      <c r="J297" s="117">
        <v>0</v>
      </c>
      <c r="K297" s="117" t="s">
        <v>255</v>
      </c>
      <c r="L297" s="116">
        <v>4.2500000000000003E-2</v>
      </c>
      <c r="M297" s="116">
        <v>6.1200000000000004E-2</v>
      </c>
      <c r="N297" s="69">
        <v>3675.0993191311709</v>
      </c>
      <c r="O297" s="60">
        <v>95.776893999999999</v>
      </c>
      <c r="P297" s="84">
        <v>0</v>
      </c>
      <c r="Q297" s="84">
        <v>3.5199000000000003</v>
      </c>
      <c r="R297" s="24">
        <v>8.7014599019794858E-6</v>
      </c>
      <c r="S297" s="24">
        <v>1.9276323234781063E-5</v>
      </c>
      <c r="T297" s="24">
        <v>6.6159497385736525E-6</v>
      </c>
    </row>
    <row r="298" spans="1:20" x14ac:dyDescent="0.25">
      <c r="A298" s="16" t="s">
        <v>1165</v>
      </c>
      <c r="B298" s="116" t="s">
        <v>1166</v>
      </c>
      <c r="C298" s="116" t="s">
        <v>377</v>
      </c>
      <c r="D298" s="116" t="s">
        <v>249</v>
      </c>
      <c r="E298" s="116" t="s">
        <v>1167</v>
      </c>
      <c r="F298" s="116" t="s">
        <v>224</v>
      </c>
      <c r="G298" s="116" t="s">
        <v>588</v>
      </c>
      <c r="H298" s="116" t="s">
        <v>427</v>
      </c>
      <c r="I298" s="116" t="s">
        <v>1168</v>
      </c>
      <c r="J298" s="117">
        <v>2.16</v>
      </c>
      <c r="K298" s="117" t="s">
        <v>255</v>
      </c>
      <c r="L298" s="116">
        <v>5.0499999999999996E-2</v>
      </c>
      <c r="M298" s="116">
        <v>5.9200000000000003E-2</v>
      </c>
      <c r="N298" s="69">
        <v>801.78598339634573</v>
      </c>
      <c r="O298" s="60">
        <v>98.22</v>
      </c>
      <c r="P298" s="84">
        <v>9.0750382140000002E-2</v>
      </c>
      <c r="Q298" s="84">
        <v>0.80877999999999994</v>
      </c>
      <c r="R298" s="24">
        <v>4.1382502368843652E-6</v>
      </c>
      <c r="S298" s="24">
        <v>4.4291896661343296E-6</v>
      </c>
      <c r="T298" s="24">
        <v>1.5201704109672427E-6</v>
      </c>
    </row>
    <row r="299" spans="1:20" x14ac:dyDescent="0.25">
      <c r="A299" s="16" t="s">
        <v>1304</v>
      </c>
      <c r="B299" s="116" t="s">
        <v>1305</v>
      </c>
      <c r="C299" s="116" t="s">
        <v>377</v>
      </c>
      <c r="D299" s="116" t="s">
        <v>249</v>
      </c>
      <c r="E299" s="116" t="s">
        <v>1167</v>
      </c>
      <c r="F299" s="116" t="s">
        <v>224</v>
      </c>
      <c r="G299" s="116" t="s">
        <v>588</v>
      </c>
      <c r="H299" s="116" t="s">
        <v>427</v>
      </c>
      <c r="I299" s="116" t="s">
        <v>1306</v>
      </c>
      <c r="J299" s="117">
        <v>0</v>
      </c>
      <c r="K299" s="117" t="s">
        <v>255</v>
      </c>
      <c r="L299" s="116">
        <v>3.5000000000000003E-2</v>
      </c>
      <c r="M299" s="116">
        <v>6.59E-2</v>
      </c>
      <c r="N299" s="69">
        <v>1959.9164211408399</v>
      </c>
      <c r="O299" s="60">
        <v>96.731955999999997</v>
      </c>
      <c r="P299" s="84">
        <v>0</v>
      </c>
      <c r="Q299" s="84">
        <v>1.8958699999999999</v>
      </c>
      <c r="R299" s="24">
        <v>6.8152041906281382E-6</v>
      </c>
      <c r="S299" s="24">
        <v>1.0382511699515433E-5</v>
      </c>
      <c r="T299" s="24">
        <v>3.5634480044517258E-6</v>
      </c>
    </row>
    <row r="300" spans="1:20" x14ac:dyDescent="0.25">
      <c r="A300" s="16" t="s">
        <v>1374</v>
      </c>
      <c r="B300" s="116" t="s">
        <v>1375</v>
      </c>
      <c r="C300" s="116" t="s">
        <v>377</v>
      </c>
      <c r="D300" s="116" t="s">
        <v>249</v>
      </c>
      <c r="E300" s="116" t="s">
        <v>1167</v>
      </c>
      <c r="F300" s="116" t="s">
        <v>224</v>
      </c>
      <c r="G300" s="116" t="s">
        <v>588</v>
      </c>
      <c r="H300" s="116" t="s">
        <v>427</v>
      </c>
      <c r="I300" s="116" t="s">
        <v>1376</v>
      </c>
      <c r="J300" s="117">
        <v>4.13</v>
      </c>
      <c r="K300" s="117" t="s">
        <v>255</v>
      </c>
      <c r="L300" s="116">
        <v>6.3700000000000007E-2</v>
      </c>
      <c r="M300" s="116">
        <v>6.83E-2</v>
      </c>
      <c r="N300" s="69">
        <v>3779.83896339375</v>
      </c>
      <c r="O300" s="60">
        <v>99.36</v>
      </c>
      <c r="P300" s="84">
        <v>0</v>
      </c>
      <c r="Q300" s="84">
        <v>3.7556500000000002</v>
      </c>
      <c r="R300" s="24">
        <v>1.9201425250410207E-5</v>
      </c>
      <c r="S300" s="24">
        <v>2.056738070874329E-5</v>
      </c>
      <c r="T300" s="24">
        <v>7.0590618016631545E-6</v>
      </c>
    </row>
    <row r="301" spans="1:20" x14ac:dyDescent="0.25">
      <c r="A301" s="16" t="s">
        <v>1280</v>
      </c>
      <c r="B301" s="116" t="s">
        <v>1281</v>
      </c>
      <c r="C301" s="116" t="s">
        <v>377</v>
      </c>
      <c r="D301" s="116" t="s">
        <v>249</v>
      </c>
      <c r="E301" s="116" t="s">
        <v>1282</v>
      </c>
      <c r="F301" s="116" t="s">
        <v>226</v>
      </c>
      <c r="G301" s="116" t="s">
        <v>472</v>
      </c>
      <c r="H301" s="116" t="s">
        <v>427</v>
      </c>
      <c r="I301" s="116" t="s">
        <v>1283</v>
      </c>
      <c r="J301" s="117">
        <v>3.12</v>
      </c>
      <c r="K301" s="117" t="s">
        <v>255</v>
      </c>
      <c r="L301" s="116">
        <v>4.6600000000000003E-2</v>
      </c>
      <c r="M301" s="116">
        <v>6.6699999999999995E-2</v>
      </c>
      <c r="N301" s="69">
        <v>2432.2600997673867</v>
      </c>
      <c r="O301" s="60">
        <v>95.03</v>
      </c>
      <c r="P301" s="84">
        <v>0</v>
      </c>
      <c r="Q301" s="84">
        <v>2.3113800000000002</v>
      </c>
      <c r="R301" s="24">
        <v>3.4746572853819808E-6</v>
      </c>
      <c r="S301" s="24">
        <v>1.2658003920113713E-5</v>
      </c>
      <c r="T301" s="24">
        <v>4.3444341903873312E-6</v>
      </c>
    </row>
    <row r="302" spans="1:20" x14ac:dyDescent="0.25">
      <c r="A302" s="16" t="s">
        <v>1048</v>
      </c>
      <c r="B302" s="116" t="s">
        <v>1049</v>
      </c>
      <c r="C302" s="116" t="s">
        <v>377</v>
      </c>
      <c r="D302" s="116" t="s">
        <v>249</v>
      </c>
      <c r="E302" s="116" t="s">
        <v>459</v>
      </c>
      <c r="F302" s="116" t="s">
        <v>226</v>
      </c>
      <c r="G302" s="116" t="s">
        <v>422</v>
      </c>
      <c r="H302" s="116" t="s">
        <v>254</v>
      </c>
      <c r="I302" s="116" t="s">
        <v>1050</v>
      </c>
      <c r="J302" s="117">
        <v>1.08</v>
      </c>
      <c r="K302" s="117" t="s">
        <v>255</v>
      </c>
      <c r="L302" s="116">
        <v>4.2000000000000003E-2</v>
      </c>
      <c r="M302" s="116">
        <v>5.74E-2</v>
      </c>
      <c r="N302" s="69">
        <v>784.6768598350169</v>
      </c>
      <c r="O302" s="60">
        <v>100.05999999999999</v>
      </c>
      <c r="P302" s="84">
        <v>0</v>
      </c>
      <c r="Q302" s="84">
        <v>0.78515000000000001</v>
      </c>
      <c r="R302" s="24">
        <v>3.2503316282500831E-6</v>
      </c>
      <c r="S302" s="24">
        <v>4.2997827176307141E-6</v>
      </c>
      <c r="T302" s="24">
        <v>1.4757558275067765E-6</v>
      </c>
    </row>
    <row r="303" spans="1:20" x14ac:dyDescent="0.25">
      <c r="A303" s="16" t="s">
        <v>1333</v>
      </c>
      <c r="B303" s="116" t="s">
        <v>1334</v>
      </c>
      <c r="C303" s="116" t="s">
        <v>377</v>
      </c>
      <c r="D303" s="116" t="s">
        <v>249</v>
      </c>
      <c r="E303" s="116" t="s">
        <v>459</v>
      </c>
      <c r="F303" s="116" t="s">
        <v>226</v>
      </c>
      <c r="G303" s="116" t="s">
        <v>422</v>
      </c>
      <c r="H303" s="116" t="s">
        <v>254</v>
      </c>
      <c r="I303" s="116" t="s">
        <v>1335</v>
      </c>
      <c r="J303" s="117">
        <v>2.5499999999999998</v>
      </c>
      <c r="K303" s="117" t="s">
        <v>255</v>
      </c>
      <c r="L303" s="116">
        <v>4.2999999999999997E-2</v>
      </c>
      <c r="M303" s="116">
        <v>6.1100000000000002E-2</v>
      </c>
      <c r="N303" s="69">
        <v>5690.7269009886049</v>
      </c>
      <c r="O303" s="60">
        <v>96.610000000000014</v>
      </c>
      <c r="P303" s="84">
        <v>0</v>
      </c>
      <c r="Q303" s="84">
        <v>5.4978100000000003</v>
      </c>
      <c r="R303" s="24">
        <v>5.1261562473616775E-6</v>
      </c>
      <c r="S303" s="24">
        <v>3.0108117458851582E-5</v>
      </c>
      <c r="T303" s="24">
        <v>1.0333598861395951E-5</v>
      </c>
    </row>
    <row r="304" spans="1:20" x14ac:dyDescent="0.25">
      <c r="A304" s="16" t="s">
        <v>1319</v>
      </c>
      <c r="B304" s="116" t="s">
        <v>1320</v>
      </c>
      <c r="C304" s="116" t="s">
        <v>377</v>
      </c>
      <c r="D304" s="116" t="s">
        <v>249</v>
      </c>
      <c r="E304" s="116" t="s">
        <v>1321</v>
      </c>
      <c r="F304" s="116" t="s">
        <v>215</v>
      </c>
      <c r="G304" s="116" t="s">
        <v>1317</v>
      </c>
      <c r="H304" s="116" t="s">
        <v>427</v>
      </c>
      <c r="I304" s="116" t="s">
        <v>1322</v>
      </c>
      <c r="J304" s="117">
        <v>3.53</v>
      </c>
      <c r="K304" s="117" t="s">
        <v>255</v>
      </c>
      <c r="L304" s="116">
        <v>6.7599999999999993E-2</v>
      </c>
      <c r="M304" s="116">
        <v>6.4399999999999999E-2</v>
      </c>
      <c r="N304" s="69">
        <v>4049.9696067230188</v>
      </c>
      <c r="O304" s="60">
        <v>102.47</v>
      </c>
      <c r="P304" s="84">
        <v>0</v>
      </c>
      <c r="Q304" s="84">
        <v>4.1500000000000004</v>
      </c>
      <c r="R304" s="24">
        <v>2.314268346698868E-6</v>
      </c>
      <c r="S304" s="24">
        <v>2.2726992648751786E-5</v>
      </c>
      <c r="T304" s="24">
        <v>7.8002759780336539E-6</v>
      </c>
    </row>
    <row r="305" spans="1:20" x14ac:dyDescent="0.25">
      <c r="A305" s="16" t="s">
        <v>1387</v>
      </c>
      <c r="B305" s="116" t="s">
        <v>1388</v>
      </c>
      <c r="C305" s="116" t="s">
        <v>377</v>
      </c>
      <c r="D305" s="116" t="s">
        <v>249</v>
      </c>
      <c r="E305" s="116" t="s">
        <v>1321</v>
      </c>
      <c r="F305" s="116" t="s">
        <v>215</v>
      </c>
      <c r="G305" s="116" t="s">
        <v>472</v>
      </c>
      <c r="H305" s="116" t="s">
        <v>427</v>
      </c>
      <c r="I305" s="116" t="s">
        <v>1386</v>
      </c>
      <c r="J305" s="117">
        <v>4.6399999999999997</v>
      </c>
      <c r="K305" s="117" t="s">
        <v>255</v>
      </c>
      <c r="L305" s="116">
        <v>6.5199999999999994E-2</v>
      </c>
      <c r="M305" s="116">
        <v>6.7599999999999993E-2</v>
      </c>
      <c r="N305" s="69">
        <v>7190.0936725889997</v>
      </c>
      <c r="O305" s="60">
        <v>99.76</v>
      </c>
      <c r="P305" s="84">
        <v>0</v>
      </c>
      <c r="Q305" s="84">
        <v>7.1728399999999999</v>
      </c>
      <c r="R305" s="24">
        <v>8.8017785391061954E-6</v>
      </c>
      <c r="S305" s="24">
        <v>3.9281224566427173E-5</v>
      </c>
      <c r="T305" s="24">
        <v>1.3481959408741905E-5</v>
      </c>
    </row>
    <row r="306" spans="1:20" x14ac:dyDescent="0.25">
      <c r="A306" s="16" t="s">
        <v>1217</v>
      </c>
      <c r="B306" s="116" t="s">
        <v>1218</v>
      </c>
      <c r="C306" s="116" t="s">
        <v>377</v>
      </c>
      <c r="D306" s="116" t="s">
        <v>249</v>
      </c>
      <c r="E306" s="116" t="s">
        <v>1219</v>
      </c>
      <c r="F306" s="116" t="s">
        <v>234</v>
      </c>
      <c r="G306" s="116" t="s">
        <v>588</v>
      </c>
      <c r="H306" s="116" t="s">
        <v>427</v>
      </c>
      <c r="I306" s="116" t="s">
        <v>1220</v>
      </c>
      <c r="J306" s="117">
        <v>0.39</v>
      </c>
      <c r="K306" s="117" t="s">
        <v>255</v>
      </c>
      <c r="L306" s="116">
        <v>0.02</v>
      </c>
      <c r="M306" s="116">
        <v>8.5900000000000004E-2</v>
      </c>
      <c r="N306" s="69">
        <v>1599.7979126628402</v>
      </c>
      <c r="O306" s="60">
        <v>97.59</v>
      </c>
      <c r="P306" s="84">
        <v>0.54126495989000001</v>
      </c>
      <c r="Q306" s="84">
        <v>1.58209</v>
      </c>
      <c r="R306" s="24">
        <v>1.0816695757762116E-5</v>
      </c>
      <c r="S306" s="24">
        <v>8.6641319999189676E-6</v>
      </c>
      <c r="T306" s="24">
        <v>2.9736719571294608E-6</v>
      </c>
    </row>
    <row r="307" spans="1:20" x14ac:dyDescent="0.25">
      <c r="A307" s="16" t="s">
        <v>1203</v>
      </c>
      <c r="B307" s="116" t="s">
        <v>1204</v>
      </c>
      <c r="C307" s="116" t="s">
        <v>377</v>
      </c>
      <c r="D307" s="116" t="s">
        <v>249</v>
      </c>
      <c r="E307" s="116" t="s">
        <v>1205</v>
      </c>
      <c r="F307" s="116" t="s">
        <v>226</v>
      </c>
      <c r="G307" s="116" t="s">
        <v>472</v>
      </c>
      <c r="H307" s="116" t="s">
        <v>427</v>
      </c>
      <c r="I307" s="116" t="s">
        <v>1206</v>
      </c>
      <c r="J307" s="117">
        <v>3.16</v>
      </c>
      <c r="K307" s="117" t="s">
        <v>255</v>
      </c>
      <c r="L307" s="116">
        <v>2.5000000000000001E-2</v>
      </c>
      <c r="M307" s="116">
        <v>6.6199999999999995E-2</v>
      </c>
      <c r="N307" s="69">
        <v>2467.5544746026003</v>
      </c>
      <c r="O307" s="60">
        <v>88.69</v>
      </c>
      <c r="P307" s="84">
        <v>0</v>
      </c>
      <c r="Q307" s="84">
        <v>2.1884699999999997</v>
      </c>
      <c r="R307" s="24">
        <v>1.1700354604681842E-5</v>
      </c>
      <c r="S307" s="24">
        <v>1.1984901590846703E-5</v>
      </c>
      <c r="T307" s="24">
        <v>4.1134144505174228E-6</v>
      </c>
    </row>
    <row r="308" spans="1:20" x14ac:dyDescent="0.25">
      <c r="A308" s="16" t="s">
        <v>1114</v>
      </c>
      <c r="B308" s="116" t="s">
        <v>1115</v>
      </c>
      <c r="C308" s="116" t="s">
        <v>377</v>
      </c>
      <c r="D308" s="116" t="s">
        <v>249</v>
      </c>
      <c r="E308" s="116" t="s">
        <v>1116</v>
      </c>
      <c r="F308" s="116" t="s">
        <v>203</v>
      </c>
      <c r="G308" s="116" t="s">
        <v>435</v>
      </c>
      <c r="H308" s="116" t="s">
        <v>254</v>
      </c>
      <c r="I308" s="116" t="s">
        <v>1117</v>
      </c>
      <c r="J308" s="117">
        <v>2.5299999999999998</v>
      </c>
      <c r="K308" s="117" t="s">
        <v>255</v>
      </c>
      <c r="L308" s="116">
        <v>2.4E-2</v>
      </c>
      <c r="M308" s="116">
        <v>5.79E-2</v>
      </c>
      <c r="N308" s="69">
        <v>2832.8438741794812</v>
      </c>
      <c r="O308" s="60">
        <v>91.98</v>
      </c>
      <c r="P308" s="84">
        <v>0</v>
      </c>
      <c r="Q308" s="84">
        <v>2.6056500000000002</v>
      </c>
      <c r="R308" s="24">
        <v>3.3739920964285838E-6</v>
      </c>
      <c r="S308" s="24">
        <v>1.4269539372342192E-5</v>
      </c>
      <c r="T308" s="24">
        <v>4.8975395426899733E-6</v>
      </c>
    </row>
    <row r="309" spans="1:20" x14ac:dyDescent="0.25">
      <c r="A309" s="16" t="s">
        <v>1210</v>
      </c>
      <c r="B309" s="116" t="s">
        <v>1211</v>
      </c>
      <c r="C309" s="116" t="s">
        <v>377</v>
      </c>
      <c r="D309" s="116" t="s">
        <v>249</v>
      </c>
      <c r="E309" s="116" t="s">
        <v>1116</v>
      </c>
      <c r="F309" s="116" t="s">
        <v>203</v>
      </c>
      <c r="G309" s="116" t="s">
        <v>435</v>
      </c>
      <c r="H309" s="116" t="s">
        <v>254</v>
      </c>
      <c r="I309" s="116" t="s">
        <v>1175</v>
      </c>
      <c r="J309" s="117">
        <v>2.48</v>
      </c>
      <c r="K309" s="117" t="s">
        <v>255</v>
      </c>
      <c r="L309" s="116">
        <v>2.1499999999999998E-2</v>
      </c>
      <c r="M309" s="116">
        <v>5.7599999999999998E-2</v>
      </c>
      <c r="N309" s="69">
        <v>2749.372721032154</v>
      </c>
      <c r="O309" s="60">
        <v>91.65</v>
      </c>
      <c r="P309" s="84">
        <v>0.14551343578000001</v>
      </c>
      <c r="Q309" s="84">
        <v>2.5454899999999996</v>
      </c>
      <c r="R309" s="24">
        <v>3.1644204633315439E-6</v>
      </c>
      <c r="S309" s="24">
        <v>1.394008012469185E-5</v>
      </c>
      <c r="T309" s="24">
        <v>4.7844637347770795E-6</v>
      </c>
    </row>
    <row r="310" spans="1:20" x14ac:dyDescent="0.25">
      <c r="A310" s="16" t="s">
        <v>1326</v>
      </c>
      <c r="B310" s="116" t="s">
        <v>1327</v>
      </c>
      <c r="C310" s="116" t="s">
        <v>377</v>
      </c>
      <c r="D310" s="116" t="s">
        <v>249</v>
      </c>
      <c r="E310" s="116" t="s">
        <v>1328</v>
      </c>
      <c r="F310" s="116" t="s">
        <v>226</v>
      </c>
      <c r="G310" s="116" t="s">
        <v>422</v>
      </c>
      <c r="H310" s="116" t="s">
        <v>254</v>
      </c>
      <c r="I310" s="116" t="s">
        <v>1329</v>
      </c>
      <c r="J310" s="117">
        <v>3.67</v>
      </c>
      <c r="K310" s="117" t="s">
        <v>255</v>
      </c>
      <c r="L310" s="116">
        <v>5.3399999999999996E-2</v>
      </c>
      <c r="M310" s="116">
        <v>6.3200000000000006E-2</v>
      </c>
      <c r="N310" s="69">
        <v>2679.0658608320814</v>
      </c>
      <c r="O310" s="60">
        <v>98.56</v>
      </c>
      <c r="P310" s="84">
        <v>0</v>
      </c>
      <c r="Q310" s="84">
        <v>2.6404899999999998</v>
      </c>
      <c r="R310" s="24">
        <v>6.6976646520802034E-6</v>
      </c>
      <c r="S310" s="24">
        <v>1.4460336582916288E-5</v>
      </c>
      <c r="T310" s="24">
        <v>4.9630242692139948E-6</v>
      </c>
    </row>
    <row r="311" spans="1:20" x14ac:dyDescent="0.25">
      <c r="A311" s="16" t="s">
        <v>1091</v>
      </c>
      <c r="B311" s="116" t="s">
        <v>1092</v>
      </c>
      <c r="C311" s="116" t="s">
        <v>377</v>
      </c>
      <c r="D311" s="116" t="s">
        <v>249</v>
      </c>
      <c r="E311" s="116" t="s">
        <v>556</v>
      </c>
      <c r="F311" s="116" t="s">
        <v>204</v>
      </c>
      <c r="G311" s="116" t="s">
        <v>443</v>
      </c>
      <c r="H311" s="116" t="s">
        <v>254</v>
      </c>
      <c r="I311" s="116" t="s">
        <v>557</v>
      </c>
      <c r="J311" s="117">
        <v>1.43</v>
      </c>
      <c r="K311" s="117" t="s">
        <v>255</v>
      </c>
      <c r="L311" s="116">
        <v>2.7000000000000003E-2</v>
      </c>
      <c r="M311" s="116">
        <v>5.7200000000000001E-2</v>
      </c>
      <c r="N311" s="69">
        <v>832.48020097708172</v>
      </c>
      <c r="O311" s="60">
        <v>96.02</v>
      </c>
      <c r="P311" s="84">
        <v>0</v>
      </c>
      <c r="Q311" s="84">
        <v>0.79935</v>
      </c>
      <c r="R311" s="24">
        <v>4.8392692008694874E-6</v>
      </c>
      <c r="S311" s="24">
        <v>4.3775473671758411E-6</v>
      </c>
      <c r="T311" s="24">
        <v>1.5024459284436627E-6</v>
      </c>
    </row>
    <row r="312" spans="1:20" x14ac:dyDescent="0.25">
      <c r="A312" s="16" t="s">
        <v>1077</v>
      </c>
      <c r="B312" s="116" t="s">
        <v>1078</v>
      </c>
      <c r="C312" s="116" t="s">
        <v>377</v>
      </c>
      <c r="D312" s="116" t="s">
        <v>249</v>
      </c>
      <c r="E312" s="116" t="s">
        <v>451</v>
      </c>
      <c r="F312" s="116" t="s">
        <v>235</v>
      </c>
      <c r="G312" s="116" t="s">
        <v>443</v>
      </c>
      <c r="H312" s="116" t="s">
        <v>254</v>
      </c>
      <c r="I312" s="116" t="s">
        <v>1079</v>
      </c>
      <c r="J312" s="117">
        <v>3.26</v>
      </c>
      <c r="K312" s="117" t="s">
        <v>255</v>
      </c>
      <c r="L312" s="116">
        <v>5.0900000000000001E-2</v>
      </c>
      <c r="M312" s="116">
        <v>4.9699999999999994E-2</v>
      </c>
      <c r="N312" s="69">
        <v>2466.5758549758011</v>
      </c>
      <c r="O312" s="60">
        <v>100.22</v>
      </c>
      <c r="P312" s="84">
        <v>0.4779166883</v>
      </c>
      <c r="Q312" s="84">
        <v>2.5967800000000003</v>
      </c>
      <c r="R312" s="24">
        <v>3.9818244272022676E-6</v>
      </c>
      <c r="S312" s="24">
        <v>1.4220963848295342E-5</v>
      </c>
      <c r="T312" s="24">
        <v>4.8808676275272845E-6</v>
      </c>
    </row>
    <row r="313" spans="1:20" x14ac:dyDescent="0.25">
      <c r="A313" s="16" t="s">
        <v>1157</v>
      </c>
      <c r="B313" s="116" t="s">
        <v>1158</v>
      </c>
      <c r="C313" s="116" t="s">
        <v>377</v>
      </c>
      <c r="D313" s="116" t="s">
        <v>249</v>
      </c>
      <c r="E313" s="116" t="s">
        <v>1159</v>
      </c>
      <c r="F313" s="116" t="s">
        <v>208</v>
      </c>
      <c r="G313" s="116" t="s">
        <v>503</v>
      </c>
      <c r="H313" s="116" t="s">
        <v>427</v>
      </c>
      <c r="I313" s="116" t="s">
        <v>1160</v>
      </c>
      <c r="J313" s="117">
        <v>6.7</v>
      </c>
      <c r="K313" s="117" t="s">
        <v>255</v>
      </c>
      <c r="L313" s="116">
        <v>1.9E-2</v>
      </c>
      <c r="M313" s="116">
        <v>5.16E-2</v>
      </c>
      <c r="N313" s="69">
        <v>7353.2818361054979</v>
      </c>
      <c r="O313" s="60">
        <v>80.8</v>
      </c>
      <c r="P313" s="84">
        <v>0</v>
      </c>
      <c r="Q313" s="84">
        <v>5.9414499999999997</v>
      </c>
      <c r="R313" s="24">
        <v>6.8402621731213937E-6</v>
      </c>
      <c r="S313" s="24">
        <v>3.2537660354922E-5</v>
      </c>
      <c r="T313" s="24">
        <v>1.1167457761370613E-5</v>
      </c>
    </row>
    <row r="314" spans="1:20" x14ac:dyDescent="0.25">
      <c r="A314" s="16" t="s">
        <v>1393</v>
      </c>
      <c r="B314" s="116" t="s">
        <v>1394</v>
      </c>
      <c r="C314" s="116" t="s">
        <v>377</v>
      </c>
      <c r="D314" s="116" t="s">
        <v>249</v>
      </c>
      <c r="E314" s="116" t="s">
        <v>1395</v>
      </c>
      <c r="F314" s="116" t="s">
        <v>225</v>
      </c>
      <c r="G314" s="116" t="s">
        <v>472</v>
      </c>
      <c r="H314" s="116" t="s">
        <v>427</v>
      </c>
      <c r="I314" s="116" t="s">
        <v>1392</v>
      </c>
      <c r="J314" s="117">
        <v>5</v>
      </c>
      <c r="K314" s="117" t="s">
        <v>255</v>
      </c>
      <c r="L314" s="116">
        <v>6.7699999999999996E-2</v>
      </c>
      <c r="M314" s="116">
        <v>6.6900000000000001E-2</v>
      </c>
      <c r="N314" s="69">
        <v>670.45800774547854</v>
      </c>
      <c r="O314" s="60">
        <v>101.88</v>
      </c>
      <c r="P314" s="84">
        <v>0</v>
      </c>
      <c r="Q314" s="84">
        <v>0.68306</v>
      </c>
      <c r="R314" s="24">
        <v>8.9394401032730476E-7</v>
      </c>
      <c r="S314" s="24">
        <v>3.7406986984714202E-6</v>
      </c>
      <c r="T314" s="24">
        <v>1.2838690384471487E-6</v>
      </c>
    </row>
    <row r="315" spans="1:20" x14ac:dyDescent="0.25">
      <c r="A315" s="16" t="s">
        <v>1214</v>
      </c>
      <c r="B315" s="116" t="s">
        <v>1215</v>
      </c>
      <c r="C315" s="116" t="s">
        <v>377</v>
      </c>
      <c r="D315" s="116" t="s">
        <v>249</v>
      </c>
      <c r="E315" s="116" t="s">
        <v>447</v>
      </c>
      <c r="F315" s="116" t="s">
        <v>226</v>
      </c>
      <c r="G315" s="116" t="s">
        <v>588</v>
      </c>
      <c r="H315" s="116" t="s">
        <v>427</v>
      </c>
      <c r="I315" s="116" t="s">
        <v>1216</v>
      </c>
      <c r="J315" s="117">
        <v>4.16</v>
      </c>
      <c r="K315" s="117" t="s">
        <v>255</v>
      </c>
      <c r="L315" s="116">
        <v>2.7999999999999997E-2</v>
      </c>
      <c r="M315" s="116">
        <v>7.0099999999999996E-2</v>
      </c>
      <c r="N315" s="69">
        <v>268.52614368751904</v>
      </c>
      <c r="O315" s="60">
        <v>85.5</v>
      </c>
      <c r="P315" s="84">
        <v>0</v>
      </c>
      <c r="Q315" s="84">
        <v>0.22959000000000002</v>
      </c>
      <c r="R315" s="24">
        <v>3.4477747478942252E-7</v>
      </c>
      <c r="S315" s="24">
        <v>1.2573229499341983E-6</v>
      </c>
      <c r="T315" s="24">
        <v>4.3153382211969798E-7</v>
      </c>
    </row>
    <row r="316" spans="1:20" x14ac:dyDescent="0.25">
      <c r="A316" s="16" t="s">
        <v>1367</v>
      </c>
      <c r="B316" s="116" t="s">
        <v>1368</v>
      </c>
      <c r="C316" s="116" t="s">
        <v>377</v>
      </c>
      <c r="D316" s="116" t="s">
        <v>249</v>
      </c>
      <c r="E316" s="116" t="s">
        <v>1369</v>
      </c>
      <c r="F316" s="116" t="s">
        <v>223</v>
      </c>
      <c r="G316" s="116" t="s">
        <v>472</v>
      </c>
      <c r="H316" s="116" t="s">
        <v>427</v>
      </c>
      <c r="I316" s="116" t="s">
        <v>1370</v>
      </c>
      <c r="J316" s="117">
        <v>3.11</v>
      </c>
      <c r="K316" s="117" t="s">
        <v>255</v>
      </c>
      <c r="L316" s="116">
        <v>4.0999999999999995E-2</v>
      </c>
      <c r="M316" s="116">
        <v>6.7000000000000004E-2</v>
      </c>
      <c r="N316" s="69">
        <v>922.47599874785033</v>
      </c>
      <c r="O316" s="60">
        <v>94.16</v>
      </c>
      <c r="P316" s="84">
        <v>0</v>
      </c>
      <c r="Q316" s="84">
        <v>0.86860000000000004</v>
      </c>
      <c r="R316" s="24">
        <v>1.8662838911160373E-6</v>
      </c>
      <c r="S316" s="24">
        <v>4.756786943302603E-6</v>
      </c>
      <c r="T316" s="24">
        <v>1.6326071601253088E-6</v>
      </c>
    </row>
    <row r="317" spans="1:20" x14ac:dyDescent="0.25">
      <c r="A317" s="16" t="s">
        <v>1083</v>
      </c>
      <c r="B317" s="116" t="s">
        <v>1084</v>
      </c>
      <c r="C317" s="116" t="s">
        <v>377</v>
      </c>
      <c r="D317" s="116" t="s">
        <v>249</v>
      </c>
      <c r="E317" s="116" t="s">
        <v>1085</v>
      </c>
      <c r="F317" s="116" t="s">
        <v>210</v>
      </c>
      <c r="G317" s="116" t="s">
        <v>528</v>
      </c>
      <c r="H317" s="116" t="s">
        <v>254</v>
      </c>
      <c r="I317" s="116" t="s">
        <v>1086</v>
      </c>
      <c r="J317" s="117">
        <v>1.48</v>
      </c>
      <c r="K317" s="117" t="s">
        <v>255</v>
      </c>
      <c r="L317" s="116">
        <v>3.3500000000000002E-2</v>
      </c>
      <c r="M317" s="116">
        <v>5.3399999999999996E-2</v>
      </c>
      <c r="N317" s="69">
        <v>1457.4891553982011</v>
      </c>
      <c r="O317" s="60">
        <v>97.220000000000013</v>
      </c>
      <c r="P317" s="84">
        <v>0.51024266154999998</v>
      </c>
      <c r="Q317" s="84">
        <v>1.45489</v>
      </c>
      <c r="R317" s="24">
        <v>1.0604980670037494E-5</v>
      </c>
      <c r="S317" s="24">
        <v>7.9675359842752989E-6</v>
      </c>
      <c r="T317" s="24">
        <v>2.7345887994412967E-6</v>
      </c>
    </row>
    <row r="318" spans="1:20" x14ac:dyDescent="0.25">
      <c r="A318" s="16" t="s">
        <v>1105</v>
      </c>
      <c r="B318" s="116" t="s">
        <v>1106</v>
      </c>
      <c r="C318" s="116" t="s">
        <v>377</v>
      </c>
      <c r="D318" s="116" t="s">
        <v>249</v>
      </c>
      <c r="E318" s="116" t="s">
        <v>1085</v>
      </c>
      <c r="F318" s="116" t="s">
        <v>210</v>
      </c>
      <c r="G318" s="116" t="s">
        <v>528</v>
      </c>
      <c r="H318" s="116" t="s">
        <v>254</v>
      </c>
      <c r="I318" s="116" t="s">
        <v>1107</v>
      </c>
      <c r="J318" s="117">
        <v>3.45</v>
      </c>
      <c r="K318" s="117" t="s">
        <v>255</v>
      </c>
      <c r="L318" s="116">
        <v>2.6200000000000001E-2</v>
      </c>
      <c r="M318" s="116">
        <v>5.5199999999999999E-2</v>
      </c>
      <c r="N318" s="69">
        <v>4218.8113274548468</v>
      </c>
      <c r="O318" s="60">
        <v>91.29</v>
      </c>
      <c r="P318" s="84">
        <v>0</v>
      </c>
      <c r="Q318" s="84">
        <v>3.8513500000000001</v>
      </c>
      <c r="R318" s="24">
        <v>8.4262755121066222E-6</v>
      </c>
      <c r="S318" s="24">
        <v>2.1091470635607273E-5</v>
      </c>
      <c r="T318" s="24">
        <v>7.238938045301183E-6</v>
      </c>
    </row>
    <row r="319" spans="1:20" x14ac:dyDescent="0.25">
      <c r="A319" s="16" t="s">
        <v>1224</v>
      </c>
      <c r="B319" s="116" t="s">
        <v>1225</v>
      </c>
      <c r="C319" s="116" t="s">
        <v>377</v>
      </c>
      <c r="D319" s="116" t="s">
        <v>249</v>
      </c>
      <c r="E319" s="116" t="s">
        <v>1085</v>
      </c>
      <c r="F319" s="116" t="s">
        <v>210</v>
      </c>
      <c r="G319" s="116" t="s">
        <v>528</v>
      </c>
      <c r="H319" s="116" t="s">
        <v>254</v>
      </c>
      <c r="I319" s="116" t="s">
        <v>1226</v>
      </c>
      <c r="J319" s="117">
        <v>5.84</v>
      </c>
      <c r="K319" s="117" t="s">
        <v>255</v>
      </c>
      <c r="L319" s="116">
        <v>2.3399999999999997E-2</v>
      </c>
      <c r="M319" s="116">
        <v>5.7300000000000004E-2</v>
      </c>
      <c r="N319" s="69">
        <v>5468.9203816539202</v>
      </c>
      <c r="O319" s="60">
        <v>82.62</v>
      </c>
      <c r="P319" s="84">
        <v>0</v>
      </c>
      <c r="Q319" s="84">
        <v>4.5184199999999999</v>
      </c>
      <c r="R319" s="24">
        <v>5.1776761009741257E-6</v>
      </c>
      <c r="S319" s="24">
        <v>2.4744601957583869E-5</v>
      </c>
      <c r="T319" s="24">
        <v>8.4927525264257384E-6</v>
      </c>
    </row>
    <row r="320" spans="1:20" x14ac:dyDescent="0.25">
      <c r="A320" s="16" t="s">
        <v>1377</v>
      </c>
      <c r="B320" s="116" t="s">
        <v>1378</v>
      </c>
      <c r="C320" s="116" t="s">
        <v>377</v>
      </c>
      <c r="D320" s="116" t="s">
        <v>249</v>
      </c>
      <c r="E320" s="116" t="s">
        <v>1379</v>
      </c>
      <c r="F320" s="116" t="s">
        <v>215</v>
      </c>
      <c r="G320" s="116" t="s">
        <v>576</v>
      </c>
      <c r="H320" s="116" t="s">
        <v>427</v>
      </c>
      <c r="I320" s="116" t="s">
        <v>1380</v>
      </c>
      <c r="J320" s="117">
        <v>3.69</v>
      </c>
      <c r="K320" s="117" t="s">
        <v>255</v>
      </c>
      <c r="L320" s="116">
        <v>4.6900000000000004E-2</v>
      </c>
      <c r="M320" s="116">
        <v>8.4199999999999997E-2</v>
      </c>
      <c r="N320" s="69">
        <v>1679.9284281749999</v>
      </c>
      <c r="O320" s="60">
        <v>98</v>
      </c>
      <c r="P320" s="84">
        <v>0</v>
      </c>
      <c r="Q320" s="84">
        <v>1.6463299999999998</v>
      </c>
      <c r="R320" s="24">
        <v>1.3571680871444186E-6</v>
      </c>
      <c r="S320" s="24">
        <v>9.0159348933541036E-6</v>
      </c>
      <c r="T320" s="24">
        <v>3.0944164701002754E-6</v>
      </c>
    </row>
    <row r="321" spans="1:20" s="118" customFormat="1" x14ac:dyDescent="0.25">
      <c r="A321" s="92" t="s">
        <v>414</v>
      </c>
      <c r="B321" s="130" t="s">
        <v>249</v>
      </c>
      <c r="C321" s="130" t="s">
        <v>249</v>
      </c>
      <c r="D321" s="130" t="s">
        <v>249</v>
      </c>
      <c r="E321" s="130" t="s">
        <v>249</v>
      </c>
      <c r="F321" s="130" t="s">
        <v>249</v>
      </c>
      <c r="G321" s="130" t="s">
        <v>249</v>
      </c>
      <c r="H321" s="130" t="s">
        <v>249</v>
      </c>
      <c r="I321" s="130" t="s">
        <v>249</v>
      </c>
      <c r="J321" s="131" t="s">
        <v>249</v>
      </c>
      <c r="K321" s="131" t="s">
        <v>249</v>
      </c>
      <c r="L321" s="130" t="s">
        <v>249</v>
      </c>
      <c r="M321" s="130" t="s">
        <v>249</v>
      </c>
      <c r="N321" s="134" t="s">
        <v>249</v>
      </c>
      <c r="O321" s="135" t="s">
        <v>249</v>
      </c>
      <c r="P321" s="123" t="s">
        <v>249</v>
      </c>
      <c r="Q321" s="123">
        <v>13.480300100000001</v>
      </c>
      <c r="R321" s="136"/>
      <c r="S321" s="136">
        <v>7.3823296692932037E-5</v>
      </c>
      <c r="T321" s="136">
        <v>2.5337364107642086E-5</v>
      </c>
    </row>
    <row r="322" spans="1:20" x14ac:dyDescent="0.25">
      <c r="A322" s="16" t="s">
        <v>1410</v>
      </c>
      <c r="B322" s="116" t="s">
        <v>1411</v>
      </c>
      <c r="C322" s="116" t="s">
        <v>377</v>
      </c>
      <c r="D322" s="116" t="s">
        <v>249</v>
      </c>
      <c r="E322" s="116" t="s">
        <v>1182</v>
      </c>
      <c r="F322" s="116" t="s">
        <v>215</v>
      </c>
      <c r="G322" s="116" t="s">
        <v>443</v>
      </c>
      <c r="H322" s="116" t="s">
        <v>254</v>
      </c>
      <c r="I322" s="116" t="s">
        <v>1412</v>
      </c>
      <c r="J322" s="117">
        <v>0.98</v>
      </c>
      <c r="K322" s="117" t="s">
        <v>255</v>
      </c>
      <c r="L322" s="116">
        <v>3.49E-2</v>
      </c>
      <c r="M322" s="116">
        <v>7.2800000000000004E-2</v>
      </c>
      <c r="N322" s="69">
        <v>5099.3040357826567</v>
      </c>
      <c r="O322" s="60">
        <v>104.41</v>
      </c>
      <c r="P322" s="84">
        <v>0</v>
      </c>
      <c r="Q322" s="84">
        <v>5.3241800000000001</v>
      </c>
      <c r="R322" s="24">
        <v>6.0736832394362718E-6</v>
      </c>
      <c r="S322" s="24">
        <v>2.9157252944730434E-5</v>
      </c>
      <c r="T322" s="24">
        <v>1.0007246591982462E-5</v>
      </c>
    </row>
    <row r="323" spans="1:20" x14ac:dyDescent="0.25">
      <c r="A323" s="16" t="s">
        <v>2819</v>
      </c>
      <c r="B323" s="116" t="s">
        <v>1413</v>
      </c>
      <c r="C323" s="116" t="s">
        <v>377</v>
      </c>
      <c r="D323" s="116" t="s">
        <v>249</v>
      </c>
      <c r="E323" s="116" t="s">
        <v>1414</v>
      </c>
      <c r="F323" s="116" t="s">
        <v>224</v>
      </c>
      <c r="G323" s="116" t="s">
        <v>426</v>
      </c>
      <c r="H323" s="116" t="s">
        <v>427</v>
      </c>
      <c r="I323" s="116" t="s">
        <v>1415</v>
      </c>
      <c r="J323" s="117">
        <v>3.55</v>
      </c>
      <c r="K323" s="117" t="s">
        <v>255</v>
      </c>
      <c r="L323" s="116">
        <v>4.2999999999999997E-2</v>
      </c>
      <c r="M323" s="116">
        <v>7.4999999999999997E-2</v>
      </c>
      <c r="N323" s="69">
        <v>4479.7750540922762</v>
      </c>
      <c r="O323" s="60">
        <v>89.3</v>
      </c>
      <c r="P323" s="84">
        <v>0</v>
      </c>
      <c r="Q323" s="84">
        <v>4.0004400000000002</v>
      </c>
      <c r="R323" s="24">
        <v>3.7885536331514718E-6</v>
      </c>
      <c r="S323" s="24">
        <v>2.1907944691993396E-5</v>
      </c>
      <c r="T323" s="24">
        <v>7.5191653092927585E-6</v>
      </c>
    </row>
    <row r="324" spans="1:20" x14ac:dyDescent="0.25">
      <c r="A324" s="16" t="s">
        <v>1416</v>
      </c>
      <c r="B324" s="116" t="s">
        <v>1417</v>
      </c>
      <c r="C324" s="116" t="s">
        <v>377</v>
      </c>
      <c r="D324" s="116" t="s">
        <v>249</v>
      </c>
      <c r="E324" s="116" t="s">
        <v>1418</v>
      </c>
      <c r="F324" s="116" t="s">
        <v>215</v>
      </c>
      <c r="G324" s="116" t="s">
        <v>431</v>
      </c>
      <c r="H324" s="116" t="s">
        <v>431</v>
      </c>
      <c r="I324" s="116" t="s">
        <v>1419</v>
      </c>
      <c r="J324" s="117">
        <v>2.94</v>
      </c>
      <c r="K324" s="117" t="s">
        <v>255</v>
      </c>
      <c r="L324" s="116">
        <v>5.7000000000000002E-2</v>
      </c>
      <c r="M324" s="116">
        <v>7.0199999999999999E-2</v>
      </c>
      <c r="N324" s="69">
        <v>3568.3359742865173</v>
      </c>
      <c r="O324" s="60">
        <v>116.45999999999998</v>
      </c>
      <c r="P324" s="84">
        <v>0</v>
      </c>
      <c r="Q324" s="84">
        <v>4.1556800000000003</v>
      </c>
      <c r="R324" s="24">
        <v>1.1894453247621724E-5</v>
      </c>
      <c r="S324" s="24">
        <v>2.275809850856984E-5</v>
      </c>
      <c r="T324" s="24">
        <v>7.8109520184084084E-6</v>
      </c>
    </row>
    <row r="325" spans="1:20" s="118" customFormat="1" x14ac:dyDescent="0.25">
      <c r="A325" s="92" t="s">
        <v>1420</v>
      </c>
      <c r="B325" s="130" t="s">
        <v>249</v>
      </c>
      <c r="C325" s="130" t="s">
        <v>249</v>
      </c>
      <c r="D325" s="130" t="s">
        <v>249</v>
      </c>
      <c r="E325" s="130" t="s">
        <v>249</v>
      </c>
      <c r="F325" s="130" t="s">
        <v>249</v>
      </c>
      <c r="G325" s="130" t="s">
        <v>249</v>
      </c>
      <c r="H325" s="130" t="s">
        <v>249</v>
      </c>
      <c r="I325" s="130" t="s">
        <v>249</v>
      </c>
      <c r="J325" s="131" t="s">
        <v>249</v>
      </c>
      <c r="K325" s="131" t="s">
        <v>249</v>
      </c>
      <c r="L325" s="130" t="s">
        <v>249</v>
      </c>
      <c r="M325" s="130" t="s">
        <v>249</v>
      </c>
      <c r="N325" s="134" t="s">
        <v>249</v>
      </c>
      <c r="O325" s="135" t="s">
        <v>249</v>
      </c>
      <c r="P325" s="123" t="s">
        <v>249</v>
      </c>
      <c r="Q325" s="123">
        <v>0</v>
      </c>
      <c r="R325" s="136"/>
      <c r="S325" s="136">
        <v>0</v>
      </c>
      <c r="T325" s="136">
        <v>0</v>
      </c>
    </row>
    <row r="326" spans="1:20" s="118" customFormat="1" x14ac:dyDescent="0.25">
      <c r="A326" s="92" t="s">
        <v>411</v>
      </c>
      <c r="B326" s="130" t="s">
        <v>249</v>
      </c>
      <c r="C326" s="130" t="s">
        <v>249</v>
      </c>
      <c r="D326" s="130" t="s">
        <v>249</v>
      </c>
      <c r="E326" s="130" t="s">
        <v>249</v>
      </c>
      <c r="F326" s="130" t="s">
        <v>249</v>
      </c>
      <c r="G326" s="130" t="s">
        <v>249</v>
      </c>
      <c r="H326" s="130" t="s">
        <v>249</v>
      </c>
      <c r="I326" s="130" t="s">
        <v>249</v>
      </c>
      <c r="J326" s="131" t="s">
        <v>249</v>
      </c>
      <c r="K326" s="131" t="s">
        <v>249</v>
      </c>
      <c r="L326" s="130" t="s">
        <v>249</v>
      </c>
      <c r="M326" s="130" t="s">
        <v>249</v>
      </c>
      <c r="N326" s="134" t="s">
        <v>249</v>
      </c>
      <c r="O326" s="135" t="s">
        <v>249</v>
      </c>
      <c r="P326" s="123" t="s">
        <v>249</v>
      </c>
      <c r="Q326" s="123">
        <v>22651.933370199997</v>
      </c>
      <c r="R326" s="136"/>
      <c r="S326" s="136">
        <v>0.12405068028543388</v>
      </c>
      <c r="T326" s="136">
        <v>4.2576224511708415E-2</v>
      </c>
    </row>
    <row r="327" spans="1:20" s="118" customFormat="1" x14ac:dyDescent="0.25">
      <c r="A327" s="92" t="s">
        <v>143</v>
      </c>
      <c r="B327" s="130" t="s">
        <v>249</v>
      </c>
      <c r="C327" s="130" t="s">
        <v>249</v>
      </c>
      <c r="D327" s="130" t="s">
        <v>249</v>
      </c>
      <c r="E327" s="130" t="s">
        <v>249</v>
      </c>
      <c r="F327" s="130" t="s">
        <v>249</v>
      </c>
      <c r="G327" s="130" t="s">
        <v>249</v>
      </c>
      <c r="H327" s="130" t="s">
        <v>249</v>
      </c>
      <c r="I327" s="130" t="s">
        <v>249</v>
      </c>
      <c r="J327" s="131" t="s">
        <v>249</v>
      </c>
      <c r="K327" s="131" t="s">
        <v>249</v>
      </c>
      <c r="L327" s="130" t="s">
        <v>249</v>
      </c>
      <c r="M327" s="130" t="s">
        <v>249</v>
      </c>
      <c r="N327" s="134" t="s">
        <v>249</v>
      </c>
      <c r="O327" s="135" t="s">
        <v>249</v>
      </c>
      <c r="P327" s="123" t="s">
        <v>249</v>
      </c>
      <c r="Q327" s="123">
        <v>124.2721201</v>
      </c>
      <c r="R327" s="136"/>
      <c r="S327" s="136">
        <v>6.805618216765058E-4</v>
      </c>
      <c r="T327" s="136">
        <v>2.3357995979646819E-4</v>
      </c>
    </row>
    <row r="328" spans="1:20" x14ac:dyDescent="0.25">
      <c r="A328" s="16" t="s">
        <v>1445</v>
      </c>
      <c r="B328" s="116" t="s">
        <v>1446</v>
      </c>
      <c r="C328" s="116" t="s">
        <v>218</v>
      </c>
      <c r="D328" s="116" t="s">
        <v>1423</v>
      </c>
      <c r="E328" s="116" t="s">
        <v>827</v>
      </c>
      <c r="F328" s="116" t="s">
        <v>179</v>
      </c>
      <c r="G328" s="116" t="s">
        <v>1447</v>
      </c>
      <c r="H328" s="116" t="s">
        <v>267</v>
      </c>
      <c r="I328" s="116" t="s">
        <v>1448</v>
      </c>
      <c r="J328" s="117">
        <v>2.7709999999999999</v>
      </c>
      <c r="K328" s="117" t="s">
        <v>125</v>
      </c>
      <c r="L328" s="116">
        <v>3.2599999999999997E-2</v>
      </c>
      <c r="M328" s="116">
        <v>7.4279999999999999E-2</v>
      </c>
      <c r="N328" s="69">
        <v>587.97494986125002</v>
      </c>
      <c r="O328" s="60">
        <v>86.018000000000001</v>
      </c>
      <c r="P328" s="84">
        <v>0</v>
      </c>
      <c r="Q328" s="84">
        <v>1.93404</v>
      </c>
      <c r="R328" s="24">
        <v>5.8797494986125007E-7</v>
      </c>
      <c r="S328" s="24">
        <v>1.0591545268046243E-5</v>
      </c>
      <c r="T328" s="24">
        <v>3.635191747603905E-6</v>
      </c>
    </row>
    <row r="329" spans="1:20" x14ac:dyDescent="0.25">
      <c r="A329" s="16" t="s">
        <v>1438</v>
      </c>
      <c r="B329" s="116" t="s">
        <v>1439</v>
      </c>
      <c r="C329" s="116" t="s">
        <v>218</v>
      </c>
      <c r="D329" s="116" t="s">
        <v>1423</v>
      </c>
      <c r="E329" s="116" t="s">
        <v>642</v>
      </c>
      <c r="F329" s="116" t="s">
        <v>179</v>
      </c>
      <c r="G329" s="116" t="s">
        <v>1440</v>
      </c>
      <c r="H329" s="116" t="s">
        <v>368</v>
      </c>
      <c r="I329" s="116" t="s">
        <v>1441</v>
      </c>
      <c r="J329" s="117">
        <v>3.9249999999999998</v>
      </c>
      <c r="K329" s="117" t="s">
        <v>125</v>
      </c>
      <c r="L329" s="116">
        <v>7.1300000000000002E-2</v>
      </c>
      <c r="M329" s="116">
        <v>7.7399999999999997E-2</v>
      </c>
      <c r="N329" s="69">
        <v>1847.9212709925</v>
      </c>
      <c r="O329" s="60">
        <v>99.435000000000002</v>
      </c>
      <c r="P329" s="84">
        <v>0</v>
      </c>
      <c r="Q329" s="84">
        <v>7.0265300000000002</v>
      </c>
      <c r="R329" s="24">
        <v>3.6958425419850001E-6</v>
      </c>
      <c r="S329" s="24">
        <v>3.8479974856923825E-5</v>
      </c>
      <c r="T329" s="24">
        <v>1.3206957389863326E-5</v>
      </c>
    </row>
    <row r="330" spans="1:20" x14ac:dyDescent="0.25">
      <c r="A330" s="16" t="s">
        <v>1421</v>
      </c>
      <c r="B330" s="116" t="s">
        <v>1422</v>
      </c>
      <c r="C330" s="116" t="s">
        <v>218</v>
      </c>
      <c r="D330" s="116" t="s">
        <v>1423</v>
      </c>
      <c r="E330" s="116" t="s">
        <v>1140</v>
      </c>
      <c r="F330" s="116" t="s">
        <v>165</v>
      </c>
      <c r="G330" s="116" t="s">
        <v>1424</v>
      </c>
      <c r="H330" s="116" t="s">
        <v>368</v>
      </c>
      <c r="I330" s="116" t="s">
        <v>1425</v>
      </c>
      <c r="J330" s="117">
        <v>9.157</v>
      </c>
      <c r="K330" s="117" t="s">
        <v>125</v>
      </c>
      <c r="L330" s="116">
        <v>6.3799999999999996E-2</v>
      </c>
      <c r="M330" s="116">
        <v>6.6250000000000003E-2</v>
      </c>
      <c r="N330" s="69">
        <v>4157.8228597331254</v>
      </c>
      <c r="O330" s="60">
        <v>99.224999999999994</v>
      </c>
      <c r="P330" s="84">
        <v>0</v>
      </c>
      <c r="Q330" s="84">
        <v>15.776290000000001</v>
      </c>
      <c r="R330" s="24">
        <v>5.9988787472704156E-6</v>
      </c>
      <c r="S330" s="24">
        <v>8.6397018519175024E-5</v>
      </c>
      <c r="T330" s="24">
        <v>2.9652871303492179E-5</v>
      </c>
    </row>
    <row r="331" spans="1:20" x14ac:dyDescent="0.25">
      <c r="A331" s="16" t="s">
        <v>1442</v>
      </c>
      <c r="B331" s="116" t="s">
        <v>1443</v>
      </c>
      <c r="C331" s="116" t="s">
        <v>218</v>
      </c>
      <c r="D331" s="116" t="s">
        <v>1423</v>
      </c>
      <c r="E331" s="116" t="s">
        <v>566</v>
      </c>
      <c r="F331" s="116" t="s">
        <v>179</v>
      </c>
      <c r="G331" s="116" t="s">
        <v>1424</v>
      </c>
      <c r="H331" s="116" t="s">
        <v>368</v>
      </c>
      <c r="I331" s="116" t="s">
        <v>1444</v>
      </c>
      <c r="J331" s="117">
        <v>2.3260000000000001</v>
      </c>
      <c r="K331" s="117" t="s">
        <v>125</v>
      </c>
      <c r="L331" s="116">
        <v>3.0800000000000001E-2</v>
      </c>
      <c r="M331" s="116">
        <v>7.4870000000000006E-2</v>
      </c>
      <c r="N331" s="69">
        <v>815.3532626147362</v>
      </c>
      <c r="O331" s="60">
        <v>87.32</v>
      </c>
      <c r="P331" s="84">
        <v>0</v>
      </c>
      <c r="Q331" s="84">
        <v>2.7225600000000001</v>
      </c>
      <c r="R331" s="24">
        <v>1.3589221043578936E-6</v>
      </c>
      <c r="S331" s="24">
        <v>1.4909783398984496E-5</v>
      </c>
      <c r="T331" s="24">
        <v>5.1172817751217599E-6</v>
      </c>
    </row>
    <row r="332" spans="1:20" x14ac:dyDescent="0.25">
      <c r="A332" s="16" t="s">
        <v>1452</v>
      </c>
      <c r="B332" s="116" t="s">
        <v>1453</v>
      </c>
      <c r="C332" s="116" t="s">
        <v>218</v>
      </c>
      <c r="D332" s="116" t="s">
        <v>1423</v>
      </c>
      <c r="E332" s="116" t="s">
        <v>1454</v>
      </c>
      <c r="F332" s="116" t="s">
        <v>182</v>
      </c>
      <c r="G332" s="116" t="s">
        <v>1455</v>
      </c>
      <c r="H332" s="116" t="s">
        <v>267</v>
      </c>
      <c r="I332" s="116" t="s">
        <v>1456</v>
      </c>
      <c r="J332" s="117">
        <v>2.1960000000000002</v>
      </c>
      <c r="K332" s="117" t="s">
        <v>126</v>
      </c>
      <c r="L332" s="116">
        <v>3.6299999999999999E-2</v>
      </c>
      <c r="M332" s="116">
        <v>0.16005</v>
      </c>
      <c r="N332" s="69">
        <v>2420.1888900503136</v>
      </c>
      <c r="O332" s="60">
        <v>38.234000000000002</v>
      </c>
      <c r="P332" s="84">
        <v>0</v>
      </c>
      <c r="Q332" s="84">
        <v>3.75048</v>
      </c>
      <c r="R332" s="24">
        <v>6.9148254001437534E-6</v>
      </c>
      <c r="S332" s="24">
        <v>2.0539067804648338E-5</v>
      </c>
      <c r="T332" s="24">
        <v>7.0493443494206394E-6</v>
      </c>
    </row>
    <row r="333" spans="1:20" x14ac:dyDescent="0.25">
      <c r="A333" s="16" t="s">
        <v>1426</v>
      </c>
      <c r="B333" s="116" t="s">
        <v>1427</v>
      </c>
      <c r="C333" s="116" t="s">
        <v>218</v>
      </c>
      <c r="D333" s="116" t="s">
        <v>1423</v>
      </c>
      <c r="E333" s="116" t="s">
        <v>1428</v>
      </c>
      <c r="F333" s="116" t="s">
        <v>164</v>
      </c>
      <c r="G333" s="116" t="s">
        <v>1429</v>
      </c>
      <c r="H333" s="116" t="s">
        <v>267</v>
      </c>
      <c r="I333" s="116" t="s">
        <v>1430</v>
      </c>
      <c r="J333" s="117">
        <v>3.8679999999999999</v>
      </c>
      <c r="K333" s="117" t="s">
        <v>125</v>
      </c>
      <c r="L333" s="116">
        <v>5.3800000000000001E-2</v>
      </c>
      <c r="M333" s="116">
        <v>8.0489999999999992E-2</v>
      </c>
      <c r="N333" s="69">
        <v>1619.9549832891526</v>
      </c>
      <c r="O333" s="60">
        <v>89.753</v>
      </c>
      <c r="P333" s="84">
        <v>0.16648277359999999</v>
      </c>
      <c r="Q333" s="84">
        <v>5.7264200000000001</v>
      </c>
      <c r="R333" s="24">
        <v>2.591927973262644E-6</v>
      </c>
      <c r="S333" s="24">
        <v>3.1360073552690412E-5</v>
      </c>
      <c r="T333" s="24">
        <v>1.0763290690634089E-5</v>
      </c>
    </row>
    <row r="334" spans="1:20" x14ac:dyDescent="0.25">
      <c r="A334" s="16" t="s">
        <v>1431</v>
      </c>
      <c r="B334" s="116" t="s">
        <v>1432</v>
      </c>
      <c r="C334" s="116" t="s">
        <v>218</v>
      </c>
      <c r="D334" s="116" t="s">
        <v>1423</v>
      </c>
      <c r="E334" s="116" t="s">
        <v>1428</v>
      </c>
      <c r="F334" s="116" t="s">
        <v>164</v>
      </c>
      <c r="G334" s="116" t="s">
        <v>1429</v>
      </c>
      <c r="H334" s="116" t="s">
        <v>267</v>
      </c>
      <c r="I334" s="116" t="s">
        <v>1430</v>
      </c>
      <c r="J334" s="117">
        <v>5.8150000000000004</v>
      </c>
      <c r="K334" s="117" t="s">
        <v>125</v>
      </c>
      <c r="L334" s="116">
        <v>5.8799999999999998E-2</v>
      </c>
      <c r="M334" s="116">
        <v>8.2029999999999992E-2</v>
      </c>
      <c r="N334" s="69">
        <v>5307.9858580831387</v>
      </c>
      <c r="O334" s="60">
        <v>86.787999999999997</v>
      </c>
      <c r="P334" s="84">
        <v>0.59624605229999994</v>
      </c>
      <c r="Q334" s="84">
        <v>18.212250000000001</v>
      </c>
      <c r="R334" s="24">
        <v>8.4927773729330228E-6</v>
      </c>
      <c r="S334" s="24">
        <v>9.9737270329452939E-5</v>
      </c>
      <c r="T334" s="24">
        <v>3.4231464139986364E-5</v>
      </c>
    </row>
    <row r="335" spans="1:20" x14ac:dyDescent="0.25">
      <c r="A335" s="16" t="s">
        <v>1449</v>
      </c>
      <c r="B335" s="116" t="s">
        <v>1450</v>
      </c>
      <c r="C335" s="116" t="s">
        <v>218</v>
      </c>
      <c r="D335" s="116" t="s">
        <v>1423</v>
      </c>
      <c r="E335" s="116" t="s">
        <v>1428</v>
      </c>
      <c r="F335" s="116" t="s">
        <v>188</v>
      </c>
      <c r="G335" s="116" t="s">
        <v>1429</v>
      </c>
      <c r="H335" s="116" t="s">
        <v>267</v>
      </c>
      <c r="I335" s="116" t="s">
        <v>1451</v>
      </c>
      <c r="J335" s="117">
        <v>5.1120000000000001</v>
      </c>
      <c r="K335" s="117" t="s">
        <v>125</v>
      </c>
      <c r="L335" s="116">
        <v>8.5000000000000006E-2</v>
      </c>
      <c r="M335" s="116">
        <v>8.4620000000000001E-2</v>
      </c>
      <c r="N335" s="69">
        <v>4138.0837007020691</v>
      </c>
      <c r="O335" s="60">
        <v>101.79500000000002</v>
      </c>
      <c r="P335" s="84">
        <v>0</v>
      </c>
      <c r="Q335" s="84">
        <v>16.108070000000001</v>
      </c>
      <c r="R335" s="24">
        <v>5.5174449342694256E-6</v>
      </c>
      <c r="S335" s="24">
        <v>8.8213973126645594E-5</v>
      </c>
      <c r="T335" s="24">
        <v>3.0276479873128809E-5</v>
      </c>
    </row>
    <row r="336" spans="1:20" x14ac:dyDescent="0.25">
      <c r="A336" s="16" t="s">
        <v>1457</v>
      </c>
      <c r="B336" s="116" t="s">
        <v>1458</v>
      </c>
      <c r="C336" s="116" t="s">
        <v>218</v>
      </c>
      <c r="D336" s="116" t="s">
        <v>1423</v>
      </c>
      <c r="E336" s="116" t="s">
        <v>1459</v>
      </c>
      <c r="F336" s="116" t="s">
        <v>178</v>
      </c>
      <c r="G336" s="116" t="s">
        <v>1460</v>
      </c>
      <c r="H336" s="116" t="s">
        <v>368</v>
      </c>
      <c r="I336" s="116" t="s">
        <v>1461</v>
      </c>
      <c r="J336" s="117">
        <v>5.42</v>
      </c>
      <c r="K336" s="117" t="s">
        <v>126</v>
      </c>
      <c r="L336" s="116">
        <v>4.3799999999999999E-2</v>
      </c>
      <c r="M336" s="116">
        <v>7.1410000000000001E-2</v>
      </c>
      <c r="N336" s="69">
        <v>6426.5662019834626</v>
      </c>
      <c r="O336" s="60">
        <v>87.129000000000019</v>
      </c>
      <c r="P336" s="84">
        <v>0</v>
      </c>
      <c r="Q336" s="84">
        <v>22.694939999999999</v>
      </c>
      <c r="R336" s="24">
        <v>4.284377467988975E-6</v>
      </c>
      <c r="S336" s="24">
        <v>1.2428620109490671E-4</v>
      </c>
      <c r="T336" s="24">
        <v>4.2657059109618088E-5</v>
      </c>
    </row>
    <row r="337" spans="1:20" x14ac:dyDescent="0.25">
      <c r="A337" s="16" t="s">
        <v>1465</v>
      </c>
      <c r="B337" s="116" t="s">
        <v>1466</v>
      </c>
      <c r="C337" s="116" t="s">
        <v>218</v>
      </c>
      <c r="D337" s="116" t="s">
        <v>1423</v>
      </c>
      <c r="E337" s="116" t="s">
        <v>1459</v>
      </c>
      <c r="F337" s="116" t="s">
        <v>178</v>
      </c>
      <c r="G337" s="116" t="s">
        <v>1460</v>
      </c>
      <c r="H337" s="116" t="s">
        <v>368</v>
      </c>
      <c r="I337" s="116" t="s">
        <v>1464</v>
      </c>
      <c r="J337" s="117">
        <v>4.5890000000000004</v>
      </c>
      <c r="K337" s="117" t="s">
        <v>126</v>
      </c>
      <c r="L337" s="116">
        <v>7.3800000000000004E-2</v>
      </c>
      <c r="M337" s="116">
        <v>6.9629999999999997E-2</v>
      </c>
      <c r="N337" s="69">
        <v>1889.919481696875</v>
      </c>
      <c r="O337" s="60">
        <v>101.926</v>
      </c>
      <c r="P337" s="84">
        <v>0</v>
      </c>
      <c r="Q337" s="84">
        <v>7.8075600000000005</v>
      </c>
      <c r="R337" s="24">
        <v>2.3623993521210937E-6</v>
      </c>
      <c r="S337" s="24">
        <v>4.2757194873418919E-5</v>
      </c>
      <c r="T337" s="24">
        <v>1.4674969328929261E-5</v>
      </c>
    </row>
    <row r="338" spans="1:20" x14ac:dyDescent="0.25">
      <c r="A338" s="16" t="s">
        <v>1462</v>
      </c>
      <c r="B338" s="116" t="s">
        <v>1463</v>
      </c>
      <c r="C338" s="116" t="s">
        <v>218</v>
      </c>
      <c r="D338" s="116" t="s">
        <v>1423</v>
      </c>
      <c r="E338" s="116" t="s">
        <v>1459</v>
      </c>
      <c r="F338" s="116" t="s">
        <v>178</v>
      </c>
      <c r="G338" s="116" t="s">
        <v>1460</v>
      </c>
      <c r="H338" s="116" t="s">
        <v>368</v>
      </c>
      <c r="I338" s="116" t="s">
        <v>1464</v>
      </c>
      <c r="J338" s="117">
        <v>5.7270000000000003</v>
      </c>
      <c r="K338" s="117" t="s">
        <v>126</v>
      </c>
      <c r="L338" s="116">
        <v>7.8799999999999995E-2</v>
      </c>
      <c r="M338" s="116">
        <v>7.2239999999999999E-2</v>
      </c>
      <c r="N338" s="69">
        <v>3065.8693814193748</v>
      </c>
      <c r="O338" s="60">
        <v>103.83</v>
      </c>
      <c r="P338" s="84">
        <v>0</v>
      </c>
      <c r="Q338" s="84">
        <v>12.902200000000001</v>
      </c>
      <c r="R338" s="24">
        <v>6.1317387628387497E-6</v>
      </c>
      <c r="S338" s="24">
        <v>7.0657398687403686E-5</v>
      </c>
      <c r="T338" s="24">
        <v>2.4250776078020675E-5</v>
      </c>
    </row>
    <row r="339" spans="1:20" x14ac:dyDescent="0.25">
      <c r="A339" s="16" t="s">
        <v>1433</v>
      </c>
      <c r="B339" s="116" t="s">
        <v>1434</v>
      </c>
      <c r="C339" s="116" t="s">
        <v>218</v>
      </c>
      <c r="D339" s="116" t="s">
        <v>1423</v>
      </c>
      <c r="E339" s="116" t="s">
        <v>1435</v>
      </c>
      <c r="F339" s="116" t="s">
        <v>164</v>
      </c>
      <c r="G339" s="116" t="s">
        <v>1436</v>
      </c>
      <c r="H339" s="116" t="s">
        <v>267</v>
      </c>
      <c r="I339" s="116" t="s">
        <v>1437</v>
      </c>
      <c r="J339" s="117">
        <v>2.9910000000000001</v>
      </c>
      <c r="K339" s="117" t="s">
        <v>125</v>
      </c>
      <c r="L339" s="116">
        <v>6.5000000000000002E-2</v>
      </c>
      <c r="M339" s="116">
        <v>9.5250000000000001E-2</v>
      </c>
      <c r="N339" s="69">
        <v>2687.8854850799999</v>
      </c>
      <c r="O339" s="60">
        <v>93.504000000000005</v>
      </c>
      <c r="P339" s="84">
        <v>0</v>
      </c>
      <c r="Q339" s="84">
        <v>9.6107800000000001</v>
      </c>
      <c r="R339" s="24">
        <v>5.9730788557333328E-6</v>
      </c>
      <c r="S339" s="24">
        <v>5.2632319616571253E-5</v>
      </c>
      <c r="T339" s="24">
        <v>1.8064273822690669E-5</v>
      </c>
    </row>
    <row r="340" spans="1:20" s="118" customFormat="1" x14ac:dyDescent="0.25">
      <c r="A340" s="92" t="s">
        <v>144</v>
      </c>
      <c r="B340" s="130" t="s">
        <v>249</v>
      </c>
      <c r="C340" s="130" t="s">
        <v>249</v>
      </c>
      <c r="D340" s="130" t="s">
        <v>249</v>
      </c>
      <c r="E340" s="130" t="s">
        <v>249</v>
      </c>
      <c r="F340" s="130" t="s">
        <v>249</v>
      </c>
      <c r="G340" s="130" t="s">
        <v>249</v>
      </c>
      <c r="H340" s="130" t="s">
        <v>249</v>
      </c>
      <c r="I340" s="130" t="s">
        <v>249</v>
      </c>
      <c r="J340" s="131" t="s">
        <v>249</v>
      </c>
      <c r="K340" s="131" t="s">
        <v>249</v>
      </c>
      <c r="L340" s="130" t="s">
        <v>249</v>
      </c>
      <c r="M340" s="130" t="s">
        <v>249</v>
      </c>
      <c r="N340" s="134" t="s">
        <v>249</v>
      </c>
      <c r="O340" s="135" t="s">
        <v>249</v>
      </c>
      <c r="P340" s="123" t="s">
        <v>249</v>
      </c>
      <c r="Q340" s="123">
        <v>22527.661250100002</v>
      </c>
      <c r="R340" s="136"/>
      <c r="S340" s="136">
        <v>0.12337011846375741</v>
      </c>
      <c r="T340" s="136">
        <v>4.2342644551911952E-2</v>
      </c>
    </row>
    <row r="341" spans="1:20" x14ac:dyDescent="0.25">
      <c r="A341" s="16" t="s">
        <v>1467</v>
      </c>
      <c r="B341" s="116" t="s">
        <v>1468</v>
      </c>
      <c r="C341" s="116" t="s">
        <v>218</v>
      </c>
      <c r="D341" s="116" t="s">
        <v>1423</v>
      </c>
      <c r="E341" s="174" t="s">
        <v>2731</v>
      </c>
      <c r="F341" s="116" t="s">
        <v>181</v>
      </c>
      <c r="G341" s="116" t="s">
        <v>1440</v>
      </c>
      <c r="H341" s="116" t="s">
        <v>368</v>
      </c>
      <c r="I341" s="116" t="s">
        <v>1469</v>
      </c>
      <c r="J341" s="117">
        <v>4.181</v>
      </c>
      <c r="K341" s="117" t="s">
        <v>125</v>
      </c>
      <c r="L341" s="116">
        <v>5.7000000000000002E-2</v>
      </c>
      <c r="M341" s="116">
        <v>7.6230000000000006E-2</v>
      </c>
      <c r="N341" s="69">
        <v>108414.57803085096</v>
      </c>
      <c r="O341" s="60">
        <v>92.093000000000004</v>
      </c>
      <c r="P341" s="84">
        <v>0</v>
      </c>
      <c r="Q341" s="84">
        <v>381.79671999999999</v>
      </c>
      <c r="R341" s="24">
        <v>1.0841457803085096E-4</v>
      </c>
      <c r="S341" s="24">
        <v>2.0908653611463961E-3</v>
      </c>
      <c r="T341" s="24">
        <v>7.1761922494169652E-4</v>
      </c>
    </row>
    <row r="342" spans="1:20" x14ac:dyDescent="0.25">
      <c r="A342" s="16" t="s">
        <v>1470</v>
      </c>
      <c r="B342" s="116" t="s">
        <v>1471</v>
      </c>
      <c r="C342" s="116" t="s">
        <v>218</v>
      </c>
      <c r="D342" s="116" t="s">
        <v>1423</v>
      </c>
      <c r="E342" s="174" t="s">
        <v>2732</v>
      </c>
      <c r="F342" s="116" t="s">
        <v>177</v>
      </c>
      <c r="G342" s="116" t="s">
        <v>1472</v>
      </c>
      <c r="H342" s="116" t="s">
        <v>267</v>
      </c>
      <c r="I342" s="116" t="s">
        <v>1473</v>
      </c>
      <c r="J342" s="117">
        <v>5.1630000000000003</v>
      </c>
      <c r="K342" s="117" t="s">
        <v>125</v>
      </c>
      <c r="L342" s="116">
        <v>4.6300000000000001E-2</v>
      </c>
      <c r="M342" s="116">
        <v>6.5759999999999999E-2</v>
      </c>
      <c r="N342" s="69">
        <v>125236.9326957562</v>
      </c>
      <c r="O342" s="60">
        <v>91.591999999999999</v>
      </c>
      <c r="P342" s="84">
        <v>0</v>
      </c>
      <c r="Q342" s="84">
        <v>438.63961</v>
      </c>
      <c r="R342" s="24">
        <v>3.578198077021606E-5</v>
      </c>
      <c r="S342" s="24">
        <v>2.4021588414268316E-3</v>
      </c>
      <c r="T342" s="24">
        <v>8.2446024407157833E-4</v>
      </c>
    </row>
    <row r="343" spans="1:20" x14ac:dyDescent="0.25">
      <c r="A343" s="16" t="s">
        <v>1474</v>
      </c>
      <c r="B343" s="116" t="s">
        <v>1475</v>
      </c>
      <c r="C343" s="116" t="s">
        <v>218</v>
      </c>
      <c r="D343" s="116" t="s">
        <v>1423</v>
      </c>
      <c r="E343" s="174" t="s">
        <v>2733</v>
      </c>
      <c r="F343" s="116" t="s">
        <v>179</v>
      </c>
      <c r="G343" s="116" t="s">
        <v>1447</v>
      </c>
      <c r="H343" s="116" t="s">
        <v>267</v>
      </c>
      <c r="I343" s="116" t="s">
        <v>1476</v>
      </c>
      <c r="J343" s="117">
        <v>5.6059999999999999</v>
      </c>
      <c r="K343" s="117" t="s">
        <v>125</v>
      </c>
      <c r="L343" s="116">
        <v>3.6200000000000003E-2</v>
      </c>
      <c r="M343" s="116">
        <v>7.1429999999999993E-2</v>
      </c>
      <c r="N343" s="69">
        <v>81739.500973427886</v>
      </c>
      <c r="O343" s="60">
        <v>82.587000000000018</v>
      </c>
      <c r="P343" s="84">
        <v>0</v>
      </c>
      <c r="Q343" s="84">
        <v>258.14371999999997</v>
      </c>
      <c r="R343" s="24">
        <v>1.0898600129790384E-4</v>
      </c>
      <c r="S343" s="24">
        <v>1.4136940787376961E-3</v>
      </c>
      <c r="T343" s="24">
        <v>4.8520295373403501E-4</v>
      </c>
    </row>
    <row r="344" spans="1:20" x14ac:dyDescent="0.25">
      <c r="A344" s="16" t="s">
        <v>1477</v>
      </c>
      <c r="B344" s="116" t="s">
        <v>1478</v>
      </c>
      <c r="C344" s="116" t="s">
        <v>218</v>
      </c>
      <c r="D344" s="116" t="s">
        <v>1423</v>
      </c>
      <c r="E344" s="174" t="s">
        <v>2734</v>
      </c>
      <c r="F344" s="116" t="s">
        <v>166</v>
      </c>
      <c r="G344" s="116" t="s">
        <v>1479</v>
      </c>
      <c r="H344" s="116" t="s">
        <v>267</v>
      </c>
      <c r="I344" s="116" t="s">
        <v>1480</v>
      </c>
      <c r="J344" s="117">
        <v>4.2210000000000001</v>
      </c>
      <c r="K344" s="117" t="s">
        <v>125</v>
      </c>
      <c r="L344" s="116">
        <v>4.4999999999999998E-2</v>
      </c>
      <c r="M344" s="116">
        <v>6.9309999999999997E-2</v>
      </c>
      <c r="N344" s="69">
        <v>76622.665354818004</v>
      </c>
      <c r="O344" s="60">
        <v>90.552000000000007</v>
      </c>
      <c r="P344" s="84">
        <v>0</v>
      </c>
      <c r="Q344" s="84">
        <v>265.32195000000002</v>
      </c>
      <c r="R344" s="24">
        <v>1.2770444225803E-4</v>
      </c>
      <c r="S344" s="24">
        <v>1.453004821012648E-3</v>
      </c>
      <c r="T344" s="24">
        <v>4.9869504410362555E-4</v>
      </c>
    </row>
    <row r="345" spans="1:20" x14ac:dyDescent="0.25">
      <c r="A345" s="16" t="s">
        <v>1481</v>
      </c>
      <c r="B345" s="116" t="s">
        <v>1482</v>
      </c>
      <c r="C345" s="116" t="s">
        <v>218</v>
      </c>
      <c r="D345" s="116" t="s">
        <v>1423</v>
      </c>
      <c r="E345" s="174" t="s">
        <v>2735</v>
      </c>
      <c r="F345" s="116" t="s">
        <v>182</v>
      </c>
      <c r="G345" s="116" t="s">
        <v>1429</v>
      </c>
      <c r="H345" s="116" t="s">
        <v>267</v>
      </c>
      <c r="I345" s="116" t="s">
        <v>1168</v>
      </c>
      <c r="J345" s="117">
        <v>5.952</v>
      </c>
      <c r="K345" s="117" t="s">
        <v>125</v>
      </c>
      <c r="L345" s="116">
        <v>4.4999999999999998E-2</v>
      </c>
      <c r="M345" s="116">
        <v>7.6829999999999996E-2</v>
      </c>
      <c r="N345" s="69">
        <v>96393.044602018781</v>
      </c>
      <c r="O345" s="60">
        <v>82.814999999999998</v>
      </c>
      <c r="P345" s="84">
        <v>0</v>
      </c>
      <c r="Q345" s="84">
        <v>305.26188999999999</v>
      </c>
      <c r="R345" s="24">
        <v>8.7630040547289796E-5</v>
      </c>
      <c r="S345" s="24">
        <v>1.6717312602347173E-3</v>
      </c>
      <c r="T345" s="24">
        <v>5.7376553917497621E-4</v>
      </c>
    </row>
    <row r="346" spans="1:20" x14ac:dyDescent="0.25">
      <c r="A346" s="16" t="s">
        <v>1483</v>
      </c>
      <c r="B346" s="116" t="s">
        <v>1484</v>
      </c>
      <c r="C346" s="116" t="s">
        <v>218</v>
      </c>
      <c r="D346" s="116" t="s">
        <v>1423</v>
      </c>
      <c r="E346" s="174" t="s">
        <v>2736</v>
      </c>
      <c r="F346" s="116" t="s">
        <v>186</v>
      </c>
      <c r="G346" s="116" t="s">
        <v>1436</v>
      </c>
      <c r="H346" s="116" t="s">
        <v>267</v>
      </c>
      <c r="I346" s="116" t="s">
        <v>1485</v>
      </c>
      <c r="J346" s="117">
        <v>5.9420000000000002</v>
      </c>
      <c r="K346" s="117" t="s">
        <v>125</v>
      </c>
      <c r="L346" s="116">
        <v>4.2500000000000003E-2</v>
      </c>
      <c r="M346" s="116">
        <v>8.0449999999999994E-2</v>
      </c>
      <c r="N346" s="69">
        <v>126128.69930949024</v>
      </c>
      <c r="O346" s="60">
        <v>80.363</v>
      </c>
      <c r="P346" s="84">
        <v>0</v>
      </c>
      <c r="Q346" s="84">
        <v>387.60371999999995</v>
      </c>
      <c r="R346" s="24">
        <v>4.2042899769830083E-5</v>
      </c>
      <c r="S346" s="24">
        <v>2.122666721703336E-3</v>
      </c>
      <c r="T346" s="24">
        <v>7.2853397255722449E-4</v>
      </c>
    </row>
    <row r="347" spans="1:20" x14ac:dyDescent="0.25">
      <c r="A347" s="16" t="s">
        <v>1486</v>
      </c>
      <c r="B347" s="116" t="s">
        <v>1487</v>
      </c>
      <c r="C347" s="116" t="s">
        <v>218</v>
      </c>
      <c r="D347" s="116" t="s">
        <v>1423</v>
      </c>
      <c r="E347" s="174" t="s">
        <v>2737</v>
      </c>
      <c r="F347" s="116" t="s">
        <v>165</v>
      </c>
      <c r="G347" s="116" t="s">
        <v>1436</v>
      </c>
      <c r="H347" s="116" t="s">
        <v>267</v>
      </c>
      <c r="I347" s="116" t="s">
        <v>1488</v>
      </c>
      <c r="J347" s="117">
        <v>5.5629999999999997</v>
      </c>
      <c r="K347" s="117" t="s">
        <v>125</v>
      </c>
      <c r="L347" s="116">
        <v>4.3799999999999999E-2</v>
      </c>
      <c r="M347" s="116">
        <v>7.7920000000000003E-2</v>
      </c>
      <c r="N347" s="69">
        <v>90124.704521014457</v>
      </c>
      <c r="O347" s="60">
        <v>83.774000000000001</v>
      </c>
      <c r="P347" s="84">
        <v>0</v>
      </c>
      <c r="Q347" s="84">
        <v>288.71609000000001</v>
      </c>
      <c r="R347" s="24">
        <v>5.6327940325634033E-5</v>
      </c>
      <c r="S347" s="24">
        <v>1.5811201096400866E-3</v>
      </c>
      <c r="T347" s="24">
        <v>5.4266630874669935E-4</v>
      </c>
    </row>
    <row r="348" spans="1:20" x14ac:dyDescent="0.25">
      <c r="A348" s="16" t="s">
        <v>1489</v>
      </c>
      <c r="B348" s="116" t="s">
        <v>1490</v>
      </c>
      <c r="C348" s="116" t="s">
        <v>218</v>
      </c>
      <c r="D348" s="116" t="s">
        <v>1423</v>
      </c>
      <c r="E348" s="174" t="s">
        <v>2738</v>
      </c>
      <c r="F348" s="116" t="s">
        <v>181</v>
      </c>
      <c r="G348" s="116" t="s">
        <v>1491</v>
      </c>
      <c r="H348" s="116" t="s">
        <v>368</v>
      </c>
      <c r="I348" s="116" t="s">
        <v>1492</v>
      </c>
      <c r="J348" s="117">
        <v>2.33</v>
      </c>
      <c r="K348" s="117" t="s">
        <v>125</v>
      </c>
      <c r="L348" s="116">
        <v>4.7E-2</v>
      </c>
      <c r="M348" s="116">
        <v>0.10429000000000001</v>
      </c>
      <c r="N348" s="69">
        <v>83124.769499616683</v>
      </c>
      <c r="O348" s="60">
        <v>74.733000000000004</v>
      </c>
      <c r="P348" s="84">
        <v>0</v>
      </c>
      <c r="Q348" s="84">
        <v>237.55313000000001</v>
      </c>
      <c r="R348" s="24">
        <v>1.1083302599948891E-4</v>
      </c>
      <c r="S348" s="24">
        <v>1.3009321058308379E-3</v>
      </c>
      <c r="T348" s="24">
        <v>4.4650119842065195E-4</v>
      </c>
    </row>
    <row r="349" spans="1:20" x14ac:dyDescent="0.25">
      <c r="A349" s="16" t="s">
        <v>1493</v>
      </c>
      <c r="B349" s="116" t="s">
        <v>1494</v>
      </c>
      <c r="C349" s="116" t="s">
        <v>218</v>
      </c>
      <c r="D349" s="116" t="s">
        <v>1423</v>
      </c>
      <c r="E349" s="174" t="s">
        <v>2739</v>
      </c>
      <c r="F349" s="116" t="s">
        <v>167</v>
      </c>
      <c r="G349" s="116" t="s">
        <v>1429</v>
      </c>
      <c r="H349" s="116" t="s">
        <v>267</v>
      </c>
      <c r="I349" s="116" t="s">
        <v>1495</v>
      </c>
      <c r="J349" s="117">
        <v>4.9539999999999997</v>
      </c>
      <c r="K349" s="117" t="s">
        <v>125</v>
      </c>
      <c r="L349" s="116">
        <v>4.1299999999999996E-2</v>
      </c>
      <c r="M349" s="116">
        <v>7.2939999999999991E-2</v>
      </c>
      <c r="N349" s="69">
        <v>88137.709978762403</v>
      </c>
      <c r="O349" s="60">
        <v>85.394000000000005</v>
      </c>
      <c r="P349" s="84">
        <v>0</v>
      </c>
      <c r="Q349" s="84">
        <v>287.81074000000001</v>
      </c>
      <c r="R349" s="24">
        <v>8.8137709978762399E-5</v>
      </c>
      <c r="S349" s="24">
        <v>1.5761620655932076E-3</v>
      </c>
      <c r="T349" s="24">
        <v>5.409646268535155E-4</v>
      </c>
    </row>
    <row r="350" spans="1:20" x14ac:dyDescent="0.25">
      <c r="A350" s="16" t="s">
        <v>1496</v>
      </c>
      <c r="B350" s="116" t="s">
        <v>1497</v>
      </c>
      <c r="C350" s="116" t="s">
        <v>218</v>
      </c>
      <c r="D350" s="116" t="s">
        <v>1423</v>
      </c>
      <c r="E350" s="174" t="s">
        <v>2740</v>
      </c>
      <c r="F350" s="116" t="s">
        <v>177</v>
      </c>
      <c r="G350" s="116" t="s">
        <v>1436</v>
      </c>
      <c r="H350" s="116" t="s">
        <v>267</v>
      </c>
      <c r="I350" s="116" t="s">
        <v>1498</v>
      </c>
      <c r="J350" s="117">
        <v>5.7859999999999996</v>
      </c>
      <c r="K350" s="117" t="s">
        <v>125</v>
      </c>
      <c r="L350" s="116">
        <v>5.1299999999999998E-2</v>
      </c>
      <c r="M350" s="116">
        <v>8.906E-2</v>
      </c>
      <c r="N350" s="69">
        <v>88341.171293546373</v>
      </c>
      <c r="O350" s="60">
        <v>82.370999999999995</v>
      </c>
      <c r="P350" s="84">
        <v>0</v>
      </c>
      <c r="Q350" s="84">
        <v>278.26294000000001</v>
      </c>
      <c r="R350" s="24">
        <v>4.4170585646773189E-5</v>
      </c>
      <c r="S350" s="24">
        <v>1.5238746486265203E-3</v>
      </c>
      <c r="T350" s="24">
        <v>5.2301872926723372E-4</v>
      </c>
    </row>
    <row r="351" spans="1:20" x14ac:dyDescent="0.25">
      <c r="A351" s="16" t="s">
        <v>1499</v>
      </c>
      <c r="B351" s="116" t="s">
        <v>1500</v>
      </c>
      <c r="C351" s="116" t="s">
        <v>218</v>
      </c>
      <c r="D351" s="116" t="s">
        <v>1423</v>
      </c>
      <c r="E351" s="174" t="s">
        <v>2741</v>
      </c>
      <c r="F351" s="116" t="s">
        <v>186</v>
      </c>
      <c r="G351" s="116" t="s">
        <v>1447</v>
      </c>
      <c r="H351" s="116" t="s">
        <v>267</v>
      </c>
      <c r="I351" s="116" t="s">
        <v>1501</v>
      </c>
      <c r="J351" s="117">
        <v>15.013999999999999</v>
      </c>
      <c r="K351" s="117" t="s">
        <v>125</v>
      </c>
      <c r="L351" s="116">
        <v>3.5000000000000003E-2</v>
      </c>
      <c r="M351" s="116">
        <v>6.3369999999999996E-2</v>
      </c>
      <c r="N351" s="69">
        <v>134890.5227376344</v>
      </c>
      <c r="O351" s="60">
        <v>61.960999999999999</v>
      </c>
      <c r="P351" s="84">
        <v>0</v>
      </c>
      <c r="Q351" s="84">
        <v>319.60807</v>
      </c>
      <c r="R351" s="24">
        <v>1.7994361824625007E-5</v>
      </c>
      <c r="S351" s="24">
        <v>1.7502964475594571E-3</v>
      </c>
      <c r="T351" s="24">
        <v>6.0073039778474661E-4</v>
      </c>
    </row>
    <row r="352" spans="1:20" x14ac:dyDescent="0.25">
      <c r="A352" s="16" t="s">
        <v>1502</v>
      </c>
      <c r="B352" s="116" t="s">
        <v>1503</v>
      </c>
      <c r="C352" s="116" t="s">
        <v>218</v>
      </c>
      <c r="D352" s="116" t="s">
        <v>1423</v>
      </c>
      <c r="E352" s="174" t="s">
        <v>2742</v>
      </c>
      <c r="F352" s="116" t="s">
        <v>186</v>
      </c>
      <c r="G352" s="116" t="s">
        <v>1429</v>
      </c>
      <c r="H352" s="116" t="s">
        <v>267</v>
      </c>
      <c r="I352" s="116" t="s">
        <v>1504</v>
      </c>
      <c r="J352" s="117">
        <v>6.4119999999999999</v>
      </c>
      <c r="K352" s="117" t="s">
        <v>125</v>
      </c>
      <c r="L352" s="116">
        <v>3.8800000000000001E-2</v>
      </c>
      <c r="M352" s="116">
        <v>8.1959999999999991E-2</v>
      </c>
      <c r="N352" s="69">
        <v>84401.813922196976</v>
      </c>
      <c r="O352" s="60">
        <v>76.082999999999998</v>
      </c>
      <c r="P352" s="84">
        <v>0</v>
      </c>
      <c r="Q352" s="84">
        <v>245.55981</v>
      </c>
      <c r="R352" s="24">
        <v>5.6267875948131319E-5</v>
      </c>
      <c r="S352" s="24">
        <v>1.3447797582406952E-3</v>
      </c>
      <c r="T352" s="24">
        <v>4.6155043062976093E-4</v>
      </c>
    </row>
    <row r="353" spans="1:20" x14ac:dyDescent="0.25">
      <c r="A353" s="16" t="s">
        <v>1505</v>
      </c>
      <c r="B353" s="116" t="s">
        <v>1506</v>
      </c>
      <c r="C353" s="116" t="s">
        <v>218</v>
      </c>
      <c r="D353" s="116" t="s">
        <v>1423</v>
      </c>
      <c r="E353" s="174" t="s">
        <v>2743</v>
      </c>
      <c r="F353" s="116" t="s">
        <v>173</v>
      </c>
      <c r="G353" s="116" t="s">
        <v>1479</v>
      </c>
      <c r="H353" s="116" t="s">
        <v>267</v>
      </c>
      <c r="I353" s="116" t="s">
        <v>1507</v>
      </c>
      <c r="J353" s="117">
        <v>6.7629999999999999</v>
      </c>
      <c r="K353" s="117" t="s">
        <v>125</v>
      </c>
      <c r="L353" s="116">
        <v>3.3799999999999997E-2</v>
      </c>
      <c r="M353" s="116">
        <v>7.5170000000000001E-2</v>
      </c>
      <c r="N353" s="69">
        <v>89609.557787837999</v>
      </c>
      <c r="O353" s="60">
        <v>74.320999999999998</v>
      </c>
      <c r="P353" s="84">
        <v>0</v>
      </c>
      <c r="Q353" s="84">
        <v>254.67349999999999</v>
      </c>
      <c r="R353" s="24">
        <v>1.3786085813513539E-4</v>
      </c>
      <c r="S353" s="24">
        <v>1.3946898222486478E-3</v>
      </c>
      <c r="T353" s="24">
        <v>4.7868038175704903E-4</v>
      </c>
    </row>
    <row r="354" spans="1:20" x14ac:dyDescent="0.25">
      <c r="A354" s="16" t="s">
        <v>1508</v>
      </c>
      <c r="B354" s="116" t="s">
        <v>1509</v>
      </c>
      <c r="C354" s="116" t="s">
        <v>218</v>
      </c>
      <c r="D354" s="116" t="s">
        <v>1423</v>
      </c>
      <c r="E354" s="174" t="s">
        <v>2744</v>
      </c>
      <c r="F354" s="116" t="s">
        <v>179</v>
      </c>
      <c r="G354" s="116" t="s">
        <v>1510</v>
      </c>
      <c r="H354" s="116" t="s">
        <v>368</v>
      </c>
      <c r="I354" s="116" t="s">
        <v>1511</v>
      </c>
      <c r="J354" s="117">
        <v>6.87</v>
      </c>
      <c r="K354" s="117" t="s">
        <v>125</v>
      </c>
      <c r="L354" s="116">
        <v>3.85E-2</v>
      </c>
      <c r="M354" s="116">
        <v>6.7240000000000008E-2</v>
      </c>
      <c r="N354" s="69">
        <v>138526.85261887999</v>
      </c>
      <c r="O354" s="60">
        <v>81.427999999999997</v>
      </c>
      <c r="P354" s="84">
        <v>0</v>
      </c>
      <c r="Q354" s="84">
        <v>431.34584000000001</v>
      </c>
      <c r="R354" s="24">
        <v>5.5410741047551996E-5</v>
      </c>
      <c r="S354" s="24">
        <v>2.3622153577710038E-3</v>
      </c>
      <c r="T354" s="24">
        <v>8.1075098650042112E-4</v>
      </c>
    </row>
    <row r="355" spans="1:20" x14ac:dyDescent="0.25">
      <c r="A355" s="16" t="s">
        <v>1512</v>
      </c>
      <c r="B355" s="116" t="s">
        <v>1513</v>
      </c>
      <c r="C355" s="116" t="s">
        <v>218</v>
      </c>
      <c r="D355" s="116" t="s">
        <v>1423</v>
      </c>
      <c r="E355" s="174" t="s">
        <v>2745</v>
      </c>
      <c r="F355" s="116" t="s">
        <v>179</v>
      </c>
      <c r="G355" s="116" t="s">
        <v>1514</v>
      </c>
      <c r="H355" s="116" t="s">
        <v>267</v>
      </c>
      <c r="I355" s="116" t="s">
        <v>1515</v>
      </c>
      <c r="J355" s="117">
        <v>6.8</v>
      </c>
      <c r="K355" s="117" t="s">
        <v>125</v>
      </c>
      <c r="L355" s="116">
        <v>3.3500000000000002E-2</v>
      </c>
      <c r="M355" s="116">
        <v>6.9349999999999995E-2</v>
      </c>
      <c r="N355" s="69">
        <v>123808.374528124</v>
      </c>
      <c r="O355" s="60">
        <v>76.573999999999998</v>
      </c>
      <c r="P355" s="84">
        <v>0</v>
      </c>
      <c r="Q355" s="84">
        <v>362.53440999999998</v>
      </c>
      <c r="R355" s="24">
        <v>9.9046699622499203E-5</v>
      </c>
      <c r="S355" s="24">
        <v>1.9853775592745941E-3</v>
      </c>
      <c r="T355" s="24">
        <v>6.8141408422496465E-4</v>
      </c>
    </row>
    <row r="356" spans="1:20" x14ac:dyDescent="0.25">
      <c r="A356" s="16" t="s">
        <v>1516</v>
      </c>
      <c r="B356" s="116" t="s">
        <v>1517</v>
      </c>
      <c r="C356" s="116" t="s">
        <v>218</v>
      </c>
      <c r="D356" s="116" t="s">
        <v>1423</v>
      </c>
      <c r="E356" s="174" t="s">
        <v>2746</v>
      </c>
      <c r="F356" s="116" t="s">
        <v>185</v>
      </c>
      <c r="G356" s="116" t="s">
        <v>1479</v>
      </c>
      <c r="H356" s="116" t="s">
        <v>267</v>
      </c>
      <c r="I356" s="116" t="s">
        <v>1274</v>
      </c>
      <c r="J356" s="117">
        <v>6.7919999999999998</v>
      </c>
      <c r="K356" s="117" t="s">
        <v>125</v>
      </c>
      <c r="L356" s="116">
        <v>4.1500000000000002E-2</v>
      </c>
      <c r="M356" s="116">
        <v>6.1609999999999998E-2</v>
      </c>
      <c r="N356" s="69">
        <v>129868.9243302</v>
      </c>
      <c r="O356" s="60">
        <v>88.492999999999995</v>
      </c>
      <c r="P356" s="84">
        <v>0</v>
      </c>
      <c r="Q356" s="84">
        <v>439.47284999999999</v>
      </c>
      <c r="R356" s="24">
        <v>1.0822410360849999E-4</v>
      </c>
      <c r="S356" s="24">
        <v>2.4067219834399988E-3</v>
      </c>
      <c r="T356" s="24">
        <v>8.2602638912120162E-4</v>
      </c>
    </row>
    <row r="357" spans="1:20" x14ac:dyDescent="0.25">
      <c r="A357" s="16" t="s">
        <v>1518</v>
      </c>
      <c r="B357" s="116" t="s">
        <v>1519</v>
      </c>
      <c r="C357" s="116" t="s">
        <v>218</v>
      </c>
      <c r="D357" s="116" t="s">
        <v>1423</v>
      </c>
      <c r="E357" s="174" t="s">
        <v>2747</v>
      </c>
      <c r="F357" s="116" t="s">
        <v>171</v>
      </c>
      <c r="G357" s="116" t="s">
        <v>1447</v>
      </c>
      <c r="H357" s="116" t="s">
        <v>267</v>
      </c>
      <c r="I357" s="116" t="s">
        <v>1520</v>
      </c>
      <c r="J357" s="117">
        <v>7.2889999999999997</v>
      </c>
      <c r="K357" s="117" t="s">
        <v>125</v>
      </c>
      <c r="L357" s="116">
        <v>3.5000000000000003E-2</v>
      </c>
      <c r="M357" s="116">
        <v>6.1120000000000001E-2</v>
      </c>
      <c r="N357" s="69">
        <v>108224.10360849999</v>
      </c>
      <c r="O357" s="60">
        <v>83.427000000000007</v>
      </c>
      <c r="P357" s="84">
        <v>0</v>
      </c>
      <c r="Q357" s="84">
        <v>345.26178000000004</v>
      </c>
      <c r="R357" s="24">
        <v>1.0822410360849999E-4</v>
      </c>
      <c r="S357" s="24">
        <v>1.890786008663845E-3</v>
      </c>
      <c r="T357" s="24">
        <v>6.4894871534147962E-4</v>
      </c>
    </row>
    <row r="358" spans="1:20" x14ac:dyDescent="0.25">
      <c r="A358" s="16" t="s">
        <v>1521</v>
      </c>
      <c r="B358" s="116" t="s">
        <v>1522</v>
      </c>
      <c r="C358" s="116" t="s">
        <v>218</v>
      </c>
      <c r="D358" s="116" t="s">
        <v>1423</v>
      </c>
      <c r="E358" s="174" t="s">
        <v>2748</v>
      </c>
      <c r="F358" s="116" t="s">
        <v>179</v>
      </c>
      <c r="G358" s="116" t="s">
        <v>1424</v>
      </c>
      <c r="H358" s="116" t="s">
        <v>368</v>
      </c>
      <c r="I358" s="116" t="s">
        <v>1523</v>
      </c>
      <c r="J358" s="117">
        <v>6.7720000000000002</v>
      </c>
      <c r="K358" s="117" t="s">
        <v>125</v>
      </c>
      <c r="L358" s="116">
        <v>3.32E-2</v>
      </c>
      <c r="M358" s="116">
        <v>7.2099999999999997E-2</v>
      </c>
      <c r="N358" s="69">
        <v>125539.96018586001</v>
      </c>
      <c r="O358" s="60">
        <v>74.322000000000003</v>
      </c>
      <c r="P358" s="84">
        <v>0</v>
      </c>
      <c r="Q358" s="84">
        <v>356.79376999999999</v>
      </c>
      <c r="R358" s="24">
        <v>1.2553996018586E-4</v>
      </c>
      <c r="S358" s="24">
        <v>1.9539396115446834E-3</v>
      </c>
      <c r="T358" s="24">
        <v>6.7062406584170219E-4</v>
      </c>
    </row>
    <row r="359" spans="1:20" x14ac:dyDescent="0.25">
      <c r="A359" s="16" t="s">
        <v>1524</v>
      </c>
      <c r="B359" s="116" t="s">
        <v>1525</v>
      </c>
      <c r="C359" s="116" t="s">
        <v>218</v>
      </c>
      <c r="D359" s="116" t="s">
        <v>1423</v>
      </c>
      <c r="E359" s="174" t="s">
        <v>2749</v>
      </c>
      <c r="F359" s="116" t="s">
        <v>165</v>
      </c>
      <c r="G359" s="116" t="s">
        <v>1424</v>
      </c>
      <c r="H359" s="116" t="s">
        <v>368</v>
      </c>
      <c r="I359" s="116" t="s">
        <v>1526</v>
      </c>
      <c r="J359" s="117">
        <v>3.2770000000000001</v>
      </c>
      <c r="K359" s="117" t="s">
        <v>125</v>
      </c>
      <c r="L359" s="116">
        <v>6.1600000000000002E-2</v>
      </c>
      <c r="M359" s="116">
        <v>6.5879999999999994E-2</v>
      </c>
      <c r="N359" s="69">
        <v>119141.75118052548</v>
      </c>
      <c r="O359" s="60">
        <v>99.93</v>
      </c>
      <c r="P359" s="84">
        <v>0</v>
      </c>
      <c r="Q359" s="84">
        <v>455.27914000000004</v>
      </c>
      <c r="R359" s="24">
        <v>5.9570875590262737E-5</v>
      </c>
      <c r="S359" s="24">
        <v>2.4932832934722979E-3</v>
      </c>
      <c r="T359" s="24">
        <v>8.557356479618845E-4</v>
      </c>
    </row>
    <row r="360" spans="1:20" x14ac:dyDescent="0.25">
      <c r="A360" s="16" t="s">
        <v>1527</v>
      </c>
      <c r="B360" s="116" t="s">
        <v>1528</v>
      </c>
      <c r="C360" s="116" t="s">
        <v>218</v>
      </c>
      <c r="D360" s="116" t="s">
        <v>1423</v>
      </c>
      <c r="E360" s="174" t="s">
        <v>2750</v>
      </c>
      <c r="F360" s="116" t="s">
        <v>180</v>
      </c>
      <c r="G360" s="116" t="s">
        <v>1514</v>
      </c>
      <c r="H360" s="116" t="s">
        <v>267</v>
      </c>
      <c r="I360" s="116" t="s">
        <v>1529</v>
      </c>
      <c r="J360" s="117">
        <v>6.4710000000000001</v>
      </c>
      <c r="K360" s="117" t="s">
        <v>125</v>
      </c>
      <c r="L360" s="116">
        <v>5.2999999999999999E-2</v>
      </c>
      <c r="M360" s="116">
        <v>6.9589999999999999E-2</v>
      </c>
      <c r="N360" s="69">
        <v>129868.9243302</v>
      </c>
      <c r="O360" s="60">
        <v>91.707999999999998</v>
      </c>
      <c r="P360" s="84">
        <v>0</v>
      </c>
      <c r="Q360" s="84">
        <v>455.43914000000001</v>
      </c>
      <c r="R360" s="24">
        <v>6.4934462165099999E-5</v>
      </c>
      <c r="S360" s="24">
        <v>2.4941595148756232E-3</v>
      </c>
      <c r="T360" s="24">
        <v>8.5603638149356765E-4</v>
      </c>
    </row>
    <row r="361" spans="1:20" x14ac:dyDescent="0.25">
      <c r="A361" s="16" t="s">
        <v>1530</v>
      </c>
      <c r="B361" s="116" t="s">
        <v>1531</v>
      </c>
      <c r="C361" s="116" t="s">
        <v>218</v>
      </c>
      <c r="D361" s="116" t="s">
        <v>1423</v>
      </c>
      <c r="E361" s="174" t="s">
        <v>2751</v>
      </c>
      <c r="F361" s="116" t="s">
        <v>188</v>
      </c>
      <c r="G361" s="116" t="s">
        <v>1424</v>
      </c>
      <c r="H361" s="116" t="s">
        <v>368</v>
      </c>
      <c r="I361" s="116" t="s">
        <v>1532</v>
      </c>
      <c r="J361" s="117">
        <v>6.7640000000000002</v>
      </c>
      <c r="K361" s="117" t="s">
        <v>125</v>
      </c>
      <c r="L361" s="116">
        <v>5.5E-2</v>
      </c>
      <c r="M361" s="116">
        <v>6.5939999999999999E-2</v>
      </c>
      <c r="N361" s="69">
        <v>86596.598743377355</v>
      </c>
      <c r="O361" s="60">
        <v>93.188000000000002</v>
      </c>
      <c r="P361" s="84">
        <v>0</v>
      </c>
      <c r="Q361" s="84">
        <v>308.58777000000003</v>
      </c>
      <c r="R361" s="24">
        <v>1.1546213165783647E-4</v>
      </c>
      <c r="S361" s="24">
        <v>1.689945055490291E-3</v>
      </c>
      <c r="T361" s="24">
        <v>5.8001681191469263E-4</v>
      </c>
    </row>
    <row r="362" spans="1:20" x14ac:dyDescent="0.25">
      <c r="A362" s="16" t="s">
        <v>1533</v>
      </c>
      <c r="B362" s="116" t="s">
        <v>1534</v>
      </c>
      <c r="C362" s="116" t="s">
        <v>218</v>
      </c>
      <c r="D362" s="116" t="s">
        <v>1423</v>
      </c>
      <c r="E362" s="116" t="s">
        <v>1535</v>
      </c>
      <c r="F362" s="116" t="s">
        <v>179</v>
      </c>
      <c r="G362" s="116" t="s">
        <v>1510</v>
      </c>
      <c r="H362" s="116" t="s">
        <v>368</v>
      </c>
      <c r="I362" s="116" t="s">
        <v>1025</v>
      </c>
      <c r="J362" s="117">
        <v>6.851</v>
      </c>
      <c r="K362" s="117" t="s">
        <v>125</v>
      </c>
      <c r="L362" s="116">
        <v>5.7200000000000001E-2</v>
      </c>
      <c r="M362" s="116">
        <v>6.2939999999999996E-2</v>
      </c>
      <c r="N362" s="69">
        <v>49177.032679702403</v>
      </c>
      <c r="O362" s="60">
        <v>96.552000000000007</v>
      </c>
      <c r="P362" s="84">
        <v>0</v>
      </c>
      <c r="Q362" s="84">
        <v>181.56891000000002</v>
      </c>
      <c r="R362" s="24">
        <v>1.4050580765629258E-5</v>
      </c>
      <c r="S362" s="24">
        <v>9.9434103200286145E-4</v>
      </c>
      <c r="T362" s="24">
        <v>3.4127412217608541E-4</v>
      </c>
    </row>
    <row r="363" spans="1:20" x14ac:dyDescent="0.25">
      <c r="A363" s="16" t="s">
        <v>1533</v>
      </c>
      <c r="B363" s="116" t="s">
        <v>1534</v>
      </c>
      <c r="C363" s="116" t="s">
        <v>218</v>
      </c>
      <c r="D363" s="116" t="s">
        <v>1423</v>
      </c>
      <c r="E363" s="116" t="s">
        <v>1535</v>
      </c>
      <c r="F363" s="116" t="s">
        <v>179</v>
      </c>
      <c r="G363" s="116" t="s">
        <v>1510</v>
      </c>
      <c r="H363" s="116" t="s">
        <v>368</v>
      </c>
      <c r="I363" s="116" t="s">
        <v>1536</v>
      </c>
      <c r="J363" s="117">
        <v>6.851</v>
      </c>
      <c r="K363" s="117" t="s">
        <v>125</v>
      </c>
      <c r="L363" s="116">
        <v>5.7200000000000001E-2</v>
      </c>
      <c r="M363" s="116">
        <v>6.2939999999999996E-2</v>
      </c>
      <c r="N363" s="69">
        <v>112553.06775284</v>
      </c>
      <c r="O363" s="60">
        <v>96.552000000000007</v>
      </c>
      <c r="P363" s="84">
        <v>0</v>
      </c>
      <c r="Q363" s="84">
        <v>415.56263999999999</v>
      </c>
      <c r="R363" s="24">
        <v>3.2158019357954285E-5</v>
      </c>
      <c r="S363" s="24">
        <v>2.2757804974399723E-3</v>
      </c>
      <c r="T363" s="24">
        <v>7.8108512726752935E-4</v>
      </c>
    </row>
    <row r="364" spans="1:20" x14ac:dyDescent="0.25">
      <c r="A364" s="16" t="s">
        <v>1537</v>
      </c>
      <c r="B364" s="116" t="s">
        <v>1538</v>
      </c>
      <c r="C364" s="116" t="s">
        <v>218</v>
      </c>
      <c r="D364" s="116" t="s">
        <v>1423</v>
      </c>
      <c r="E364" s="174" t="s">
        <v>2752</v>
      </c>
      <c r="F364" s="116" t="s">
        <v>183</v>
      </c>
      <c r="G364" s="116" t="s">
        <v>1424</v>
      </c>
      <c r="H364" s="116" t="s">
        <v>368</v>
      </c>
      <c r="I364" s="116" t="s">
        <v>1539</v>
      </c>
      <c r="J364" s="117">
        <v>6.6230000000000002</v>
      </c>
      <c r="K364" s="117" t="s">
        <v>125</v>
      </c>
      <c r="L364" s="116">
        <v>3.15E-2</v>
      </c>
      <c r="M364" s="116">
        <v>7.1529999999999996E-2</v>
      </c>
      <c r="N364" s="69">
        <v>76297.993043992494</v>
      </c>
      <c r="O364" s="60">
        <v>77.012</v>
      </c>
      <c r="P364" s="84">
        <v>0</v>
      </c>
      <c r="Q364" s="84">
        <v>224.69292999999999</v>
      </c>
      <c r="R364" s="24">
        <v>1.1767716901691864E-4</v>
      </c>
      <c r="S364" s="24">
        <v>1.2305047152618071E-3</v>
      </c>
      <c r="T364" s="24">
        <v>4.223293648946981E-4</v>
      </c>
    </row>
    <row r="365" spans="1:20" x14ac:dyDescent="0.25">
      <c r="A365" s="16" t="s">
        <v>1540</v>
      </c>
      <c r="B365" s="116" t="s">
        <v>1541</v>
      </c>
      <c r="C365" s="116" t="s">
        <v>218</v>
      </c>
      <c r="D365" s="116" t="s">
        <v>1423</v>
      </c>
      <c r="E365" s="174" t="s">
        <v>2738</v>
      </c>
      <c r="F365" s="116" t="s">
        <v>171</v>
      </c>
      <c r="G365" s="116" t="s">
        <v>1479</v>
      </c>
      <c r="H365" s="116" t="s">
        <v>267</v>
      </c>
      <c r="I365" s="116" t="s">
        <v>897</v>
      </c>
      <c r="J365" s="117">
        <v>5.5410000000000004</v>
      </c>
      <c r="K365" s="117" t="s">
        <v>125</v>
      </c>
      <c r="L365" s="116">
        <v>3.2500000000000001E-2</v>
      </c>
      <c r="M365" s="116">
        <v>6.2080000000000003E-2</v>
      </c>
      <c r="N365" s="69">
        <v>113089.85930673816</v>
      </c>
      <c r="O365" s="60">
        <v>84.971999999999994</v>
      </c>
      <c r="P365" s="84">
        <v>0</v>
      </c>
      <c r="Q365" s="84">
        <v>367.46618999999998</v>
      </c>
      <c r="R365" s="24">
        <v>9.050229621691941E-5</v>
      </c>
      <c r="S365" s="24">
        <v>2.0123858792276692E-3</v>
      </c>
      <c r="T365" s="24">
        <v>6.90683781830494E-4</v>
      </c>
    </row>
    <row r="366" spans="1:20" x14ac:dyDescent="0.25">
      <c r="A366" s="16" t="s">
        <v>1542</v>
      </c>
      <c r="B366" s="116" t="s">
        <v>1543</v>
      </c>
      <c r="C366" s="116" t="s">
        <v>218</v>
      </c>
      <c r="D366" s="116" t="s">
        <v>1423</v>
      </c>
      <c r="E366" s="174" t="s">
        <v>2753</v>
      </c>
      <c r="F366" s="116" t="s">
        <v>169</v>
      </c>
      <c r="G366" s="116" t="s">
        <v>1447</v>
      </c>
      <c r="H366" s="116" t="s">
        <v>267</v>
      </c>
      <c r="I366" s="116" t="s">
        <v>897</v>
      </c>
      <c r="J366" s="117">
        <v>4.9130000000000003</v>
      </c>
      <c r="K366" s="117" t="s">
        <v>125</v>
      </c>
      <c r="L366" s="116">
        <v>5.4000000000000006E-2</v>
      </c>
      <c r="M366" s="116">
        <v>6.3619999999999996E-2</v>
      </c>
      <c r="N366" s="69">
        <v>112726.2263186136</v>
      </c>
      <c r="O366" s="60">
        <v>97.599000000000004</v>
      </c>
      <c r="P366" s="84">
        <v>0</v>
      </c>
      <c r="Q366" s="84">
        <v>420.71521999999999</v>
      </c>
      <c r="R366" s="24">
        <v>1.1272622631861359E-4</v>
      </c>
      <c r="S366" s="24">
        <v>2.3039980029296359E-3</v>
      </c>
      <c r="T366" s="24">
        <v>7.9076983714678156E-4</v>
      </c>
    </row>
    <row r="367" spans="1:20" x14ac:dyDescent="0.25">
      <c r="A367" s="16" t="s">
        <v>1544</v>
      </c>
      <c r="B367" s="116" t="s">
        <v>1545</v>
      </c>
      <c r="C367" s="116" t="s">
        <v>218</v>
      </c>
      <c r="D367" s="116" t="s">
        <v>1423</v>
      </c>
      <c r="E367" s="174" t="s">
        <v>2754</v>
      </c>
      <c r="F367" s="116" t="s">
        <v>183</v>
      </c>
      <c r="G367" s="116" t="s">
        <v>1447</v>
      </c>
      <c r="H367" s="116" t="s">
        <v>267</v>
      </c>
      <c r="I367" s="116" t="s">
        <v>1546</v>
      </c>
      <c r="J367" s="117">
        <v>6.5780000000000003</v>
      </c>
      <c r="K367" s="117" t="s">
        <v>125</v>
      </c>
      <c r="L367" s="116">
        <v>6.25E-2</v>
      </c>
      <c r="M367" s="116">
        <v>6.0609999999999997E-2</v>
      </c>
      <c r="N367" s="69">
        <v>138526.85261887999</v>
      </c>
      <c r="O367" s="60">
        <v>103.67700000000002</v>
      </c>
      <c r="P367" s="84">
        <v>0</v>
      </c>
      <c r="Q367" s="84">
        <v>549.20472999999993</v>
      </c>
      <c r="R367" s="24">
        <v>6.1567490052835553E-5</v>
      </c>
      <c r="S367" s="24">
        <v>3.0076558702095686E-3</v>
      </c>
      <c r="T367" s="24">
        <v>1.0322767379377007E-3</v>
      </c>
    </row>
    <row r="368" spans="1:20" x14ac:dyDescent="0.25">
      <c r="A368" s="16" t="s">
        <v>1547</v>
      </c>
      <c r="B368" s="116" t="s">
        <v>1548</v>
      </c>
      <c r="C368" s="116" t="s">
        <v>218</v>
      </c>
      <c r="D368" s="116" t="s">
        <v>1423</v>
      </c>
      <c r="E368" s="174" t="s">
        <v>2755</v>
      </c>
      <c r="F368" s="116" t="s">
        <v>169</v>
      </c>
      <c r="G368" s="116" t="s">
        <v>1549</v>
      </c>
      <c r="H368" s="116" t="s">
        <v>368</v>
      </c>
      <c r="I368" s="116" t="s">
        <v>1312</v>
      </c>
      <c r="J368" s="117">
        <v>5.1050000000000004</v>
      </c>
      <c r="K368" s="117" t="s">
        <v>125</v>
      </c>
      <c r="L368" s="116">
        <v>6.3E-2</v>
      </c>
      <c r="M368" s="116">
        <v>6.8750000000000006E-2</v>
      </c>
      <c r="N368" s="69">
        <v>115843.0805025384</v>
      </c>
      <c r="O368" s="60">
        <v>97.745999999999995</v>
      </c>
      <c r="P368" s="84">
        <v>0</v>
      </c>
      <c r="Q368" s="84">
        <v>432.99907999999999</v>
      </c>
      <c r="R368" s="24">
        <v>1.0531189136594401E-4</v>
      </c>
      <c r="S368" s="24">
        <v>2.3712691344762137E-3</v>
      </c>
      <c r="T368" s="24">
        <v>8.1385839089992093E-4</v>
      </c>
    </row>
    <row r="369" spans="1:20" x14ac:dyDescent="0.25">
      <c r="A369" s="16" t="s">
        <v>1550</v>
      </c>
      <c r="B369" s="116" t="s">
        <v>1551</v>
      </c>
      <c r="C369" s="116" t="s">
        <v>218</v>
      </c>
      <c r="D369" s="116" t="s">
        <v>1423</v>
      </c>
      <c r="E369" s="174" t="s">
        <v>2756</v>
      </c>
      <c r="F369" s="116" t="s">
        <v>175</v>
      </c>
      <c r="G369" s="116" t="s">
        <v>1429</v>
      </c>
      <c r="H369" s="116" t="s">
        <v>267</v>
      </c>
      <c r="I369" s="116" t="s">
        <v>1552</v>
      </c>
      <c r="J369" s="117">
        <v>6.0439999999999996</v>
      </c>
      <c r="K369" s="117" t="s">
        <v>125</v>
      </c>
      <c r="L369" s="116">
        <v>4.2500000000000003E-2</v>
      </c>
      <c r="M369" s="116">
        <v>7.1820000000000009E-2</v>
      </c>
      <c r="N369" s="69">
        <v>97020.744402948083</v>
      </c>
      <c r="O369" s="60">
        <v>85.481999999999999</v>
      </c>
      <c r="P369" s="84">
        <v>0</v>
      </c>
      <c r="Q369" s="84">
        <v>317.14447999999999</v>
      </c>
      <c r="R369" s="24">
        <v>9.722413729817587E-5</v>
      </c>
      <c r="S369" s="24">
        <v>1.7368048832655922E-3</v>
      </c>
      <c r="T369" s="24">
        <v>5.9609987202649984E-4</v>
      </c>
    </row>
    <row r="370" spans="1:20" x14ac:dyDescent="0.25">
      <c r="A370" s="16" t="s">
        <v>1553</v>
      </c>
      <c r="B370" s="116" t="s">
        <v>1554</v>
      </c>
      <c r="C370" s="116" t="s">
        <v>218</v>
      </c>
      <c r="D370" s="116" t="s">
        <v>1423</v>
      </c>
      <c r="E370" s="174" t="s">
        <v>2757</v>
      </c>
      <c r="F370" s="116" t="s">
        <v>183</v>
      </c>
      <c r="G370" s="116" t="s">
        <v>1424</v>
      </c>
      <c r="H370" s="116" t="s">
        <v>368</v>
      </c>
      <c r="I370" s="116" t="s">
        <v>1318</v>
      </c>
      <c r="J370" s="117">
        <v>7.1219999999999999</v>
      </c>
      <c r="K370" s="117" t="s">
        <v>125</v>
      </c>
      <c r="L370" s="116">
        <v>5.7500000000000002E-2</v>
      </c>
      <c r="M370" s="116">
        <v>6.3219999999999998E-2</v>
      </c>
      <c r="N370" s="69">
        <v>93938.521932178002</v>
      </c>
      <c r="O370" s="60">
        <v>95.926000000000002</v>
      </c>
      <c r="P370" s="84">
        <v>0</v>
      </c>
      <c r="Q370" s="84">
        <v>344.58625000000001</v>
      </c>
      <c r="R370" s="24">
        <v>1.2525136257623734E-4</v>
      </c>
      <c r="S370" s="24">
        <v>1.8870865471351675E-3</v>
      </c>
      <c r="T370" s="24">
        <v>6.4767899957486716E-4</v>
      </c>
    </row>
    <row r="371" spans="1:20" x14ac:dyDescent="0.25">
      <c r="A371" s="16" t="s">
        <v>1555</v>
      </c>
      <c r="B371" s="116" t="s">
        <v>1556</v>
      </c>
      <c r="C371" s="116" t="s">
        <v>218</v>
      </c>
      <c r="D371" s="116" t="s">
        <v>1423</v>
      </c>
      <c r="E371" s="174" t="s">
        <v>2758</v>
      </c>
      <c r="F371" s="116" t="s">
        <v>180</v>
      </c>
      <c r="G371" s="116" t="s">
        <v>1472</v>
      </c>
      <c r="H371" s="116" t="s">
        <v>267</v>
      </c>
      <c r="I371" s="116" t="s">
        <v>1557</v>
      </c>
      <c r="J371" s="117">
        <v>6.093</v>
      </c>
      <c r="K371" s="117" t="s">
        <v>125</v>
      </c>
      <c r="L371" s="116">
        <v>3.8800000000000001E-2</v>
      </c>
      <c r="M371" s="116">
        <v>6.5269999999999995E-2</v>
      </c>
      <c r="N371" s="69">
        <v>98700.382490952004</v>
      </c>
      <c r="O371" s="60">
        <v>86.070999999999998</v>
      </c>
      <c r="P371" s="84">
        <v>0</v>
      </c>
      <c r="Q371" s="84">
        <v>324.858</v>
      </c>
      <c r="R371" s="24">
        <v>9.8700382490952011E-5</v>
      </c>
      <c r="S371" s="24">
        <v>1.7790470790092067E-3</v>
      </c>
      <c r="T371" s="24">
        <v>6.1059808522218224E-4</v>
      </c>
    </row>
    <row r="372" spans="1:20" x14ac:dyDescent="0.25">
      <c r="A372" s="16" t="s">
        <v>1558</v>
      </c>
      <c r="B372" s="116" t="s">
        <v>1559</v>
      </c>
      <c r="C372" s="116" t="s">
        <v>218</v>
      </c>
      <c r="D372" s="116" t="s">
        <v>1423</v>
      </c>
      <c r="E372" s="174" t="s">
        <v>2759</v>
      </c>
      <c r="F372" s="116" t="s">
        <v>188</v>
      </c>
      <c r="G372" s="116" t="s">
        <v>1479</v>
      </c>
      <c r="H372" s="116" t="s">
        <v>267</v>
      </c>
      <c r="I372" s="116" t="s">
        <v>1560</v>
      </c>
      <c r="J372" s="117">
        <v>6.8040000000000003</v>
      </c>
      <c r="K372" s="117" t="s">
        <v>125</v>
      </c>
      <c r="L372" s="116">
        <v>4.2800000000000005E-2</v>
      </c>
      <c r="M372" s="116">
        <v>6.6259999999999999E-2</v>
      </c>
      <c r="N372" s="69">
        <v>128137.338672464</v>
      </c>
      <c r="O372" s="60">
        <v>85.081999999999994</v>
      </c>
      <c r="P372" s="84">
        <v>0</v>
      </c>
      <c r="Q372" s="84">
        <v>416.89940000000001</v>
      </c>
      <c r="R372" s="24">
        <v>2.5687391280872821E-5</v>
      </c>
      <c r="S372" s="24">
        <v>2.283101108209405E-3</v>
      </c>
      <c r="T372" s="24">
        <v>7.8359768074135979E-4</v>
      </c>
    </row>
    <row r="373" spans="1:20" x14ac:dyDescent="0.25">
      <c r="A373" s="16" t="s">
        <v>1561</v>
      </c>
      <c r="B373" s="116" t="s">
        <v>1562</v>
      </c>
      <c r="C373" s="116" t="s">
        <v>218</v>
      </c>
      <c r="D373" s="116" t="s">
        <v>1423</v>
      </c>
      <c r="E373" s="174" t="s">
        <v>2760</v>
      </c>
      <c r="F373" s="116" t="s">
        <v>170</v>
      </c>
      <c r="G373" s="116" t="s">
        <v>1479</v>
      </c>
      <c r="H373" s="116" t="s">
        <v>267</v>
      </c>
      <c r="I373" s="116" t="s">
        <v>1563</v>
      </c>
      <c r="J373" s="117">
        <v>3.9689999999999999</v>
      </c>
      <c r="K373" s="117" t="s">
        <v>125</v>
      </c>
      <c r="L373" s="116">
        <v>5.7500000000000002E-2</v>
      </c>
      <c r="M373" s="116">
        <v>6.3200000000000006E-2</v>
      </c>
      <c r="N373" s="69">
        <v>101297.760977556</v>
      </c>
      <c r="O373" s="60">
        <v>99.762</v>
      </c>
      <c r="P373" s="84">
        <v>0</v>
      </c>
      <c r="Q373" s="84">
        <v>386.44071000000002</v>
      </c>
      <c r="R373" s="24">
        <v>1.2662220122194499E-4</v>
      </c>
      <c r="S373" s="24">
        <v>2.1162976326140775E-3</v>
      </c>
      <c r="T373" s="24">
        <v>7.2634799690295647E-4</v>
      </c>
    </row>
    <row r="374" spans="1:20" x14ac:dyDescent="0.25">
      <c r="A374" s="16" t="s">
        <v>1564</v>
      </c>
      <c r="B374" s="116" t="s">
        <v>1565</v>
      </c>
      <c r="C374" s="116" t="s">
        <v>218</v>
      </c>
      <c r="D374" s="116" t="s">
        <v>1423</v>
      </c>
      <c r="E374" s="174" t="s">
        <v>2761</v>
      </c>
      <c r="F374" s="116" t="s">
        <v>170</v>
      </c>
      <c r="G374" s="116" t="s">
        <v>1447</v>
      </c>
      <c r="H374" s="116" t="s">
        <v>267</v>
      </c>
      <c r="I374" s="116" t="s">
        <v>1566</v>
      </c>
      <c r="J374" s="117">
        <v>7.2249999999999996</v>
      </c>
      <c r="K374" s="117" t="s">
        <v>125</v>
      </c>
      <c r="L374" s="116">
        <v>5.45E-2</v>
      </c>
      <c r="M374" s="116">
        <v>6.5119999999999997E-2</v>
      </c>
      <c r="N374" s="69">
        <v>116449.135482746</v>
      </c>
      <c r="O374" s="60">
        <v>94.186999999999998</v>
      </c>
      <c r="P374" s="84">
        <v>0</v>
      </c>
      <c r="Q374" s="84">
        <v>419.41611999999998</v>
      </c>
      <c r="R374" s="24">
        <v>1.16449135482746E-4</v>
      </c>
      <c r="S374" s="24">
        <v>2.2968836327730115E-3</v>
      </c>
      <c r="T374" s="24">
        <v>7.8832806882797102E-4</v>
      </c>
    </row>
    <row r="375" spans="1:20" x14ac:dyDescent="0.25">
      <c r="A375" s="16" t="s">
        <v>1567</v>
      </c>
      <c r="B375" s="116" t="s">
        <v>1568</v>
      </c>
      <c r="C375" s="116" t="s">
        <v>218</v>
      </c>
      <c r="D375" s="116" t="s">
        <v>1423</v>
      </c>
      <c r="E375" s="174" t="s">
        <v>2762</v>
      </c>
      <c r="F375" s="116" t="s">
        <v>170</v>
      </c>
      <c r="G375" s="116" t="s">
        <v>1479</v>
      </c>
      <c r="H375" s="116" t="s">
        <v>267</v>
      </c>
      <c r="I375" s="116" t="s">
        <v>1569</v>
      </c>
      <c r="J375" s="117">
        <v>6.8259999999999996</v>
      </c>
      <c r="K375" s="117" t="s">
        <v>125</v>
      </c>
      <c r="L375" s="116">
        <v>5.4000000000000006E-2</v>
      </c>
      <c r="M375" s="116">
        <v>6.3099999999999989E-2</v>
      </c>
      <c r="N375" s="69">
        <v>78787.147426987998</v>
      </c>
      <c r="O375" s="60">
        <v>94.257999999999996</v>
      </c>
      <c r="P375" s="84">
        <v>0</v>
      </c>
      <c r="Q375" s="84">
        <v>283.98244</v>
      </c>
      <c r="R375" s="24">
        <v>1.0504952990265067E-4</v>
      </c>
      <c r="S375" s="24">
        <v>1.555196825603517E-3</v>
      </c>
      <c r="T375" s="24">
        <v>5.3376901323262248E-4</v>
      </c>
    </row>
    <row r="376" spans="1:20" x14ac:dyDescent="0.25">
      <c r="A376" s="16" t="s">
        <v>1570</v>
      </c>
      <c r="B376" s="116" t="s">
        <v>1571</v>
      </c>
      <c r="C376" s="116" t="s">
        <v>218</v>
      </c>
      <c r="D376" s="116" t="s">
        <v>1423</v>
      </c>
      <c r="E376" s="174" t="s">
        <v>2763</v>
      </c>
      <c r="F376" s="116" t="s">
        <v>170</v>
      </c>
      <c r="G376" s="116" t="s">
        <v>1549</v>
      </c>
      <c r="H376" s="116" t="s">
        <v>368</v>
      </c>
      <c r="I376" s="116" t="s">
        <v>1572</v>
      </c>
      <c r="J376" s="117">
        <v>6.3959999999999999</v>
      </c>
      <c r="K376" s="117" t="s">
        <v>125</v>
      </c>
      <c r="L376" s="116">
        <v>3.8800000000000001E-2</v>
      </c>
      <c r="M376" s="116">
        <v>6.5919999999999992E-2</v>
      </c>
      <c r="N376" s="69">
        <v>39739.890845041198</v>
      </c>
      <c r="O376" s="60">
        <v>84.722999999999999</v>
      </c>
      <c r="P376" s="84">
        <v>0</v>
      </c>
      <c r="Q376" s="84">
        <v>128.74960000000002</v>
      </c>
      <c r="R376" s="24">
        <v>3.5873806583359165E-5</v>
      </c>
      <c r="S376" s="24">
        <v>7.0508221993487554E-4</v>
      </c>
      <c r="T376" s="24">
        <v>2.4199576194251608E-4</v>
      </c>
    </row>
    <row r="377" spans="1:20" x14ac:dyDescent="0.25">
      <c r="A377" s="16" t="s">
        <v>1573</v>
      </c>
      <c r="B377" s="116" t="s">
        <v>1574</v>
      </c>
      <c r="C377" s="116" t="s">
        <v>218</v>
      </c>
      <c r="D377" s="116" t="s">
        <v>1423</v>
      </c>
      <c r="E377" s="174" t="s">
        <v>2764</v>
      </c>
      <c r="F377" s="116" t="s">
        <v>172</v>
      </c>
      <c r="G377" s="116" t="s">
        <v>1429</v>
      </c>
      <c r="H377" s="116" t="s">
        <v>267</v>
      </c>
      <c r="I377" s="116" t="s">
        <v>1575</v>
      </c>
      <c r="J377" s="117">
        <v>6.141</v>
      </c>
      <c r="K377" s="117" t="s">
        <v>2</v>
      </c>
      <c r="L377" s="116">
        <v>4.4999999999999998E-2</v>
      </c>
      <c r="M377" s="116">
        <v>8.2970000000000002E-2</v>
      </c>
      <c r="N377" s="69">
        <v>85315.225356652722</v>
      </c>
      <c r="O377" s="60">
        <v>79.268000000000001</v>
      </c>
      <c r="P377" s="84">
        <v>0</v>
      </c>
      <c r="Q377" s="84">
        <v>316.35548999999997</v>
      </c>
      <c r="R377" s="24">
        <v>1.2639292645430034E-4</v>
      </c>
      <c r="S377" s="24">
        <v>1.7324840712342818E-3</v>
      </c>
      <c r="T377" s="24">
        <v>5.9461689859423262E-4</v>
      </c>
    </row>
    <row r="378" spans="1:20" x14ac:dyDescent="0.25">
      <c r="A378" s="16" t="s">
        <v>1576</v>
      </c>
      <c r="B378" s="116" t="s">
        <v>1577</v>
      </c>
      <c r="C378" s="116" t="s">
        <v>218</v>
      </c>
      <c r="D378" s="116" t="s">
        <v>1423</v>
      </c>
      <c r="E378" s="174" t="s">
        <v>2765</v>
      </c>
      <c r="F378" s="116" t="s">
        <v>179</v>
      </c>
      <c r="G378" s="116" t="s">
        <v>1578</v>
      </c>
      <c r="H378" s="116" t="s">
        <v>368</v>
      </c>
      <c r="I378" s="116" t="s">
        <v>1579</v>
      </c>
      <c r="J378" s="117">
        <v>1.2110000000000001</v>
      </c>
      <c r="K378" s="117" t="s">
        <v>163</v>
      </c>
      <c r="L378" s="116">
        <v>0.05</v>
      </c>
      <c r="M378" s="116">
        <v>9.6969999999999987E-2</v>
      </c>
      <c r="N378" s="69">
        <v>1186136.17554916</v>
      </c>
      <c r="O378" s="60">
        <v>97.745000000000005</v>
      </c>
      <c r="P378" s="84">
        <v>0</v>
      </c>
      <c r="Q378" s="84">
        <v>878.81670999999994</v>
      </c>
      <c r="R378" s="24">
        <v>4.8711957928096922E-4</v>
      </c>
      <c r="S378" s="24">
        <v>4.8127375681374044E-3</v>
      </c>
      <c r="T378" s="24">
        <v>1.6518103306283293E-3</v>
      </c>
    </row>
    <row r="379" spans="1:20" x14ac:dyDescent="0.25">
      <c r="A379" s="16" t="s">
        <v>1580</v>
      </c>
      <c r="B379" s="116" t="s">
        <v>1581</v>
      </c>
      <c r="C379" s="116" t="s">
        <v>218</v>
      </c>
      <c r="D379" s="116" t="s">
        <v>1423</v>
      </c>
      <c r="E379" s="174" t="s">
        <v>2766</v>
      </c>
      <c r="F379" s="116" t="s">
        <v>182</v>
      </c>
      <c r="G379" s="116" t="s">
        <v>1514</v>
      </c>
      <c r="H379" s="116" t="s">
        <v>267</v>
      </c>
      <c r="I379" s="116" t="s">
        <v>1539</v>
      </c>
      <c r="J379" s="117">
        <v>4.125</v>
      </c>
      <c r="K379" s="117" t="s">
        <v>126</v>
      </c>
      <c r="L379" s="116">
        <v>1.2999999999999999E-3</v>
      </c>
      <c r="M379" s="116">
        <v>6.6909999999999997E-2</v>
      </c>
      <c r="N379" s="69">
        <v>126405.753014728</v>
      </c>
      <c r="O379" s="60">
        <v>76.358999999999995</v>
      </c>
      <c r="P379" s="84">
        <v>0</v>
      </c>
      <c r="Q379" s="84">
        <v>391.214</v>
      </c>
      <c r="R379" s="24">
        <v>1.26405753014728E-4</v>
      </c>
      <c r="S379" s="24">
        <v>2.1424380005033209E-3</v>
      </c>
      <c r="T379" s="24">
        <v>7.3531979914950786E-4</v>
      </c>
    </row>
    <row r="380" spans="1:20" x14ac:dyDescent="0.25">
      <c r="A380" s="16" t="s">
        <v>1582</v>
      </c>
      <c r="B380" s="116" t="s">
        <v>1583</v>
      </c>
      <c r="C380" s="116" t="s">
        <v>218</v>
      </c>
      <c r="D380" s="116" t="s">
        <v>1423</v>
      </c>
      <c r="E380" s="174" t="s">
        <v>2767</v>
      </c>
      <c r="F380" s="116" t="s">
        <v>182</v>
      </c>
      <c r="G380" s="116" t="s">
        <v>1514</v>
      </c>
      <c r="H380" s="116" t="s">
        <v>267</v>
      </c>
      <c r="I380" s="116" t="s">
        <v>1584</v>
      </c>
      <c r="J380" s="117">
        <v>5.7679999999999998</v>
      </c>
      <c r="K380" s="117" t="s">
        <v>126</v>
      </c>
      <c r="L380" s="116">
        <v>0.05</v>
      </c>
      <c r="M380" s="116">
        <v>5.3249999999999999E-2</v>
      </c>
      <c r="N380" s="69">
        <v>132466.302816804</v>
      </c>
      <c r="O380" s="60">
        <v>102.69299999999998</v>
      </c>
      <c r="P380" s="84">
        <v>0</v>
      </c>
      <c r="Q380" s="84">
        <v>551.35787000000005</v>
      </c>
      <c r="R380" s="24">
        <v>1.76621737089072E-4</v>
      </c>
      <c r="S380" s="24">
        <v>3.0194472911617936E-3</v>
      </c>
      <c r="T380" s="24">
        <v>1.0363237466652535E-3</v>
      </c>
    </row>
    <row r="381" spans="1:20" x14ac:dyDescent="0.25">
      <c r="A381" s="16" t="s">
        <v>1585</v>
      </c>
      <c r="B381" s="116" t="s">
        <v>1586</v>
      </c>
      <c r="C381" s="116" t="s">
        <v>218</v>
      </c>
      <c r="D381" s="116" t="s">
        <v>1423</v>
      </c>
      <c r="E381" s="174" t="s">
        <v>2768</v>
      </c>
      <c r="F381" s="116" t="s">
        <v>179</v>
      </c>
      <c r="G381" s="116" t="s">
        <v>1447</v>
      </c>
      <c r="H381" s="116" t="s">
        <v>267</v>
      </c>
      <c r="I381" s="116" t="s">
        <v>1587</v>
      </c>
      <c r="J381" s="117">
        <v>5.1929999999999996</v>
      </c>
      <c r="K381" s="117" t="s">
        <v>126</v>
      </c>
      <c r="L381" s="116">
        <v>5.1299999999999998E-2</v>
      </c>
      <c r="M381" s="116">
        <v>5.9839999999999997E-2</v>
      </c>
      <c r="N381" s="69">
        <v>128137.338672464</v>
      </c>
      <c r="O381" s="60">
        <v>99.305999999999997</v>
      </c>
      <c r="P381" s="84">
        <v>0</v>
      </c>
      <c r="Q381" s="84">
        <v>515.74913000000004</v>
      </c>
      <c r="R381" s="24">
        <v>8.5424892448309332E-5</v>
      </c>
      <c r="S381" s="24">
        <v>2.8244401653277425E-3</v>
      </c>
      <c r="T381" s="24">
        <v>9.6939410829656773E-4</v>
      </c>
    </row>
    <row r="382" spans="1:20" x14ac:dyDescent="0.25">
      <c r="A382" s="16" t="s">
        <v>1588</v>
      </c>
      <c r="B382" s="116" t="s">
        <v>1589</v>
      </c>
      <c r="C382" s="116" t="s">
        <v>218</v>
      </c>
      <c r="D382" s="116" t="s">
        <v>1423</v>
      </c>
      <c r="E382" s="174" t="s">
        <v>2769</v>
      </c>
      <c r="F382" s="116" t="s">
        <v>164</v>
      </c>
      <c r="G382" s="116" t="s">
        <v>1479</v>
      </c>
      <c r="H382" s="116" t="s">
        <v>267</v>
      </c>
      <c r="I382" s="116" t="s">
        <v>1590</v>
      </c>
      <c r="J382" s="117">
        <v>1.468</v>
      </c>
      <c r="K382" s="117" t="s">
        <v>125</v>
      </c>
      <c r="L382" s="116">
        <v>5.6299999999999996E-2</v>
      </c>
      <c r="M382" s="116">
        <v>0.106</v>
      </c>
      <c r="N382" s="69">
        <v>88778.396672124727</v>
      </c>
      <c r="O382" s="60">
        <v>94.593999999999994</v>
      </c>
      <c r="P382" s="84">
        <v>0</v>
      </c>
      <c r="Q382" s="84">
        <v>321.13584000000003</v>
      </c>
      <c r="R382" s="24">
        <v>1.1837119556283297E-4</v>
      </c>
      <c r="S382" s="24">
        <v>1.7586631023929471E-3</v>
      </c>
      <c r="T382" s="24">
        <v>6.036019707078696E-4</v>
      </c>
    </row>
    <row r="383" spans="1:20" x14ac:dyDescent="0.25">
      <c r="A383" s="16" t="s">
        <v>1591</v>
      </c>
      <c r="B383" s="116" t="s">
        <v>1592</v>
      </c>
      <c r="C383" s="116" t="s">
        <v>218</v>
      </c>
      <c r="D383" s="116" t="s">
        <v>1423</v>
      </c>
      <c r="E383" s="174" t="s">
        <v>2770</v>
      </c>
      <c r="F383" s="116" t="s">
        <v>164</v>
      </c>
      <c r="G383" s="116" t="s">
        <v>1479</v>
      </c>
      <c r="H383" s="116" t="s">
        <v>267</v>
      </c>
      <c r="I383" s="116" t="s">
        <v>1593</v>
      </c>
      <c r="J383" s="117">
        <v>3.2389999999999999</v>
      </c>
      <c r="K383" s="117" t="s">
        <v>125</v>
      </c>
      <c r="L383" s="116">
        <v>5.5E-2</v>
      </c>
      <c r="M383" s="116">
        <v>9.4549999999999995E-2</v>
      </c>
      <c r="N383" s="69">
        <v>114903.69528321661</v>
      </c>
      <c r="O383" s="60">
        <v>88.156999999999996</v>
      </c>
      <c r="P383" s="84">
        <v>0</v>
      </c>
      <c r="Q383" s="84">
        <v>387.35457000000002</v>
      </c>
      <c r="R383" s="24">
        <v>1.1490369528321661E-4</v>
      </c>
      <c r="S383" s="24">
        <v>2.1213022806868456E-3</v>
      </c>
      <c r="T383" s="24">
        <v>7.2806567406085668E-4</v>
      </c>
    </row>
    <row r="384" spans="1:20" x14ac:dyDescent="0.25">
      <c r="A384" s="16" t="s">
        <v>1594</v>
      </c>
      <c r="B384" s="116" t="s">
        <v>1595</v>
      </c>
      <c r="C384" s="116" t="s">
        <v>218</v>
      </c>
      <c r="D384" s="116" t="s">
        <v>1423</v>
      </c>
      <c r="E384" s="174" t="s">
        <v>2771</v>
      </c>
      <c r="F384" s="116" t="s">
        <v>164</v>
      </c>
      <c r="G384" s="116" t="s">
        <v>1424</v>
      </c>
      <c r="H384" s="116" t="s">
        <v>368</v>
      </c>
      <c r="I384" s="116" t="s">
        <v>1596</v>
      </c>
      <c r="J384" s="117">
        <v>3.3530000000000002</v>
      </c>
      <c r="K384" s="117" t="s">
        <v>125</v>
      </c>
      <c r="L384" s="116">
        <v>5.2499999999999998E-2</v>
      </c>
      <c r="M384" s="116">
        <v>8.8749999999999996E-2</v>
      </c>
      <c r="N384" s="69">
        <v>105925.42364785547</v>
      </c>
      <c r="O384" s="60">
        <v>88.926000000000002</v>
      </c>
      <c r="P384" s="84">
        <v>0</v>
      </c>
      <c r="Q384" s="84">
        <v>360.20260999999999</v>
      </c>
      <c r="R384" s="24">
        <v>1.0592542364785547E-4</v>
      </c>
      <c r="S384" s="24">
        <v>1.9726077275978812E-3</v>
      </c>
      <c r="T384" s="24">
        <v>6.7703126891759623E-4</v>
      </c>
    </row>
    <row r="385" spans="1:20" x14ac:dyDescent="0.25">
      <c r="A385" s="16" t="s">
        <v>1597</v>
      </c>
      <c r="B385" s="116" t="s">
        <v>1598</v>
      </c>
      <c r="C385" s="116" t="s">
        <v>218</v>
      </c>
      <c r="D385" s="116" t="s">
        <v>1423</v>
      </c>
      <c r="E385" s="174" t="s">
        <v>2772</v>
      </c>
      <c r="F385" s="116" t="s">
        <v>187</v>
      </c>
      <c r="G385" s="116" t="s">
        <v>1455</v>
      </c>
      <c r="H385" s="116" t="s">
        <v>267</v>
      </c>
      <c r="I385" s="116" t="s">
        <v>1599</v>
      </c>
      <c r="J385" s="117">
        <v>0.69099999999999995</v>
      </c>
      <c r="K385" s="117" t="s">
        <v>125</v>
      </c>
      <c r="L385" s="116">
        <v>7.1300000000000002E-2</v>
      </c>
      <c r="M385" s="116">
        <v>9.2089999999999991E-2</v>
      </c>
      <c r="N385" s="69">
        <v>62254.833359753538</v>
      </c>
      <c r="O385" s="60">
        <v>96.406000000000006</v>
      </c>
      <c r="P385" s="84">
        <v>0</v>
      </c>
      <c r="Q385" s="84">
        <v>229.50651999999999</v>
      </c>
      <c r="R385" s="24">
        <v>1.2046213885401226E-4</v>
      </c>
      <c r="S385" s="24">
        <v>1.2568657814170131E-3</v>
      </c>
      <c r="T385" s="24">
        <v>4.3137691439954217E-4</v>
      </c>
    </row>
    <row r="386" spans="1:20" x14ac:dyDescent="0.25">
      <c r="A386" s="16" t="s">
        <v>1600</v>
      </c>
      <c r="B386" s="116" t="s">
        <v>1601</v>
      </c>
      <c r="C386" s="116" t="s">
        <v>218</v>
      </c>
      <c r="D386" s="116" t="s">
        <v>1423</v>
      </c>
      <c r="E386" s="174" t="s">
        <v>2773</v>
      </c>
      <c r="F386" s="116" t="s">
        <v>166</v>
      </c>
      <c r="G386" s="116" t="s">
        <v>1479</v>
      </c>
      <c r="H386" s="116" t="s">
        <v>267</v>
      </c>
      <c r="I386" s="116" t="s">
        <v>1602</v>
      </c>
      <c r="J386" s="117">
        <v>1.304</v>
      </c>
      <c r="K386" s="117" t="s">
        <v>125</v>
      </c>
      <c r="L386" s="116">
        <v>0.04</v>
      </c>
      <c r="M386" s="116">
        <v>8.3219999999999988E-2</v>
      </c>
      <c r="N386" s="69">
        <v>86579.282886800007</v>
      </c>
      <c r="O386" s="60">
        <v>83.302000000000007</v>
      </c>
      <c r="P386" s="84">
        <v>0</v>
      </c>
      <c r="Q386" s="84">
        <v>275.79558000000003</v>
      </c>
      <c r="R386" s="24">
        <v>1.1543904384906667E-4</v>
      </c>
      <c r="S386" s="24">
        <v>1.5103624383658398E-3</v>
      </c>
      <c r="T386" s="24">
        <v>5.1838111747514674E-4</v>
      </c>
    </row>
    <row r="387" spans="1:20" x14ac:dyDescent="0.25">
      <c r="A387" s="16" t="s">
        <v>1603</v>
      </c>
      <c r="B387" s="116" t="s">
        <v>1604</v>
      </c>
      <c r="C387" s="116" t="s">
        <v>218</v>
      </c>
      <c r="D387" s="116" t="s">
        <v>1423</v>
      </c>
      <c r="E387" s="174" t="s">
        <v>2774</v>
      </c>
      <c r="F387" s="116" t="s">
        <v>182</v>
      </c>
      <c r="G387" s="116" t="s">
        <v>1514</v>
      </c>
      <c r="H387" s="116" t="s">
        <v>267</v>
      </c>
      <c r="I387" s="116" t="s">
        <v>1605</v>
      </c>
      <c r="J387" s="117">
        <v>2.681</v>
      </c>
      <c r="K387" s="117" t="s">
        <v>125</v>
      </c>
      <c r="L387" s="116">
        <v>4.7500000000000001E-2</v>
      </c>
      <c r="M387" s="116">
        <v>8.8759999999999992E-2</v>
      </c>
      <c r="N387" s="69">
        <v>109778.20173631806</v>
      </c>
      <c r="O387" s="60">
        <v>90.367999999999995</v>
      </c>
      <c r="P387" s="84">
        <v>0</v>
      </c>
      <c r="Q387" s="84">
        <v>379.35748999999998</v>
      </c>
      <c r="R387" s="24">
        <v>7.3185467824212039E-5</v>
      </c>
      <c r="S387" s="24">
        <v>2.0775072015611876E-3</v>
      </c>
      <c r="T387" s="24">
        <v>7.1303448586364855E-4</v>
      </c>
    </row>
    <row r="388" spans="1:20" x14ac:dyDescent="0.25">
      <c r="A388" s="16" t="s">
        <v>1606</v>
      </c>
      <c r="B388" s="116" t="s">
        <v>1607</v>
      </c>
      <c r="C388" s="116" t="s">
        <v>218</v>
      </c>
      <c r="D388" s="116" t="s">
        <v>1423</v>
      </c>
      <c r="E388" s="174" t="s">
        <v>2775</v>
      </c>
      <c r="F388" s="116" t="s">
        <v>186</v>
      </c>
      <c r="G388" s="116" t="s">
        <v>1472</v>
      </c>
      <c r="H388" s="116" t="s">
        <v>267</v>
      </c>
      <c r="I388" s="116" t="s">
        <v>1608</v>
      </c>
      <c r="J388" s="117">
        <v>5.9509999999999996</v>
      </c>
      <c r="K388" s="117" t="s">
        <v>125</v>
      </c>
      <c r="L388" s="116">
        <v>4.1299999999999996E-2</v>
      </c>
      <c r="M388" s="116">
        <v>7.7289999999999998E-2</v>
      </c>
      <c r="N388" s="69">
        <v>118375.5245269773</v>
      </c>
      <c r="O388" s="60">
        <v>78.716999999999999</v>
      </c>
      <c r="P388" s="84">
        <v>0</v>
      </c>
      <c r="Q388" s="84">
        <v>356.32666999999998</v>
      </c>
      <c r="R388" s="24">
        <v>1.183755245269773E-4</v>
      </c>
      <c r="S388" s="24">
        <v>1.9513815926853501E-3</v>
      </c>
      <c r="T388" s="24">
        <v>6.6974611188764448E-4</v>
      </c>
    </row>
    <row r="389" spans="1:20" x14ac:dyDescent="0.25">
      <c r="A389" s="16" t="s">
        <v>1609</v>
      </c>
      <c r="B389" s="116" t="s">
        <v>1610</v>
      </c>
      <c r="C389" s="116" t="s">
        <v>218</v>
      </c>
      <c r="D389" s="116" t="s">
        <v>1423</v>
      </c>
      <c r="E389" s="174" t="s">
        <v>2776</v>
      </c>
      <c r="F389" s="116" t="s">
        <v>164</v>
      </c>
      <c r="G389" s="116" t="s">
        <v>1440</v>
      </c>
      <c r="H389" s="116" t="s">
        <v>368</v>
      </c>
      <c r="I389" s="116" t="s">
        <v>1611</v>
      </c>
      <c r="J389" s="117">
        <v>5.3029999999999999</v>
      </c>
      <c r="K389" s="117" t="s">
        <v>125</v>
      </c>
      <c r="L389" s="116">
        <v>4.8799999999999996E-2</v>
      </c>
      <c r="M389" s="116">
        <v>8.1699999999999995E-2</v>
      </c>
      <c r="N389" s="69">
        <v>103678.691256943</v>
      </c>
      <c r="O389" s="60">
        <v>90.912999999999997</v>
      </c>
      <c r="P389" s="84">
        <v>0</v>
      </c>
      <c r="Q389" s="84">
        <v>360.44033000000002</v>
      </c>
      <c r="R389" s="24">
        <v>4.1471476502777201E-5</v>
      </c>
      <c r="S389" s="24">
        <v>1.9739095735478718E-3</v>
      </c>
      <c r="T389" s="24">
        <v>6.7747808376229465E-4</v>
      </c>
    </row>
    <row r="390" spans="1:20" x14ac:dyDescent="0.25">
      <c r="A390" s="16" t="s">
        <v>1612</v>
      </c>
      <c r="B390" s="116" t="s">
        <v>1613</v>
      </c>
      <c r="C390" s="116" t="s">
        <v>218</v>
      </c>
      <c r="D390" s="116" t="s">
        <v>1423</v>
      </c>
      <c r="E390" s="174" t="s">
        <v>2777</v>
      </c>
      <c r="F390" s="116" t="s">
        <v>182</v>
      </c>
      <c r="G390" s="116" t="s">
        <v>1455</v>
      </c>
      <c r="H390" s="116" t="s">
        <v>267</v>
      </c>
      <c r="I390" s="116" t="s">
        <v>1602</v>
      </c>
      <c r="J390" s="117">
        <v>1.3009999999999999</v>
      </c>
      <c r="K390" s="117" t="s">
        <v>126</v>
      </c>
      <c r="L390" s="116">
        <v>4.8799999999999996E-2</v>
      </c>
      <c r="M390" s="116">
        <v>0.20373000000000002</v>
      </c>
      <c r="N390" s="69">
        <v>90895.260138706974</v>
      </c>
      <c r="O390" s="60">
        <v>39.082000000000001</v>
      </c>
      <c r="P390" s="84">
        <v>0</v>
      </c>
      <c r="Q390" s="84">
        <v>143.98104999999998</v>
      </c>
      <c r="R390" s="24">
        <v>1.6526410934310359E-4</v>
      </c>
      <c r="S390" s="24">
        <v>7.8849548552037668E-4</v>
      </c>
      <c r="T390" s="24">
        <v>2.706245603872439E-4</v>
      </c>
    </row>
    <row r="391" spans="1:20" x14ac:dyDescent="0.25">
      <c r="A391" s="16" t="s">
        <v>1614</v>
      </c>
      <c r="B391" s="116" t="s">
        <v>1615</v>
      </c>
      <c r="C391" s="116" t="s">
        <v>218</v>
      </c>
      <c r="D391" s="116" t="s">
        <v>1423</v>
      </c>
      <c r="E391" s="174" t="s">
        <v>2778</v>
      </c>
      <c r="F391" s="116" t="s">
        <v>187</v>
      </c>
      <c r="G391" s="116" t="s">
        <v>1549</v>
      </c>
      <c r="H391" s="116" t="s">
        <v>368</v>
      </c>
      <c r="I391" s="116" t="s">
        <v>1616</v>
      </c>
      <c r="J391" s="117">
        <v>4.7770000000000001</v>
      </c>
      <c r="K391" s="117" t="s">
        <v>126</v>
      </c>
      <c r="L391" s="116">
        <v>2.5000000000000001E-2</v>
      </c>
      <c r="M391" s="116">
        <v>6.2920000000000004E-2</v>
      </c>
      <c r="N391" s="69">
        <v>113418.860581708</v>
      </c>
      <c r="O391" s="60">
        <v>83.072999999999993</v>
      </c>
      <c r="P391" s="84">
        <v>0</v>
      </c>
      <c r="Q391" s="84">
        <v>381.88490999999999</v>
      </c>
      <c r="R391" s="24">
        <v>9.8625096158006957E-5</v>
      </c>
      <c r="S391" s="24">
        <v>2.0913483234311415E-3</v>
      </c>
      <c r="T391" s="24">
        <v>7.1778498550519119E-4</v>
      </c>
    </row>
    <row r="392" spans="1:20" x14ac:dyDescent="0.25">
      <c r="A392" s="16" t="s">
        <v>1617</v>
      </c>
      <c r="B392" s="116" t="s">
        <v>1618</v>
      </c>
      <c r="C392" s="116" t="s">
        <v>218</v>
      </c>
      <c r="D392" s="116" t="s">
        <v>1423</v>
      </c>
      <c r="E392" s="174" t="s">
        <v>2779</v>
      </c>
      <c r="F392" s="116" t="s">
        <v>178</v>
      </c>
      <c r="G392" s="116" t="s">
        <v>1472</v>
      </c>
      <c r="H392" s="116" t="s">
        <v>267</v>
      </c>
      <c r="I392" s="116" t="s">
        <v>1619</v>
      </c>
      <c r="J392" s="117">
        <v>5.7519999999999998</v>
      </c>
      <c r="K392" s="117" t="s">
        <v>126</v>
      </c>
      <c r="L392" s="116">
        <v>5.3800000000000001E-2</v>
      </c>
      <c r="M392" s="116">
        <v>7.4859999999999996E-2</v>
      </c>
      <c r="N392" s="69">
        <v>99566.175319820002</v>
      </c>
      <c r="O392" s="60">
        <v>91.677000000000007</v>
      </c>
      <c r="P392" s="84">
        <v>0</v>
      </c>
      <c r="Q392" s="84">
        <v>369.96406000000002</v>
      </c>
      <c r="R392" s="24">
        <v>1.2445771914977501E-4</v>
      </c>
      <c r="S392" s="24">
        <v>2.0260651739571964E-3</v>
      </c>
      <c r="T392" s="24">
        <v>6.9537873974790385E-4</v>
      </c>
    </row>
    <row r="393" spans="1:20" x14ac:dyDescent="0.25">
      <c r="A393" s="16" t="s">
        <v>1620</v>
      </c>
      <c r="B393" s="116" t="s">
        <v>1621</v>
      </c>
      <c r="C393" s="116" t="s">
        <v>218</v>
      </c>
      <c r="D393" s="116" t="s">
        <v>1423</v>
      </c>
      <c r="E393" s="174" t="s">
        <v>2780</v>
      </c>
      <c r="F393" s="116" t="s">
        <v>186</v>
      </c>
      <c r="G393" s="116" t="s">
        <v>1455</v>
      </c>
      <c r="H393" s="116" t="s">
        <v>267</v>
      </c>
      <c r="I393" s="116" t="s">
        <v>1622</v>
      </c>
      <c r="J393" s="117">
        <v>3.94</v>
      </c>
      <c r="K393" s="117" t="s">
        <v>126</v>
      </c>
      <c r="L393" s="116">
        <v>7.1300000000000002E-2</v>
      </c>
      <c r="M393" s="116">
        <v>7.3330000000000006E-2</v>
      </c>
      <c r="N393" s="69">
        <v>87877.972130102004</v>
      </c>
      <c r="O393" s="60">
        <v>108.691</v>
      </c>
      <c r="P393" s="84">
        <v>0</v>
      </c>
      <c r="Q393" s="84">
        <v>387.13365999999996</v>
      </c>
      <c r="R393" s="24">
        <v>1.1717062950680267E-4</v>
      </c>
      <c r="S393" s="24">
        <v>2.1200924927480417E-3</v>
      </c>
      <c r="T393" s="24">
        <v>7.2765045503283068E-4</v>
      </c>
    </row>
    <row r="394" spans="1:20" x14ac:dyDescent="0.25">
      <c r="A394" s="16" t="s">
        <v>1623</v>
      </c>
      <c r="B394" s="116" t="s">
        <v>1624</v>
      </c>
      <c r="C394" s="116" t="s">
        <v>218</v>
      </c>
      <c r="D394" s="116" t="s">
        <v>1423</v>
      </c>
      <c r="E394" s="174" t="s">
        <v>2781</v>
      </c>
      <c r="F394" s="116" t="s">
        <v>179</v>
      </c>
      <c r="G394" s="116" t="s">
        <v>1549</v>
      </c>
      <c r="H394" s="116" t="s">
        <v>368</v>
      </c>
      <c r="I394" s="116" t="s">
        <v>1625</v>
      </c>
      <c r="J394" s="117">
        <v>2.3250000000000002</v>
      </c>
      <c r="K394" s="117" t="s">
        <v>125</v>
      </c>
      <c r="L394" s="116">
        <v>4.3799999999999999E-2</v>
      </c>
      <c r="M394" s="116">
        <v>8.3889999999999992E-2</v>
      </c>
      <c r="N394" s="69">
        <v>86202.663006242423</v>
      </c>
      <c r="O394" s="60">
        <v>86.825000000000003</v>
      </c>
      <c r="P394" s="84">
        <v>0</v>
      </c>
      <c r="Q394" s="84">
        <v>286.20904999999999</v>
      </c>
      <c r="R394" s="24">
        <v>1.1493688400832323E-4</v>
      </c>
      <c r="S394" s="24">
        <v>1.5673905964713813E-3</v>
      </c>
      <c r="T394" s="24">
        <v>5.3795411503875488E-4</v>
      </c>
    </row>
    <row r="395" spans="1:20" x14ac:dyDescent="0.25">
      <c r="A395" s="16" t="s">
        <v>1626</v>
      </c>
      <c r="B395" s="116" t="s">
        <v>1627</v>
      </c>
      <c r="C395" s="116" t="s">
        <v>218</v>
      </c>
      <c r="D395" s="116" t="s">
        <v>1423</v>
      </c>
      <c r="E395" s="174" t="s">
        <v>2782</v>
      </c>
      <c r="F395" s="116" t="s">
        <v>179</v>
      </c>
      <c r="G395" s="116" t="s">
        <v>1455</v>
      </c>
      <c r="H395" s="116" t="s">
        <v>267</v>
      </c>
      <c r="I395" s="116" t="s">
        <v>1237</v>
      </c>
      <c r="J395" s="117">
        <v>5.3129999999999997</v>
      </c>
      <c r="K395" s="117" t="s">
        <v>125</v>
      </c>
      <c r="L395" s="116">
        <v>5.3800000000000001E-2</v>
      </c>
      <c r="M395" s="116">
        <v>0.10105</v>
      </c>
      <c r="N395" s="69">
        <v>113020.59588042872</v>
      </c>
      <c r="O395" s="60">
        <v>73.48</v>
      </c>
      <c r="P395" s="84">
        <v>0</v>
      </c>
      <c r="Q395" s="84">
        <v>317.57377000000002</v>
      </c>
      <c r="R395" s="24">
        <v>7.5347063920285821E-5</v>
      </c>
      <c r="S395" s="24">
        <v>1.739155840054552E-3</v>
      </c>
      <c r="T395" s="24">
        <v>5.9690675888785167E-4</v>
      </c>
    </row>
    <row r="396" spans="1:20" x14ac:dyDescent="0.25">
      <c r="A396" s="16" t="s">
        <v>1628</v>
      </c>
      <c r="B396" s="116" t="s">
        <v>1629</v>
      </c>
      <c r="C396" s="116" t="s">
        <v>218</v>
      </c>
      <c r="D396" s="116" t="s">
        <v>1423</v>
      </c>
      <c r="E396" s="174" t="s">
        <v>2783</v>
      </c>
      <c r="F396" s="116" t="s">
        <v>179</v>
      </c>
      <c r="G396" s="116" t="s">
        <v>1472</v>
      </c>
      <c r="H396" s="116" t="s">
        <v>267</v>
      </c>
      <c r="I396" s="116" t="s">
        <v>1630</v>
      </c>
      <c r="J396" s="117">
        <v>2.6819999999999999</v>
      </c>
      <c r="K396" s="117" t="s">
        <v>125</v>
      </c>
      <c r="L396" s="116">
        <v>5.7500000000000002E-2</v>
      </c>
      <c r="M396" s="116">
        <v>9.2010000000000008E-2</v>
      </c>
      <c r="N396" s="69">
        <v>122985.87134069941</v>
      </c>
      <c r="O396" s="60">
        <v>90.837999999999994</v>
      </c>
      <c r="P396" s="84">
        <v>0</v>
      </c>
      <c r="Q396" s="84">
        <v>427.20927</v>
      </c>
      <c r="R396" s="24">
        <v>8.1990580893799607E-5</v>
      </c>
      <c r="S396" s="24">
        <v>2.3395619129562934E-3</v>
      </c>
      <c r="T396" s="24">
        <v>8.0297595334320314E-4</v>
      </c>
    </row>
    <row r="397" spans="1:20" x14ac:dyDescent="0.25">
      <c r="A397" s="16" t="s">
        <v>1631</v>
      </c>
      <c r="B397" s="116" t="s">
        <v>1632</v>
      </c>
      <c r="C397" s="116" t="s">
        <v>218</v>
      </c>
      <c r="D397" s="116" t="s">
        <v>1423</v>
      </c>
      <c r="E397" s="174" t="s">
        <v>2784</v>
      </c>
      <c r="F397" s="116" t="s">
        <v>179</v>
      </c>
      <c r="G397" s="116" t="s">
        <v>1472</v>
      </c>
      <c r="H397" s="116" t="s">
        <v>267</v>
      </c>
      <c r="I397" s="116" t="s">
        <v>1633</v>
      </c>
      <c r="J397" s="117">
        <v>4.5449999999999999</v>
      </c>
      <c r="K397" s="117" t="s">
        <v>125</v>
      </c>
      <c r="L397" s="116">
        <v>7.7499999999999999E-2</v>
      </c>
      <c r="M397" s="116">
        <v>9.237999999999999E-2</v>
      </c>
      <c r="N397" s="69">
        <v>124163.34958795988</v>
      </c>
      <c r="O397" s="60">
        <v>96.003</v>
      </c>
      <c r="P397" s="84">
        <v>0</v>
      </c>
      <c r="Q397" s="84">
        <v>455.82287000000002</v>
      </c>
      <c r="R397" s="24">
        <v>6.2081674793979934E-5</v>
      </c>
      <c r="S397" s="24">
        <v>2.496260967619986E-3</v>
      </c>
      <c r="T397" s="24">
        <v>8.5675763448177277E-4</v>
      </c>
    </row>
    <row r="398" spans="1:20" x14ac:dyDescent="0.25">
      <c r="A398" s="16" t="s">
        <v>1634</v>
      </c>
      <c r="B398" s="116" t="s">
        <v>1635</v>
      </c>
      <c r="C398" s="116" t="s">
        <v>218</v>
      </c>
      <c r="D398" s="116" t="s">
        <v>1423</v>
      </c>
      <c r="E398" s="174" t="s">
        <v>2785</v>
      </c>
      <c r="F398" s="116" t="s">
        <v>179</v>
      </c>
      <c r="G398" s="116" t="s">
        <v>1472</v>
      </c>
      <c r="H398" s="116" t="s">
        <v>267</v>
      </c>
      <c r="I398" s="116" t="s">
        <v>1636</v>
      </c>
      <c r="J398" s="117">
        <v>2.0139999999999998</v>
      </c>
      <c r="K398" s="117" t="s">
        <v>126</v>
      </c>
      <c r="L398" s="116">
        <v>4.3799999999999999E-2</v>
      </c>
      <c r="M398" s="116">
        <v>8.7609999999999993E-2</v>
      </c>
      <c r="N398" s="69">
        <v>120345.20321265201</v>
      </c>
      <c r="O398" s="60">
        <v>83.941000000000003</v>
      </c>
      <c r="P398" s="84">
        <v>0</v>
      </c>
      <c r="Q398" s="84">
        <v>409.43997999999999</v>
      </c>
      <c r="R398" s="24">
        <v>8.0230135475101334E-5</v>
      </c>
      <c r="S398" s="24">
        <v>2.2422504615819466E-3</v>
      </c>
      <c r="T398" s="24">
        <v>7.6957706998568177E-4</v>
      </c>
    </row>
    <row r="399" spans="1:20" x14ac:dyDescent="0.25">
      <c r="A399" s="16" t="s">
        <v>1637</v>
      </c>
      <c r="B399" s="116" t="s">
        <v>1638</v>
      </c>
      <c r="C399" s="116" t="s">
        <v>218</v>
      </c>
      <c r="D399" s="116" t="s">
        <v>1423</v>
      </c>
      <c r="E399" s="174" t="s">
        <v>2786</v>
      </c>
      <c r="F399" s="116" t="s">
        <v>179</v>
      </c>
      <c r="G399" s="116" t="s">
        <v>1479</v>
      </c>
      <c r="H399" s="116" t="s">
        <v>267</v>
      </c>
      <c r="I399" s="116" t="s">
        <v>1639</v>
      </c>
      <c r="J399" s="117">
        <v>5.0599999999999996</v>
      </c>
      <c r="K399" s="117" t="s">
        <v>126</v>
      </c>
      <c r="L399" s="116">
        <v>4.8799999999999996E-2</v>
      </c>
      <c r="M399" s="116">
        <v>7.6670000000000002E-2</v>
      </c>
      <c r="N399" s="69">
        <v>115150.44623944401</v>
      </c>
      <c r="O399" s="60">
        <v>83.415999999999997</v>
      </c>
      <c r="P399" s="84">
        <v>0</v>
      </c>
      <c r="Q399" s="84">
        <v>389.31604999999996</v>
      </c>
      <c r="R399" s="24">
        <v>1.15150446239444E-4</v>
      </c>
      <c r="S399" s="24">
        <v>2.1320440979255622E-3</v>
      </c>
      <c r="T399" s="24">
        <v>7.3175244160914412E-4</v>
      </c>
    </row>
    <row r="400" spans="1:20" x14ac:dyDescent="0.25">
      <c r="A400" s="16" t="s">
        <v>1640</v>
      </c>
      <c r="B400" s="116" t="s">
        <v>1641</v>
      </c>
      <c r="C400" s="116" t="s">
        <v>218</v>
      </c>
      <c r="D400" s="116" t="s">
        <v>1423</v>
      </c>
      <c r="E400" s="174" t="s">
        <v>2787</v>
      </c>
      <c r="F400" s="116" t="s">
        <v>179</v>
      </c>
      <c r="G400" s="116" t="s">
        <v>1447</v>
      </c>
      <c r="H400" s="116" t="s">
        <v>267</v>
      </c>
      <c r="I400" s="116" t="s">
        <v>1642</v>
      </c>
      <c r="J400" s="117">
        <v>4.0490000000000004</v>
      </c>
      <c r="K400" s="117" t="s">
        <v>126</v>
      </c>
      <c r="L400" s="116">
        <v>7.2499999999999995E-2</v>
      </c>
      <c r="M400" s="116">
        <v>7.85E-2</v>
      </c>
      <c r="N400" s="69">
        <v>122076.788870388</v>
      </c>
      <c r="O400" s="60">
        <v>98.426000000000002</v>
      </c>
      <c r="P400" s="84">
        <v>0</v>
      </c>
      <c r="Q400" s="84">
        <v>487.00145000000003</v>
      </c>
      <c r="R400" s="24">
        <v>9.7661431096310395E-5</v>
      </c>
      <c r="S400" s="24">
        <v>2.667006837128063E-3</v>
      </c>
      <c r="T400" s="24">
        <v>9.1536041245844754E-4</v>
      </c>
    </row>
    <row r="401" spans="1:20" x14ac:dyDescent="0.25">
      <c r="A401" s="16" t="s">
        <v>1643</v>
      </c>
      <c r="B401" s="116" t="s">
        <v>1644</v>
      </c>
      <c r="C401" s="116" t="s">
        <v>218</v>
      </c>
      <c r="D401" s="116" t="s">
        <v>1423</v>
      </c>
      <c r="E401" s="174" t="s">
        <v>2788</v>
      </c>
      <c r="F401" s="116" t="s">
        <v>179</v>
      </c>
      <c r="G401" s="116" t="s">
        <v>1460</v>
      </c>
      <c r="H401" s="116" t="s">
        <v>368</v>
      </c>
      <c r="I401" s="116" t="s">
        <v>1645</v>
      </c>
      <c r="J401" s="117">
        <v>0.872</v>
      </c>
      <c r="K401" s="117" t="s">
        <v>2</v>
      </c>
      <c r="L401" s="116">
        <v>5.8799999999999998E-2</v>
      </c>
      <c r="M401" s="116">
        <v>0.10108</v>
      </c>
      <c r="N401" s="69">
        <v>96111.661932636678</v>
      </c>
      <c r="O401" s="60">
        <v>93.903000000000006</v>
      </c>
      <c r="P401" s="84">
        <v>0</v>
      </c>
      <c r="Q401" s="84">
        <v>422.18859000000003</v>
      </c>
      <c r="R401" s="24">
        <v>7.6889329546109343E-5</v>
      </c>
      <c r="S401" s="24">
        <v>2.3120667424859956E-3</v>
      </c>
      <c r="T401" s="24">
        <v>7.935391606691323E-4</v>
      </c>
    </row>
    <row r="402" spans="1:20" x14ac:dyDescent="0.25">
      <c r="A402" s="16" t="s">
        <v>1646</v>
      </c>
      <c r="B402" s="116" t="s">
        <v>1647</v>
      </c>
      <c r="C402" s="116" t="s">
        <v>218</v>
      </c>
      <c r="D402" s="116" t="s">
        <v>1423</v>
      </c>
      <c r="E402" s="174" t="s">
        <v>2789</v>
      </c>
      <c r="F402" s="116" t="s">
        <v>179</v>
      </c>
      <c r="G402" s="116" t="s">
        <v>1460</v>
      </c>
      <c r="H402" s="116" t="s">
        <v>368</v>
      </c>
      <c r="I402" s="116" t="s">
        <v>1648</v>
      </c>
      <c r="J402" s="117">
        <v>3.105</v>
      </c>
      <c r="K402" s="117" t="s">
        <v>2</v>
      </c>
      <c r="L402" s="116">
        <v>5.1299999999999998E-2</v>
      </c>
      <c r="M402" s="116">
        <v>9.6750000000000003E-2</v>
      </c>
      <c r="N402" s="69">
        <v>104237.12763156286</v>
      </c>
      <c r="O402" s="60">
        <v>82.468000000000004</v>
      </c>
      <c r="P402" s="84">
        <v>6.2475141270000005</v>
      </c>
      <c r="Q402" s="84">
        <v>408.37044000000003</v>
      </c>
      <c r="R402" s="24">
        <v>1.0423712763156287E-4</v>
      </c>
      <c r="S402" s="24">
        <v>2.2363932500837429E-3</v>
      </c>
      <c r="T402" s="24">
        <v>7.6756677910145383E-4</v>
      </c>
    </row>
    <row r="403" spans="1:20" s="118" customFormat="1" x14ac:dyDescent="0.25">
      <c r="A403" s="78" t="s">
        <v>241</v>
      </c>
      <c r="B403" s="124"/>
      <c r="C403" s="124"/>
      <c r="D403" s="124"/>
      <c r="E403" s="124"/>
      <c r="F403" s="124"/>
      <c r="G403" s="125"/>
      <c r="H403" s="125"/>
      <c r="I403" s="125"/>
      <c r="J403" s="126"/>
      <c r="K403" s="127"/>
      <c r="L403" s="128"/>
      <c r="M403" s="128"/>
      <c r="N403" s="128"/>
      <c r="O403" s="127"/>
      <c r="P403" s="127"/>
      <c r="Q403" s="127"/>
      <c r="R403" s="137"/>
      <c r="S403" s="137"/>
      <c r="T403" s="137"/>
    </row>
    <row r="404" spans="1:20" s="118" customFormat="1" x14ac:dyDescent="0.25">
      <c r="A404" s="78" t="s">
        <v>242</v>
      </c>
      <c r="B404" s="124"/>
      <c r="C404" s="124"/>
      <c r="D404" s="124"/>
      <c r="E404" s="124"/>
      <c r="F404" s="124"/>
      <c r="G404" s="125"/>
      <c r="H404" s="125"/>
      <c r="I404" s="125"/>
      <c r="J404" s="126"/>
      <c r="K404" s="127"/>
      <c r="L404" s="128"/>
      <c r="M404" s="128"/>
      <c r="N404" s="128"/>
      <c r="O404" s="127"/>
      <c r="P404" s="127"/>
      <c r="Q404" s="127"/>
      <c r="R404" s="137"/>
      <c r="S404" s="137"/>
      <c r="T404" s="137"/>
    </row>
    <row r="405" spans="1:20" s="118" customFormat="1" x14ac:dyDescent="0.25">
      <c r="A405" s="78" t="s">
        <v>243</v>
      </c>
      <c r="B405" s="124"/>
      <c r="C405" s="124"/>
      <c r="D405" s="124"/>
      <c r="E405" s="124"/>
      <c r="F405" s="124"/>
      <c r="G405" s="125"/>
      <c r="H405" s="125"/>
      <c r="I405" s="125"/>
      <c r="J405" s="126"/>
      <c r="K405" s="127"/>
      <c r="L405" s="128"/>
      <c r="M405" s="128"/>
      <c r="N405" s="128"/>
      <c r="O405" s="127"/>
      <c r="P405" s="127"/>
      <c r="Q405" s="127"/>
      <c r="R405" s="137"/>
      <c r="S405" s="137"/>
      <c r="T405" s="137"/>
    </row>
    <row r="406" spans="1:20" s="118" customFormat="1" x14ac:dyDescent="0.25">
      <c r="A406" s="78" t="s">
        <v>244</v>
      </c>
      <c r="B406" s="124"/>
      <c r="C406" s="124"/>
      <c r="D406" s="124"/>
      <c r="E406" s="124"/>
      <c r="F406" s="124"/>
      <c r="G406" s="125"/>
      <c r="H406" s="125"/>
      <c r="I406" s="125"/>
      <c r="J406" s="126"/>
      <c r="K406" s="127"/>
      <c r="L406" s="128"/>
      <c r="M406" s="128"/>
      <c r="N406" s="128"/>
      <c r="O406" s="127"/>
      <c r="P406" s="127"/>
      <c r="Q406" s="127"/>
      <c r="R406" s="137"/>
      <c r="S406" s="137"/>
      <c r="T406" s="137"/>
    </row>
    <row r="407" spans="1:20" s="118" customFormat="1" x14ac:dyDescent="0.25">
      <c r="A407" s="78" t="s">
        <v>245</v>
      </c>
      <c r="B407" s="124"/>
      <c r="C407" s="124"/>
      <c r="D407" s="124"/>
      <c r="E407" s="124"/>
      <c r="F407" s="124"/>
      <c r="G407" s="125"/>
      <c r="H407" s="125"/>
      <c r="I407" s="125"/>
      <c r="J407" s="126"/>
      <c r="K407" s="127"/>
      <c r="L407" s="128"/>
      <c r="M407" s="128"/>
      <c r="N407" s="128"/>
      <c r="O407" s="127"/>
      <c r="P407" s="127"/>
      <c r="Q407" s="127"/>
      <c r="R407" s="137"/>
      <c r="S407" s="137"/>
      <c r="T407" s="137"/>
    </row>
  </sheetData>
  <sortState xmlns:xlrd2="http://schemas.microsoft.com/office/spreadsheetml/2017/richdata2" ref="A328:Z339">
    <sortCondition ref="A328:A339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2 P10:Q402">
    <cfRule type="expression" dxfId="112" priority="109" stopIfTrue="1">
      <formula>#REF!&gt;0</formula>
    </cfRule>
  </conditionalFormatting>
  <conditionalFormatting sqref="B10:M402">
    <cfRule type="expression" dxfId="111" priority="111" stopIfTrue="1">
      <formula>LEFT(#REF!,3)="TIR"</formula>
    </cfRule>
  </conditionalFormatting>
  <conditionalFormatting sqref="S10:T402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4.44140625" style="8" bestFit="1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customWidth="1"/>
    <col min="11" max="11" width="10.44140625" style="36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30"/>
      <c r="N4" s="231"/>
      <c r="O4" s="13"/>
      <c r="P4" s="13"/>
      <c r="Q4" s="12"/>
      <c r="R4" s="12"/>
      <c r="S4" s="14"/>
    </row>
    <row r="5" spans="1:19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</row>
    <row r="6" spans="1:19" s="7" customFormat="1" x14ac:dyDescent="0.25">
      <c r="A6" s="86" t="s">
        <v>157</v>
      </c>
      <c r="B6" s="204" t="s">
        <v>69</v>
      </c>
      <c r="C6" s="204" t="s">
        <v>76</v>
      </c>
      <c r="D6" s="204" t="s">
        <v>77</v>
      </c>
      <c r="E6" s="204" t="s">
        <v>74</v>
      </c>
      <c r="F6" s="204" t="s">
        <v>19</v>
      </c>
      <c r="G6" s="204" t="s">
        <v>6</v>
      </c>
      <c r="H6" s="205" t="s">
        <v>67</v>
      </c>
      <c r="I6" s="205" t="s">
        <v>68</v>
      </c>
      <c r="J6" s="205" t="s">
        <v>134</v>
      </c>
      <c r="K6" s="205" t="s">
        <v>7</v>
      </c>
      <c r="L6" s="205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8" customFormat="1" ht="12.75" customHeight="1" thickBot="1" x14ac:dyDescent="0.3">
      <c r="A9" s="148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49" t="s">
        <v>249</v>
      </c>
      <c r="H9" s="150" t="s">
        <v>249</v>
      </c>
      <c r="I9" s="149" t="s">
        <v>249</v>
      </c>
      <c r="J9" s="149" t="s">
        <v>249</v>
      </c>
      <c r="K9" s="106">
        <v>0.5265107</v>
      </c>
      <c r="L9" s="70" t="s">
        <v>249</v>
      </c>
      <c r="M9" s="70">
        <v>1</v>
      </c>
      <c r="N9" s="82">
        <v>9.8962138925004413E-7</v>
      </c>
    </row>
    <row r="10" spans="1:19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2" t="s">
        <v>249</v>
      </c>
      <c r="I10" s="121" t="s">
        <v>249</v>
      </c>
      <c r="J10" s="121" t="s">
        <v>249</v>
      </c>
      <c r="K10" s="133">
        <v>0.52651049999999999</v>
      </c>
      <c r="L10" s="120" t="s">
        <v>249</v>
      </c>
      <c r="M10" s="120">
        <v>0.99999962014067323</v>
      </c>
      <c r="N10" s="120">
        <v>9.8962101333312949E-7</v>
      </c>
    </row>
    <row r="11" spans="1:19" s="118" customFormat="1" x14ac:dyDescent="0.25">
      <c r="A11" s="92" t="s">
        <v>1649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4" t="s">
        <v>249</v>
      </c>
      <c r="I11" s="121" t="s">
        <v>249</v>
      </c>
      <c r="J11" s="121" t="s">
        <v>249</v>
      </c>
      <c r="K11" s="151">
        <v>0</v>
      </c>
      <c r="L11" s="136"/>
      <c r="M11" s="120">
        <v>0</v>
      </c>
      <c r="N11" s="120">
        <v>0</v>
      </c>
    </row>
    <row r="12" spans="1:19" s="118" customFormat="1" x14ac:dyDescent="0.25">
      <c r="A12" s="92" t="s">
        <v>1650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4" t="s">
        <v>249</v>
      </c>
      <c r="I12" s="121" t="s">
        <v>249</v>
      </c>
      <c r="J12" s="134" t="s">
        <v>249</v>
      </c>
      <c r="K12" s="151">
        <v>0</v>
      </c>
      <c r="L12" s="136"/>
      <c r="M12" s="120">
        <v>0</v>
      </c>
      <c r="N12" s="120">
        <v>0</v>
      </c>
    </row>
    <row r="13" spans="1:19" s="118" customFormat="1" x14ac:dyDescent="0.25">
      <c r="A13" s="92" t="s">
        <v>1651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4" t="s">
        <v>249</v>
      </c>
      <c r="I13" s="121" t="s">
        <v>249</v>
      </c>
      <c r="J13" s="121" t="s">
        <v>249</v>
      </c>
      <c r="K13" s="151">
        <v>0.52651009999999998</v>
      </c>
      <c r="L13" s="136"/>
      <c r="M13" s="120">
        <v>0.9999988604220198</v>
      </c>
      <c r="N13" s="120">
        <v>9.8962026149930023E-7</v>
      </c>
    </row>
    <row r="14" spans="1:19" x14ac:dyDescent="0.25">
      <c r="A14" s="16" t="s">
        <v>2806</v>
      </c>
      <c r="B14" s="116" t="s">
        <v>1652</v>
      </c>
      <c r="C14" s="116" t="s">
        <v>377</v>
      </c>
      <c r="D14" s="116" t="s">
        <v>249</v>
      </c>
      <c r="E14" s="116" t="s">
        <v>2807</v>
      </c>
      <c r="F14" s="116" t="s">
        <v>228</v>
      </c>
      <c r="G14" s="117" t="s">
        <v>255</v>
      </c>
      <c r="H14" s="69">
        <v>7521.5034977647865</v>
      </c>
      <c r="I14" s="66">
        <v>7.0000000000000009</v>
      </c>
      <c r="J14" s="66">
        <v>0</v>
      </c>
      <c r="K14" s="64">
        <v>0.52651000000000003</v>
      </c>
      <c r="L14" s="24">
        <v>3.060025619241365E-4</v>
      </c>
      <c r="M14" s="32">
        <v>0.99999867049235647</v>
      </c>
      <c r="N14" s="32">
        <v>9.8962007354084313E-7</v>
      </c>
      <c r="O14" s="14"/>
      <c r="P14" s="14"/>
      <c r="Q14" s="14"/>
      <c r="R14" s="14"/>
    </row>
    <row r="15" spans="1:19" s="118" customFormat="1" x14ac:dyDescent="0.25">
      <c r="A15" s="92" t="s">
        <v>1653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4" t="s">
        <v>249</v>
      </c>
      <c r="I15" s="121" t="s">
        <v>249</v>
      </c>
      <c r="J15" s="121" t="s">
        <v>249</v>
      </c>
      <c r="K15" s="151">
        <v>0</v>
      </c>
      <c r="L15" s="136"/>
      <c r="M15" s="120">
        <v>0</v>
      </c>
      <c r="N15" s="120">
        <v>0</v>
      </c>
    </row>
    <row r="16" spans="1:19" s="118" customFormat="1" x14ac:dyDescent="0.25">
      <c r="A16" s="92" t="s">
        <v>1654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4" t="s">
        <v>249</v>
      </c>
      <c r="I16" s="121" t="s">
        <v>249</v>
      </c>
      <c r="J16" s="121" t="s">
        <v>249</v>
      </c>
      <c r="K16" s="151">
        <v>0</v>
      </c>
      <c r="L16" s="136"/>
      <c r="M16" s="120">
        <v>0</v>
      </c>
      <c r="N16" s="120">
        <v>0</v>
      </c>
    </row>
    <row r="17" spans="1:18" s="118" customFormat="1" x14ac:dyDescent="0.25">
      <c r="A17" s="92" t="s">
        <v>1655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4" t="s">
        <v>249</v>
      </c>
      <c r="I17" s="121" t="s">
        <v>249</v>
      </c>
      <c r="J17" s="121" t="s">
        <v>249</v>
      </c>
      <c r="K17" s="151">
        <v>0</v>
      </c>
      <c r="L17" s="136"/>
      <c r="M17" s="120">
        <v>0</v>
      </c>
      <c r="N17" s="120">
        <v>0</v>
      </c>
    </row>
    <row r="18" spans="1:18" s="118" customFormat="1" x14ac:dyDescent="0.25">
      <c r="A18" s="92" t="s">
        <v>411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4" t="s">
        <v>249</v>
      </c>
      <c r="I18" s="121" t="s">
        <v>249</v>
      </c>
      <c r="J18" s="121" t="s">
        <v>249</v>
      </c>
      <c r="K18" s="151">
        <v>0</v>
      </c>
      <c r="L18" s="136"/>
      <c r="M18" s="120">
        <v>0</v>
      </c>
      <c r="N18" s="120">
        <v>0</v>
      </c>
    </row>
    <row r="19" spans="1:18" s="118" customFormat="1" x14ac:dyDescent="0.25">
      <c r="A19" s="92" t="s">
        <v>143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4" t="s">
        <v>249</v>
      </c>
      <c r="I19" s="121" t="s">
        <v>249</v>
      </c>
      <c r="J19" s="121" t="s">
        <v>249</v>
      </c>
      <c r="K19" s="151">
        <v>0</v>
      </c>
      <c r="L19" s="136"/>
      <c r="M19" s="120">
        <v>0</v>
      </c>
      <c r="N19" s="120">
        <v>0</v>
      </c>
    </row>
    <row r="20" spans="1:18" s="118" customFormat="1" x14ac:dyDescent="0.25">
      <c r="A20" s="92" t="s">
        <v>144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0" t="s">
        <v>249</v>
      </c>
      <c r="G20" s="131" t="s">
        <v>249</v>
      </c>
      <c r="H20" s="134" t="s">
        <v>249</v>
      </c>
      <c r="I20" s="121" t="s">
        <v>249</v>
      </c>
      <c r="J20" s="121" t="s">
        <v>249</v>
      </c>
      <c r="K20" s="151">
        <v>0</v>
      </c>
      <c r="L20" s="136"/>
      <c r="M20" s="120">
        <v>0</v>
      </c>
      <c r="N20" s="120">
        <v>0</v>
      </c>
    </row>
    <row r="21" spans="1:18" s="118" customFormat="1" x14ac:dyDescent="0.25">
      <c r="A21" s="78" t="s">
        <v>241</v>
      </c>
      <c r="B21" s="124"/>
      <c r="C21" s="124"/>
      <c r="D21" s="124"/>
      <c r="E21" s="124"/>
      <c r="F21" s="124"/>
      <c r="G21" s="125"/>
      <c r="H21" s="125"/>
      <c r="I21" s="125"/>
      <c r="J21" s="125"/>
      <c r="K21" s="126"/>
      <c r="L21" s="127"/>
      <c r="M21" s="127"/>
      <c r="N21" s="128"/>
      <c r="O21" s="147"/>
      <c r="P21" s="147"/>
      <c r="Q21" s="129"/>
      <c r="R21" s="129"/>
    </row>
    <row r="22" spans="1:18" s="118" customFormat="1" x14ac:dyDescent="0.25">
      <c r="A22" s="78" t="s">
        <v>242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7"/>
      <c r="M22" s="127"/>
      <c r="N22" s="128"/>
      <c r="O22" s="147"/>
      <c r="P22" s="147"/>
      <c r="Q22" s="129"/>
      <c r="R22" s="129"/>
    </row>
    <row r="23" spans="1:18" s="118" customFormat="1" x14ac:dyDescent="0.25">
      <c r="A23" s="78" t="s">
        <v>243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7"/>
      <c r="M23" s="127"/>
      <c r="N23" s="128"/>
      <c r="O23" s="147"/>
      <c r="P23" s="147"/>
      <c r="Q23" s="129"/>
      <c r="R23" s="129"/>
    </row>
    <row r="24" spans="1:18" s="118" customFormat="1" x14ac:dyDescent="0.25">
      <c r="A24" s="78" t="s">
        <v>244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7"/>
      <c r="M24" s="127"/>
      <c r="N24" s="128"/>
      <c r="O24" s="147"/>
      <c r="P24" s="147"/>
      <c r="Q24" s="129"/>
      <c r="R24" s="129"/>
    </row>
    <row r="25" spans="1:18" s="118" customFormat="1" x14ac:dyDescent="0.25">
      <c r="A25" s="78" t="s">
        <v>245</v>
      </c>
      <c r="B25" s="124"/>
      <c r="C25" s="124"/>
      <c r="D25" s="124"/>
      <c r="E25" s="124"/>
      <c r="F25" s="124"/>
      <c r="G25" s="125"/>
      <c r="H25" s="125"/>
      <c r="I25" s="125"/>
      <c r="J25" s="125"/>
      <c r="K25" s="126"/>
      <c r="L25" s="127"/>
      <c r="M25" s="127"/>
      <c r="N25" s="128"/>
      <c r="O25" s="147"/>
      <c r="P25" s="147"/>
      <c r="Q25" s="129"/>
      <c r="R25" s="129"/>
    </row>
  </sheetData>
  <mergeCells count="2">
    <mergeCell ref="A5:N5"/>
    <mergeCell ref="A4:N4"/>
  </mergeCells>
  <phoneticPr fontId="3" type="noConversion"/>
  <conditionalFormatting sqref="A9:A20 K9:K20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20 M9:N20">
    <cfRule type="expression" dxfId="107" priority="119" stopIfTrue="1">
      <formula>LEFT(#REF!,3)="TIR"</formula>
    </cfRule>
  </conditionalFormatting>
  <conditionalFormatting sqref="L9:M55555 L1:M3 H9:J20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3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4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88671875" style="59" bestFit="1" customWidth="1"/>
    <col min="8" max="8" width="8.88671875" style="59" bestFit="1" customWidth="1"/>
    <col min="9" max="9" width="16.5546875" style="59" customWidth="1"/>
    <col min="10" max="10" width="10.44140625" style="59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  <c r="N4" s="13"/>
      <c r="O4" s="13"/>
      <c r="P4" s="13"/>
      <c r="Q4" s="12"/>
      <c r="R4" s="12"/>
      <c r="S4" s="14"/>
    </row>
    <row r="5" spans="1:19" s="7" customFormat="1" x14ac:dyDescent="0.25">
      <c r="A5" s="225" t="s">
        <v>158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7"/>
      <c r="N5" s="13"/>
    </row>
    <row r="6" spans="1:19" s="7" customFormat="1" x14ac:dyDescent="0.25">
      <c r="A6" s="86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134</v>
      </c>
      <c r="J6" s="205" t="s">
        <v>7</v>
      </c>
      <c r="K6" s="205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8" customFormat="1" ht="12.75" customHeight="1" thickBot="1" x14ac:dyDescent="0.3">
      <c r="A9" s="148" t="s">
        <v>159</v>
      </c>
      <c r="B9" s="70"/>
      <c r="C9" s="70"/>
      <c r="D9" s="70"/>
      <c r="E9" s="70"/>
      <c r="F9" s="149"/>
      <c r="G9" s="150"/>
      <c r="H9" s="149"/>
      <c r="I9" s="152" t="s">
        <v>249</v>
      </c>
      <c r="J9" s="106">
        <v>9336.5977910000001</v>
      </c>
      <c r="K9" s="70" t="s">
        <v>249</v>
      </c>
      <c r="L9" s="70">
        <v>1</v>
      </c>
      <c r="M9" s="82">
        <v>1.754892517245768E-2</v>
      </c>
    </row>
    <row r="10" spans="1:19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2" t="s">
        <v>249</v>
      </c>
      <c r="H10" s="121" t="s">
        <v>249</v>
      </c>
      <c r="I10" s="122" t="s">
        <v>249</v>
      </c>
      <c r="J10" s="153">
        <v>5360.6560305999992</v>
      </c>
      <c r="K10" s="120" t="s">
        <v>249</v>
      </c>
      <c r="L10" s="120">
        <v>0.57415518485410144</v>
      </c>
      <c r="M10" s="120">
        <v>1.0075806376383232E-2</v>
      </c>
    </row>
    <row r="11" spans="1:19" s="118" customFormat="1" x14ac:dyDescent="0.25">
      <c r="A11" s="92" t="s">
        <v>1656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4" t="s">
        <v>249</v>
      </c>
      <c r="H11" s="121" t="s">
        <v>249</v>
      </c>
      <c r="I11" s="123" t="s">
        <v>249</v>
      </c>
      <c r="J11" s="123">
        <v>0</v>
      </c>
      <c r="K11" s="136"/>
      <c r="L11" s="120">
        <v>0</v>
      </c>
      <c r="M11" s="120">
        <v>0</v>
      </c>
    </row>
    <row r="12" spans="1:19" s="118" customFormat="1" x14ac:dyDescent="0.25">
      <c r="A12" s="92" t="s">
        <v>1657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4" t="s">
        <v>249</v>
      </c>
      <c r="H12" s="121" t="s">
        <v>249</v>
      </c>
      <c r="I12" s="123" t="s">
        <v>249</v>
      </c>
      <c r="J12" s="123">
        <v>0</v>
      </c>
      <c r="K12" s="136"/>
      <c r="L12" s="120">
        <v>0</v>
      </c>
      <c r="M12" s="120">
        <v>0</v>
      </c>
    </row>
    <row r="13" spans="1:19" s="118" customFormat="1" x14ac:dyDescent="0.25">
      <c r="A13" s="92" t="s">
        <v>1658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4" t="s">
        <v>249</v>
      </c>
      <c r="H13" s="121" t="s">
        <v>249</v>
      </c>
      <c r="I13" s="123" t="s">
        <v>249</v>
      </c>
      <c r="J13" s="123">
        <v>5360.656030099999</v>
      </c>
      <c r="K13" s="136"/>
      <c r="L13" s="120">
        <v>0.57415518480054872</v>
      </c>
      <c r="M13" s="120">
        <v>1.0075806375443438E-2</v>
      </c>
    </row>
    <row r="14" spans="1:19" x14ac:dyDescent="0.25">
      <c r="A14" s="16" t="s">
        <v>1673</v>
      </c>
      <c r="B14" s="116" t="s">
        <v>1674</v>
      </c>
      <c r="C14" s="116" t="s">
        <v>377</v>
      </c>
      <c r="D14" s="116" t="s">
        <v>1675</v>
      </c>
      <c r="E14" s="116" t="s">
        <v>1662</v>
      </c>
      <c r="F14" s="116" t="s">
        <v>255</v>
      </c>
      <c r="G14" s="69">
        <v>280404.59997668309</v>
      </c>
      <c r="H14" s="66">
        <v>356.2</v>
      </c>
      <c r="I14" s="84">
        <v>0</v>
      </c>
      <c r="J14" s="84">
        <v>998.80118999999991</v>
      </c>
      <c r="K14" s="24">
        <v>2.8461834901824684E-3</v>
      </c>
      <c r="L14" s="32">
        <v>0.10697699658464382</v>
      </c>
      <c r="M14" s="32">
        <v>1.8773313082381749E-3</v>
      </c>
      <c r="N14" s="14"/>
      <c r="O14" s="14"/>
      <c r="P14" s="14"/>
      <c r="Q14" s="14"/>
      <c r="R14" s="14"/>
    </row>
    <row r="15" spans="1:19" x14ac:dyDescent="0.25">
      <c r="A15" s="16" t="s">
        <v>1676</v>
      </c>
      <c r="B15" s="116" t="s">
        <v>1677</v>
      </c>
      <c r="C15" s="116" t="s">
        <v>377</v>
      </c>
      <c r="D15" s="116" t="s">
        <v>1675</v>
      </c>
      <c r="E15" s="116" t="s">
        <v>1662</v>
      </c>
      <c r="F15" s="116" t="s">
        <v>255</v>
      </c>
      <c r="G15" s="69">
        <v>95249.192484006984</v>
      </c>
      <c r="H15" s="66">
        <v>368.92</v>
      </c>
      <c r="I15" s="84">
        <v>0</v>
      </c>
      <c r="J15" s="84">
        <v>351.39332000000002</v>
      </c>
      <c r="K15" s="24">
        <v>1.1300036971187981E-3</v>
      </c>
      <c r="L15" s="32">
        <v>3.7636120551184621E-2</v>
      </c>
      <c r="M15" s="32">
        <v>6.604734633343356E-4</v>
      </c>
      <c r="N15" s="14"/>
      <c r="O15" s="14"/>
      <c r="P15" s="14"/>
      <c r="Q15" s="14"/>
      <c r="R15" s="14"/>
    </row>
    <row r="16" spans="1:19" x14ac:dyDescent="0.25">
      <c r="A16" s="16" t="s">
        <v>1689</v>
      </c>
      <c r="B16" s="116" t="s">
        <v>1690</v>
      </c>
      <c r="C16" s="116" t="s">
        <v>377</v>
      </c>
      <c r="D16" s="116" t="s">
        <v>1675</v>
      </c>
      <c r="E16" s="116" t="s">
        <v>1662</v>
      </c>
      <c r="F16" s="116" t="s">
        <v>255</v>
      </c>
      <c r="G16" s="69">
        <v>434.35918652133586</v>
      </c>
      <c r="H16" s="66">
        <v>367.81</v>
      </c>
      <c r="I16" s="84">
        <v>0</v>
      </c>
      <c r="J16" s="84">
        <v>1.5976199999999998</v>
      </c>
      <c r="K16" s="24">
        <v>2.5430363814150709E-6</v>
      </c>
      <c r="L16" s="32">
        <v>1.7111372212477905E-4</v>
      </c>
      <c r="M16" s="32">
        <v>3.0028619055484634E-6</v>
      </c>
      <c r="N16" s="14"/>
      <c r="O16" s="14"/>
      <c r="P16" s="14"/>
      <c r="Q16" s="14"/>
      <c r="R16" s="14"/>
    </row>
    <row r="17" spans="1:18" x14ac:dyDescent="0.25">
      <c r="A17" s="16" t="s">
        <v>1680</v>
      </c>
      <c r="B17" s="116" t="s">
        <v>1681</v>
      </c>
      <c r="C17" s="116" t="s">
        <v>377</v>
      </c>
      <c r="D17" s="116" t="s">
        <v>1682</v>
      </c>
      <c r="E17" s="116" t="s">
        <v>1662</v>
      </c>
      <c r="F17" s="116" t="s">
        <v>255</v>
      </c>
      <c r="G17" s="69">
        <v>60950.951171189241</v>
      </c>
      <c r="H17" s="66">
        <v>380.63</v>
      </c>
      <c r="I17" s="84">
        <v>0</v>
      </c>
      <c r="J17" s="84">
        <v>231.99760999999998</v>
      </c>
      <c r="K17" s="24">
        <v>1.1431653819436787E-3</v>
      </c>
      <c r="L17" s="32">
        <v>2.4848195798220393E-2</v>
      </c>
      <c r="M17" s="32">
        <v>4.3605912873354697E-4</v>
      </c>
      <c r="N17" s="14"/>
      <c r="O17" s="14"/>
      <c r="P17" s="14"/>
      <c r="Q17" s="14"/>
      <c r="R17" s="14"/>
    </row>
    <row r="18" spans="1:18" x14ac:dyDescent="0.25">
      <c r="A18" s="16" t="s">
        <v>1683</v>
      </c>
      <c r="B18" s="116" t="s">
        <v>1684</v>
      </c>
      <c r="C18" s="116" t="s">
        <v>377</v>
      </c>
      <c r="D18" s="116" t="s">
        <v>1682</v>
      </c>
      <c r="E18" s="116" t="s">
        <v>1662</v>
      </c>
      <c r="F18" s="116" t="s">
        <v>255</v>
      </c>
      <c r="G18" s="69">
        <v>306240.58553191338</v>
      </c>
      <c r="H18" s="66">
        <v>386.99</v>
      </c>
      <c r="I18" s="84">
        <v>0</v>
      </c>
      <c r="J18" s="84">
        <v>1185.1204399999999</v>
      </c>
      <c r="K18" s="24">
        <v>3.400245170841823E-3</v>
      </c>
      <c r="L18" s="32">
        <v>0.12693279356452467</v>
      </c>
      <c r="M18" s="32">
        <v>2.2275340961948609E-3</v>
      </c>
      <c r="N18" s="14"/>
      <c r="O18" s="14"/>
      <c r="P18" s="14"/>
      <c r="Q18" s="14"/>
      <c r="R18" s="14"/>
    </row>
    <row r="19" spans="1:18" x14ac:dyDescent="0.25">
      <c r="A19" s="16" t="s">
        <v>1691</v>
      </c>
      <c r="B19" s="116" t="s">
        <v>1692</v>
      </c>
      <c r="C19" s="116" t="s">
        <v>377</v>
      </c>
      <c r="D19" s="116" t="s">
        <v>1682</v>
      </c>
      <c r="E19" s="116" t="s">
        <v>1662</v>
      </c>
      <c r="F19" s="116" t="s">
        <v>255</v>
      </c>
      <c r="G19" s="69">
        <v>168.42072058815617</v>
      </c>
      <c r="H19" s="66">
        <v>427.11000000000007</v>
      </c>
      <c r="I19" s="84">
        <v>0</v>
      </c>
      <c r="J19" s="84">
        <v>0.71933999999999998</v>
      </c>
      <c r="K19" s="24">
        <v>1.2994188515485367E-6</v>
      </c>
      <c r="L19" s="32">
        <v>7.7045195273743808E-5</v>
      </c>
      <c r="M19" s="32">
        <v>1.3520603667563199E-6</v>
      </c>
      <c r="N19" s="14"/>
      <c r="O19" s="14"/>
      <c r="P19" s="14"/>
      <c r="Q19" s="14"/>
      <c r="R19" s="14"/>
    </row>
    <row r="20" spans="1:18" x14ac:dyDescent="0.25">
      <c r="A20" s="16" t="s">
        <v>1659</v>
      </c>
      <c r="B20" s="116" t="s">
        <v>1660</v>
      </c>
      <c r="C20" s="116" t="s">
        <v>377</v>
      </c>
      <c r="D20" s="116" t="s">
        <v>1661</v>
      </c>
      <c r="E20" s="116" t="s">
        <v>1662</v>
      </c>
      <c r="F20" s="116" t="s">
        <v>255</v>
      </c>
      <c r="G20" s="69">
        <v>16048.045763972086</v>
      </c>
      <c r="H20" s="66">
        <v>3704.6</v>
      </c>
      <c r="I20" s="84">
        <v>0</v>
      </c>
      <c r="J20" s="84">
        <v>594.51589999999999</v>
      </c>
      <c r="K20" s="24">
        <v>1.270405917121298E-3</v>
      </c>
      <c r="L20" s="32">
        <v>6.3675860662337075E-2</v>
      </c>
      <c r="M20" s="32">
        <v>1.1174429140551946E-3</v>
      </c>
      <c r="N20" s="14"/>
      <c r="O20" s="14"/>
      <c r="P20" s="14"/>
      <c r="Q20" s="14"/>
      <c r="R20" s="14"/>
    </row>
    <row r="21" spans="1:18" x14ac:dyDescent="0.25">
      <c r="A21" s="16" t="s">
        <v>1685</v>
      </c>
      <c r="B21" s="116" t="s">
        <v>1686</v>
      </c>
      <c r="C21" s="116" t="s">
        <v>377</v>
      </c>
      <c r="D21" s="116" t="s">
        <v>1661</v>
      </c>
      <c r="E21" s="116" t="s">
        <v>1662</v>
      </c>
      <c r="F21" s="116" t="s">
        <v>255</v>
      </c>
      <c r="G21" s="69">
        <v>270.02662552085326</v>
      </c>
      <c r="H21" s="66">
        <v>369.15</v>
      </c>
      <c r="I21" s="84">
        <v>0</v>
      </c>
      <c r="J21" s="84">
        <v>0.99679999999999991</v>
      </c>
      <c r="K21" s="24">
        <v>1.1766825993427485E-6</v>
      </c>
      <c r="L21" s="32">
        <v>1.0676265833801516E-4</v>
      </c>
      <c r="M21" s="32">
        <v>1.8735699023864927E-6</v>
      </c>
      <c r="N21" s="14"/>
      <c r="O21" s="14"/>
      <c r="P21" s="14"/>
      <c r="Q21" s="14"/>
      <c r="R21" s="14"/>
    </row>
    <row r="22" spans="1:18" x14ac:dyDescent="0.25">
      <c r="A22" s="16" t="s">
        <v>1670</v>
      </c>
      <c r="B22" s="116" t="s">
        <v>1671</v>
      </c>
      <c r="C22" s="116" t="s">
        <v>377</v>
      </c>
      <c r="D22" s="116" t="s">
        <v>1672</v>
      </c>
      <c r="E22" s="116" t="s">
        <v>1662</v>
      </c>
      <c r="F22" s="116" t="s">
        <v>255</v>
      </c>
      <c r="G22" s="69">
        <v>32222.847998766225</v>
      </c>
      <c r="H22" s="66">
        <v>3549.9</v>
      </c>
      <c r="I22" s="84">
        <v>0</v>
      </c>
      <c r="J22" s="84">
        <v>1143.87888</v>
      </c>
      <c r="K22" s="24">
        <v>4.1951529303738064E-3</v>
      </c>
      <c r="L22" s="32">
        <v>0.12251559996540071</v>
      </c>
      <c r="M22" s="32">
        <v>2.1500170962515759E-3</v>
      </c>
      <c r="N22" s="14"/>
      <c r="O22" s="14"/>
      <c r="P22" s="14"/>
      <c r="Q22" s="14"/>
      <c r="R22" s="14"/>
    </row>
    <row r="23" spans="1:18" x14ac:dyDescent="0.25">
      <c r="A23" s="16" t="s">
        <v>1663</v>
      </c>
      <c r="B23" s="116" t="s">
        <v>1664</v>
      </c>
      <c r="C23" s="116" t="s">
        <v>377</v>
      </c>
      <c r="D23" s="116" t="s">
        <v>1665</v>
      </c>
      <c r="E23" s="116" t="s">
        <v>1662</v>
      </c>
      <c r="F23" s="116" t="s">
        <v>255</v>
      </c>
      <c r="G23" s="69">
        <v>9.8366438783483581</v>
      </c>
      <c r="H23" s="66">
        <v>3330.16</v>
      </c>
      <c r="I23" s="84">
        <v>0</v>
      </c>
      <c r="J23" s="84">
        <v>0.32757999999999998</v>
      </c>
      <c r="K23" s="24">
        <v>1.4253466851119356E-6</v>
      </c>
      <c r="L23" s="32">
        <v>3.5085585491941219E-5</v>
      </c>
      <c r="M23" s="32">
        <v>6.1571431442994316E-7</v>
      </c>
      <c r="N23" s="14"/>
      <c r="O23" s="14"/>
      <c r="P23" s="14"/>
      <c r="Q23" s="14"/>
      <c r="R23" s="14"/>
    </row>
    <row r="24" spans="1:18" x14ac:dyDescent="0.25">
      <c r="A24" s="16" t="s">
        <v>1666</v>
      </c>
      <c r="B24" s="116" t="s">
        <v>1667</v>
      </c>
      <c r="C24" s="116" t="s">
        <v>377</v>
      </c>
      <c r="D24" s="116" t="s">
        <v>1665</v>
      </c>
      <c r="E24" s="116" t="s">
        <v>1662</v>
      </c>
      <c r="F24" s="116" t="s">
        <v>255</v>
      </c>
      <c r="G24" s="69">
        <v>19442.242079122178</v>
      </c>
      <c r="H24" s="66">
        <v>3543.66</v>
      </c>
      <c r="I24" s="84">
        <v>0</v>
      </c>
      <c r="J24" s="84">
        <v>688.96695999999997</v>
      </c>
      <c r="K24" s="24">
        <v>3.6302491249610553E-3</v>
      </c>
      <c r="L24" s="32">
        <v>7.3792078808849276E-2</v>
      </c>
      <c r="M24" s="32">
        <v>1.2949716693365957E-3</v>
      </c>
      <c r="N24" s="14"/>
      <c r="O24" s="14"/>
      <c r="P24" s="14"/>
      <c r="Q24" s="14"/>
      <c r="R24" s="14"/>
    </row>
    <row r="25" spans="1:18" x14ac:dyDescent="0.25">
      <c r="A25" s="16" t="s">
        <v>1668</v>
      </c>
      <c r="B25" s="116" t="s">
        <v>1669</v>
      </c>
      <c r="C25" s="116" t="s">
        <v>377</v>
      </c>
      <c r="D25" s="116" t="s">
        <v>1665</v>
      </c>
      <c r="E25" s="116" t="s">
        <v>1662</v>
      </c>
      <c r="F25" s="116" t="s">
        <v>255</v>
      </c>
      <c r="G25" s="69">
        <v>4214.0551826257642</v>
      </c>
      <c r="H25" s="66">
        <v>3694.2</v>
      </c>
      <c r="I25" s="84">
        <v>0</v>
      </c>
      <c r="J25" s="84">
        <v>155.67563000000001</v>
      </c>
      <c r="K25" s="24">
        <v>4.0080342082531365E-4</v>
      </c>
      <c r="L25" s="32">
        <v>1.6673699937043804E-2</v>
      </c>
      <c r="M25" s="32">
        <v>2.9260551254319401E-4</v>
      </c>
      <c r="N25" s="14"/>
      <c r="O25" s="14"/>
      <c r="P25" s="14"/>
      <c r="Q25" s="14"/>
      <c r="R25" s="14"/>
    </row>
    <row r="26" spans="1:18" x14ac:dyDescent="0.25">
      <c r="A26" s="16" t="s">
        <v>1678</v>
      </c>
      <c r="B26" s="116" t="s">
        <v>1679</v>
      </c>
      <c r="C26" s="116" t="s">
        <v>377</v>
      </c>
      <c r="D26" s="116" t="s">
        <v>1665</v>
      </c>
      <c r="E26" s="116" t="s">
        <v>1662</v>
      </c>
      <c r="F26" s="116" t="s">
        <v>255</v>
      </c>
      <c r="G26" s="69">
        <v>65.023448735748772</v>
      </c>
      <c r="H26" s="66">
        <v>3260.9</v>
      </c>
      <c r="I26" s="84">
        <v>0</v>
      </c>
      <c r="J26" s="84">
        <v>2.1203499999999997</v>
      </c>
      <c r="K26" s="24">
        <v>9.820079280739057E-6</v>
      </c>
      <c r="L26" s="32">
        <v>2.2710092556883069E-4</v>
      </c>
      <c r="M26" s="32">
        <v>3.9853771494032902E-6</v>
      </c>
      <c r="N26" s="14"/>
      <c r="O26" s="14"/>
      <c r="P26" s="14"/>
      <c r="Q26" s="14"/>
      <c r="R26" s="14"/>
    </row>
    <row r="27" spans="1:18" x14ac:dyDescent="0.25">
      <c r="A27" s="16" t="s">
        <v>1687</v>
      </c>
      <c r="B27" s="116" t="s">
        <v>1688</v>
      </c>
      <c r="C27" s="116" t="s">
        <v>377</v>
      </c>
      <c r="D27" s="116" t="s">
        <v>1665</v>
      </c>
      <c r="E27" s="116" t="s">
        <v>1662</v>
      </c>
      <c r="F27" s="116" t="s">
        <v>255</v>
      </c>
      <c r="G27" s="69">
        <v>123.85299971542831</v>
      </c>
      <c r="H27" s="66">
        <v>3669.2</v>
      </c>
      <c r="I27" s="84">
        <v>0</v>
      </c>
      <c r="J27" s="84">
        <v>4.5444100000000001</v>
      </c>
      <c r="K27" s="24">
        <v>3.5478365027935795E-6</v>
      </c>
      <c r="L27" s="32">
        <v>4.8673083083653639E-4</v>
      </c>
      <c r="M27" s="32">
        <v>8.5416029294785334E-6</v>
      </c>
      <c r="N27" s="14"/>
      <c r="O27" s="14"/>
      <c r="P27" s="14"/>
      <c r="Q27" s="14"/>
      <c r="R27" s="14"/>
    </row>
    <row r="28" spans="1:18" s="118" customFormat="1" x14ac:dyDescent="0.25">
      <c r="A28" s="92" t="s">
        <v>1693</v>
      </c>
      <c r="B28" s="130" t="s">
        <v>249</v>
      </c>
      <c r="C28" s="130" t="s">
        <v>249</v>
      </c>
      <c r="D28" s="130" t="s">
        <v>249</v>
      </c>
      <c r="E28" s="130" t="s">
        <v>249</v>
      </c>
      <c r="F28" s="130" t="s">
        <v>249</v>
      </c>
      <c r="G28" s="134" t="s">
        <v>249</v>
      </c>
      <c r="H28" s="121" t="s">
        <v>249</v>
      </c>
      <c r="I28" s="123" t="s">
        <v>249</v>
      </c>
      <c r="J28" s="123">
        <v>0</v>
      </c>
      <c r="K28" s="136"/>
      <c r="L28" s="120">
        <v>0</v>
      </c>
      <c r="M28" s="120">
        <v>0</v>
      </c>
    </row>
    <row r="29" spans="1:18" s="118" customFormat="1" x14ac:dyDescent="0.25">
      <c r="A29" s="92" t="s">
        <v>1694</v>
      </c>
      <c r="B29" s="130" t="s">
        <v>249</v>
      </c>
      <c r="C29" s="130" t="s">
        <v>249</v>
      </c>
      <c r="D29" s="130" t="s">
        <v>249</v>
      </c>
      <c r="E29" s="130" t="s">
        <v>249</v>
      </c>
      <c r="F29" s="130" t="s">
        <v>249</v>
      </c>
      <c r="G29" s="134" t="s">
        <v>249</v>
      </c>
      <c r="H29" s="121" t="s">
        <v>249</v>
      </c>
      <c r="I29" s="123" t="s">
        <v>249</v>
      </c>
      <c r="J29" s="123">
        <v>0</v>
      </c>
      <c r="K29" s="136"/>
      <c r="L29" s="120">
        <v>0</v>
      </c>
      <c r="M29" s="120">
        <v>0</v>
      </c>
    </row>
    <row r="30" spans="1:18" s="118" customFormat="1" x14ac:dyDescent="0.25">
      <c r="A30" s="92" t="s">
        <v>141</v>
      </c>
      <c r="B30" s="130" t="s">
        <v>249</v>
      </c>
      <c r="C30" s="130" t="s">
        <v>249</v>
      </c>
      <c r="D30" s="130" t="s">
        <v>249</v>
      </c>
      <c r="E30" s="130" t="s">
        <v>249</v>
      </c>
      <c r="F30" s="130" t="s">
        <v>249</v>
      </c>
      <c r="G30" s="134" t="s">
        <v>249</v>
      </c>
      <c r="H30" s="121" t="s">
        <v>249</v>
      </c>
      <c r="I30" s="123" t="s">
        <v>249</v>
      </c>
      <c r="J30" s="123">
        <v>0</v>
      </c>
      <c r="K30" s="136"/>
      <c r="L30" s="120">
        <v>0</v>
      </c>
      <c r="M30" s="120">
        <v>0</v>
      </c>
    </row>
    <row r="31" spans="1:18" s="118" customFormat="1" x14ac:dyDescent="0.25">
      <c r="A31" s="92" t="s">
        <v>411</v>
      </c>
      <c r="B31" s="130" t="s">
        <v>249</v>
      </c>
      <c r="C31" s="130" t="s">
        <v>249</v>
      </c>
      <c r="D31" s="130" t="s">
        <v>249</v>
      </c>
      <c r="E31" s="130" t="s">
        <v>249</v>
      </c>
      <c r="F31" s="130" t="s">
        <v>249</v>
      </c>
      <c r="G31" s="134" t="s">
        <v>249</v>
      </c>
      <c r="H31" s="121" t="s">
        <v>249</v>
      </c>
      <c r="I31" s="123" t="s">
        <v>249</v>
      </c>
      <c r="J31" s="123">
        <v>3975.9417604</v>
      </c>
      <c r="K31" s="136"/>
      <c r="L31" s="120">
        <v>0.42584481514589861</v>
      </c>
      <c r="M31" s="120">
        <v>7.4731187960744468E-3</v>
      </c>
    </row>
    <row r="32" spans="1:18" s="118" customFormat="1" x14ac:dyDescent="0.25">
      <c r="A32" s="92" t="s">
        <v>1695</v>
      </c>
      <c r="B32" s="130" t="s">
        <v>249</v>
      </c>
      <c r="C32" s="130" t="s">
        <v>249</v>
      </c>
      <c r="D32" s="130" t="s">
        <v>249</v>
      </c>
      <c r="E32" s="130" t="s">
        <v>249</v>
      </c>
      <c r="F32" s="130" t="s">
        <v>249</v>
      </c>
      <c r="G32" s="134" t="s">
        <v>249</v>
      </c>
      <c r="H32" s="121" t="s">
        <v>249</v>
      </c>
      <c r="I32" s="123" t="s">
        <v>249</v>
      </c>
      <c r="J32" s="123">
        <v>0</v>
      </c>
      <c r="K32" s="136"/>
      <c r="L32" s="120">
        <v>0</v>
      </c>
      <c r="M32" s="120">
        <v>0</v>
      </c>
    </row>
    <row r="33" spans="1:18" s="118" customFormat="1" x14ac:dyDescent="0.25">
      <c r="A33" s="92" t="s">
        <v>1696</v>
      </c>
      <c r="B33" s="130" t="s">
        <v>249</v>
      </c>
      <c r="C33" s="130" t="s">
        <v>249</v>
      </c>
      <c r="D33" s="130" t="s">
        <v>249</v>
      </c>
      <c r="E33" s="130" t="s">
        <v>249</v>
      </c>
      <c r="F33" s="130" t="s">
        <v>249</v>
      </c>
      <c r="G33" s="134" t="s">
        <v>249</v>
      </c>
      <c r="H33" s="121" t="s">
        <v>249</v>
      </c>
      <c r="I33" s="123" t="s">
        <v>249</v>
      </c>
      <c r="J33" s="123">
        <v>3975.9417601</v>
      </c>
      <c r="K33" s="136"/>
      <c r="L33" s="120">
        <v>0.42584481511376698</v>
      </c>
      <c r="M33" s="120">
        <v>7.4731187955105714E-3</v>
      </c>
    </row>
    <row r="34" spans="1:18" x14ac:dyDescent="0.25">
      <c r="A34" s="16" t="s">
        <v>1703</v>
      </c>
      <c r="B34" s="116" t="s">
        <v>1704</v>
      </c>
      <c r="C34" s="116" t="s">
        <v>1699</v>
      </c>
      <c r="D34" s="174" t="s">
        <v>2790</v>
      </c>
      <c r="E34" s="116" t="s">
        <v>1700</v>
      </c>
      <c r="F34" s="116" t="s">
        <v>125</v>
      </c>
      <c r="G34" s="69">
        <v>38527.780884626001</v>
      </c>
      <c r="H34" s="66">
        <v>547.75</v>
      </c>
      <c r="I34" s="84">
        <v>0</v>
      </c>
      <c r="J34" s="84">
        <v>807.00135999999998</v>
      </c>
      <c r="K34" s="24">
        <v>1.1710003139429942E-4</v>
      </c>
      <c r="L34" s="32">
        <v>8.6434199915723889E-2</v>
      </c>
      <c r="M34" s="32">
        <v>1.5168273066622862E-3</v>
      </c>
      <c r="N34" s="14"/>
      <c r="O34" s="14"/>
      <c r="P34" s="14"/>
      <c r="Q34" s="14"/>
      <c r="R34" s="14"/>
    </row>
    <row r="35" spans="1:18" x14ac:dyDescent="0.25">
      <c r="A35" s="16" t="s">
        <v>1697</v>
      </c>
      <c r="B35" s="116" t="s">
        <v>1698</v>
      </c>
      <c r="C35" s="116" t="s">
        <v>1699</v>
      </c>
      <c r="D35" s="174" t="s">
        <v>2791</v>
      </c>
      <c r="E35" s="116" t="s">
        <v>1700</v>
      </c>
      <c r="F35" s="116" t="s">
        <v>125</v>
      </c>
      <c r="G35" s="69">
        <v>4030.2656183805402</v>
      </c>
      <c r="H35" s="66">
        <v>9625</v>
      </c>
      <c r="I35" s="84">
        <v>0</v>
      </c>
      <c r="J35" s="84">
        <v>1483.3795600000001</v>
      </c>
      <c r="K35" s="24">
        <v>4.8899516337768806E-5</v>
      </c>
      <c r="L35" s="32">
        <v>0.15887795460461002</v>
      </c>
      <c r="M35" s="32">
        <v>2.7881373369094292E-3</v>
      </c>
      <c r="N35" s="14"/>
      <c r="O35" s="14"/>
      <c r="P35" s="14"/>
      <c r="Q35" s="14"/>
      <c r="R35" s="14"/>
    </row>
    <row r="36" spans="1:18" x14ac:dyDescent="0.25">
      <c r="A36" s="16" t="s">
        <v>1701</v>
      </c>
      <c r="B36" s="116" t="s">
        <v>1702</v>
      </c>
      <c r="C36" s="116" t="s">
        <v>1699</v>
      </c>
      <c r="D36" s="174" t="s">
        <v>2792</v>
      </c>
      <c r="E36" s="116" t="s">
        <v>1700</v>
      </c>
      <c r="F36" s="116" t="s">
        <v>125</v>
      </c>
      <c r="G36" s="69">
        <v>17194.64558131848</v>
      </c>
      <c r="H36" s="66">
        <v>2563.5</v>
      </c>
      <c r="I36" s="84">
        <v>0</v>
      </c>
      <c r="J36" s="84">
        <v>1685.5608400000001</v>
      </c>
      <c r="K36" s="24">
        <v>6.4648263715694689E-5</v>
      </c>
      <c r="L36" s="32">
        <v>0.18053266058272255</v>
      </c>
      <c r="M36" s="32">
        <v>3.1681541517508977E-3</v>
      </c>
      <c r="N36" s="14"/>
      <c r="O36" s="14"/>
      <c r="P36" s="14"/>
      <c r="Q36" s="14"/>
      <c r="R36" s="14"/>
    </row>
    <row r="37" spans="1:18" s="118" customFormat="1" x14ac:dyDescent="0.25">
      <c r="A37" s="92" t="s">
        <v>141</v>
      </c>
      <c r="B37" s="130" t="s">
        <v>249</v>
      </c>
      <c r="C37" s="130" t="s">
        <v>249</v>
      </c>
      <c r="D37" s="130" t="s">
        <v>249</v>
      </c>
      <c r="E37" s="130" t="s">
        <v>249</v>
      </c>
      <c r="F37" s="130" t="s">
        <v>249</v>
      </c>
      <c r="G37" s="134" t="s">
        <v>249</v>
      </c>
      <c r="H37" s="121" t="s">
        <v>249</v>
      </c>
      <c r="I37" s="123" t="s">
        <v>249</v>
      </c>
      <c r="J37" s="123">
        <v>0</v>
      </c>
      <c r="K37" s="136"/>
      <c r="L37" s="120">
        <v>0</v>
      </c>
      <c r="M37" s="120">
        <v>0</v>
      </c>
    </row>
    <row r="38" spans="1:18" s="118" customFormat="1" x14ac:dyDescent="0.25">
      <c r="A38" s="92" t="s">
        <v>1694</v>
      </c>
      <c r="B38" s="130" t="s">
        <v>249</v>
      </c>
      <c r="C38" s="130" t="s">
        <v>249</v>
      </c>
      <c r="D38" s="130" t="s">
        <v>249</v>
      </c>
      <c r="E38" s="130" t="s">
        <v>249</v>
      </c>
      <c r="F38" s="130" t="s">
        <v>249</v>
      </c>
      <c r="G38" s="134" t="s">
        <v>249</v>
      </c>
      <c r="H38" s="121" t="s">
        <v>249</v>
      </c>
      <c r="I38" s="123" t="s">
        <v>249</v>
      </c>
      <c r="J38" s="123">
        <v>0</v>
      </c>
      <c r="K38" s="136"/>
      <c r="L38" s="120">
        <v>0</v>
      </c>
      <c r="M38" s="120">
        <v>0</v>
      </c>
    </row>
    <row r="39" spans="1:18" s="118" customFormat="1" x14ac:dyDescent="0.25">
      <c r="A39" s="78" t="s">
        <v>241</v>
      </c>
      <c r="B39" s="124"/>
      <c r="C39" s="124"/>
      <c r="D39" s="124"/>
      <c r="E39" s="124"/>
      <c r="F39" s="124"/>
      <c r="G39" s="125"/>
      <c r="H39" s="125"/>
      <c r="I39" s="125"/>
      <c r="J39" s="125"/>
      <c r="K39" s="126"/>
      <c r="L39" s="126"/>
      <c r="M39" s="127"/>
      <c r="N39" s="147"/>
      <c r="O39" s="147"/>
      <c r="P39" s="147"/>
      <c r="Q39" s="129"/>
      <c r="R39" s="129"/>
    </row>
    <row r="40" spans="1:18" s="118" customFormat="1" x14ac:dyDescent="0.25">
      <c r="A40" s="78" t="s">
        <v>242</v>
      </c>
      <c r="B40" s="124"/>
      <c r="C40" s="124"/>
      <c r="D40" s="124"/>
      <c r="E40" s="124"/>
      <c r="F40" s="124"/>
      <c r="G40" s="125"/>
      <c r="H40" s="125"/>
      <c r="I40" s="125"/>
      <c r="J40" s="125"/>
      <c r="K40" s="126"/>
      <c r="L40" s="126"/>
      <c r="M40" s="127"/>
      <c r="N40" s="147"/>
      <c r="O40" s="147"/>
      <c r="P40" s="147"/>
      <c r="Q40" s="129"/>
      <c r="R40" s="129"/>
    </row>
    <row r="41" spans="1:18" s="118" customFormat="1" x14ac:dyDescent="0.25">
      <c r="A41" s="78" t="s">
        <v>243</v>
      </c>
      <c r="B41" s="124"/>
      <c r="C41" s="124"/>
      <c r="D41" s="124"/>
      <c r="E41" s="124"/>
      <c r="F41" s="124"/>
      <c r="G41" s="125"/>
      <c r="H41" s="125"/>
      <c r="I41" s="125"/>
      <c r="J41" s="125"/>
      <c r="K41" s="126"/>
      <c r="L41" s="126"/>
      <c r="M41" s="127"/>
      <c r="N41" s="147"/>
      <c r="O41" s="147"/>
      <c r="P41" s="147"/>
      <c r="Q41" s="129"/>
      <c r="R41" s="129"/>
    </row>
    <row r="42" spans="1:18" s="118" customFormat="1" x14ac:dyDescent="0.25">
      <c r="A42" s="78" t="s">
        <v>244</v>
      </c>
      <c r="B42" s="124"/>
      <c r="C42" s="124"/>
      <c r="D42" s="124"/>
      <c r="E42" s="124"/>
      <c r="F42" s="124"/>
      <c r="G42" s="125"/>
      <c r="H42" s="125"/>
      <c r="I42" s="125"/>
      <c r="J42" s="125"/>
      <c r="K42" s="126"/>
      <c r="L42" s="126"/>
      <c r="M42" s="127"/>
      <c r="N42" s="147"/>
      <c r="O42" s="147"/>
      <c r="P42" s="147"/>
      <c r="Q42" s="129"/>
      <c r="R42" s="129"/>
    </row>
    <row r="43" spans="1:18" s="118" customFormat="1" x14ac:dyDescent="0.25">
      <c r="A43" s="78" t="s">
        <v>245</v>
      </c>
      <c r="B43" s="124"/>
      <c r="C43" s="124"/>
      <c r="D43" s="124"/>
      <c r="E43" s="124"/>
      <c r="F43" s="124"/>
      <c r="G43" s="125"/>
      <c r="H43" s="125"/>
      <c r="I43" s="125"/>
      <c r="J43" s="125"/>
      <c r="K43" s="126"/>
      <c r="L43" s="126"/>
      <c r="M43" s="127"/>
      <c r="N43" s="147"/>
      <c r="O43" s="147"/>
      <c r="P43" s="147"/>
      <c r="Q43" s="129"/>
      <c r="R43" s="129"/>
    </row>
  </sheetData>
  <mergeCells count="2">
    <mergeCell ref="A5:M5"/>
    <mergeCell ref="A4:M4"/>
  </mergeCells>
  <phoneticPr fontId="3" type="noConversion"/>
  <conditionalFormatting sqref="A9:A38 I9:J38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38">
    <cfRule type="expression" dxfId="103" priority="141" stopIfTrue="1">
      <formula>OR(LEFT(#REF!,3)="TIR",LEFT(#REF!,2)="IR")</formula>
    </cfRule>
  </conditionalFormatting>
  <conditionalFormatting sqref="C9:D9 B10:F38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38 K9:K38 M39:M55573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88671875" style="36" bestFit="1" customWidth="1"/>
    <col min="10" max="10" width="10.332031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  <c r="R4" s="12"/>
      <c r="S4" s="12"/>
    </row>
    <row r="5" spans="1:19" s="7" customFormat="1" x14ac:dyDescent="0.25">
      <c r="A5" s="225" t="s">
        <v>22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7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4" t="s">
        <v>69</v>
      </c>
      <c r="C6" s="204" t="s">
        <v>76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6</v>
      </c>
      <c r="I6" s="205" t="s">
        <v>67</v>
      </c>
      <c r="J6" s="205" t="s">
        <v>68</v>
      </c>
      <c r="K6" s="205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8" customFormat="1" ht="12.75" customHeight="1" thickBot="1" x14ac:dyDescent="0.3">
      <c r="A9" s="99" t="s">
        <v>54</v>
      </c>
      <c r="B9" s="67"/>
      <c r="C9" s="67"/>
      <c r="D9" s="67"/>
      <c r="E9" s="67"/>
      <c r="F9" s="100"/>
      <c r="G9" s="100"/>
      <c r="H9" s="100"/>
      <c r="I9" s="103"/>
      <c r="J9" s="100"/>
      <c r="K9" s="102">
        <v>19597.562450800004</v>
      </c>
      <c r="L9" s="67"/>
      <c r="M9" s="67">
        <v>1</v>
      </c>
      <c r="N9" s="81">
        <v>3.6835276051322793E-2</v>
      </c>
    </row>
    <row r="10" spans="1:19" s="118" customFormat="1" x14ac:dyDescent="0.25">
      <c r="A10" s="91" t="s">
        <v>137</v>
      </c>
      <c r="B10" s="120" t="s">
        <v>249</v>
      </c>
      <c r="C10" s="120" t="s">
        <v>249</v>
      </c>
      <c r="D10" s="120" t="s">
        <v>249</v>
      </c>
      <c r="E10" s="136" t="s">
        <v>249</v>
      </c>
      <c r="F10" s="121" t="s">
        <v>249</v>
      </c>
      <c r="G10" s="121" t="s">
        <v>249</v>
      </c>
      <c r="H10" s="121" t="s">
        <v>249</v>
      </c>
      <c r="I10" s="132" t="s">
        <v>249</v>
      </c>
      <c r="J10" s="121" t="s">
        <v>249</v>
      </c>
      <c r="K10" s="122">
        <v>0</v>
      </c>
      <c r="L10" s="120" t="s">
        <v>249</v>
      </c>
      <c r="M10" s="120">
        <v>0</v>
      </c>
      <c r="N10" s="120">
        <v>0</v>
      </c>
    </row>
    <row r="11" spans="1:19" s="118" customFormat="1" x14ac:dyDescent="0.25">
      <c r="A11" s="92" t="s">
        <v>58</v>
      </c>
      <c r="B11" s="120" t="s">
        <v>249</v>
      </c>
      <c r="C11" s="120" t="s">
        <v>249</v>
      </c>
      <c r="D11" s="120" t="s">
        <v>249</v>
      </c>
      <c r="E11" s="136" t="s">
        <v>249</v>
      </c>
      <c r="F11" s="121" t="s">
        <v>249</v>
      </c>
      <c r="G11" s="121" t="s">
        <v>249</v>
      </c>
      <c r="H11" s="121" t="s">
        <v>249</v>
      </c>
      <c r="I11" s="134" t="s">
        <v>249</v>
      </c>
      <c r="J11" s="135" t="s">
        <v>249</v>
      </c>
      <c r="K11" s="123">
        <v>0</v>
      </c>
      <c r="L11" s="136"/>
      <c r="M11" s="136">
        <v>0</v>
      </c>
      <c r="N11" s="120">
        <v>0</v>
      </c>
    </row>
    <row r="12" spans="1:19" s="118" customFormat="1" x14ac:dyDescent="0.25">
      <c r="A12" s="92" t="s">
        <v>1705</v>
      </c>
      <c r="B12" s="120" t="s">
        <v>249</v>
      </c>
      <c r="C12" s="120" t="s">
        <v>249</v>
      </c>
      <c r="D12" s="120" t="s">
        <v>249</v>
      </c>
      <c r="E12" s="136" t="s">
        <v>249</v>
      </c>
      <c r="F12" s="121" t="s">
        <v>249</v>
      </c>
      <c r="G12" s="121" t="s">
        <v>249</v>
      </c>
      <c r="H12" s="121" t="s">
        <v>249</v>
      </c>
      <c r="I12" s="134" t="s">
        <v>249</v>
      </c>
      <c r="J12" s="135" t="s">
        <v>249</v>
      </c>
      <c r="K12" s="123">
        <v>0</v>
      </c>
      <c r="L12" s="136"/>
      <c r="M12" s="136">
        <v>0</v>
      </c>
      <c r="N12" s="120">
        <v>0</v>
      </c>
    </row>
    <row r="13" spans="1:19" s="118" customFormat="1" x14ac:dyDescent="0.25">
      <c r="A13" s="92" t="s">
        <v>59</v>
      </c>
      <c r="B13" s="120" t="s">
        <v>249</v>
      </c>
      <c r="C13" s="120" t="s">
        <v>249</v>
      </c>
      <c r="D13" s="120" t="s">
        <v>249</v>
      </c>
      <c r="E13" s="136" t="s">
        <v>249</v>
      </c>
      <c r="F13" s="121" t="s">
        <v>249</v>
      </c>
      <c r="G13" s="121" t="s">
        <v>249</v>
      </c>
      <c r="H13" s="121" t="s">
        <v>249</v>
      </c>
      <c r="I13" s="134" t="s">
        <v>249</v>
      </c>
      <c r="J13" s="135" t="s">
        <v>249</v>
      </c>
      <c r="K13" s="123">
        <v>0</v>
      </c>
      <c r="L13" s="136"/>
      <c r="M13" s="136">
        <v>0</v>
      </c>
      <c r="N13" s="120">
        <v>0</v>
      </c>
    </row>
    <row r="14" spans="1:19" s="118" customFormat="1" x14ac:dyDescent="0.25">
      <c r="A14" s="92" t="s">
        <v>141</v>
      </c>
      <c r="B14" s="120" t="s">
        <v>249</v>
      </c>
      <c r="C14" s="120" t="s">
        <v>249</v>
      </c>
      <c r="D14" s="120" t="s">
        <v>249</v>
      </c>
      <c r="E14" s="136" t="s">
        <v>249</v>
      </c>
      <c r="F14" s="121" t="s">
        <v>249</v>
      </c>
      <c r="G14" s="121" t="s">
        <v>249</v>
      </c>
      <c r="H14" s="121" t="s">
        <v>249</v>
      </c>
      <c r="I14" s="134" t="s">
        <v>249</v>
      </c>
      <c r="J14" s="135" t="s">
        <v>249</v>
      </c>
      <c r="K14" s="123">
        <v>0</v>
      </c>
      <c r="L14" s="136"/>
      <c r="M14" s="136">
        <v>0</v>
      </c>
      <c r="N14" s="120">
        <v>0</v>
      </c>
    </row>
    <row r="15" spans="1:19" s="118" customFormat="1" x14ac:dyDescent="0.25">
      <c r="A15" s="92" t="s">
        <v>411</v>
      </c>
      <c r="B15" s="120" t="s">
        <v>249</v>
      </c>
      <c r="C15" s="120" t="s">
        <v>249</v>
      </c>
      <c r="D15" s="120" t="s">
        <v>249</v>
      </c>
      <c r="E15" s="136" t="s">
        <v>249</v>
      </c>
      <c r="F15" s="121" t="s">
        <v>249</v>
      </c>
      <c r="G15" s="121" t="s">
        <v>249</v>
      </c>
      <c r="H15" s="121" t="s">
        <v>249</v>
      </c>
      <c r="I15" s="134" t="s">
        <v>249</v>
      </c>
      <c r="J15" s="135" t="s">
        <v>249</v>
      </c>
      <c r="K15" s="123">
        <v>19597.562450400001</v>
      </c>
      <c r="L15" s="136"/>
      <c r="M15" s="136">
        <v>0.9999999999795891</v>
      </c>
      <c r="N15" s="120">
        <v>0</v>
      </c>
    </row>
    <row r="16" spans="1:19" s="118" customFormat="1" x14ac:dyDescent="0.25">
      <c r="A16" s="92" t="s">
        <v>58</v>
      </c>
      <c r="B16" s="120" t="s">
        <v>249</v>
      </c>
      <c r="C16" s="120" t="s">
        <v>249</v>
      </c>
      <c r="D16" s="120" t="s">
        <v>249</v>
      </c>
      <c r="E16" s="136" t="s">
        <v>249</v>
      </c>
      <c r="F16" s="121" t="s">
        <v>249</v>
      </c>
      <c r="G16" s="121" t="s">
        <v>249</v>
      </c>
      <c r="H16" s="121" t="s">
        <v>249</v>
      </c>
      <c r="I16" s="134" t="s">
        <v>249</v>
      </c>
      <c r="J16" s="135" t="s">
        <v>249</v>
      </c>
      <c r="K16" s="123">
        <v>12541.168990100001</v>
      </c>
      <c r="L16" s="136"/>
      <c r="M16" s="136">
        <v>0.63993514609711311</v>
      </c>
      <c r="N16" s="120">
        <v>2.3572187761430746E-2</v>
      </c>
    </row>
    <row r="17" spans="1:16" x14ac:dyDescent="0.25">
      <c r="A17" s="16" t="s">
        <v>1722</v>
      </c>
      <c r="B17" s="32" t="s">
        <v>1723</v>
      </c>
      <c r="C17" s="32" t="s">
        <v>218</v>
      </c>
      <c r="D17" s="218" t="s">
        <v>2793</v>
      </c>
      <c r="E17" s="24" t="s">
        <v>1700</v>
      </c>
      <c r="F17" s="66" t="s">
        <v>431</v>
      </c>
      <c r="G17" s="66" t="s">
        <v>431</v>
      </c>
      <c r="H17" s="66" t="s">
        <v>125</v>
      </c>
      <c r="I17" s="69">
        <v>194.8033864953</v>
      </c>
      <c r="J17" s="60">
        <v>151187.88400000002</v>
      </c>
      <c r="K17" s="84">
        <v>1126.2411100000002</v>
      </c>
      <c r="L17" s="24">
        <v>1.4656485136074771E-7</v>
      </c>
      <c r="M17" s="24">
        <v>5.7468428169444363E-2</v>
      </c>
      <c r="N17" s="32">
        <v>2.1168654158570982E-3</v>
      </c>
      <c r="O17" s="14"/>
      <c r="P17" s="14"/>
    </row>
    <row r="18" spans="1:16" x14ac:dyDescent="0.25">
      <c r="A18" s="16" t="s">
        <v>1720</v>
      </c>
      <c r="B18" s="32" t="s">
        <v>1721</v>
      </c>
      <c r="C18" s="32" t="s">
        <v>218</v>
      </c>
      <c r="D18" s="218" t="s">
        <v>2794</v>
      </c>
      <c r="E18" s="24" t="s">
        <v>1700</v>
      </c>
      <c r="F18" s="66" t="s">
        <v>1447</v>
      </c>
      <c r="G18" s="66" t="s">
        <v>267</v>
      </c>
      <c r="H18" s="66" t="s">
        <v>125</v>
      </c>
      <c r="I18" s="69">
        <v>277.05370523776003</v>
      </c>
      <c r="J18" s="60">
        <v>161214</v>
      </c>
      <c r="K18" s="84">
        <v>1707.9871499999999</v>
      </c>
      <c r="L18" s="24">
        <v>1.6047650849825422E-4</v>
      </c>
      <c r="M18" s="24">
        <v>8.7153040297125173E-2</v>
      </c>
      <c r="N18" s="32">
        <v>3.2103062980566653E-3</v>
      </c>
      <c r="O18" s="14"/>
      <c r="P18" s="14"/>
    </row>
    <row r="19" spans="1:16" x14ac:dyDescent="0.25">
      <c r="A19" s="16" t="s">
        <v>1710</v>
      </c>
      <c r="B19" s="32" t="s">
        <v>1711</v>
      </c>
      <c r="C19" s="32" t="s">
        <v>218</v>
      </c>
      <c r="D19" s="218" t="s">
        <v>2795</v>
      </c>
      <c r="E19" s="24" t="s">
        <v>1700</v>
      </c>
      <c r="F19" s="66" t="s">
        <v>431</v>
      </c>
      <c r="G19" s="66" t="s">
        <v>431</v>
      </c>
      <c r="H19" s="66" t="s">
        <v>125</v>
      </c>
      <c r="I19" s="69">
        <v>25908.850403874902</v>
      </c>
      <c r="J19" s="60">
        <v>1523</v>
      </c>
      <c r="K19" s="84">
        <v>1508.9190100000001</v>
      </c>
      <c r="L19" s="24">
        <v>1.4640473272446475E-4</v>
      </c>
      <c r="M19" s="24">
        <v>7.6995239269585972E-2</v>
      </c>
      <c r="N19" s="32">
        <v>2.8361408931328485E-3</v>
      </c>
      <c r="O19" s="14"/>
      <c r="P19" s="14"/>
    </row>
    <row r="20" spans="1:16" x14ac:dyDescent="0.25">
      <c r="A20" s="16" t="s">
        <v>1716</v>
      </c>
      <c r="B20" s="32" t="s">
        <v>1717</v>
      </c>
      <c r="C20" s="32" t="s">
        <v>218</v>
      </c>
      <c r="D20" s="218" t="s">
        <v>2796</v>
      </c>
      <c r="E20" s="24" t="s">
        <v>1700</v>
      </c>
      <c r="F20" s="66" t="s">
        <v>431</v>
      </c>
      <c r="G20" s="66" t="s">
        <v>431</v>
      </c>
      <c r="H20" s="66" t="s">
        <v>126</v>
      </c>
      <c r="I20" s="69">
        <v>7999.9257387403204</v>
      </c>
      <c r="J20" s="60">
        <v>2212</v>
      </c>
      <c r="K20" s="84">
        <v>717.22991999999999</v>
      </c>
      <c r="L20" s="24">
        <v>5.924069561618723E-4</v>
      </c>
      <c r="M20" s="24">
        <v>3.6597914756011991E-2</v>
      </c>
      <c r="N20" s="32">
        <v>1.3480942929404815E-3</v>
      </c>
      <c r="O20" s="14"/>
      <c r="P20" s="14"/>
    </row>
    <row r="21" spans="1:16" x14ac:dyDescent="0.25">
      <c r="A21" s="16" t="s">
        <v>1724</v>
      </c>
      <c r="B21" s="32" t="s">
        <v>1725</v>
      </c>
      <c r="C21" s="32" t="s">
        <v>218</v>
      </c>
      <c r="D21" s="218" t="s">
        <v>2797</v>
      </c>
      <c r="E21" s="24" t="s">
        <v>1700</v>
      </c>
      <c r="F21" s="66" t="s">
        <v>431</v>
      </c>
      <c r="G21" s="66" t="s">
        <v>431</v>
      </c>
      <c r="H21" s="66" t="s">
        <v>126</v>
      </c>
      <c r="I21" s="69">
        <v>2272.7061757785</v>
      </c>
      <c r="J21" s="60">
        <v>11984</v>
      </c>
      <c r="K21" s="84">
        <v>1103.90681</v>
      </c>
      <c r="L21" s="24">
        <v>3.0648980324782292E-4</v>
      </c>
      <c r="M21" s="24">
        <v>5.632878133550414E-2</v>
      </c>
      <c r="N21" s="32">
        <v>2.074886210127894E-3</v>
      </c>
      <c r="O21" s="14"/>
      <c r="P21" s="14"/>
    </row>
    <row r="22" spans="1:16" x14ac:dyDescent="0.25">
      <c r="A22" s="16" t="s">
        <v>1718</v>
      </c>
      <c r="B22" s="32" t="s">
        <v>1719</v>
      </c>
      <c r="C22" s="32" t="s">
        <v>218</v>
      </c>
      <c r="D22" s="218" t="s">
        <v>2798</v>
      </c>
      <c r="E22" s="24" t="s">
        <v>1700</v>
      </c>
      <c r="F22" s="66" t="s">
        <v>431</v>
      </c>
      <c r="G22" s="66" t="s">
        <v>431</v>
      </c>
      <c r="H22" s="66" t="s">
        <v>125</v>
      </c>
      <c r="I22" s="69">
        <v>1571.4139843954199</v>
      </c>
      <c r="J22" s="60">
        <v>16871</v>
      </c>
      <c r="K22" s="84">
        <v>1013.7930799999999</v>
      </c>
      <c r="L22" s="24">
        <v>6.8828943131891404E-5</v>
      </c>
      <c r="M22" s="24">
        <v>5.1730570194387378E-2</v>
      </c>
      <c r="N22" s="32">
        <v>1.9055098334025901E-3</v>
      </c>
      <c r="O22" s="14"/>
      <c r="P22" s="14"/>
    </row>
    <row r="23" spans="1:16" x14ac:dyDescent="0.25">
      <c r="A23" s="16" t="s">
        <v>1706</v>
      </c>
      <c r="B23" s="32" t="s">
        <v>1707</v>
      </c>
      <c r="C23" s="32" t="s">
        <v>218</v>
      </c>
      <c r="D23" s="218" t="s">
        <v>2799</v>
      </c>
      <c r="E23" s="24" t="s">
        <v>1700</v>
      </c>
      <c r="F23" s="66" t="s">
        <v>431</v>
      </c>
      <c r="G23" s="66" t="s">
        <v>431</v>
      </c>
      <c r="H23" s="66" t="s">
        <v>125</v>
      </c>
      <c r="I23" s="69">
        <v>3484.7117648681801</v>
      </c>
      <c r="J23" s="60">
        <v>6275</v>
      </c>
      <c r="K23" s="84">
        <v>836.17750000000001</v>
      </c>
      <c r="L23" s="24">
        <v>5.4122372510235685E-5</v>
      </c>
      <c r="M23" s="24">
        <v>4.2667423670634398E-2</v>
      </c>
      <c r="N23" s="32">
        <v>1.5716663293065627E-3</v>
      </c>
      <c r="O23" s="14"/>
      <c r="P23" s="14"/>
    </row>
    <row r="24" spans="1:16" x14ac:dyDescent="0.25">
      <c r="A24" s="16" t="s">
        <v>1728</v>
      </c>
      <c r="B24" s="32" t="s">
        <v>1729</v>
      </c>
      <c r="C24" s="32" t="s">
        <v>218</v>
      </c>
      <c r="D24" s="218" t="s">
        <v>2800</v>
      </c>
      <c r="E24" s="24" t="s">
        <v>1700</v>
      </c>
      <c r="F24" s="66" t="s">
        <v>431</v>
      </c>
      <c r="G24" s="66" t="s">
        <v>431</v>
      </c>
      <c r="H24" s="66" t="s">
        <v>125</v>
      </c>
      <c r="I24" s="69">
        <v>264.06681280473998</v>
      </c>
      <c r="J24" s="60">
        <v>9727</v>
      </c>
      <c r="K24" s="84">
        <v>98.22242</v>
      </c>
      <c r="L24" s="24">
        <v>2.2411191626168969E-4</v>
      </c>
      <c r="M24" s="24">
        <v>5.0119712717634629E-3</v>
      </c>
      <c r="N24" s="32">
        <v>1.8461734535670657E-4</v>
      </c>
      <c r="O24" s="14"/>
      <c r="P24" s="14"/>
    </row>
    <row r="25" spans="1:16" x14ac:dyDescent="0.25">
      <c r="A25" s="16" t="s">
        <v>1712</v>
      </c>
      <c r="B25" s="32" t="s">
        <v>1713</v>
      </c>
      <c r="C25" s="32" t="s">
        <v>218</v>
      </c>
      <c r="D25" s="218" t="s">
        <v>2801</v>
      </c>
      <c r="E25" s="24" t="s">
        <v>1700</v>
      </c>
      <c r="F25" s="66" t="s">
        <v>431</v>
      </c>
      <c r="G25" s="66" t="s">
        <v>431</v>
      </c>
      <c r="H25" s="66" t="s">
        <v>125</v>
      </c>
      <c r="I25" s="69">
        <v>1474.878083976638</v>
      </c>
      <c r="J25" s="60">
        <v>34912.990000000005</v>
      </c>
      <c r="K25" s="84">
        <v>1969.06952</v>
      </c>
      <c r="L25" s="24">
        <v>1.7675456396756771E-4</v>
      </c>
      <c r="M25" s="24">
        <v>0.1004752261891437</v>
      </c>
      <c r="N25" s="32">
        <v>3.7010326929962064E-3</v>
      </c>
      <c r="O25" s="14"/>
      <c r="P25" s="14"/>
    </row>
    <row r="26" spans="1:16" x14ac:dyDescent="0.25">
      <c r="A26" s="16" t="s">
        <v>1708</v>
      </c>
      <c r="B26" s="32" t="s">
        <v>1709</v>
      </c>
      <c r="C26" s="32" t="s">
        <v>218</v>
      </c>
      <c r="D26" s="218" t="s">
        <v>2802</v>
      </c>
      <c r="E26" s="24" t="s">
        <v>1700</v>
      </c>
      <c r="F26" s="66" t="s">
        <v>431</v>
      </c>
      <c r="G26" s="66" t="s">
        <v>431</v>
      </c>
      <c r="H26" s="66" t="s">
        <v>125</v>
      </c>
      <c r="I26" s="69">
        <v>1575.7429485397599</v>
      </c>
      <c r="J26" s="60">
        <v>13296.8</v>
      </c>
      <c r="K26" s="84">
        <v>801.2174399999999</v>
      </c>
      <c r="L26" s="24">
        <v>1.8301919768063841E-4</v>
      </c>
      <c r="M26" s="24">
        <v>4.088352528593641E-2</v>
      </c>
      <c r="N26" s="32">
        <v>1.5059559398587032E-3</v>
      </c>
      <c r="O26" s="14"/>
      <c r="P26" s="14"/>
    </row>
    <row r="27" spans="1:16" x14ac:dyDescent="0.25">
      <c r="A27" s="16" t="s">
        <v>1726</v>
      </c>
      <c r="B27" s="32" t="s">
        <v>1727</v>
      </c>
      <c r="C27" s="32" t="s">
        <v>218</v>
      </c>
      <c r="D27" s="218" t="s">
        <v>2803</v>
      </c>
      <c r="E27" s="24" t="s">
        <v>1700</v>
      </c>
      <c r="F27" s="66" t="s">
        <v>431</v>
      </c>
      <c r="G27" s="66" t="s">
        <v>431</v>
      </c>
      <c r="H27" s="66" t="s">
        <v>125</v>
      </c>
      <c r="I27" s="69">
        <v>6341.9324714580998</v>
      </c>
      <c r="J27" s="60">
        <v>4575</v>
      </c>
      <c r="K27" s="84">
        <v>1109.5083999999999</v>
      </c>
      <c r="L27" s="24">
        <v>8.129766806216458E-5</v>
      </c>
      <c r="M27" s="24">
        <v>5.6614612290964171E-2</v>
      </c>
      <c r="N27" s="32">
        <v>2.085414872276278E-3</v>
      </c>
      <c r="O27" s="14"/>
      <c r="P27" s="14"/>
    </row>
    <row r="28" spans="1:16" x14ac:dyDescent="0.25">
      <c r="A28" s="16" t="s">
        <v>1714</v>
      </c>
      <c r="B28" s="32" t="s">
        <v>1715</v>
      </c>
      <c r="C28" s="32" t="s">
        <v>218</v>
      </c>
      <c r="D28" s="218" t="s">
        <v>2804</v>
      </c>
      <c r="E28" s="24" t="s">
        <v>1700</v>
      </c>
      <c r="F28" s="66" t="s">
        <v>431</v>
      </c>
      <c r="G28" s="66" t="s">
        <v>431</v>
      </c>
      <c r="H28" s="66" t="s">
        <v>126</v>
      </c>
      <c r="I28" s="69">
        <v>857.13490057931995</v>
      </c>
      <c r="J28" s="60">
        <v>15799.89</v>
      </c>
      <c r="K28" s="84">
        <v>548.89662999999996</v>
      </c>
      <c r="L28" s="24">
        <v>1.1788814829883641E-4</v>
      </c>
      <c r="M28" s="24">
        <v>2.8008413361509311E-2</v>
      </c>
      <c r="N28" s="32">
        <v>1.0316976379307532E-3</v>
      </c>
      <c r="O28" s="14"/>
      <c r="P28" s="14"/>
    </row>
    <row r="29" spans="1:16" s="118" customFormat="1" x14ac:dyDescent="0.25">
      <c r="A29" s="92" t="s">
        <v>1705</v>
      </c>
      <c r="B29" s="120" t="s">
        <v>249</v>
      </c>
      <c r="C29" s="120" t="s">
        <v>249</v>
      </c>
      <c r="D29" s="120" t="s">
        <v>249</v>
      </c>
      <c r="E29" s="136" t="s">
        <v>249</v>
      </c>
      <c r="F29" s="121" t="s">
        <v>249</v>
      </c>
      <c r="G29" s="121" t="s">
        <v>249</v>
      </c>
      <c r="H29" s="121" t="s">
        <v>249</v>
      </c>
      <c r="I29" s="134" t="s">
        <v>249</v>
      </c>
      <c r="J29" s="135" t="s">
        <v>249</v>
      </c>
      <c r="K29" s="123">
        <v>0</v>
      </c>
      <c r="L29" s="136"/>
      <c r="M29" s="136">
        <v>0</v>
      </c>
      <c r="N29" s="120">
        <v>0</v>
      </c>
    </row>
    <row r="30" spans="1:16" s="118" customFormat="1" x14ac:dyDescent="0.25">
      <c r="A30" s="92" t="s">
        <v>59</v>
      </c>
      <c r="B30" s="120" t="s">
        <v>249</v>
      </c>
      <c r="C30" s="120" t="s">
        <v>249</v>
      </c>
      <c r="D30" s="120" t="s">
        <v>249</v>
      </c>
      <c r="E30" s="136" t="s">
        <v>249</v>
      </c>
      <c r="F30" s="121" t="s">
        <v>249</v>
      </c>
      <c r="G30" s="121" t="s">
        <v>249</v>
      </c>
      <c r="H30" s="121" t="s">
        <v>249</v>
      </c>
      <c r="I30" s="134" t="s">
        <v>249</v>
      </c>
      <c r="J30" s="135" t="s">
        <v>249</v>
      </c>
      <c r="K30" s="123">
        <v>0</v>
      </c>
      <c r="L30" s="136"/>
      <c r="M30" s="136">
        <v>0</v>
      </c>
      <c r="N30" s="120">
        <v>0</v>
      </c>
    </row>
    <row r="31" spans="1:16" s="118" customFormat="1" x14ac:dyDescent="0.25">
      <c r="A31" s="92" t="s">
        <v>141</v>
      </c>
      <c r="B31" s="120" t="s">
        <v>249</v>
      </c>
      <c r="C31" s="120" t="s">
        <v>249</v>
      </c>
      <c r="D31" s="120" t="s">
        <v>249</v>
      </c>
      <c r="E31" s="136" t="s">
        <v>249</v>
      </c>
      <c r="F31" s="121" t="s">
        <v>249</v>
      </c>
      <c r="G31" s="121" t="s">
        <v>249</v>
      </c>
      <c r="H31" s="121" t="s">
        <v>249</v>
      </c>
      <c r="I31" s="134" t="s">
        <v>249</v>
      </c>
      <c r="J31" s="135" t="s">
        <v>249</v>
      </c>
      <c r="K31" s="123">
        <v>7056.393460100001</v>
      </c>
      <c r="L31" s="136"/>
      <c r="M31" s="136">
        <v>0.36006485387227055</v>
      </c>
      <c r="N31" s="120">
        <v>0</v>
      </c>
    </row>
    <row r="32" spans="1:16" x14ac:dyDescent="0.25">
      <c r="A32" s="16" t="s">
        <v>1730</v>
      </c>
      <c r="B32" s="32" t="s">
        <v>1731</v>
      </c>
      <c r="C32" s="32" t="s">
        <v>218</v>
      </c>
      <c r="D32" s="32" t="s">
        <v>1535</v>
      </c>
      <c r="E32" s="24" t="s">
        <v>188</v>
      </c>
      <c r="F32" s="66" t="s">
        <v>1732</v>
      </c>
      <c r="G32" s="66" t="s">
        <v>267</v>
      </c>
      <c r="H32" s="66" t="s">
        <v>125</v>
      </c>
      <c r="I32" s="69">
        <v>732644.72446734144</v>
      </c>
      <c r="J32" s="60">
        <v>100</v>
      </c>
      <c r="K32" s="84">
        <v>2801.6334200000001</v>
      </c>
      <c r="L32" s="24">
        <v>0</v>
      </c>
      <c r="M32" s="24">
        <v>0.14295825958118749</v>
      </c>
      <c r="N32" s="32">
        <v>5.2659069554897037E-3</v>
      </c>
      <c r="O32" s="14"/>
      <c r="P32" s="14"/>
    </row>
    <row r="33" spans="1:16" x14ac:dyDescent="0.25">
      <c r="A33" s="16" t="s">
        <v>1733</v>
      </c>
      <c r="B33" s="32" t="s">
        <v>1734</v>
      </c>
      <c r="C33" s="32" t="s">
        <v>218</v>
      </c>
      <c r="D33" s="32" t="s">
        <v>1535</v>
      </c>
      <c r="E33" s="24" t="s">
        <v>188</v>
      </c>
      <c r="F33" s="66" t="s">
        <v>1732</v>
      </c>
      <c r="G33" s="66" t="s">
        <v>267</v>
      </c>
      <c r="H33" s="66" t="s">
        <v>125</v>
      </c>
      <c r="I33" s="69">
        <v>549483.53841544059</v>
      </c>
      <c r="J33" s="60">
        <v>100</v>
      </c>
      <c r="K33" s="84">
        <v>2101.2250400000003</v>
      </c>
      <c r="L33" s="24">
        <v>0</v>
      </c>
      <c r="M33" s="24">
        <v>0.10721869341022176</v>
      </c>
      <c r="N33" s="32">
        <v>3.9494301696276638E-3</v>
      </c>
      <c r="O33" s="14"/>
      <c r="P33" s="14"/>
    </row>
    <row r="34" spans="1:16" x14ac:dyDescent="0.25">
      <c r="A34" s="16" t="s">
        <v>1735</v>
      </c>
      <c r="B34" s="32" t="s">
        <v>1736</v>
      </c>
      <c r="C34" s="32" t="s">
        <v>218</v>
      </c>
      <c r="D34" s="218" t="s">
        <v>2805</v>
      </c>
      <c r="E34" s="24" t="s">
        <v>188</v>
      </c>
      <c r="F34" s="66" t="s">
        <v>1732</v>
      </c>
      <c r="G34" s="66" t="s">
        <v>267</v>
      </c>
      <c r="H34" s="66" t="s">
        <v>125</v>
      </c>
      <c r="I34" s="69">
        <v>549483.49962755048</v>
      </c>
      <c r="J34" s="60">
        <v>100</v>
      </c>
      <c r="K34" s="84">
        <v>2101.2248999999997</v>
      </c>
      <c r="L34" s="24">
        <v>0</v>
      </c>
      <c r="M34" s="24">
        <v>0.10721868626647618</v>
      </c>
      <c r="N34" s="32">
        <v>3.9494299064858221E-3</v>
      </c>
      <c r="O34" s="14"/>
      <c r="P34" s="14"/>
    </row>
    <row r="35" spans="1:16" x14ac:dyDescent="0.25">
      <c r="A35" s="16" t="s">
        <v>1737</v>
      </c>
      <c r="B35" s="32" t="s">
        <v>1738</v>
      </c>
      <c r="C35" s="32" t="s">
        <v>218</v>
      </c>
      <c r="D35" s="218" t="s">
        <v>2805</v>
      </c>
      <c r="E35" s="24" t="s">
        <v>188</v>
      </c>
      <c r="F35" s="66" t="s">
        <v>364</v>
      </c>
      <c r="G35" s="66" t="s">
        <v>267</v>
      </c>
      <c r="H35" s="66" t="s">
        <v>126</v>
      </c>
      <c r="I35" s="69">
        <v>1.0560075133703</v>
      </c>
      <c r="J35" s="60">
        <v>988410</v>
      </c>
      <c r="K35" s="84">
        <v>42.30498</v>
      </c>
      <c r="L35" s="24">
        <v>5.8293777203999718E-7</v>
      </c>
      <c r="M35" s="24">
        <v>2.1586858113710485E-3</v>
      </c>
      <c r="N35" s="32">
        <v>7.9515787769926291E-5</v>
      </c>
      <c r="O35" s="14"/>
      <c r="P35" s="14"/>
    </row>
    <row r="36" spans="1:16" x14ac:dyDescent="0.25">
      <c r="A36" s="16" t="s">
        <v>1739</v>
      </c>
      <c r="B36" s="32" t="s">
        <v>1740</v>
      </c>
      <c r="C36" s="32" t="s">
        <v>218</v>
      </c>
      <c r="D36" s="32" t="s">
        <v>1535</v>
      </c>
      <c r="E36" s="24" t="s">
        <v>188</v>
      </c>
      <c r="F36" s="66" t="s">
        <v>1578</v>
      </c>
      <c r="G36" s="66" t="s">
        <v>368</v>
      </c>
      <c r="H36" s="66" t="s">
        <v>2</v>
      </c>
      <c r="I36" s="69">
        <v>2138.8056438510348</v>
      </c>
      <c r="J36" s="60">
        <v>100</v>
      </c>
      <c r="K36" s="84">
        <v>10.005120000000002</v>
      </c>
      <c r="L36" s="24">
        <v>0</v>
      </c>
      <c r="M36" s="24">
        <v>5.1052879791137369E-4</v>
      </c>
      <c r="N36" s="32">
        <v>1.8805469203215439E-5</v>
      </c>
      <c r="O36" s="14"/>
      <c r="P36" s="14"/>
    </row>
    <row r="37" spans="1:16" s="118" customFormat="1" x14ac:dyDescent="0.25">
      <c r="A37" s="78" t="s">
        <v>241</v>
      </c>
      <c r="B37" s="124"/>
      <c r="C37" s="124"/>
      <c r="D37" s="124"/>
      <c r="E37" s="124"/>
      <c r="F37" s="125"/>
      <c r="G37" s="125"/>
      <c r="H37" s="125"/>
      <c r="I37" s="126"/>
      <c r="J37" s="127"/>
      <c r="K37" s="128"/>
      <c r="L37" s="128"/>
      <c r="M37" s="128"/>
      <c r="N37" s="128"/>
      <c r="O37" s="129"/>
      <c r="P37" s="129"/>
    </row>
    <row r="38" spans="1:16" s="118" customFormat="1" x14ac:dyDescent="0.25">
      <c r="A38" s="78" t="s">
        <v>242</v>
      </c>
      <c r="B38" s="124"/>
      <c r="C38" s="124"/>
      <c r="D38" s="124"/>
      <c r="E38" s="124"/>
      <c r="F38" s="125"/>
      <c r="G38" s="125"/>
      <c r="H38" s="125"/>
      <c r="I38" s="126"/>
      <c r="J38" s="127"/>
      <c r="K38" s="128"/>
      <c r="L38" s="128"/>
      <c r="M38" s="128"/>
      <c r="N38" s="128"/>
      <c r="O38" s="129"/>
      <c r="P38" s="129"/>
    </row>
    <row r="39" spans="1:16" s="118" customFormat="1" x14ac:dyDescent="0.25">
      <c r="A39" s="78" t="s">
        <v>243</v>
      </c>
      <c r="B39" s="124"/>
      <c r="C39" s="124"/>
      <c r="D39" s="124"/>
      <c r="E39" s="124"/>
      <c r="F39" s="125"/>
      <c r="G39" s="125"/>
      <c r="H39" s="125"/>
      <c r="I39" s="126"/>
      <c r="J39" s="127"/>
      <c r="K39" s="128"/>
      <c r="L39" s="128"/>
      <c r="M39" s="128"/>
      <c r="N39" s="128"/>
      <c r="O39" s="129"/>
      <c r="P39" s="129"/>
    </row>
    <row r="40" spans="1:16" s="118" customFormat="1" x14ac:dyDescent="0.25">
      <c r="A40" s="78" t="s">
        <v>244</v>
      </c>
      <c r="B40" s="124"/>
      <c r="C40" s="124"/>
      <c r="D40" s="124"/>
      <c r="E40" s="124"/>
      <c r="F40" s="125"/>
      <c r="G40" s="125"/>
      <c r="H40" s="125"/>
      <c r="I40" s="126"/>
      <c r="J40" s="127"/>
      <c r="K40" s="128"/>
      <c r="L40" s="128"/>
      <c r="M40" s="128"/>
      <c r="N40" s="128"/>
      <c r="O40" s="129"/>
      <c r="P40" s="129"/>
    </row>
    <row r="41" spans="1:16" s="118" customFormat="1" x14ac:dyDescent="0.25">
      <c r="A41" s="78" t="s">
        <v>245</v>
      </c>
      <c r="B41" s="124"/>
      <c r="C41" s="124"/>
      <c r="D41" s="124"/>
      <c r="E41" s="124"/>
      <c r="F41" s="125"/>
      <c r="G41" s="125"/>
      <c r="H41" s="125"/>
      <c r="I41" s="126"/>
      <c r="J41" s="127"/>
      <c r="K41" s="128"/>
      <c r="L41" s="128"/>
      <c r="M41" s="128"/>
      <c r="N41" s="128"/>
      <c r="O41" s="129"/>
      <c r="P41" s="129"/>
    </row>
  </sheetData>
  <mergeCells count="2">
    <mergeCell ref="A5:N5"/>
    <mergeCell ref="A4:N4"/>
  </mergeCells>
  <phoneticPr fontId="3" type="noConversion"/>
  <conditionalFormatting sqref="A9:A36 K9:K36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36 M9:N36">
    <cfRule type="expression" dxfId="97" priority="163" stopIfTrue="1">
      <formula>OR(LEFT(#REF!,3)="TIR",LEFT(#REF!,2)="IR")</formula>
    </cfRule>
  </conditionalFormatting>
  <conditionalFormatting sqref="C9:D36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36 L9:L36 J37:J55571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0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30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23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55</v>
      </c>
      <c r="B9" s="70"/>
      <c r="C9" s="70"/>
      <c r="D9" s="70"/>
      <c r="E9" s="149"/>
      <c r="F9" s="154"/>
      <c r="G9" s="149"/>
      <c r="H9" s="152">
        <v>14.477570200000001</v>
      </c>
      <c r="I9" s="70"/>
      <c r="J9" s="83">
        <v>1</v>
      </c>
      <c r="K9" s="82">
        <v>2.7211817602736356E-5</v>
      </c>
    </row>
    <row r="10" spans="1:16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14.477570099999999</v>
      </c>
      <c r="I10" s="120" t="s">
        <v>249</v>
      </c>
      <c r="J10" s="120">
        <v>0.99999999309276355</v>
      </c>
      <c r="K10" s="120">
        <v>2.7211817414777895E-5</v>
      </c>
    </row>
    <row r="11" spans="1:16" s="118" customFormat="1" x14ac:dyDescent="0.25">
      <c r="A11" s="92" t="s">
        <v>1741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21" t="s">
        <v>249</v>
      </c>
      <c r="H11" s="123">
        <v>14.477570099999999</v>
      </c>
      <c r="I11" s="136"/>
      <c r="J11" s="120">
        <v>0.99999999309276355</v>
      </c>
      <c r="K11" s="120">
        <v>2.7211817414777895E-5</v>
      </c>
    </row>
    <row r="12" spans="1:16" x14ac:dyDescent="0.25">
      <c r="A12" s="16" t="s">
        <v>1742</v>
      </c>
      <c r="B12" s="116" t="s">
        <v>1743</v>
      </c>
      <c r="C12" s="116" t="s">
        <v>377</v>
      </c>
      <c r="D12" s="116" t="s">
        <v>225</v>
      </c>
      <c r="E12" s="116" t="s">
        <v>255</v>
      </c>
      <c r="F12" s="69">
        <v>5254.8294276508605</v>
      </c>
      <c r="G12" s="66">
        <v>263.39999999999998</v>
      </c>
      <c r="H12" s="84">
        <v>13.84122</v>
      </c>
      <c r="I12" s="24">
        <v>4.8610818017121742E-4</v>
      </c>
      <c r="J12" s="32">
        <v>0.9560457872965451</v>
      </c>
      <c r="K12" s="32">
        <v>2.6015743583778062E-5</v>
      </c>
      <c r="L12" s="14"/>
      <c r="M12" s="14"/>
      <c r="N12" s="14"/>
      <c r="O12" s="14"/>
    </row>
    <row r="13" spans="1:16" x14ac:dyDescent="0.25">
      <c r="A13" s="16" t="s">
        <v>1744</v>
      </c>
      <c r="B13" s="116" t="s">
        <v>1745</v>
      </c>
      <c r="C13" s="116" t="s">
        <v>377</v>
      </c>
      <c r="D13" s="116" t="s">
        <v>225</v>
      </c>
      <c r="E13" s="116" t="s">
        <v>255</v>
      </c>
      <c r="F13" s="69">
        <v>583.26928281108167</v>
      </c>
      <c r="G13" s="66">
        <v>109.1</v>
      </c>
      <c r="H13" s="84">
        <v>0.63634999999999997</v>
      </c>
      <c r="I13" s="24">
        <v>5.9517273756232824E-5</v>
      </c>
      <c r="J13" s="32">
        <v>4.3954198888982075E-2</v>
      </c>
      <c r="K13" s="32">
        <v>1.196073643041377E-6</v>
      </c>
      <c r="L13" s="14"/>
      <c r="M13" s="14"/>
      <c r="N13" s="14"/>
      <c r="O13" s="14"/>
    </row>
    <row r="14" spans="1:16" s="118" customFormat="1" x14ac:dyDescent="0.25">
      <c r="A14" s="92" t="s">
        <v>411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4" t="s">
        <v>249</v>
      </c>
      <c r="G14" s="121" t="s">
        <v>249</v>
      </c>
      <c r="H14" s="123">
        <v>0</v>
      </c>
      <c r="I14" s="136"/>
      <c r="J14" s="120">
        <v>0</v>
      </c>
      <c r="K14" s="120">
        <v>0</v>
      </c>
    </row>
    <row r="15" spans="1:16" s="118" customFormat="1" x14ac:dyDescent="0.25">
      <c r="A15" s="92" t="s">
        <v>1746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4" t="s">
        <v>249</v>
      </c>
      <c r="G15" s="121" t="s">
        <v>249</v>
      </c>
      <c r="H15" s="123">
        <v>0</v>
      </c>
      <c r="I15" s="136"/>
      <c r="J15" s="120">
        <v>0</v>
      </c>
      <c r="K15" s="120">
        <v>0</v>
      </c>
    </row>
    <row r="16" spans="1:16" s="118" customFormat="1" x14ac:dyDescent="0.25">
      <c r="A16" s="78" t="s">
        <v>241</v>
      </c>
      <c r="B16" s="124"/>
      <c r="C16" s="124"/>
      <c r="D16" s="124"/>
      <c r="E16" s="125"/>
      <c r="F16" s="125"/>
      <c r="G16" s="125"/>
      <c r="H16" s="126"/>
      <c r="I16" s="127"/>
      <c r="J16" s="127"/>
      <c r="K16" s="128"/>
      <c r="L16" s="147"/>
      <c r="M16" s="147"/>
      <c r="N16" s="129"/>
      <c r="O16" s="129"/>
    </row>
    <row r="17" spans="1:15" s="118" customFormat="1" x14ac:dyDescent="0.25">
      <c r="A17" s="78" t="s">
        <v>242</v>
      </c>
      <c r="B17" s="124"/>
      <c r="C17" s="124"/>
      <c r="D17" s="124"/>
      <c r="E17" s="125"/>
      <c r="F17" s="125"/>
      <c r="G17" s="125"/>
      <c r="H17" s="126"/>
      <c r="I17" s="127"/>
      <c r="J17" s="127"/>
      <c r="K17" s="128"/>
      <c r="L17" s="147"/>
      <c r="M17" s="147"/>
      <c r="N17" s="129"/>
      <c r="O17" s="129"/>
    </row>
    <row r="18" spans="1:15" s="118" customFormat="1" x14ac:dyDescent="0.25">
      <c r="A18" s="78" t="s">
        <v>243</v>
      </c>
      <c r="B18" s="124"/>
      <c r="C18" s="124"/>
      <c r="D18" s="124"/>
      <c r="E18" s="125"/>
      <c r="F18" s="125"/>
      <c r="G18" s="125"/>
      <c r="H18" s="126"/>
      <c r="I18" s="127"/>
      <c r="J18" s="127"/>
      <c r="K18" s="128"/>
      <c r="L18" s="147"/>
      <c r="M18" s="147"/>
      <c r="N18" s="129"/>
      <c r="O18" s="129"/>
    </row>
    <row r="19" spans="1:15" s="118" customFormat="1" x14ac:dyDescent="0.25">
      <c r="A19" s="78" t="s">
        <v>244</v>
      </c>
      <c r="B19" s="124"/>
      <c r="C19" s="124"/>
      <c r="D19" s="124"/>
      <c r="E19" s="125"/>
      <c r="F19" s="125"/>
      <c r="G19" s="125"/>
      <c r="H19" s="126"/>
      <c r="I19" s="127"/>
      <c r="J19" s="127"/>
      <c r="K19" s="128"/>
      <c r="L19" s="147"/>
      <c r="M19" s="147"/>
      <c r="N19" s="129"/>
      <c r="O19" s="129"/>
    </row>
    <row r="20" spans="1:15" s="118" customFormat="1" x14ac:dyDescent="0.25">
      <c r="A20" s="78" t="s">
        <v>245</v>
      </c>
      <c r="B20" s="124"/>
      <c r="C20" s="124"/>
      <c r="D20" s="124"/>
      <c r="E20" s="125"/>
      <c r="F20" s="125"/>
      <c r="G20" s="125"/>
      <c r="H20" s="126"/>
      <c r="I20" s="127"/>
      <c r="J20" s="127"/>
      <c r="K20" s="128"/>
      <c r="L20" s="147"/>
      <c r="M20" s="147"/>
      <c r="N20" s="129"/>
      <c r="O20" s="129"/>
    </row>
  </sheetData>
  <mergeCells count="2">
    <mergeCell ref="A5:K5"/>
    <mergeCell ref="A4:K4"/>
  </mergeCells>
  <phoneticPr fontId="3" type="noConversion"/>
  <conditionalFormatting sqref="A9:A15 H9:H15">
    <cfRule type="expression" dxfId="93" priority="176" stopIfTrue="1">
      <formula>#REF!&gt;0</formula>
    </cfRule>
  </conditionalFormatting>
  <conditionalFormatting sqref="B10:E15">
    <cfRule type="expression" dxfId="92" priority="179" stopIfTrue="1">
      <formula>LEFT(#REF!,3)="TIR"</formula>
    </cfRule>
  </conditionalFormatting>
  <conditionalFormatting sqref="G10:G15">
    <cfRule type="expression" dxfId="91" priority="178" stopIfTrue="1">
      <formula>LEFT(#REF!,3)="TIR"</formula>
    </cfRule>
  </conditionalFormatting>
  <conditionalFormatting sqref="J10:K15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8.66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8" t="s">
        <v>11</v>
      </c>
      <c r="B4" s="229"/>
      <c r="C4" s="229"/>
      <c r="D4" s="229"/>
      <c r="E4" s="229"/>
      <c r="F4" s="229"/>
      <c r="G4" s="229"/>
      <c r="H4" s="229"/>
      <c r="I4" s="229"/>
      <c r="J4" s="229"/>
      <c r="K4" s="231"/>
      <c r="L4" s="13"/>
      <c r="M4" s="13"/>
      <c r="N4" s="12"/>
      <c r="O4" s="12"/>
      <c r="P4" s="14"/>
    </row>
    <row r="5" spans="1:16" s="7" customFormat="1" x14ac:dyDescent="0.25">
      <c r="A5" s="225" t="s">
        <v>24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205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56</v>
      </c>
      <c r="B9" s="70"/>
      <c r="C9" s="70"/>
      <c r="D9" s="70"/>
      <c r="E9" s="149"/>
      <c r="F9" s="150"/>
      <c r="G9" s="154"/>
      <c r="H9" s="106">
        <v>9.0000000000000007E-7</v>
      </c>
      <c r="I9" s="70"/>
      <c r="J9" s="70">
        <v>1</v>
      </c>
      <c r="K9" s="82">
        <v>0</v>
      </c>
    </row>
    <row r="10" spans="1:16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6" s="118" customFormat="1" x14ac:dyDescent="0.25">
      <c r="A11" s="92" t="s">
        <v>1747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21" t="s">
        <v>249</v>
      </c>
      <c r="H11" s="123">
        <v>0</v>
      </c>
      <c r="I11" s="136"/>
      <c r="J11" s="120">
        <v>0</v>
      </c>
      <c r="K11" s="136">
        <v>0</v>
      </c>
    </row>
    <row r="12" spans="1:16" s="118" customFormat="1" x14ac:dyDescent="0.25">
      <c r="A12" s="92" t="s">
        <v>1748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4" t="s">
        <v>249</v>
      </c>
      <c r="G12" s="121" t="s">
        <v>249</v>
      </c>
      <c r="H12" s="123">
        <v>0</v>
      </c>
      <c r="I12" s="136"/>
      <c r="J12" s="120">
        <v>0</v>
      </c>
      <c r="K12" s="136">
        <v>0</v>
      </c>
    </row>
    <row r="13" spans="1:16" s="118" customFormat="1" x14ac:dyDescent="0.25">
      <c r="A13" s="92" t="s">
        <v>1749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4" t="s">
        <v>249</v>
      </c>
      <c r="G13" s="121" t="s">
        <v>249</v>
      </c>
      <c r="H13" s="123">
        <v>0</v>
      </c>
      <c r="I13" s="136"/>
      <c r="J13" s="120">
        <v>0</v>
      </c>
      <c r="K13" s="136">
        <v>0</v>
      </c>
    </row>
    <row r="14" spans="1:16" s="118" customFormat="1" x14ac:dyDescent="0.25">
      <c r="A14" s="92" t="s">
        <v>141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4" t="s">
        <v>249</v>
      </c>
      <c r="G14" s="121" t="s">
        <v>249</v>
      </c>
      <c r="H14" s="123">
        <v>0</v>
      </c>
      <c r="I14" s="136"/>
      <c r="J14" s="120">
        <v>0</v>
      </c>
      <c r="K14" s="136">
        <v>0</v>
      </c>
    </row>
    <row r="15" spans="1:16" s="118" customFormat="1" x14ac:dyDescent="0.25">
      <c r="A15" s="92" t="s">
        <v>411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4" t="s">
        <v>249</v>
      </c>
      <c r="G15" s="121" t="s">
        <v>249</v>
      </c>
      <c r="H15" s="123">
        <v>0</v>
      </c>
      <c r="I15" s="136"/>
      <c r="J15" s="120">
        <v>0</v>
      </c>
      <c r="K15" s="136">
        <v>0</v>
      </c>
    </row>
    <row r="16" spans="1:16" s="118" customFormat="1" x14ac:dyDescent="0.25">
      <c r="A16" s="92" t="s">
        <v>1747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4" t="s">
        <v>249</v>
      </c>
      <c r="G16" s="121" t="s">
        <v>249</v>
      </c>
      <c r="H16" s="123">
        <v>0</v>
      </c>
      <c r="I16" s="136"/>
      <c r="J16" s="120">
        <v>0</v>
      </c>
      <c r="K16" s="136">
        <v>0</v>
      </c>
    </row>
    <row r="17" spans="1:15" s="118" customFormat="1" x14ac:dyDescent="0.25">
      <c r="A17" s="92" t="s">
        <v>1750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4" t="s">
        <v>249</v>
      </c>
      <c r="G17" s="121" t="s">
        <v>249</v>
      </c>
      <c r="H17" s="123">
        <v>0</v>
      </c>
      <c r="I17" s="136"/>
      <c r="J17" s="120">
        <v>0</v>
      </c>
      <c r="K17" s="136">
        <v>0</v>
      </c>
    </row>
    <row r="18" spans="1:15" s="118" customFormat="1" x14ac:dyDescent="0.25">
      <c r="A18" s="92" t="s">
        <v>1749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4" t="s">
        <v>249</v>
      </c>
      <c r="G18" s="121" t="s">
        <v>249</v>
      </c>
      <c r="H18" s="123">
        <v>0</v>
      </c>
      <c r="I18" s="136"/>
      <c r="J18" s="120">
        <v>0</v>
      </c>
      <c r="K18" s="136">
        <v>0</v>
      </c>
    </row>
    <row r="19" spans="1:15" s="118" customFormat="1" x14ac:dyDescent="0.25">
      <c r="A19" s="92" t="s">
        <v>1751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4" t="s">
        <v>249</v>
      </c>
      <c r="G19" s="121" t="s">
        <v>249</v>
      </c>
      <c r="H19" s="123">
        <v>0</v>
      </c>
      <c r="I19" s="136"/>
      <c r="J19" s="120">
        <v>0</v>
      </c>
      <c r="K19" s="136">
        <v>0</v>
      </c>
    </row>
    <row r="20" spans="1:15" s="118" customFormat="1" x14ac:dyDescent="0.25">
      <c r="A20" s="92" t="s">
        <v>141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4" t="s">
        <v>249</v>
      </c>
      <c r="G20" s="121" t="s">
        <v>249</v>
      </c>
      <c r="H20" s="123">
        <v>0</v>
      </c>
      <c r="I20" s="136"/>
      <c r="J20" s="120">
        <v>0</v>
      </c>
      <c r="K20" s="136">
        <v>0</v>
      </c>
    </row>
    <row r="21" spans="1:15" s="118" customFormat="1" x14ac:dyDescent="0.25">
      <c r="A21" s="78" t="s">
        <v>241</v>
      </c>
      <c r="B21" s="124"/>
      <c r="C21" s="124"/>
      <c r="D21" s="124"/>
      <c r="E21" s="124"/>
      <c r="F21" s="125"/>
      <c r="G21" s="125"/>
      <c r="H21" s="125"/>
      <c r="I21" s="126"/>
      <c r="J21" s="127"/>
      <c r="K21" s="128"/>
      <c r="L21" s="147"/>
      <c r="M21" s="147"/>
      <c r="N21" s="129"/>
      <c r="O21" s="129"/>
    </row>
    <row r="22" spans="1:15" s="118" customFormat="1" x14ac:dyDescent="0.25">
      <c r="A22" s="78" t="s">
        <v>242</v>
      </c>
      <c r="B22" s="124"/>
      <c r="C22" s="124"/>
      <c r="D22" s="124"/>
      <c r="E22" s="124"/>
      <c r="F22" s="125"/>
      <c r="G22" s="125"/>
      <c r="H22" s="125"/>
      <c r="I22" s="126"/>
      <c r="J22" s="127"/>
      <c r="K22" s="128"/>
      <c r="L22" s="147"/>
      <c r="M22" s="147"/>
      <c r="N22" s="129"/>
      <c r="O22" s="129"/>
    </row>
    <row r="23" spans="1:15" s="118" customFormat="1" x14ac:dyDescent="0.25">
      <c r="A23" s="78" t="s">
        <v>243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47"/>
      <c r="M23" s="147"/>
      <c r="N23" s="129"/>
      <c r="O23" s="129"/>
    </row>
    <row r="24" spans="1:15" s="118" customFormat="1" x14ac:dyDescent="0.25">
      <c r="A24" s="78" t="s">
        <v>244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47"/>
      <c r="M24" s="147"/>
      <c r="N24" s="129"/>
      <c r="O24" s="129"/>
    </row>
    <row r="25" spans="1:15" s="118" customFormat="1" x14ac:dyDescent="0.25">
      <c r="A25" s="78" t="s">
        <v>245</v>
      </c>
      <c r="B25" s="124"/>
      <c r="C25" s="124"/>
      <c r="D25" s="124"/>
      <c r="E25" s="124"/>
      <c r="F25" s="125"/>
      <c r="G25" s="125"/>
      <c r="H25" s="125"/>
      <c r="I25" s="126"/>
      <c r="J25" s="127"/>
      <c r="K25" s="128"/>
      <c r="L25" s="147"/>
      <c r="M25" s="147"/>
      <c r="N25" s="129"/>
      <c r="O25" s="129"/>
    </row>
  </sheetData>
  <mergeCells count="2">
    <mergeCell ref="A5:K5"/>
    <mergeCell ref="A4:K4"/>
  </mergeCells>
  <phoneticPr fontId="3" type="noConversion"/>
  <conditionalFormatting sqref="A9:A20 I9:I20">
    <cfRule type="expression" dxfId="89" priority="196" stopIfTrue="1">
      <formula>LEFT(#REF!,3)="TIR"</formula>
    </cfRule>
  </conditionalFormatting>
  <conditionalFormatting sqref="B9:F20 J9:K20">
    <cfRule type="expression" dxfId="88" priority="193" stopIfTrue="1">
      <formula>LEFT(#REF!,3)="TIR"</formula>
    </cfRule>
  </conditionalFormatting>
  <conditionalFormatting sqref="I9:I20 A9:A20">
    <cfRule type="expression" dxfId="87" priority="195" stopIfTrue="1">
      <formula>#REF!&gt;0</formula>
    </cfRule>
  </conditionalFormatting>
  <conditionalFormatting sqref="J1:J3 F9:I20 I21:I55555">
    <cfRule type="expression" dxfId="86" priority="190" stopIfTrue="1">
      <formula>LEFT(#REF!,3)="TIR"</formula>
    </cfRule>
  </conditionalFormatting>
  <conditionalFormatting sqref="J10:K20 H10:H20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9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3"/>
      <c r="N4" s="12"/>
      <c r="O4" s="12"/>
      <c r="P4" s="14"/>
    </row>
    <row r="5" spans="1:16" s="7" customFormat="1" x14ac:dyDescent="0.25">
      <c r="A5" s="225" t="s">
        <v>25</v>
      </c>
      <c r="B5" s="226"/>
      <c r="C5" s="226"/>
      <c r="D5" s="226"/>
      <c r="E5" s="226"/>
      <c r="F5" s="226"/>
      <c r="G5" s="226"/>
      <c r="H5" s="226"/>
      <c r="I5" s="226"/>
      <c r="J5" s="227"/>
      <c r="K5" s="11"/>
      <c r="L5" s="11"/>
    </row>
    <row r="6" spans="1:16" s="7" customFormat="1" x14ac:dyDescent="0.25">
      <c r="A6" s="86" t="s">
        <v>157</v>
      </c>
      <c r="B6" s="204" t="s">
        <v>69</v>
      </c>
      <c r="C6" s="204" t="s">
        <v>76</v>
      </c>
      <c r="D6" s="204" t="s">
        <v>19</v>
      </c>
      <c r="E6" s="204" t="s">
        <v>6</v>
      </c>
      <c r="F6" s="205" t="s">
        <v>67</v>
      </c>
      <c r="G6" s="205" t="s">
        <v>68</v>
      </c>
      <c r="H6" s="205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8" customFormat="1" ht="12.75" customHeight="1" thickBot="1" x14ac:dyDescent="0.3">
      <c r="A9" s="148" t="s">
        <v>62</v>
      </c>
      <c r="B9" s="70"/>
      <c r="C9" s="70"/>
      <c r="D9" s="70"/>
      <c r="E9" s="149"/>
      <c r="F9" s="150"/>
      <c r="G9" s="149"/>
      <c r="H9" s="152">
        <v>2.0000000000000002E-7</v>
      </c>
      <c r="I9" s="70">
        <v>1</v>
      </c>
      <c r="J9" s="82">
        <v>0</v>
      </c>
    </row>
    <row r="10" spans="1:16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2" t="s">
        <v>249</v>
      </c>
      <c r="G10" s="121" t="s">
        <v>249</v>
      </c>
      <c r="H10" s="122">
        <v>0</v>
      </c>
      <c r="I10" s="120">
        <v>0</v>
      </c>
      <c r="J10" s="120">
        <v>0</v>
      </c>
    </row>
    <row r="11" spans="1:16" s="118" customFormat="1" x14ac:dyDescent="0.25">
      <c r="A11" s="92" t="s">
        <v>411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4" t="s">
        <v>249</v>
      </c>
      <c r="G11" s="135" t="s">
        <v>249</v>
      </c>
      <c r="H11" s="123">
        <v>0</v>
      </c>
      <c r="I11" s="120">
        <v>0</v>
      </c>
      <c r="J11" s="120">
        <v>0</v>
      </c>
    </row>
    <row r="12" spans="1:16" s="118" customFormat="1" x14ac:dyDescent="0.25">
      <c r="A12" s="78" t="s">
        <v>241</v>
      </c>
      <c r="B12" s="124"/>
      <c r="C12" s="78"/>
      <c r="D12" s="78"/>
      <c r="E12" s="125"/>
      <c r="F12" s="145"/>
      <c r="G12" s="145"/>
      <c r="H12" s="146"/>
      <c r="I12" s="146"/>
      <c r="J12" s="129"/>
      <c r="K12" s="147"/>
      <c r="L12" s="147"/>
      <c r="M12" s="147"/>
      <c r="N12" s="129"/>
      <c r="O12" s="129"/>
    </row>
    <row r="13" spans="1:16" s="118" customFormat="1" x14ac:dyDescent="0.25">
      <c r="A13" s="78" t="s">
        <v>242</v>
      </c>
      <c r="B13" s="124"/>
      <c r="C13" s="78"/>
      <c r="D13" s="78"/>
      <c r="E13" s="125"/>
      <c r="F13" s="145"/>
      <c r="G13" s="145"/>
      <c r="H13" s="146"/>
      <c r="I13" s="146"/>
      <c r="J13" s="129"/>
      <c r="K13" s="147"/>
      <c r="L13" s="147"/>
      <c r="M13" s="147"/>
      <c r="N13" s="129"/>
      <c r="O13" s="129"/>
    </row>
    <row r="14" spans="1:16" s="118" customFormat="1" x14ac:dyDescent="0.25">
      <c r="A14" s="78" t="s">
        <v>243</v>
      </c>
      <c r="B14" s="124"/>
      <c r="C14" s="78"/>
      <c r="D14" s="78"/>
      <c r="E14" s="125"/>
      <c r="F14" s="145"/>
      <c r="G14" s="145"/>
      <c r="H14" s="146"/>
      <c r="I14" s="146"/>
      <c r="J14" s="129"/>
      <c r="K14" s="147"/>
      <c r="L14" s="147"/>
      <c r="M14" s="147"/>
      <c r="N14" s="129"/>
      <c r="O14" s="129"/>
    </row>
    <row r="15" spans="1:16" s="118" customFormat="1" x14ac:dyDescent="0.25">
      <c r="A15" s="78" t="s">
        <v>244</v>
      </c>
      <c r="B15" s="124"/>
      <c r="C15" s="78"/>
      <c r="D15" s="78"/>
      <c r="E15" s="125"/>
      <c r="F15" s="145"/>
      <c r="G15" s="145"/>
      <c r="H15" s="146"/>
      <c r="I15" s="146"/>
      <c r="J15" s="129"/>
      <c r="K15" s="147"/>
      <c r="L15" s="147"/>
      <c r="M15" s="147"/>
      <c r="N15" s="129"/>
      <c r="O15" s="129"/>
    </row>
    <row r="16" spans="1:16" s="118" customFormat="1" x14ac:dyDescent="0.25">
      <c r="A16" s="78" t="s">
        <v>245</v>
      </c>
      <c r="B16" s="124"/>
      <c r="C16" s="78"/>
      <c r="D16" s="78"/>
      <c r="E16" s="125"/>
      <c r="F16" s="145"/>
      <c r="G16" s="145"/>
      <c r="H16" s="146"/>
      <c r="I16" s="146"/>
      <c r="J16" s="129"/>
      <c r="K16" s="147"/>
      <c r="L16" s="147"/>
      <c r="M16" s="147"/>
      <c r="N16" s="129"/>
      <c r="O16" s="129"/>
    </row>
  </sheetData>
  <mergeCells count="2">
    <mergeCell ref="A5:J5"/>
    <mergeCell ref="A4:J4"/>
  </mergeCells>
  <phoneticPr fontId="3" type="noConversion"/>
  <conditionalFormatting sqref="B9:E11 I9:J11">
    <cfRule type="expression" dxfId="84" priority="219" stopIfTrue="1">
      <formula>LEFT(#REF!,3)="TIR"</formula>
    </cfRule>
  </conditionalFormatting>
  <conditionalFormatting sqref="H9:I9 A9:A11 I10:I11">
    <cfRule type="expression" dxfId="83" priority="222" stopIfTrue="1">
      <formula>LEFT(#REF!,3)="TIR"</formula>
    </cfRule>
  </conditionalFormatting>
  <conditionalFormatting sqref="H9:I9 I10:I11 A9:A11">
    <cfRule type="expression" dxfId="82" priority="221" stopIfTrue="1">
      <formula>#REF!&gt;0</formula>
    </cfRule>
  </conditionalFormatting>
  <conditionalFormatting sqref="H10:I11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11 J12:J55546">
    <cfRule type="expression" dxfId="79" priority="216" stopIfTrue="1">
      <formula>LEFT(#REF!,3)="TIR"</formula>
    </cfRule>
  </conditionalFormatting>
  <conditionalFormatting sqref="J10:J11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26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7"/>
      <c r="C9" s="67"/>
      <c r="D9" s="100"/>
      <c r="E9" s="100"/>
      <c r="F9" s="100"/>
      <c r="G9" s="100"/>
      <c r="H9" s="100"/>
      <c r="I9" s="67"/>
      <c r="J9" s="67"/>
      <c r="K9" s="101"/>
      <c r="L9" s="100"/>
      <c r="M9" s="104">
        <v>1.2000000000000002E-6</v>
      </c>
      <c r="N9" s="67"/>
      <c r="O9" s="67">
        <v>1</v>
      </c>
      <c r="P9" s="81">
        <v>0</v>
      </c>
    </row>
    <row r="10" spans="1:16" s="118" customFormat="1" x14ac:dyDescent="0.25">
      <c r="A10" s="91" t="s">
        <v>137</v>
      </c>
      <c r="B10" s="130" t="s">
        <v>249</v>
      </c>
      <c r="C10" s="130" t="s">
        <v>249</v>
      </c>
      <c r="D10" s="130" t="s">
        <v>249</v>
      </c>
      <c r="E10" s="130" t="s">
        <v>249</v>
      </c>
      <c r="F10" s="130" t="s">
        <v>249</v>
      </c>
      <c r="G10" s="131" t="s">
        <v>249</v>
      </c>
      <c r="H10" s="131" t="s">
        <v>249</v>
      </c>
      <c r="I10" s="130" t="s">
        <v>249</v>
      </c>
      <c r="J10" s="130" t="s">
        <v>249</v>
      </c>
      <c r="K10" s="132" t="s">
        <v>249</v>
      </c>
      <c r="L10" s="121" t="s">
        <v>249</v>
      </c>
      <c r="M10" s="122">
        <v>0</v>
      </c>
      <c r="N10" s="120" t="s">
        <v>249</v>
      </c>
      <c r="O10" s="120">
        <v>0</v>
      </c>
      <c r="P10" s="120">
        <v>0</v>
      </c>
    </row>
    <row r="11" spans="1:16" s="118" customFormat="1" x14ac:dyDescent="0.25">
      <c r="A11" s="92" t="s">
        <v>1752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30" t="s">
        <v>249</v>
      </c>
      <c r="G11" s="131" t="s">
        <v>249</v>
      </c>
      <c r="H11" s="131" t="s">
        <v>249</v>
      </c>
      <c r="I11" s="130" t="s">
        <v>249</v>
      </c>
      <c r="J11" s="130" t="s">
        <v>249</v>
      </c>
      <c r="K11" s="134" t="s">
        <v>249</v>
      </c>
      <c r="L11" s="135" t="s">
        <v>249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2" t="s">
        <v>1753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30" t="s">
        <v>249</v>
      </c>
      <c r="G12" s="131" t="s">
        <v>249</v>
      </c>
      <c r="H12" s="131" t="s">
        <v>249</v>
      </c>
      <c r="I12" s="130" t="s">
        <v>249</v>
      </c>
      <c r="J12" s="130" t="s">
        <v>249</v>
      </c>
      <c r="K12" s="134" t="s">
        <v>249</v>
      </c>
      <c r="L12" s="135" t="s">
        <v>249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2" t="s">
        <v>1754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30" t="s">
        <v>249</v>
      </c>
      <c r="G13" s="131" t="s">
        <v>249</v>
      </c>
      <c r="H13" s="131" t="s">
        <v>249</v>
      </c>
      <c r="I13" s="130" t="s">
        <v>249</v>
      </c>
      <c r="J13" s="130" t="s">
        <v>249</v>
      </c>
      <c r="K13" s="134" t="s">
        <v>249</v>
      </c>
      <c r="L13" s="135" t="s">
        <v>249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2" t="s">
        <v>1755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30" t="s">
        <v>249</v>
      </c>
      <c r="G14" s="131" t="s">
        <v>249</v>
      </c>
      <c r="H14" s="131" t="s">
        <v>249</v>
      </c>
      <c r="I14" s="130" t="s">
        <v>249</v>
      </c>
      <c r="J14" s="130" t="s">
        <v>249</v>
      </c>
      <c r="K14" s="134" t="s">
        <v>249</v>
      </c>
      <c r="L14" s="135" t="s">
        <v>249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2" t="s">
        <v>1756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30" t="s">
        <v>249</v>
      </c>
      <c r="G15" s="131" t="s">
        <v>249</v>
      </c>
      <c r="H15" s="131" t="s">
        <v>249</v>
      </c>
      <c r="I15" s="130" t="s">
        <v>249</v>
      </c>
      <c r="J15" s="130" t="s">
        <v>249</v>
      </c>
      <c r="K15" s="134" t="s">
        <v>249</v>
      </c>
      <c r="L15" s="135" t="s">
        <v>249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2" t="s">
        <v>1757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30" t="s">
        <v>249</v>
      </c>
      <c r="G16" s="131" t="s">
        <v>249</v>
      </c>
      <c r="H16" s="131" t="s">
        <v>249</v>
      </c>
      <c r="I16" s="130" t="s">
        <v>249</v>
      </c>
      <c r="J16" s="130" t="s">
        <v>249</v>
      </c>
      <c r="K16" s="134" t="s">
        <v>249</v>
      </c>
      <c r="L16" s="135" t="s">
        <v>249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2" t="s">
        <v>1758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30" t="s">
        <v>249</v>
      </c>
      <c r="G17" s="131" t="s">
        <v>249</v>
      </c>
      <c r="H17" s="131" t="s">
        <v>249</v>
      </c>
      <c r="I17" s="130" t="s">
        <v>249</v>
      </c>
      <c r="J17" s="130" t="s">
        <v>249</v>
      </c>
      <c r="K17" s="134" t="s">
        <v>249</v>
      </c>
      <c r="L17" s="135" t="s">
        <v>249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2" t="s">
        <v>411</v>
      </c>
      <c r="B18" s="130" t="s">
        <v>249</v>
      </c>
      <c r="C18" s="130" t="s">
        <v>249</v>
      </c>
      <c r="D18" s="130" t="s">
        <v>249</v>
      </c>
      <c r="E18" s="130" t="s">
        <v>249</v>
      </c>
      <c r="F18" s="130" t="s">
        <v>249</v>
      </c>
      <c r="G18" s="131" t="s">
        <v>249</v>
      </c>
      <c r="H18" s="131" t="s">
        <v>249</v>
      </c>
      <c r="I18" s="130" t="s">
        <v>249</v>
      </c>
      <c r="J18" s="130" t="s">
        <v>249</v>
      </c>
      <c r="K18" s="134" t="s">
        <v>249</v>
      </c>
      <c r="L18" s="135" t="s">
        <v>249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2" t="s">
        <v>1759</v>
      </c>
      <c r="B19" s="130" t="s">
        <v>249</v>
      </c>
      <c r="C19" s="130" t="s">
        <v>249</v>
      </c>
      <c r="D19" s="130" t="s">
        <v>249</v>
      </c>
      <c r="E19" s="130" t="s">
        <v>249</v>
      </c>
      <c r="F19" s="130" t="s">
        <v>249</v>
      </c>
      <c r="G19" s="131" t="s">
        <v>249</v>
      </c>
      <c r="H19" s="131" t="s">
        <v>249</v>
      </c>
      <c r="I19" s="130" t="s">
        <v>249</v>
      </c>
      <c r="J19" s="130" t="s">
        <v>249</v>
      </c>
      <c r="K19" s="134" t="s">
        <v>249</v>
      </c>
      <c r="L19" s="135" t="s">
        <v>249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2" t="s">
        <v>1760</v>
      </c>
      <c r="B20" s="130" t="s">
        <v>249</v>
      </c>
      <c r="C20" s="130" t="s">
        <v>249</v>
      </c>
      <c r="D20" s="130" t="s">
        <v>249</v>
      </c>
      <c r="E20" s="130" t="s">
        <v>249</v>
      </c>
      <c r="F20" s="130" t="s">
        <v>249</v>
      </c>
      <c r="G20" s="131" t="s">
        <v>249</v>
      </c>
      <c r="H20" s="131" t="s">
        <v>249</v>
      </c>
      <c r="I20" s="130" t="s">
        <v>249</v>
      </c>
      <c r="J20" s="130" t="s">
        <v>249</v>
      </c>
      <c r="K20" s="134" t="s">
        <v>249</v>
      </c>
      <c r="L20" s="135" t="s">
        <v>249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2" t="s">
        <v>1761</v>
      </c>
      <c r="B21" s="130" t="s">
        <v>249</v>
      </c>
      <c r="C21" s="130" t="s">
        <v>249</v>
      </c>
      <c r="D21" s="130" t="s">
        <v>249</v>
      </c>
      <c r="E21" s="130" t="s">
        <v>249</v>
      </c>
      <c r="F21" s="130" t="s">
        <v>249</v>
      </c>
      <c r="G21" s="131" t="s">
        <v>249</v>
      </c>
      <c r="H21" s="131" t="s">
        <v>249</v>
      </c>
      <c r="I21" s="130" t="s">
        <v>249</v>
      </c>
      <c r="J21" s="130" t="s">
        <v>249</v>
      </c>
      <c r="K21" s="134" t="s">
        <v>249</v>
      </c>
      <c r="L21" s="135" t="s">
        <v>249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2" t="s">
        <v>1755</v>
      </c>
      <c r="B22" s="130" t="s">
        <v>249</v>
      </c>
      <c r="C22" s="130" t="s">
        <v>249</v>
      </c>
      <c r="D22" s="130" t="s">
        <v>249</v>
      </c>
      <c r="E22" s="130" t="s">
        <v>249</v>
      </c>
      <c r="F22" s="130" t="s">
        <v>249</v>
      </c>
      <c r="G22" s="131" t="s">
        <v>249</v>
      </c>
      <c r="H22" s="131" t="s">
        <v>249</v>
      </c>
      <c r="I22" s="130" t="s">
        <v>249</v>
      </c>
      <c r="J22" s="130" t="s">
        <v>249</v>
      </c>
      <c r="K22" s="134" t="s">
        <v>249</v>
      </c>
      <c r="L22" s="135" t="s">
        <v>249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2" t="s">
        <v>1756</v>
      </c>
      <c r="B23" s="130" t="s">
        <v>249</v>
      </c>
      <c r="C23" s="130" t="s">
        <v>249</v>
      </c>
      <c r="D23" s="130" t="s">
        <v>249</v>
      </c>
      <c r="E23" s="130" t="s">
        <v>249</v>
      </c>
      <c r="F23" s="130" t="s">
        <v>249</v>
      </c>
      <c r="G23" s="131" t="s">
        <v>249</v>
      </c>
      <c r="H23" s="131" t="s">
        <v>249</v>
      </c>
      <c r="I23" s="130" t="s">
        <v>249</v>
      </c>
      <c r="J23" s="130" t="s">
        <v>249</v>
      </c>
      <c r="K23" s="134" t="s">
        <v>249</v>
      </c>
      <c r="L23" s="135" t="s">
        <v>249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2" t="s">
        <v>1757</v>
      </c>
      <c r="B24" s="130" t="s">
        <v>249</v>
      </c>
      <c r="C24" s="130" t="s">
        <v>249</v>
      </c>
      <c r="D24" s="130" t="s">
        <v>249</v>
      </c>
      <c r="E24" s="130" t="s">
        <v>249</v>
      </c>
      <c r="F24" s="130" t="s">
        <v>249</v>
      </c>
      <c r="G24" s="131" t="s">
        <v>249</v>
      </c>
      <c r="H24" s="131" t="s">
        <v>249</v>
      </c>
      <c r="I24" s="130" t="s">
        <v>249</v>
      </c>
      <c r="J24" s="130" t="s">
        <v>249</v>
      </c>
      <c r="K24" s="134" t="s">
        <v>249</v>
      </c>
      <c r="L24" s="135" t="s">
        <v>249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2" t="s">
        <v>1758</v>
      </c>
      <c r="B25" s="130" t="s">
        <v>249</v>
      </c>
      <c r="C25" s="130" t="s">
        <v>249</v>
      </c>
      <c r="D25" s="130" t="s">
        <v>249</v>
      </c>
      <c r="E25" s="130" t="s">
        <v>249</v>
      </c>
      <c r="F25" s="130" t="s">
        <v>249</v>
      </c>
      <c r="G25" s="131" t="s">
        <v>249</v>
      </c>
      <c r="H25" s="131" t="s">
        <v>249</v>
      </c>
      <c r="I25" s="130" t="s">
        <v>249</v>
      </c>
      <c r="J25" s="130" t="s">
        <v>249</v>
      </c>
      <c r="K25" s="134" t="s">
        <v>249</v>
      </c>
      <c r="L25" s="135" t="s">
        <v>249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8" t="s">
        <v>241</v>
      </c>
      <c r="B26" s="124"/>
      <c r="C26" s="78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8" t="s">
        <v>242</v>
      </c>
      <c r="B27" s="124"/>
      <c r="C27" s="78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8" t="s">
        <v>243</v>
      </c>
      <c r="B28" s="124"/>
      <c r="C28" s="78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8" t="s">
        <v>244</v>
      </c>
      <c r="B29" s="124"/>
      <c r="C29" s="78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8" t="s">
        <v>245</v>
      </c>
      <c r="B30" s="124"/>
      <c r="C30" s="78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77" priority="235" stopIfTrue="1">
      <formula>#REF!&gt;0</formula>
    </cfRule>
  </conditionalFormatting>
  <conditionalFormatting sqref="B10:J25">
    <cfRule type="expression" dxfId="76" priority="237" stopIfTrue="1">
      <formula>LEFT(#REF!,3)="TIR"</formula>
    </cfRule>
  </conditionalFormatting>
  <conditionalFormatting sqref="O10:P25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4"/>
    </row>
    <row r="5" spans="1:15" s="7" customFormat="1" x14ac:dyDescent="0.25">
      <c r="A5" s="225" t="s">
        <v>12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7"/>
    </row>
    <row r="6" spans="1:15" s="7" customFormat="1" ht="31.5" customHeight="1" x14ac:dyDescent="0.25">
      <c r="A6" s="86" t="s">
        <v>157</v>
      </c>
      <c r="B6" s="204" t="s">
        <v>69</v>
      </c>
      <c r="C6" s="204" t="s">
        <v>70</v>
      </c>
      <c r="D6" s="204" t="s">
        <v>5</v>
      </c>
      <c r="E6" s="204" t="s">
        <v>13</v>
      </c>
      <c r="F6" s="204" t="s">
        <v>14</v>
      </c>
      <c r="G6" s="204" t="s">
        <v>6</v>
      </c>
      <c r="H6" s="205" t="s">
        <v>66</v>
      </c>
      <c r="I6" s="205" t="s">
        <v>71</v>
      </c>
      <c r="J6" s="205" t="s">
        <v>67</v>
      </c>
      <c r="K6" s="205" t="s">
        <v>68</v>
      </c>
      <c r="L6" s="205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8" customFormat="1" ht="12.75" customHeight="1" thickBot="1" x14ac:dyDescent="0.3">
      <c r="A9" s="72" t="s">
        <v>52</v>
      </c>
      <c r="B9" s="119" t="s">
        <v>249</v>
      </c>
      <c r="C9" s="119"/>
      <c r="D9" s="119"/>
      <c r="E9" s="119" t="s">
        <v>249</v>
      </c>
      <c r="F9" s="119" t="s">
        <v>249</v>
      </c>
      <c r="G9" s="119" t="s">
        <v>249</v>
      </c>
      <c r="H9" s="119" t="s">
        <v>249</v>
      </c>
      <c r="I9" s="119" t="s">
        <v>249</v>
      </c>
      <c r="J9" s="155" t="s">
        <v>249</v>
      </c>
      <c r="K9" s="119" t="s">
        <v>249</v>
      </c>
      <c r="L9" s="80">
        <v>6.9999999999999997E-7</v>
      </c>
      <c r="M9" s="119" t="s">
        <v>249</v>
      </c>
      <c r="N9" s="105">
        <v>1</v>
      </c>
      <c r="O9" s="58">
        <v>0</v>
      </c>
    </row>
    <row r="10" spans="1:15" s="118" customFormat="1" x14ac:dyDescent="0.25">
      <c r="A10" s="91" t="s">
        <v>137</v>
      </c>
      <c r="B10" s="120" t="s">
        <v>249</v>
      </c>
      <c r="C10" s="142" t="s">
        <v>249</v>
      </c>
      <c r="D10" s="142" t="s">
        <v>249</v>
      </c>
      <c r="E10" s="142" t="s">
        <v>249</v>
      </c>
      <c r="F10" s="142" t="s">
        <v>249</v>
      </c>
      <c r="G10" s="142" t="s">
        <v>249</v>
      </c>
      <c r="H10" s="156" t="s">
        <v>249</v>
      </c>
      <c r="I10" s="156" t="s">
        <v>249</v>
      </c>
      <c r="J10" s="141" t="s">
        <v>249</v>
      </c>
      <c r="K10" s="142" t="s">
        <v>249</v>
      </c>
      <c r="L10" s="122">
        <v>0</v>
      </c>
      <c r="M10" s="156" t="s">
        <v>249</v>
      </c>
      <c r="N10" s="120">
        <v>0</v>
      </c>
      <c r="O10" s="120">
        <v>0</v>
      </c>
    </row>
    <row r="11" spans="1:15" s="118" customFormat="1" x14ac:dyDescent="0.25">
      <c r="A11" s="92" t="s">
        <v>1762</v>
      </c>
      <c r="B11" s="120" t="s">
        <v>249</v>
      </c>
      <c r="C11" s="144" t="s">
        <v>249</v>
      </c>
      <c r="D11" s="144" t="s">
        <v>249</v>
      </c>
      <c r="E11" s="144" t="s">
        <v>249</v>
      </c>
      <c r="F11" s="144" t="s">
        <v>249</v>
      </c>
      <c r="G11" s="144" t="s">
        <v>249</v>
      </c>
      <c r="H11" s="157" t="s">
        <v>249</v>
      </c>
      <c r="I11" s="157" t="s">
        <v>249</v>
      </c>
      <c r="J11" s="143" t="s">
        <v>249</v>
      </c>
      <c r="K11" s="144" t="s">
        <v>249</v>
      </c>
      <c r="L11" s="123">
        <v>0</v>
      </c>
      <c r="M11" s="157"/>
      <c r="N11" s="136">
        <v>0</v>
      </c>
      <c r="O11" s="136">
        <v>0</v>
      </c>
    </row>
    <row r="12" spans="1:15" s="118" customFormat="1" x14ac:dyDescent="0.25">
      <c r="A12" s="92" t="s">
        <v>1763</v>
      </c>
      <c r="B12" s="120" t="s">
        <v>249</v>
      </c>
      <c r="C12" s="144" t="s">
        <v>249</v>
      </c>
      <c r="D12" s="144" t="s">
        <v>249</v>
      </c>
      <c r="E12" s="144" t="s">
        <v>249</v>
      </c>
      <c r="F12" s="144" t="s">
        <v>249</v>
      </c>
      <c r="G12" s="144" t="s">
        <v>249</v>
      </c>
      <c r="H12" s="157" t="s">
        <v>249</v>
      </c>
      <c r="I12" s="157" t="s">
        <v>249</v>
      </c>
      <c r="J12" s="143" t="s">
        <v>249</v>
      </c>
      <c r="K12" s="144" t="s">
        <v>249</v>
      </c>
      <c r="L12" s="123">
        <v>0</v>
      </c>
      <c r="M12" s="157"/>
      <c r="N12" s="136">
        <v>0</v>
      </c>
      <c r="O12" s="136">
        <v>0</v>
      </c>
    </row>
    <row r="13" spans="1:15" s="118" customFormat="1" x14ac:dyDescent="0.25">
      <c r="A13" s="92" t="s">
        <v>1764</v>
      </c>
      <c r="B13" s="120" t="s">
        <v>249</v>
      </c>
      <c r="C13" s="144" t="s">
        <v>249</v>
      </c>
      <c r="D13" s="144" t="s">
        <v>249</v>
      </c>
      <c r="E13" s="144" t="s">
        <v>249</v>
      </c>
      <c r="F13" s="144" t="s">
        <v>249</v>
      </c>
      <c r="G13" s="144" t="s">
        <v>249</v>
      </c>
      <c r="H13" s="157" t="s">
        <v>249</v>
      </c>
      <c r="I13" s="157" t="s">
        <v>249</v>
      </c>
      <c r="J13" s="143" t="s">
        <v>249</v>
      </c>
      <c r="K13" s="144" t="s">
        <v>249</v>
      </c>
      <c r="L13" s="123">
        <v>0</v>
      </c>
      <c r="M13" s="157"/>
      <c r="N13" s="136">
        <v>0</v>
      </c>
      <c r="O13" s="136">
        <v>0</v>
      </c>
    </row>
    <row r="14" spans="1:15" s="118" customFormat="1" x14ac:dyDescent="0.25">
      <c r="A14" s="92" t="s">
        <v>1765</v>
      </c>
      <c r="B14" s="120" t="s">
        <v>249</v>
      </c>
      <c r="C14" s="144" t="s">
        <v>249</v>
      </c>
      <c r="D14" s="144" t="s">
        <v>249</v>
      </c>
      <c r="E14" s="144" t="s">
        <v>249</v>
      </c>
      <c r="F14" s="144" t="s">
        <v>249</v>
      </c>
      <c r="G14" s="144" t="s">
        <v>249</v>
      </c>
      <c r="H14" s="157" t="s">
        <v>249</v>
      </c>
      <c r="I14" s="157" t="s">
        <v>249</v>
      </c>
      <c r="J14" s="143" t="s">
        <v>249</v>
      </c>
      <c r="K14" s="144" t="s">
        <v>249</v>
      </c>
      <c r="L14" s="123">
        <v>0</v>
      </c>
      <c r="M14" s="157"/>
      <c r="N14" s="136">
        <v>0</v>
      </c>
      <c r="O14" s="136">
        <v>0</v>
      </c>
    </row>
    <row r="15" spans="1:15" s="118" customFormat="1" x14ac:dyDescent="0.25">
      <c r="A15" s="92" t="s">
        <v>218</v>
      </c>
      <c r="B15" s="120" t="s">
        <v>249</v>
      </c>
      <c r="C15" s="144" t="s">
        <v>249</v>
      </c>
      <c r="D15" s="144" t="s">
        <v>249</v>
      </c>
      <c r="E15" s="144" t="s">
        <v>249</v>
      </c>
      <c r="F15" s="144" t="s">
        <v>249</v>
      </c>
      <c r="G15" s="144" t="s">
        <v>249</v>
      </c>
      <c r="H15" s="157" t="s">
        <v>249</v>
      </c>
      <c r="I15" s="157" t="s">
        <v>249</v>
      </c>
      <c r="J15" s="143" t="s">
        <v>249</v>
      </c>
      <c r="K15" s="144" t="s">
        <v>249</v>
      </c>
      <c r="L15" s="123">
        <v>0</v>
      </c>
      <c r="M15" s="157"/>
      <c r="N15" s="136">
        <v>0</v>
      </c>
      <c r="O15" s="136">
        <v>0</v>
      </c>
    </row>
    <row r="16" spans="1:15" s="118" customFormat="1" x14ac:dyDescent="0.25">
      <c r="A16" s="92" t="s">
        <v>411</v>
      </c>
      <c r="B16" s="120" t="s">
        <v>249</v>
      </c>
      <c r="C16" s="144" t="s">
        <v>249</v>
      </c>
      <c r="D16" s="144" t="s">
        <v>249</v>
      </c>
      <c r="E16" s="144" t="s">
        <v>249</v>
      </c>
      <c r="F16" s="144" t="s">
        <v>249</v>
      </c>
      <c r="G16" s="144" t="s">
        <v>249</v>
      </c>
      <c r="H16" s="157" t="s">
        <v>249</v>
      </c>
      <c r="I16" s="157" t="s">
        <v>249</v>
      </c>
      <c r="J16" s="143" t="s">
        <v>249</v>
      </c>
      <c r="K16" s="144" t="s">
        <v>249</v>
      </c>
      <c r="L16" s="123">
        <v>0</v>
      </c>
      <c r="M16" s="157"/>
      <c r="N16" s="136">
        <v>0</v>
      </c>
      <c r="O16" s="136">
        <v>0</v>
      </c>
    </row>
    <row r="17" spans="1:15" s="118" customFormat="1" x14ac:dyDescent="0.25">
      <c r="A17" s="92" t="s">
        <v>1766</v>
      </c>
      <c r="B17" s="120" t="s">
        <v>249</v>
      </c>
      <c r="C17" s="144" t="s">
        <v>249</v>
      </c>
      <c r="D17" s="144" t="s">
        <v>249</v>
      </c>
      <c r="E17" s="144" t="s">
        <v>249</v>
      </c>
      <c r="F17" s="144" t="s">
        <v>249</v>
      </c>
      <c r="G17" s="144" t="s">
        <v>249</v>
      </c>
      <c r="H17" s="157" t="s">
        <v>249</v>
      </c>
      <c r="I17" s="157" t="s">
        <v>249</v>
      </c>
      <c r="J17" s="143" t="s">
        <v>249</v>
      </c>
      <c r="K17" s="144" t="s">
        <v>249</v>
      </c>
      <c r="L17" s="123">
        <v>0</v>
      </c>
      <c r="M17" s="157"/>
      <c r="N17" s="136">
        <v>0</v>
      </c>
      <c r="O17" s="136">
        <v>0</v>
      </c>
    </row>
    <row r="18" spans="1:15" s="118" customFormat="1" x14ac:dyDescent="0.25">
      <c r="A18" s="92" t="s">
        <v>1767</v>
      </c>
      <c r="B18" s="120" t="s">
        <v>249</v>
      </c>
      <c r="C18" s="144" t="s">
        <v>249</v>
      </c>
      <c r="D18" s="144" t="s">
        <v>249</v>
      </c>
      <c r="E18" s="144" t="s">
        <v>249</v>
      </c>
      <c r="F18" s="144" t="s">
        <v>249</v>
      </c>
      <c r="G18" s="144" t="s">
        <v>249</v>
      </c>
      <c r="H18" s="157" t="s">
        <v>249</v>
      </c>
      <c r="I18" s="157" t="s">
        <v>249</v>
      </c>
      <c r="J18" s="143" t="s">
        <v>249</v>
      </c>
      <c r="K18" s="144" t="s">
        <v>249</v>
      </c>
      <c r="L18" s="123">
        <v>0</v>
      </c>
      <c r="M18" s="157"/>
      <c r="N18" s="136">
        <v>0</v>
      </c>
      <c r="O18" s="136">
        <v>0</v>
      </c>
    </row>
    <row r="19" spans="1:15" s="118" customFormat="1" x14ac:dyDescent="0.25">
      <c r="A19" s="78" t="s">
        <v>241</v>
      </c>
      <c r="B19" s="124"/>
      <c r="C19" s="78"/>
      <c r="D19" s="145"/>
      <c r="E19" s="145"/>
      <c r="F19" s="145"/>
      <c r="G19" s="146"/>
      <c r="H19" s="129"/>
      <c r="I19" s="147"/>
      <c r="J19" s="147"/>
      <c r="K19" s="147"/>
      <c r="L19" s="129"/>
      <c r="M19" s="129"/>
      <c r="N19" s="129"/>
    </row>
    <row r="20" spans="1:15" s="118" customFormat="1" x14ac:dyDescent="0.25">
      <c r="A20" s="78" t="s">
        <v>242</v>
      </c>
      <c r="B20" s="124"/>
      <c r="C20" s="78"/>
      <c r="D20" s="145"/>
      <c r="E20" s="145"/>
      <c r="F20" s="145"/>
      <c r="G20" s="146"/>
      <c r="H20" s="129"/>
      <c r="I20" s="147"/>
      <c r="J20" s="147"/>
      <c r="K20" s="147"/>
      <c r="L20" s="129"/>
      <c r="M20" s="129"/>
      <c r="N20" s="129"/>
    </row>
    <row r="21" spans="1:15" s="118" customFormat="1" x14ac:dyDescent="0.25">
      <c r="A21" s="78" t="s">
        <v>243</v>
      </c>
      <c r="B21" s="124"/>
      <c r="C21" s="78"/>
      <c r="D21" s="145"/>
      <c r="E21" s="145"/>
      <c r="F21" s="145"/>
      <c r="G21" s="146"/>
      <c r="H21" s="129"/>
      <c r="I21" s="147"/>
      <c r="J21" s="147"/>
      <c r="K21" s="147"/>
      <c r="L21" s="129"/>
      <c r="M21" s="129"/>
      <c r="N21" s="129"/>
    </row>
    <row r="22" spans="1:15" s="118" customFormat="1" x14ac:dyDescent="0.25">
      <c r="A22" s="78" t="s">
        <v>244</v>
      </c>
      <c r="B22" s="124"/>
      <c r="C22" s="78"/>
      <c r="D22" s="145"/>
      <c r="E22" s="145"/>
      <c r="F22" s="145"/>
      <c r="G22" s="146"/>
      <c r="H22" s="129"/>
      <c r="I22" s="147"/>
      <c r="J22" s="147"/>
      <c r="K22" s="147"/>
      <c r="L22" s="129"/>
      <c r="M22" s="129"/>
      <c r="N22" s="129"/>
    </row>
    <row r="23" spans="1:15" s="118" customFormat="1" x14ac:dyDescent="0.25">
      <c r="A23" s="78" t="s">
        <v>245</v>
      </c>
      <c r="B23" s="124"/>
      <c r="C23" s="78"/>
      <c r="D23" s="145"/>
      <c r="E23" s="145"/>
      <c r="F23" s="145"/>
      <c r="G23" s="146"/>
      <c r="H23" s="129"/>
      <c r="I23" s="147"/>
      <c r="J23" s="147"/>
      <c r="K23" s="147"/>
      <c r="L23" s="129"/>
      <c r="M23" s="129"/>
      <c r="N23" s="129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18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0"/>
      <c r="G9" s="138" t="s">
        <v>249</v>
      </c>
      <c r="H9" s="138" t="s">
        <v>249</v>
      </c>
      <c r="I9" s="138" t="s">
        <v>249</v>
      </c>
      <c r="J9" s="138" t="s">
        <v>249</v>
      </c>
      <c r="K9" s="139" t="s">
        <v>249</v>
      </c>
      <c r="L9" s="139" t="s">
        <v>249</v>
      </c>
      <c r="M9" s="101" t="s">
        <v>249</v>
      </c>
      <c r="N9" s="138" t="s">
        <v>249</v>
      </c>
      <c r="O9" s="102">
        <v>6.0000000000000008E-7</v>
      </c>
      <c r="P9" s="119" t="s">
        <v>249</v>
      </c>
      <c r="Q9" s="105">
        <v>1</v>
      </c>
      <c r="R9" s="58">
        <v>0</v>
      </c>
    </row>
    <row r="10" spans="1:18" s="118" customFormat="1" x14ac:dyDescent="0.25">
      <c r="A10" s="91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42" t="s">
        <v>249</v>
      </c>
      <c r="H10" s="142" t="s">
        <v>249</v>
      </c>
      <c r="I10" s="142" t="s">
        <v>249</v>
      </c>
      <c r="J10" s="142" t="s">
        <v>249</v>
      </c>
      <c r="K10" s="156" t="s">
        <v>249</v>
      </c>
      <c r="L10" s="156" t="s">
        <v>249</v>
      </c>
      <c r="M10" s="132" t="s">
        <v>249</v>
      </c>
      <c r="N10" s="142" t="s">
        <v>249</v>
      </c>
      <c r="O10" s="122">
        <v>0</v>
      </c>
      <c r="P10" s="156" t="s">
        <v>249</v>
      </c>
      <c r="Q10" s="120">
        <v>0</v>
      </c>
      <c r="R10" s="120">
        <v>0</v>
      </c>
    </row>
    <row r="11" spans="1:18" s="118" customFormat="1" x14ac:dyDescent="0.25">
      <c r="A11" s="92" t="s">
        <v>1768</v>
      </c>
      <c r="B11" s="120" t="s">
        <v>249</v>
      </c>
      <c r="C11" s="136" t="s">
        <v>249</v>
      </c>
      <c r="D11" s="136" t="s">
        <v>249</v>
      </c>
      <c r="E11" s="136" t="s">
        <v>249</v>
      </c>
      <c r="F11" s="135" t="s">
        <v>249</v>
      </c>
      <c r="G11" s="144" t="s">
        <v>249</v>
      </c>
      <c r="H11" s="144" t="s">
        <v>249</v>
      </c>
      <c r="I11" s="144" t="s">
        <v>249</v>
      </c>
      <c r="J11" s="144" t="s">
        <v>249</v>
      </c>
      <c r="K11" s="157" t="s">
        <v>249</v>
      </c>
      <c r="L11" s="157" t="s">
        <v>249</v>
      </c>
      <c r="M11" s="134" t="s">
        <v>249</v>
      </c>
      <c r="N11" s="144" t="s">
        <v>249</v>
      </c>
      <c r="O11" s="123">
        <v>0</v>
      </c>
      <c r="P11" s="157"/>
      <c r="Q11" s="136">
        <v>0</v>
      </c>
      <c r="R11" s="136">
        <v>0</v>
      </c>
    </row>
    <row r="12" spans="1:18" s="118" customFormat="1" x14ac:dyDescent="0.25">
      <c r="A12" s="92" t="s">
        <v>1769</v>
      </c>
      <c r="B12" s="120" t="s">
        <v>249</v>
      </c>
      <c r="C12" s="136" t="s">
        <v>249</v>
      </c>
      <c r="D12" s="136" t="s">
        <v>249</v>
      </c>
      <c r="E12" s="136" t="s">
        <v>249</v>
      </c>
      <c r="F12" s="135" t="s">
        <v>249</v>
      </c>
      <c r="G12" s="144" t="s">
        <v>249</v>
      </c>
      <c r="H12" s="144" t="s">
        <v>249</v>
      </c>
      <c r="I12" s="144" t="s">
        <v>249</v>
      </c>
      <c r="J12" s="144" t="s">
        <v>249</v>
      </c>
      <c r="K12" s="157" t="s">
        <v>249</v>
      </c>
      <c r="L12" s="157" t="s">
        <v>249</v>
      </c>
      <c r="M12" s="134" t="s">
        <v>249</v>
      </c>
      <c r="N12" s="144" t="s">
        <v>249</v>
      </c>
      <c r="O12" s="123">
        <v>0</v>
      </c>
      <c r="P12" s="157"/>
      <c r="Q12" s="136">
        <v>0</v>
      </c>
      <c r="R12" s="136">
        <v>0</v>
      </c>
    </row>
    <row r="13" spans="1:18" s="118" customFormat="1" x14ac:dyDescent="0.25">
      <c r="A13" s="92" t="s">
        <v>414</v>
      </c>
      <c r="B13" s="120" t="s">
        <v>249</v>
      </c>
      <c r="C13" s="136" t="s">
        <v>249</v>
      </c>
      <c r="D13" s="136" t="s">
        <v>249</v>
      </c>
      <c r="E13" s="136" t="s">
        <v>249</v>
      </c>
      <c r="F13" s="135" t="s">
        <v>249</v>
      </c>
      <c r="G13" s="144" t="s">
        <v>249</v>
      </c>
      <c r="H13" s="144" t="s">
        <v>249</v>
      </c>
      <c r="I13" s="144" t="s">
        <v>249</v>
      </c>
      <c r="J13" s="144" t="s">
        <v>249</v>
      </c>
      <c r="K13" s="157" t="s">
        <v>249</v>
      </c>
      <c r="L13" s="157" t="s">
        <v>249</v>
      </c>
      <c r="M13" s="134" t="s">
        <v>249</v>
      </c>
      <c r="N13" s="135" t="s">
        <v>249</v>
      </c>
      <c r="O13" s="123">
        <v>0</v>
      </c>
      <c r="P13" s="157"/>
      <c r="Q13" s="136">
        <v>0</v>
      </c>
      <c r="R13" s="136">
        <v>0</v>
      </c>
    </row>
    <row r="14" spans="1:18" s="118" customFormat="1" x14ac:dyDescent="0.25">
      <c r="A14" s="92" t="s">
        <v>141</v>
      </c>
      <c r="B14" s="120" t="s">
        <v>249</v>
      </c>
      <c r="C14" s="136" t="s">
        <v>249</v>
      </c>
      <c r="D14" s="136" t="s">
        <v>249</v>
      </c>
      <c r="E14" s="136" t="s">
        <v>249</v>
      </c>
      <c r="F14" s="135" t="s">
        <v>249</v>
      </c>
      <c r="G14" s="144" t="s">
        <v>249</v>
      </c>
      <c r="H14" s="144" t="s">
        <v>249</v>
      </c>
      <c r="I14" s="144" t="s">
        <v>249</v>
      </c>
      <c r="J14" s="144" t="s">
        <v>249</v>
      </c>
      <c r="K14" s="157" t="s">
        <v>249</v>
      </c>
      <c r="L14" s="157" t="s">
        <v>249</v>
      </c>
      <c r="M14" s="134" t="s">
        <v>249</v>
      </c>
      <c r="N14" s="144" t="s">
        <v>249</v>
      </c>
      <c r="O14" s="123">
        <v>0</v>
      </c>
      <c r="P14" s="157"/>
      <c r="Q14" s="136">
        <v>0</v>
      </c>
      <c r="R14" s="136">
        <v>0</v>
      </c>
    </row>
    <row r="15" spans="1:18" s="118" customFormat="1" x14ac:dyDescent="0.25">
      <c r="A15" s="92" t="s">
        <v>411</v>
      </c>
      <c r="B15" s="120" t="s">
        <v>249</v>
      </c>
      <c r="C15" s="136" t="s">
        <v>249</v>
      </c>
      <c r="D15" s="136" t="s">
        <v>249</v>
      </c>
      <c r="E15" s="136" t="s">
        <v>249</v>
      </c>
      <c r="F15" s="135" t="s">
        <v>249</v>
      </c>
      <c r="G15" s="144" t="s">
        <v>249</v>
      </c>
      <c r="H15" s="144" t="s">
        <v>249</v>
      </c>
      <c r="I15" s="144" t="s">
        <v>249</v>
      </c>
      <c r="J15" s="144" t="s">
        <v>249</v>
      </c>
      <c r="K15" s="157" t="s">
        <v>249</v>
      </c>
      <c r="L15" s="157" t="s">
        <v>249</v>
      </c>
      <c r="M15" s="134" t="s">
        <v>249</v>
      </c>
      <c r="N15" s="144" t="s">
        <v>249</v>
      </c>
      <c r="O15" s="123">
        <v>0</v>
      </c>
      <c r="P15" s="157"/>
      <c r="Q15" s="136">
        <v>0</v>
      </c>
      <c r="R15" s="136">
        <v>0</v>
      </c>
    </row>
    <row r="16" spans="1:18" s="118" customFormat="1" x14ac:dyDescent="0.25">
      <c r="A16" s="92" t="s">
        <v>1770</v>
      </c>
      <c r="B16" s="120" t="s">
        <v>249</v>
      </c>
      <c r="C16" s="136" t="s">
        <v>249</v>
      </c>
      <c r="D16" s="136" t="s">
        <v>249</v>
      </c>
      <c r="E16" s="136" t="s">
        <v>249</v>
      </c>
      <c r="F16" s="135" t="s">
        <v>249</v>
      </c>
      <c r="G16" s="144" t="s">
        <v>249</v>
      </c>
      <c r="H16" s="144" t="s">
        <v>249</v>
      </c>
      <c r="I16" s="144" t="s">
        <v>249</v>
      </c>
      <c r="J16" s="144" t="s">
        <v>249</v>
      </c>
      <c r="K16" s="157" t="s">
        <v>249</v>
      </c>
      <c r="L16" s="157" t="s">
        <v>249</v>
      </c>
      <c r="M16" s="134" t="s">
        <v>249</v>
      </c>
      <c r="N16" s="144" t="s">
        <v>249</v>
      </c>
      <c r="O16" s="123">
        <v>0</v>
      </c>
      <c r="P16" s="157"/>
      <c r="Q16" s="136">
        <v>0</v>
      </c>
      <c r="R16" s="136">
        <v>0</v>
      </c>
    </row>
    <row r="17" spans="1:18" s="118" customFormat="1" x14ac:dyDescent="0.25">
      <c r="A17" s="92" t="s">
        <v>1771</v>
      </c>
      <c r="B17" s="120" t="s">
        <v>249</v>
      </c>
      <c r="C17" s="136" t="s">
        <v>249</v>
      </c>
      <c r="D17" s="136" t="s">
        <v>249</v>
      </c>
      <c r="E17" s="136" t="s">
        <v>249</v>
      </c>
      <c r="F17" s="135" t="s">
        <v>249</v>
      </c>
      <c r="G17" s="144" t="s">
        <v>249</v>
      </c>
      <c r="H17" s="144" t="s">
        <v>249</v>
      </c>
      <c r="I17" s="144" t="s">
        <v>249</v>
      </c>
      <c r="J17" s="144" t="s">
        <v>249</v>
      </c>
      <c r="K17" s="157" t="s">
        <v>249</v>
      </c>
      <c r="L17" s="157" t="s">
        <v>249</v>
      </c>
      <c r="M17" s="134" t="s">
        <v>249</v>
      </c>
      <c r="N17" s="144" t="s">
        <v>249</v>
      </c>
      <c r="O17" s="123">
        <v>0</v>
      </c>
      <c r="P17" s="157"/>
      <c r="Q17" s="136">
        <v>0</v>
      </c>
      <c r="R17" s="136">
        <v>0</v>
      </c>
    </row>
    <row r="18" spans="1:18" s="118" customFormat="1" x14ac:dyDescent="0.25">
      <c r="A18" s="78" t="s">
        <v>241</v>
      </c>
      <c r="B18" s="124"/>
      <c r="C18" s="124"/>
      <c r="D18" s="124"/>
      <c r="E18" s="78"/>
      <c r="F18" s="145"/>
      <c r="G18" s="145"/>
      <c r="H18" s="145"/>
      <c r="I18" s="146"/>
      <c r="J18" s="129"/>
      <c r="K18" s="147"/>
      <c r="L18" s="147"/>
      <c r="M18" s="147"/>
      <c r="N18" s="129"/>
      <c r="O18" s="129"/>
    </row>
    <row r="19" spans="1:18" s="118" customFormat="1" x14ac:dyDescent="0.25">
      <c r="A19" s="78" t="s">
        <v>242</v>
      </c>
      <c r="B19" s="124"/>
      <c r="C19" s="124"/>
      <c r="D19" s="124"/>
      <c r="E19" s="78"/>
      <c r="F19" s="145"/>
      <c r="G19" s="145"/>
      <c r="H19" s="145"/>
      <c r="I19" s="146"/>
      <c r="J19" s="129"/>
      <c r="K19" s="147"/>
      <c r="L19" s="147"/>
      <c r="M19" s="147"/>
      <c r="N19" s="129"/>
      <c r="O19" s="129"/>
    </row>
    <row r="20" spans="1:18" s="118" customFormat="1" x14ac:dyDescent="0.25">
      <c r="A20" s="78" t="s">
        <v>243</v>
      </c>
      <c r="B20" s="124"/>
      <c r="C20" s="124"/>
      <c r="D20" s="124"/>
      <c r="E20" s="78"/>
      <c r="F20" s="145"/>
      <c r="G20" s="145"/>
      <c r="H20" s="145"/>
      <c r="I20" s="146"/>
      <c r="J20" s="129"/>
      <c r="K20" s="147"/>
      <c r="L20" s="147"/>
      <c r="M20" s="147"/>
      <c r="N20" s="129"/>
      <c r="O20" s="129"/>
    </row>
    <row r="21" spans="1:18" s="118" customFormat="1" x14ac:dyDescent="0.25">
      <c r="A21" s="78" t="s">
        <v>244</v>
      </c>
      <c r="B21" s="124"/>
      <c r="C21" s="124"/>
      <c r="D21" s="124"/>
      <c r="E21" s="78"/>
      <c r="F21" s="145"/>
      <c r="G21" s="145"/>
      <c r="H21" s="145"/>
      <c r="I21" s="146"/>
      <c r="J21" s="129"/>
      <c r="K21" s="147"/>
      <c r="L21" s="147"/>
      <c r="M21" s="147"/>
      <c r="N21" s="129"/>
      <c r="O21" s="129"/>
    </row>
    <row r="22" spans="1:18" s="118" customFormat="1" x14ac:dyDescent="0.25">
      <c r="A22" s="78" t="s">
        <v>245</v>
      </c>
      <c r="B22" s="124"/>
      <c r="C22" s="124"/>
      <c r="D22" s="124"/>
      <c r="E22" s="78"/>
      <c r="F22" s="145"/>
      <c r="G22" s="145"/>
      <c r="H22" s="145"/>
      <c r="I22" s="146"/>
      <c r="J22" s="129"/>
      <c r="K22" s="147"/>
      <c r="L22" s="147"/>
      <c r="M22" s="147"/>
      <c r="N22" s="129"/>
      <c r="O22" s="129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2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2" t="s">
        <v>28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4"/>
    </row>
    <row r="5" spans="1:18" s="7" customFormat="1" x14ac:dyDescent="0.25">
      <c r="A5" s="225" t="s">
        <v>20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7"/>
    </row>
    <row r="6" spans="1:18" s="7" customFormat="1" ht="30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70</v>
      </c>
      <c r="G6" s="204" t="s">
        <v>5</v>
      </c>
      <c r="H6" s="204" t="s">
        <v>13</v>
      </c>
      <c r="I6" s="204" t="s">
        <v>14</v>
      </c>
      <c r="J6" s="204" t="s">
        <v>6</v>
      </c>
      <c r="K6" s="205" t="s">
        <v>66</v>
      </c>
      <c r="L6" s="205" t="s">
        <v>71</v>
      </c>
      <c r="M6" s="205" t="s">
        <v>67</v>
      </c>
      <c r="N6" s="205" t="s">
        <v>68</v>
      </c>
      <c r="O6" s="205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58</v>
      </c>
      <c r="B9" s="67"/>
      <c r="C9" s="67"/>
      <c r="D9" s="67"/>
      <c r="E9" s="67"/>
      <c r="F9" s="100"/>
      <c r="G9" s="100"/>
      <c r="H9" s="100"/>
      <c r="I9" s="100"/>
      <c r="J9" s="100"/>
      <c r="K9" s="67"/>
      <c r="L9" s="67"/>
      <c r="M9" s="101"/>
      <c r="N9" s="100"/>
      <c r="O9" s="104">
        <v>29197.284830600001</v>
      </c>
      <c r="P9" s="67"/>
      <c r="Q9" s="67">
        <v>1</v>
      </c>
      <c r="R9" s="81">
        <v>5.4878766141671219E-2</v>
      </c>
    </row>
    <row r="10" spans="1:18" s="118" customFormat="1" x14ac:dyDescent="0.25">
      <c r="A10" s="91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21" t="s">
        <v>249</v>
      </c>
      <c r="H10" s="121" t="s">
        <v>249</v>
      </c>
      <c r="I10" s="132" t="s">
        <v>249</v>
      </c>
      <c r="J10" s="121" t="s">
        <v>249</v>
      </c>
      <c r="K10" s="120" t="s">
        <v>249</v>
      </c>
      <c r="L10" s="120" t="s">
        <v>249</v>
      </c>
      <c r="M10" s="132" t="s">
        <v>249</v>
      </c>
      <c r="N10" s="121" t="s">
        <v>249</v>
      </c>
      <c r="O10" s="133">
        <v>29197.284830400004</v>
      </c>
      <c r="P10" s="120" t="s">
        <v>249</v>
      </c>
      <c r="Q10" s="120">
        <v>0.99999999999315015</v>
      </c>
      <c r="R10" s="120">
        <v>5.4878766141295304E-2</v>
      </c>
    </row>
    <row r="11" spans="1:18" s="118" customFormat="1" x14ac:dyDescent="0.25">
      <c r="A11" s="92" t="s">
        <v>1768</v>
      </c>
      <c r="B11" s="136" t="s">
        <v>249</v>
      </c>
      <c r="C11" s="136" t="s">
        <v>249</v>
      </c>
      <c r="D11" s="136" t="s">
        <v>249</v>
      </c>
      <c r="E11" s="136" t="s">
        <v>249</v>
      </c>
      <c r="F11" s="121" t="s">
        <v>249</v>
      </c>
      <c r="G11" s="135" t="s">
        <v>249</v>
      </c>
      <c r="H11" s="135" t="s">
        <v>249</v>
      </c>
      <c r="I11" s="132" t="s">
        <v>249</v>
      </c>
      <c r="J11" s="135" t="s">
        <v>249</v>
      </c>
      <c r="K11" s="136" t="s">
        <v>249</v>
      </c>
      <c r="L11" s="136" t="s">
        <v>249</v>
      </c>
      <c r="M11" s="134" t="s">
        <v>249</v>
      </c>
      <c r="N11" s="121" t="s">
        <v>249</v>
      </c>
      <c r="O11" s="123">
        <v>27175.165850100002</v>
      </c>
      <c r="P11" s="136"/>
      <c r="Q11" s="120">
        <v>0.93074291009482046</v>
      </c>
      <c r="R11" s="120">
        <v>5.1078022501112173E-2</v>
      </c>
    </row>
    <row r="12" spans="1:18" x14ac:dyDescent="0.25">
      <c r="A12" s="16" t="s">
        <v>1781</v>
      </c>
      <c r="B12" s="24" t="s">
        <v>1782</v>
      </c>
      <c r="C12" s="24" t="s">
        <v>249</v>
      </c>
      <c r="D12" s="24" t="s">
        <v>652</v>
      </c>
      <c r="E12" s="24" t="s">
        <v>204</v>
      </c>
      <c r="F12" s="66" t="s">
        <v>253</v>
      </c>
      <c r="G12" s="60" t="s">
        <v>254</v>
      </c>
      <c r="H12" s="60" t="s">
        <v>1783</v>
      </c>
      <c r="I12" s="98">
        <v>5.7257999999999987</v>
      </c>
      <c r="J12" s="60" t="s">
        <v>255</v>
      </c>
      <c r="K12" s="24">
        <v>4.9000000000000002E-2</v>
      </c>
      <c r="L12" s="24">
        <v>2.7900000000000001E-2</v>
      </c>
      <c r="M12" s="69">
        <v>959791.98114513513</v>
      </c>
      <c r="N12" s="66">
        <v>156.19</v>
      </c>
      <c r="O12" s="84">
        <v>1499.0990900000002</v>
      </c>
      <c r="P12" s="24">
        <v>5.9368514850725396E-4</v>
      </c>
      <c r="Q12" s="32">
        <v>5.1343784146287472E-2</v>
      </c>
      <c r="R12" s="32">
        <v>2.8176835229925569E-3</v>
      </c>
    </row>
    <row r="13" spans="1:18" x14ac:dyDescent="0.25">
      <c r="A13" s="16" t="s">
        <v>1791</v>
      </c>
      <c r="B13" s="24" t="s">
        <v>1792</v>
      </c>
      <c r="C13" s="24" t="s">
        <v>249</v>
      </c>
      <c r="D13" s="24" t="s">
        <v>652</v>
      </c>
      <c r="E13" s="24" t="s">
        <v>204</v>
      </c>
      <c r="F13" s="66" t="s">
        <v>253</v>
      </c>
      <c r="G13" s="60" t="s">
        <v>254</v>
      </c>
      <c r="H13" s="60" t="s">
        <v>1793</v>
      </c>
      <c r="I13" s="98">
        <v>10.0426</v>
      </c>
      <c r="J13" s="60" t="s">
        <v>255</v>
      </c>
      <c r="K13" s="24">
        <v>4.0999999999999995E-2</v>
      </c>
      <c r="L13" s="24">
        <v>2.8399999999999998E-2</v>
      </c>
      <c r="M13" s="69">
        <v>11600783.76789064</v>
      </c>
      <c r="N13" s="66">
        <v>131.04</v>
      </c>
      <c r="O13" s="84">
        <v>15201.66705</v>
      </c>
      <c r="P13" s="24">
        <v>3.1946790390143054E-3</v>
      </c>
      <c r="Q13" s="32">
        <v>0.52065344905181066</v>
      </c>
      <c r="R13" s="32">
        <v>2.8572818871368845E-2</v>
      </c>
    </row>
    <row r="14" spans="1:18" x14ac:dyDescent="0.25">
      <c r="A14" s="16" t="s">
        <v>1804</v>
      </c>
      <c r="B14" s="24" t="s">
        <v>1805</v>
      </c>
      <c r="C14" s="24" t="s">
        <v>249</v>
      </c>
      <c r="D14" s="24" t="s">
        <v>1806</v>
      </c>
      <c r="E14" s="24" t="s">
        <v>204</v>
      </c>
      <c r="F14" s="66" t="s">
        <v>567</v>
      </c>
      <c r="G14" s="60" t="s">
        <v>427</v>
      </c>
      <c r="H14" s="60" t="s">
        <v>1807</v>
      </c>
      <c r="I14" s="98">
        <v>4.5557999999999996</v>
      </c>
      <c r="J14" s="60" t="s">
        <v>255</v>
      </c>
      <c r="K14" s="24">
        <v>1.55E-2</v>
      </c>
      <c r="L14" s="24">
        <v>2.9600000000000001E-2</v>
      </c>
      <c r="M14" s="69">
        <v>16266.194621974459</v>
      </c>
      <c r="N14" s="66">
        <v>99.32</v>
      </c>
      <c r="O14" s="84">
        <v>16.15558</v>
      </c>
      <c r="P14" s="24">
        <v>2.7110324369957431E-5</v>
      </c>
      <c r="Q14" s="32">
        <v>5.5332473871228817E-4</v>
      </c>
      <c r="R14" s="32">
        <v>3.0365778936192994E-5</v>
      </c>
    </row>
    <row r="15" spans="1:18" x14ac:dyDescent="0.25">
      <c r="A15" s="16" t="s">
        <v>1808</v>
      </c>
      <c r="B15" s="24" t="s">
        <v>1809</v>
      </c>
      <c r="C15" s="24" t="s">
        <v>249</v>
      </c>
      <c r="D15" s="24" t="s">
        <v>1806</v>
      </c>
      <c r="E15" s="24" t="s">
        <v>204</v>
      </c>
      <c r="F15" s="66" t="s">
        <v>567</v>
      </c>
      <c r="G15" s="60" t="s">
        <v>427</v>
      </c>
      <c r="H15" s="60" t="s">
        <v>1807</v>
      </c>
      <c r="I15" s="98">
        <v>7.1204999999999998</v>
      </c>
      <c r="J15" s="60" t="s">
        <v>255</v>
      </c>
      <c r="K15" s="24">
        <v>1.7500000000000002E-2</v>
      </c>
      <c r="L15" s="24">
        <v>2.9500000000000002E-2</v>
      </c>
      <c r="M15" s="69">
        <v>15707.685506461554</v>
      </c>
      <c r="N15" s="66">
        <v>97.29</v>
      </c>
      <c r="O15" s="84">
        <v>15.28201</v>
      </c>
      <c r="P15" s="24">
        <v>3.9269213766153887E-5</v>
      </c>
      <c r="Q15" s="32">
        <v>5.2340517581223175E-4</v>
      </c>
      <c r="R15" s="32">
        <v>2.8723830240739774E-5</v>
      </c>
    </row>
    <row r="16" spans="1:18" x14ac:dyDescent="0.25">
      <c r="A16" s="16" t="s">
        <v>1800</v>
      </c>
      <c r="B16" s="24" t="s">
        <v>1801</v>
      </c>
      <c r="C16" s="24" t="s">
        <v>249</v>
      </c>
      <c r="D16" s="24" t="s">
        <v>1802</v>
      </c>
      <c r="E16" s="24" t="s">
        <v>225</v>
      </c>
      <c r="F16" s="66" t="s">
        <v>567</v>
      </c>
      <c r="G16" s="60" t="s">
        <v>427</v>
      </c>
      <c r="H16" s="60" t="s">
        <v>1803</v>
      </c>
      <c r="I16" s="98">
        <v>7.8703000000000003</v>
      </c>
      <c r="J16" s="60" t="s">
        <v>255</v>
      </c>
      <c r="K16" s="24">
        <v>8.3000000000000001E-3</v>
      </c>
      <c r="L16" s="24">
        <v>2.7400000000000001E-2</v>
      </c>
      <c r="M16" s="69">
        <v>27665.856042097115</v>
      </c>
      <c r="N16" s="66">
        <v>96.01</v>
      </c>
      <c r="O16" s="84">
        <v>26.561990000000002</v>
      </c>
      <c r="P16" s="24">
        <v>8.1305598619029341E-5</v>
      </c>
      <c r="Q16" s="32">
        <v>9.0974178435119081E-4</v>
      </c>
      <c r="R16" s="32">
        <v>4.9925506632715693E-5</v>
      </c>
    </row>
    <row r="17" spans="1:18" x14ac:dyDescent="0.25">
      <c r="A17" s="16" t="s">
        <v>1784</v>
      </c>
      <c r="B17" s="24" t="s">
        <v>1785</v>
      </c>
      <c r="C17" s="24" t="s">
        <v>249</v>
      </c>
      <c r="D17" s="24" t="s">
        <v>603</v>
      </c>
      <c r="E17" s="24" t="s">
        <v>204</v>
      </c>
      <c r="F17" s="66" t="s">
        <v>503</v>
      </c>
      <c r="G17" s="60" t="s">
        <v>427</v>
      </c>
      <c r="H17" s="60" t="s">
        <v>1786</v>
      </c>
      <c r="I17" s="98">
        <v>1.6707000000000003</v>
      </c>
      <c r="J17" s="60" t="s">
        <v>255</v>
      </c>
      <c r="K17" s="24">
        <v>5.5999999999999994E-2</v>
      </c>
      <c r="L17" s="24">
        <v>2.7699999999999999E-2</v>
      </c>
      <c r="M17" s="69">
        <v>1095770.8500448193</v>
      </c>
      <c r="N17" s="66">
        <v>142.81</v>
      </c>
      <c r="O17" s="84">
        <v>1564.8703500000001</v>
      </c>
      <c r="P17" s="24">
        <v>2.5422823509268955E-3</v>
      </c>
      <c r="Q17" s="32">
        <v>5.3596434020465808E-2</v>
      </c>
      <c r="R17" s="32">
        <v>2.9413061686366544E-3</v>
      </c>
    </row>
    <row r="18" spans="1:18" x14ac:dyDescent="0.25">
      <c r="A18" s="16" t="s">
        <v>1794</v>
      </c>
      <c r="B18" s="24" t="s">
        <v>1795</v>
      </c>
      <c r="C18" s="24" t="s">
        <v>249</v>
      </c>
      <c r="D18" s="24" t="s">
        <v>603</v>
      </c>
      <c r="E18" s="24" t="s">
        <v>204</v>
      </c>
      <c r="F18" s="66" t="s">
        <v>503</v>
      </c>
      <c r="G18" s="60" t="s">
        <v>427</v>
      </c>
      <c r="H18" s="60" t="s">
        <v>1796</v>
      </c>
      <c r="I18" s="98">
        <v>4.4307999999999996</v>
      </c>
      <c r="J18" s="60" t="s">
        <v>255</v>
      </c>
      <c r="K18" s="24">
        <v>4.9299999999999997E-2</v>
      </c>
      <c r="L18" s="24">
        <v>2.53E-2</v>
      </c>
      <c r="M18" s="69">
        <v>3082699.2364575295</v>
      </c>
      <c r="N18" s="66">
        <v>128.32</v>
      </c>
      <c r="O18" s="84">
        <v>3955.7196600000002</v>
      </c>
      <c r="P18" s="24">
        <v>4.4708789991585712E-3</v>
      </c>
      <c r="Q18" s="32">
        <v>0.13548244923974018</v>
      </c>
      <c r="R18" s="32">
        <v>7.4351096481285427E-3</v>
      </c>
    </row>
    <row r="19" spans="1:18" x14ac:dyDescent="0.25">
      <c r="A19" s="16" t="s">
        <v>1777</v>
      </c>
      <c r="B19" s="24" t="s">
        <v>1778</v>
      </c>
      <c r="C19" s="24" t="s">
        <v>249</v>
      </c>
      <c r="D19" s="24" t="s">
        <v>1779</v>
      </c>
      <c r="E19" s="24" t="s">
        <v>202</v>
      </c>
      <c r="F19" s="66" t="s">
        <v>443</v>
      </c>
      <c r="G19" s="60" t="s">
        <v>254</v>
      </c>
      <c r="H19" s="60" t="s">
        <v>1780</v>
      </c>
      <c r="I19" s="98">
        <v>1.0203</v>
      </c>
      <c r="J19" s="60" t="s">
        <v>255</v>
      </c>
      <c r="K19" s="24">
        <v>7.7499999999999999E-2</v>
      </c>
      <c r="L19" s="24">
        <v>3.1699999999999999E-2</v>
      </c>
      <c r="M19" s="69">
        <v>848.25140788181261</v>
      </c>
      <c r="N19" s="66">
        <v>146.07</v>
      </c>
      <c r="O19" s="84">
        <v>1.2390399999999999</v>
      </c>
      <c r="P19" s="24">
        <v>5.6093777708383132E-6</v>
      </c>
      <c r="Q19" s="32">
        <v>4.2436822711043088E-5</v>
      </c>
      <c r="R19" s="32">
        <v>2.3288804693548954E-6</v>
      </c>
    </row>
    <row r="20" spans="1:18" x14ac:dyDescent="0.25">
      <c r="A20" s="16" t="s">
        <v>1797</v>
      </c>
      <c r="B20" s="24" t="s">
        <v>1798</v>
      </c>
      <c r="C20" s="24" t="s">
        <v>249</v>
      </c>
      <c r="D20" s="24" t="s">
        <v>1072</v>
      </c>
      <c r="E20" s="24" t="s">
        <v>201</v>
      </c>
      <c r="F20" s="66" t="s">
        <v>523</v>
      </c>
      <c r="G20" s="60" t="s">
        <v>427</v>
      </c>
      <c r="H20" s="60" t="s">
        <v>1799</v>
      </c>
      <c r="I20" s="98">
        <v>0</v>
      </c>
      <c r="J20" s="60" t="s">
        <v>255</v>
      </c>
      <c r="K20" s="24">
        <v>4.4999999999999998E-2</v>
      </c>
      <c r="L20" s="24">
        <v>0</v>
      </c>
      <c r="M20" s="69">
        <v>0.6</v>
      </c>
      <c r="N20" s="66">
        <v>119.08000000000001</v>
      </c>
      <c r="O20" s="84">
        <v>7.0999999999999991E-4</v>
      </c>
      <c r="P20" s="24">
        <v>1.2E-8</v>
      </c>
      <c r="Q20" s="32">
        <v>2.4317329646210446E-8</v>
      </c>
      <c r="R20" s="32">
        <v>1.3345050468443116E-9</v>
      </c>
    </row>
    <row r="21" spans="1:18" x14ac:dyDescent="0.25">
      <c r="A21" s="16" t="s">
        <v>1772</v>
      </c>
      <c r="B21" s="24" t="s">
        <v>1773</v>
      </c>
      <c r="C21" s="24" t="s">
        <v>249</v>
      </c>
      <c r="D21" s="24" t="s">
        <v>1053</v>
      </c>
      <c r="E21" s="24" t="s">
        <v>201</v>
      </c>
      <c r="F21" s="66" t="s">
        <v>426</v>
      </c>
      <c r="G21" s="60" t="s">
        <v>427</v>
      </c>
      <c r="H21" s="60" t="s">
        <v>1774</v>
      </c>
      <c r="I21" s="98">
        <v>3.7344000000000004</v>
      </c>
      <c r="J21" s="60" t="s">
        <v>255</v>
      </c>
      <c r="K21" s="24">
        <v>3.3000000000000002E-2</v>
      </c>
      <c r="L21" s="24">
        <v>1.83E-2</v>
      </c>
      <c r="M21" s="69">
        <v>1886686.5047049883</v>
      </c>
      <c r="N21" s="66">
        <v>120.17000000000002</v>
      </c>
      <c r="O21" s="84">
        <v>2301.8667999999998</v>
      </c>
      <c r="P21" s="24">
        <v>9.2940221906649672E-3</v>
      </c>
      <c r="Q21" s="32">
        <v>7.8838385601785313E-2</v>
      </c>
      <c r="R21" s="32">
        <v>4.3265533264272753E-3</v>
      </c>
    </row>
    <row r="22" spans="1:18" x14ac:dyDescent="0.25">
      <c r="A22" s="16" t="s">
        <v>1787</v>
      </c>
      <c r="B22" s="24" t="s">
        <v>1788</v>
      </c>
      <c r="C22" s="24" t="s">
        <v>249</v>
      </c>
      <c r="D22" s="24" t="s">
        <v>1789</v>
      </c>
      <c r="E22" s="24" t="s">
        <v>218</v>
      </c>
      <c r="F22" s="66" t="s">
        <v>588</v>
      </c>
      <c r="G22" s="60" t="s">
        <v>427</v>
      </c>
      <c r="H22" s="60" t="s">
        <v>1790</v>
      </c>
      <c r="I22" s="98">
        <v>0.94440000000000002</v>
      </c>
      <c r="J22" s="60" t="s">
        <v>255</v>
      </c>
      <c r="K22" s="24">
        <v>7.1500000000000008E-2</v>
      </c>
      <c r="L22" s="24">
        <v>2.5899999999999999E-2</v>
      </c>
      <c r="M22" s="69">
        <v>2102394.3199999998</v>
      </c>
      <c r="N22" s="66">
        <v>123.27000000000001</v>
      </c>
      <c r="O22" s="84">
        <v>2591.62147</v>
      </c>
      <c r="P22" s="24">
        <v>0</v>
      </c>
      <c r="Q22" s="32">
        <v>8.8762413527023243E-2</v>
      </c>
      <c r="R22" s="32">
        <v>4.8711717341198228E-3</v>
      </c>
    </row>
    <row r="23" spans="1:18" x14ac:dyDescent="0.25">
      <c r="A23" s="16" t="s">
        <v>1775</v>
      </c>
      <c r="B23" s="24" t="s">
        <v>1776</v>
      </c>
      <c r="C23" s="24" t="s">
        <v>249</v>
      </c>
      <c r="D23" s="24" t="s">
        <v>1255</v>
      </c>
      <c r="E23" s="24" t="s">
        <v>200</v>
      </c>
      <c r="F23" s="66" t="s">
        <v>431</v>
      </c>
      <c r="G23" s="60" t="s">
        <v>431</v>
      </c>
      <c r="H23" s="60" t="s">
        <v>1261</v>
      </c>
      <c r="I23" s="98">
        <v>3.2574999999999998</v>
      </c>
      <c r="J23" s="60" t="s">
        <v>255</v>
      </c>
      <c r="K23" s="24">
        <v>0.01</v>
      </c>
      <c r="L23" s="24">
        <v>4.7800000000000002E-2</v>
      </c>
      <c r="M23" s="69">
        <v>1198.3421555390066</v>
      </c>
      <c r="N23" s="66">
        <v>90.3</v>
      </c>
      <c r="O23" s="84">
        <v>1.0820999999999998</v>
      </c>
      <c r="P23" s="24">
        <v>2.3581985113724156E-5</v>
      </c>
      <c r="Q23" s="32">
        <v>3.7061665366428624E-5</v>
      </c>
      <c r="R23" s="32">
        <v>2.033898466465112E-6</v>
      </c>
    </row>
    <row r="24" spans="1:18" s="118" customFormat="1" x14ac:dyDescent="0.25">
      <c r="A24" s="92" t="s">
        <v>1769</v>
      </c>
      <c r="B24" s="136" t="s">
        <v>249</v>
      </c>
      <c r="C24" s="136" t="s">
        <v>249</v>
      </c>
      <c r="D24" s="136" t="s">
        <v>249</v>
      </c>
      <c r="E24" s="136" t="s">
        <v>249</v>
      </c>
      <c r="F24" s="121" t="s">
        <v>249</v>
      </c>
      <c r="G24" s="135" t="s">
        <v>249</v>
      </c>
      <c r="H24" s="135" t="s">
        <v>249</v>
      </c>
      <c r="I24" s="132" t="s">
        <v>249</v>
      </c>
      <c r="J24" s="135" t="s">
        <v>249</v>
      </c>
      <c r="K24" s="136" t="s">
        <v>249</v>
      </c>
      <c r="L24" s="136" t="s">
        <v>249</v>
      </c>
      <c r="M24" s="134" t="s">
        <v>249</v>
      </c>
      <c r="N24" s="121" t="s">
        <v>249</v>
      </c>
      <c r="O24" s="123">
        <v>2021.4676001</v>
      </c>
      <c r="P24" s="136"/>
      <c r="Q24" s="120">
        <v>6.9234780282768471E-2</v>
      </c>
      <c r="R24" s="120">
        <v>3.7995193160080408E-3</v>
      </c>
    </row>
    <row r="25" spans="1:18" x14ac:dyDescent="0.25">
      <c r="A25" s="16" t="s">
        <v>1814</v>
      </c>
      <c r="B25" s="24" t="s">
        <v>1815</v>
      </c>
      <c r="C25" s="24" t="s">
        <v>249</v>
      </c>
      <c r="D25" s="24" t="s">
        <v>1816</v>
      </c>
      <c r="E25" s="24" t="s">
        <v>195</v>
      </c>
      <c r="F25" s="66" t="s">
        <v>567</v>
      </c>
      <c r="G25" s="60" t="s">
        <v>427</v>
      </c>
      <c r="H25" s="60" t="s">
        <v>1817</v>
      </c>
      <c r="I25" s="98">
        <v>5.0961999999999996</v>
      </c>
      <c r="J25" s="60" t="s">
        <v>255</v>
      </c>
      <c r="K25" s="24">
        <v>3.7400000000000003E-2</v>
      </c>
      <c r="L25" s="24">
        <v>5.3899999999999997E-2</v>
      </c>
      <c r="M25" s="69">
        <v>752365.73478235817</v>
      </c>
      <c r="N25" s="66">
        <v>92.43</v>
      </c>
      <c r="O25" s="84">
        <v>695.41164000000003</v>
      </c>
      <c r="P25" s="24">
        <v>1.2091420113873551E-3</v>
      </c>
      <c r="Q25" s="32">
        <v>2.3817681816467363E-2</v>
      </c>
      <c r="R25" s="32">
        <v>1.3070849904426474E-3</v>
      </c>
    </row>
    <row r="26" spans="1:18" x14ac:dyDescent="0.25">
      <c r="A26" s="16" t="s">
        <v>1818</v>
      </c>
      <c r="B26" s="24" t="s">
        <v>1819</v>
      </c>
      <c r="C26" s="24" t="s">
        <v>249</v>
      </c>
      <c r="D26" s="24" t="s">
        <v>1816</v>
      </c>
      <c r="E26" s="24" t="s">
        <v>195</v>
      </c>
      <c r="F26" s="66" t="s">
        <v>567</v>
      </c>
      <c r="G26" s="60" t="s">
        <v>427</v>
      </c>
      <c r="H26" s="60" t="s">
        <v>1817</v>
      </c>
      <c r="I26" s="98">
        <v>1.4134</v>
      </c>
      <c r="J26" s="60" t="s">
        <v>255</v>
      </c>
      <c r="K26" s="24">
        <v>2.5000000000000001E-2</v>
      </c>
      <c r="L26" s="24">
        <v>5.1900000000000002E-2</v>
      </c>
      <c r="M26" s="69">
        <v>336558.67611201428</v>
      </c>
      <c r="N26" s="66">
        <v>96.5</v>
      </c>
      <c r="O26" s="84">
        <v>324.77911999999998</v>
      </c>
      <c r="P26" s="24">
        <v>8.24806646918857E-4</v>
      </c>
      <c r="Q26" s="32">
        <v>1.1123606934149493E-2</v>
      </c>
      <c r="R26" s="32">
        <v>6.1044982359106242E-4</v>
      </c>
    </row>
    <row r="27" spans="1:18" x14ac:dyDescent="0.25">
      <c r="A27" s="16" t="s">
        <v>1820</v>
      </c>
      <c r="B27" s="24" t="s">
        <v>1821</v>
      </c>
      <c r="C27" s="24" t="s">
        <v>249</v>
      </c>
      <c r="D27" s="24" t="s">
        <v>1822</v>
      </c>
      <c r="E27" s="24" t="s">
        <v>223</v>
      </c>
      <c r="F27" s="66" t="s">
        <v>523</v>
      </c>
      <c r="G27" s="60" t="s">
        <v>427</v>
      </c>
      <c r="H27" s="60" t="s">
        <v>1823</v>
      </c>
      <c r="I27" s="98">
        <v>2.4695</v>
      </c>
      <c r="J27" s="60" t="s">
        <v>255</v>
      </c>
      <c r="K27" s="24">
        <v>3.1E-2</v>
      </c>
      <c r="L27" s="24">
        <v>5.5599999999999997E-2</v>
      </c>
      <c r="M27" s="69">
        <v>11309.524370361587</v>
      </c>
      <c r="N27" s="66">
        <v>94.4</v>
      </c>
      <c r="O27" s="84">
        <v>10.67619</v>
      </c>
      <c r="P27" s="24">
        <v>1.3900378550218982E-5</v>
      </c>
      <c r="Q27" s="32">
        <v>3.656569459092613E-4</v>
      </c>
      <c r="R27" s="32">
        <v>2.0066802022632074E-5</v>
      </c>
    </row>
    <row r="28" spans="1:18" x14ac:dyDescent="0.25">
      <c r="A28" s="16" t="s">
        <v>1824</v>
      </c>
      <c r="B28" s="24" t="s">
        <v>1825</v>
      </c>
      <c r="C28" s="24" t="s">
        <v>249</v>
      </c>
      <c r="D28" s="24" t="s">
        <v>1826</v>
      </c>
      <c r="E28" s="24" t="s">
        <v>198</v>
      </c>
      <c r="F28" s="66" t="s">
        <v>435</v>
      </c>
      <c r="G28" s="60" t="s">
        <v>254</v>
      </c>
      <c r="H28" s="60" t="s">
        <v>1164</v>
      </c>
      <c r="I28" s="98">
        <v>3.6775000000000002</v>
      </c>
      <c r="J28" s="60" t="s">
        <v>255</v>
      </c>
      <c r="K28" s="24">
        <v>3.3500000000000002E-2</v>
      </c>
      <c r="L28" s="24">
        <v>6.8400000000000002E-2</v>
      </c>
      <c r="M28" s="69">
        <v>22858.835201894803</v>
      </c>
      <c r="N28" s="66">
        <v>89.2</v>
      </c>
      <c r="O28" s="84">
        <v>20.390080000000001</v>
      </c>
      <c r="P28" s="24">
        <v>2.8573544002368504E-5</v>
      </c>
      <c r="Q28" s="32">
        <v>6.9835534770789124E-4</v>
      </c>
      <c r="R28" s="32">
        <v>3.832487981064685E-5</v>
      </c>
    </row>
    <row r="29" spans="1:18" x14ac:dyDescent="0.25">
      <c r="A29" s="16" t="s">
        <v>1827</v>
      </c>
      <c r="B29" s="24" t="s">
        <v>1828</v>
      </c>
      <c r="C29" s="24" t="s">
        <v>249</v>
      </c>
      <c r="D29" s="24" t="s">
        <v>1829</v>
      </c>
      <c r="E29" s="24" t="s">
        <v>200</v>
      </c>
      <c r="F29" s="66" t="s">
        <v>576</v>
      </c>
      <c r="G29" s="60" t="s">
        <v>427</v>
      </c>
      <c r="H29" s="60" t="s">
        <v>1830</v>
      </c>
      <c r="I29" s="98">
        <v>2.8948999999999998</v>
      </c>
      <c r="J29" s="60" t="s">
        <v>255</v>
      </c>
      <c r="K29" s="24">
        <v>7.049999952316284E-2</v>
      </c>
      <c r="L29" s="24">
        <v>6.8099999999999994E-2</v>
      </c>
      <c r="M29" s="69">
        <v>18836.507862905437</v>
      </c>
      <c r="N29" s="66">
        <v>100.13000000000001</v>
      </c>
      <c r="O29" s="84">
        <v>18.861000000000001</v>
      </c>
      <c r="P29" s="24">
        <v>3.9152409079067997E-5</v>
      </c>
      <c r="Q29" s="32">
        <v>6.4598472458757077E-4</v>
      </c>
      <c r="R29" s="32">
        <v>3.5450844631733188E-5</v>
      </c>
    </row>
    <row r="30" spans="1:18" x14ac:dyDescent="0.25">
      <c r="A30" s="16" t="s">
        <v>1831</v>
      </c>
      <c r="B30" s="24" t="s">
        <v>1832</v>
      </c>
      <c r="C30" s="24" t="s">
        <v>249</v>
      </c>
      <c r="D30" s="24" t="s">
        <v>1829</v>
      </c>
      <c r="E30" s="24" t="s">
        <v>200</v>
      </c>
      <c r="F30" s="66" t="s">
        <v>576</v>
      </c>
      <c r="G30" s="60" t="s">
        <v>427</v>
      </c>
      <c r="H30" s="60" t="s">
        <v>1833</v>
      </c>
      <c r="I30" s="98">
        <v>0.252</v>
      </c>
      <c r="J30" s="60" t="s">
        <v>255</v>
      </c>
      <c r="K30" s="24">
        <v>5.1799999999999999E-2</v>
      </c>
      <c r="L30" s="24">
        <v>8.0600000000000005E-2</v>
      </c>
      <c r="M30" s="69">
        <v>8868.1444759026144</v>
      </c>
      <c r="N30" s="66">
        <v>91.84</v>
      </c>
      <c r="O30" s="84">
        <v>8.1445000000000007</v>
      </c>
      <c r="P30" s="24">
        <v>6.3831746029674037E-5</v>
      </c>
      <c r="Q30" s="32">
        <v>2.7894717085008596E-4</v>
      </c>
      <c r="R30" s="32">
        <v>1.5308276554962673E-5</v>
      </c>
    </row>
    <row r="31" spans="1:18" x14ac:dyDescent="0.25">
      <c r="A31" s="16" t="s">
        <v>1810</v>
      </c>
      <c r="B31" s="24" t="s">
        <v>1811</v>
      </c>
      <c r="C31" s="24" t="s">
        <v>249</v>
      </c>
      <c r="D31" s="24" t="s">
        <v>1812</v>
      </c>
      <c r="E31" s="24" t="s">
        <v>228</v>
      </c>
      <c r="F31" s="66" t="s">
        <v>588</v>
      </c>
      <c r="G31" s="60" t="s">
        <v>427</v>
      </c>
      <c r="H31" s="60" t="s">
        <v>1813</v>
      </c>
      <c r="I31" s="98">
        <v>2.9405999999999999</v>
      </c>
      <c r="J31" s="60" t="s">
        <v>255</v>
      </c>
      <c r="K31" s="24">
        <v>4.5999999999999999E-2</v>
      </c>
      <c r="L31" s="24">
        <v>7.0599999999999996E-2</v>
      </c>
      <c r="M31" s="69">
        <v>997678.3077827181</v>
      </c>
      <c r="N31" s="66">
        <v>94.54</v>
      </c>
      <c r="O31" s="84">
        <v>943.20506999999998</v>
      </c>
      <c r="P31" s="24">
        <v>2.2660788617149086E-3</v>
      </c>
      <c r="Q31" s="32">
        <v>3.2304547339671828E-2</v>
      </c>
      <c r="R31" s="32">
        <v>1.7728336987663975E-3</v>
      </c>
    </row>
    <row r="32" spans="1:18" s="118" customFormat="1" x14ac:dyDescent="0.25">
      <c r="A32" s="92" t="s">
        <v>414</v>
      </c>
      <c r="B32" s="136" t="s">
        <v>249</v>
      </c>
      <c r="C32" s="136" t="s">
        <v>249</v>
      </c>
      <c r="D32" s="136" t="s">
        <v>249</v>
      </c>
      <c r="E32" s="136" t="s">
        <v>249</v>
      </c>
      <c r="F32" s="121" t="s">
        <v>249</v>
      </c>
      <c r="G32" s="135" t="s">
        <v>249</v>
      </c>
      <c r="H32" s="135" t="s">
        <v>249</v>
      </c>
      <c r="I32" s="132" t="s">
        <v>249</v>
      </c>
      <c r="J32" s="135" t="s">
        <v>249</v>
      </c>
      <c r="K32" s="136" t="s">
        <v>249</v>
      </c>
      <c r="L32" s="136" t="s">
        <v>249</v>
      </c>
      <c r="M32" s="134" t="s">
        <v>249</v>
      </c>
      <c r="N32" s="121" t="s">
        <v>249</v>
      </c>
      <c r="O32" s="123">
        <v>0.65138010000000002</v>
      </c>
      <c r="P32" s="136"/>
      <c r="Q32" s="120">
        <v>2.2309612136171161E-5</v>
      </c>
      <c r="R32" s="120">
        <v>1.2243239871323275E-6</v>
      </c>
    </row>
    <row r="33" spans="1:18" x14ac:dyDescent="0.25">
      <c r="A33" s="16" t="s">
        <v>1834</v>
      </c>
      <c r="B33" s="24" t="s">
        <v>1835</v>
      </c>
      <c r="C33" s="24" t="s">
        <v>249</v>
      </c>
      <c r="D33" s="24" t="s">
        <v>1836</v>
      </c>
      <c r="E33" s="24" t="s">
        <v>228</v>
      </c>
      <c r="F33" s="66" t="s">
        <v>443</v>
      </c>
      <c r="G33" s="60" t="s">
        <v>254</v>
      </c>
      <c r="H33" s="60" t="s">
        <v>1837</v>
      </c>
      <c r="I33" s="98">
        <v>1.9322999999999999</v>
      </c>
      <c r="J33" s="60" t="s">
        <v>125</v>
      </c>
      <c r="K33" s="24">
        <v>7.9699999999999993E-2</v>
      </c>
      <c r="L33" s="24">
        <v>6.1500000000000006E-2</v>
      </c>
      <c r="M33" s="69">
        <v>161.36785958730832</v>
      </c>
      <c r="N33" s="66">
        <v>105.56</v>
      </c>
      <c r="O33" s="84">
        <v>0.65137999999999996</v>
      </c>
      <c r="P33" s="24">
        <v>3.5571249414177223E-6</v>
      </c>
      <c r="Q33" s="32">
        <v>2.2309608711195157E-5</v>
      </c>
      <c r="R33" s="32">
        <v>1.2243237991738699E-6</v>
      </c>
    </row>
    <row r="34" spans="1:18" s="118" customFormat="1" x14ac:dyDescent="0.25">
      <c r="A34" s="92" t="s">
        <v>141</v>
      </c>
      <c r="B34" s="136" t="s">
        <v>249</v>
      </c>
      <c r="C34" s="136" t="s">
        <v>249</v>
      </c>
      <c r="D34" s="136" t="s">
        <v>249</v>
      </c>
      <c r="E34" s="136" t="s">
        <v>249</v>
      </c>
      <c r="F34" s="121" t="s">
        <v>249</v>
      </c>
      <c r="G34" s="135" t="s">
        <v>249</v>
      </c>
      <c r="H34" s="135" t="s">
        <v>249</v>
      </c>
      <c r="I34" s="132" t="s">
        <v>249</v>
      </c>
      <c r="J34" s="135" t="s">
        <v>249</v>
      </c>
      <c r="K34" s="136" t="s">
        <v>249</v>
      </c>
      <c r="L34" s="136" t="s">
        <v>249</v>
      </c>
      <c r="M34" s="134" t="s">
        <v>249</v>
      </c>
      <c r="N34" s="121" t="s">
        <v>249</v>
      </c>
      <c r="O34" s="123">
        <v>0</v>
      </c>
      <c r="P34" s="136"/>
      <c r="Q34" s="120">
        <v>0</v>
      </c>
      <c r="R34" s="120">
        <v>0</v>
      </c>
    </row>
    <row r="35" spans="1:18" s="118" customFormat="1" x14ac:dyDescent="0.25">
      <c r="A35" s="92" t="s">
        <v>411</v>
      </c>
      <c r="B35" s="136" t="s">
        <v>249</v>
      </c>
      <c r="C35" s="136" t="s">
        <v>249</v>
      </c>
      <c r="D35" s="136" t="s">
        <v>249</v>
      </c>
      <c r="E35" s="136" t="s">
        <v>249</v>
      </c>
      <c r="F35" s="121" t="s">
        <v>249</v>
      </c>
      <c r="G35" s="135" t="s">
        <v>249</v>
      </c>
      <c r="H35" s="135" t="s">
        <v>249</v>
      </c>
      <c r="I35" s="132" t="s">
        <v>249</v>
      </c>
      <c r="J35" s="135" t="s">
        <v>249</v>
      </c>
      <c r="K35" s="136" t="s">
        <v>249</v>
      </c>
      <c r="L35" s="136" t="s">
        <v>249</v>
      </c>
      <c r="M35" s="134" t="s">
        <v>249</v>
      </c>
      <c r="N35" s="121" t="s">
        <v>249</v>
      </c>
      <c r="O35" s="123">
        <v>0</v>
      </c>
      <c r="P35" s="136"/>
      <c r="Q35" s="120">
        <v>0</v>
      </c>
      <c r="R35" s="120">
        <v>0</v>
      </c>
    </row>
    <row r="36" spans="1:18" s="118" customFormat="1" x14ac:dyDescent="0.25">
      <c r="A36" s="92" t="s">
        <v>1838</v>
      </c>
      <c r="B36" s="136" t="s">
        <v>249</v>
      </c>
      <c r="C36" s="136" t="s">
        <v>249</v>
      </c>
      <c r="D36" s="136" t="s">
        <v>249</v>
      </c>
      <c r="E36" s="136" t="s">
        <v>249</v>
      </c>
      <c r="F36" s="121" t="s">
        <v>249</v>
      </c>
      <c r="G36" s="135" t="s">
        <v>249</v>
      </c>
      <c r="H36" s="135" t="s">
        <v>249</v>
      </c>
      <c r="I36" s="132" t="s">
        <v>249</v>
      </c>
      <c r="J36" s="135" t="s">
        <v>249</v>
      </c>
      <c r="K36" s="136" t="s">
        <v>249</v>
      </c>
      <c r="L36" s="136" t="s">
        <v>249</v>
      </c>
      <c r="M36" s="134" t="s">
        <v>249</v>
      </c>
      <c r="N36" s="121" t="s">
        <v>249</v>
      </c>
      <c r="O36" s="123">
        <v>0</v>
      </c>
      <c r="P36" s="136"/>
      <c r="Q36" s="120">
        <v>0</v>
      </c>
      <c r="R36" s="120">
        <v>0</v>
      </c>
    </row>
    <row r="37" spans="1:18" s="118" customFormat="1" x14ac:dyDescent="0.25">
      <c r="A37" s="92" t="s">
        <v>1839</v>
      </c>
      <c r="B37" s="136" t="s">
        <v>249</v>
      </c>
      <c r="C37" s="136" t="s">
        <v>249</v>
      </c>
      <c r="D37" s="136" t="s">
        <v>249</v>
      </c>
      <c r="E37" s="136" t="s">
        <v>249</v>
      </c>
      <c r="F37" s="121" t="s">
        <v>249</v>
      </c>
      <c r="G37" s="135" t="s">
        <v>249</v>
      </c>
      <c r="H37" s="135" t="s">
        <v>249</v>
      </c>
      <c r="I37" s="132" t="s">
        <v>249</v>
      </c>
      <c r="J37" s="135" t="s">
        <v>249</v>
      </c>
      <c r="K37" s="136" t="s">
        <v>249</v>
      </c>
      <c r="L37" s="136" t="s">
        <v>249</v>
      </c>
      <c r="M37" s="134" t="s">
        <v>249</v>
      </c>
      <c r="N37" s="121" t="s">
        <v>249</v>
      </c>
      <c r="O37" s="123">
        <v>0</v>
      </c>
      <c r="P37" s="136"/>
      <c r="Q37" s="120">
        <v>0</v>
      </c>
      <c r="R37" s="120">
        <v>0</v>
      </c>
    </row>
    <row r="38" spans="1:18" s="118" customFormat="1" x14ac:dyDescent="0.25">
      <c r="A38" s="78" t="s">
        <v>241</v>
      </c>
      <c r="B38" s="124"/>
      <c r="C38" s="124"/>
      <c r="D38" s="124"/>
      <c r="E38" s="78"/>
      <c r="F38" s="125"/>
      <c r="G38" s="125"/>
      <c r="H38" s="125"/>
      <c r="I38" s="126"/>
      <c r="J38" s="127"/>
      <c r="K38" s="128"/>
      <c r="L38" s="128"/>
      <c r="M38" s="128"/>
      <c r="N38" s="127"/>
      <c r="O38" s="127"/>
      <c r="P38" s="137"/>
      <c r="Q38" s="137"/>
      <c r="R38" s="137"/>
    </row>
    <row r="39" spans="1:18" s="118" customFormat="1" x14ac:dyDescent="0.25">
      <c r="A39" s="78" t="s">
        <v>242</v>
      </c>
      <c r="B39" s="124"/>
      <c r="C39" s="124"/>
      <c r="D39" s="124"/>
      <c r="E39" s="78"/>
      <c r="F39" s="125"/>
      <c r="G39" s="125"/>
      <c r="H39" s="125"/>
      <c r="I39" s="126"/>
      <c r="J39" s="127"/>
      <c r="K39" s="128"/>
      <c r="L39" s="128"/>
      <c r="M39" s="128"/>
      <c r="N39" s="127"/>
      <c r="O39" s="127"/>
      <c r="P39" s="137"/>
      <c r="Q39" s="137"/>
      <c r="R39" s="137"/>
    </row>
    <row r="40" spans="1:18" s="118" customFormat="1" x14ac:dyDescent="0.25">
      <c r="A40" s="78" t="s">
        <v>243</v>
      </c>
      <c r="B40" s="124"/>
      <c r="C40" s="124"/>
      <c r="D40" s="124"/>
      <c r="E40" s="78"/>
      <c r="F40" s="125"/>
      <c r="G40" s="125"/>
      <c r="H40" s="125"/>
      <c r="I40" s="126"/>
      <c r="J40" s="127"/>
      <c r="K40" s="128"/>
      <c r="L40" s="128"/>
      <c r="M40" s="128"/>
      <c r="N40" s="127"/>
      <c r="O40" s="127"/>
      <c r="P40" s="137"/>
      <c r="Q40" s="137"/>
      <c r="R40" s="137"/>
    </row>
    <row r="41" spans="1:18" s="118" customFormat="1" x14ac:dyDescent="0.25">
      <c r="A41" s="78" t="s">
        <v>244</v>
      </c>
      <c r="B41" s="124"/>
      <c r="C41" s="124"/>
      <c r="D41" s="124"/>
      <c r="E41" s="78"/>
      <c r="F41" s="125"/>
      <c r="G41" s="125"/>
      <c r="H41" s="125"/>
      <c r="I41" s="126"/>
      <c r="J41" s="127"/>
      <c r="K41" s="128"/>
      <c r="L41" s="128"/>
      <c r="M41" s="128"/>
      <c r="N41" s="127"/>
      <c r="O41" s="127"/>
      <c r="P41" s="137"/>
      <c r="Q41" s="137"/>
      <c r="R41" s="137"/>
    </row>
    <row r="42" spans="1:18" s="118" customFormat="1" x14ac:dyDescent="0.25">
      <c r="A42" s="78" t="s">
        <v>245</v>
      </c>
      <c r="B42" s="124"/>
      <c r="C42" s="124"/>
      <c r="D42" s="124"/>
      <c r="E42" s="78"/>
      <c r="F42" s="125"/>
      <c r="G42" s="125"/>
      <c r="H42" s="125"/>
      <c r="I42" s="126"/>
      <c r="J42" s="127"/>
      <c r="K42" s="128"/>
      <c r="L42" s="128"/>
      <c r="M42" s="128"/>
      <c r="N42" s="127"/>
      <c r="O42" s="127"/>
      <c r="P42" s="137"/>
      <c r="Q42" s="137"/>
      <c r="R42" s="137"/>
    </row>
  </sheetData>
  <sortState xmlns:xlrd2="http://schemas.microsoft.com/office/spreadsheetml/2017/richdata2" ref="A25:Z31">
    <sortCondition ref="A25:A31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7 O9:O37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37 J9:J37 Q9:R37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37 I9:I37 K9:N37 J38:J55572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8" t="s">
        <v>28</v>
      </c>
      <c r="B4" s="229"/>
      <c r="C4" s="229"/>
      <c r="D4" s="229"/>
      <c r="E4" s="229"/>
      <c r="F4" s="229"/>
      <c r="G4" s="229"/>
      <c r="H4" s="229"/>
      <c r="I4" s="229"/>
      <c r="J4" s="229"/>
      <c r="K4" s="230"/>
      <c r="L4" s="231"/>
      <c r="M4" s="13"/>
      <c r="N4" s="13"/>
      <c r="O4" s="12"/>
      <c r="P4" s="12"/>
      <c r="Q4" s="14"/>
    </row>
    <row r="5" spans="1:17" s="7" customFormat="1" x14ac:dyDescent="0.25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7"/>
    </row>
    <row r="6" spans="1:17" s="7" customFormat="1" ht="33.75" customHeight="1" x14ac:dyDescent="0.25">
      <c r="A6" s="86" t="s">
        <v>157</v>
      </c>
      <c r="B6" s="204" t="s">
        <v>69</v>
      </c>
      <c r="C6" s="204" t="s">
        <v>79</v>
      </c>
      <c r="D6" s="204" t="s">
        <v>74</v>
      </c>
      <c r="E6" s="204" t="s">
        <v>19</v>
      </c>
      <c r="F6" s="204" t="s">
        <v>6</v>
      </c>
      <c r="G6" s="205" t="s">
        <v>67</v>
      </c>
      <c r="H6" s="205" t="s">
        <v>68</v>
      </c>
      <c r="I6" s="205" t="s">
        <v>7</v>
      </c>
      <c r="J6" s="205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8" customFormat="1" ht="12.75" customHeight="1" thickBot="1" x14ac:dyDescent="0.3">
      <c r="A9" s="99" t="s">
        <v>59</v>
      </c>
      <c r="B9" s="67"/>
      <c r="C9" s="67"/>
      <c r="D9" s="67"/>
      <c r="E9" s="67"/>
      <c r="F9" s="100"/>
      <c r="G9" s="101"/>
      <c r="H9" s="100"/>
      <c r="I9" s="104">
        <v>3.0000000000000004E-7</v>
      </c>
      <c r="J9" s="67"/>
      <c r="K9" s="67">
        <v>1</v>
      </c>
      <c r="L9" s="58">
        <v>0</v>
      </c>
    </row>
    <row r="10" spans="1:17" s="118" customFormat="1" x14ac:dyDescent="0.25">
      <c r="A10" s="91" t="s">
        <v>137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21" t="s">
        <v>249</v>
      </c>
      <c r="G10" s="132" t="s">
        <v>249</v>
      </c>
      <c r="H10" s="121" t="s">
        <v>249</v>
      </c>
      <c r="I10" s="133">
        <v>0</v>
      </c>
      <c r="J10" s="120" t="s">
        <v>249</v>
      </c>
      <c r="K10" s="120">
        <v>0</v>
      </c>
      <c r="L10" s="120">
        <v>0</v>
      </c>
    </row>
    <row r="11" spans="1:17" s="118" customFormat="1" x14ac:dyDescent="0.25">
      <c r="A11" s="92" t="s">
        <v>411</v>
      </c>
      <c r="B11" s="136" t="s">
        <v>249</v>
      </c>
      <c r="C11" s="136" t="s">
        <v>249</v>
      </c>
      <c r="D11" s="136" t="s">
        <v>249</v>
      </c>
      <c r="E11" s="136" t="s">
        <v>249</v>
      </c>
      <c r="F11" s="135" t="s">
        <v>249</v>
      </c>
      <c r="G11" s="134" t="s">
        <v>249</v>
      </c>
      <c r="H11" s="121" t="s">
        <v>249</v>
      </c>
      <c r="I11" s="122">
        <v>0</v>
      </c>
      <c r="J11" s="120"/>
      <c r="K11" s="120">
        <v>0</v>
      </c>
      <c r="L11" s="120">
        <v>0</v>
      </c>
    </row>
    <row r="12" spans="1:17" s="118" customFormat="1" x14ac:dyDescent="0.25">
      <c r="A12" s="92" t="s">
        <v>143</v>
      </c>
      <c r="B12" s="136" t="s">
        <v>249</v>
      </c>
      <c r="C12" s="136" t="s">
        <v>249</v>
      </c>
      <c r="D12" s="136" t="s">
        <v>249</v>
      </c>
      <c r="E12" s="136" t="s">
        <v>249</v>
      </c>
      <c r="F12" s="135" t="s">
        <v>249</v>
      </c>
      <c r="G12" s="134" t="s">
        <v>249</v>
      </c>
      <c r="H12" s="121" t="s">
        <v>249</v>
      </c>
      <c r="I12" s="122">
        <v>0</v>
      </c>
      <c r="J12" s="120"/>
      <c r="K12" s="120">
        <v>0</v>
      </c>
      <c r="L12" s="120">
        <v>0</v>
      </c>
    </row>
    <row r="13" spans="1:17" s="118" customFormat="1" x14ac:dyDescent="0.25">
      <c r="A13" s="92" t="s">
        <v>144</v>
      </c>
      <c r="B13" s="136" t="s">
        <v>249</v>
      </c>
      <c r="C13" s="136" t="s">
        <v>249</v>
      </c>
      <c r="D13" s="136" t="s">
        <v>249</v>
      </c>
      <c r="E13" s="136" t="s">
        <v>249</v>
      </c>
      <c r="F13" s="135" t="s">
        <v>249</v>
      </c>
      <c r="G13" s="134" t="s">
        <v>249</v>
      </c>
      <c r="H13" s="121" t="s">
        <v>249</v>
      </c>
      <c r="I13" s="122">
        <v>0</v>
      </c>
      <c r="J13" s="120"/>
      <c r="K13" s="120">
        <v>0</v>
      </c>
      <c r="L13" s="120">
        <v>0</v>
      </c>
    </row>
    <row r="14" spans="1:17" s="118" customFormat="1" x14ac:dyDescent="0.25">
      <c r="A14" s="78" t="s">
        <v>241</v>
      </c>
      <c r="B14" s="124"/>
      <c r="C14" s="124"/>
      <c r="D14" s="124"/>
      <c r="E14" s="78"/>
      <c r="F14" s="125"/>
      <c r="G14" s="125"/>
      <c r="H14" s="125"/>
      <c r="I14" s="126"/>
      <c r="J14" s="127"/>
      <c r="K14" s="127"/>
      <c r="L14" s="128"/>
      <c r="M14" s="147"/>
      <c r="N14" s="147"/>
      <c r="O14" s="129"/>
      <c r="P14" s="129"/>
    </row>
    <row r="15" spans="1:17" s="118" customFormat="1" x14ac:dyDescent="0.25">
      <c r="A15" s="78" t="s">
        <v>242</v>
      </c>
      <c r="B15" s="124"/>
      <c r="C15" s="124"/>
      <c r="D15" s="124"/>
      <c r="E15" s="78"/>
      <c r="F15" s="125"/>
      <c r="G15" s="125"/>
      <c r="H15" s="125"/>
      <c r="I15" s="126"/>
      <c r="J15" s="127"/>
      <c r="K15" s="127"/>
      <c r="L15" s="128"/>
      <c r="M15" s="147"/>
      <c r="N15" s="147"/>
      <c r="O15" s="129"/>
      <c r="P15" s="129"/>
    </row>
    <row r="16" spans="1:17" s="118" customFormat="1" x14ac:dyDescent="0.25">
      <c r="A16" s="78" t="s">
        <v>243</v>
      </c>
      <c r="B16" s="124"/>
      <c r="C16" s="124"/>
      <c r="D16" s="124"/>
      <c r="E16" s="78"/>
      <c r="F16" s="125"/>
      <c r="G16" s="125"/>
      <c r="H16" s="125"/>
      <c r="I16" s="126"/>
      <c r="J16" s="127"/>
      <c r="K16" s="127"/>
      <c r="L16" s="128"/>
      <c r="M16" s="147"/>
      <c r="N16" s="147"/>
      <c r="O16" s="129"/>
      <c r="P16" s="129"/>
    </row>
    <row r="17" spans="1:16" s="118" customFormat="1" x14ac:dyDescent="0.25">
      <c r="A17" s="78" t="s">
        <v>244</v>
      </c>
      <c r="B17" s="124"/>
      <c r="C17" s="124"/>
      <c r="D17" s="124"/>
      <c r="E17" s="78"/>
      <c r="F17" s="125"/>
      <c r="G17" s="125"/>
      <c r="H17" s="125"/>
      <c r="I17" s="126"/>
      <c r="J17" s="127"/>
      <c r="K17" s="127"/>
      <c r="L17" s="128"/>
      <c r="M17" s="147"/>
      <c r="N17" s="147"/>
      <c r="O17" s="129"/>
      <c r="P17" s="129"/>
    </row>
    <row r="18" spans="1:16" s="118" customFormat="1" x14ac:dyDescent="0.25">
      <c r="A18" s="78" t="s">
        <v>245</v>
      </c>
      <c r="B18" s="124"/>
      <c r="C18" s="124"/>
      <c r="D18" s="124"/>
      <c r="E18" s="78"/>
      <c r="F18" s="125"/>
      <c r="G18" s="125"/>
      <c r="H18" s="125"/>
      <c r="I18" s="126"/>
      <c r="J18" s="127"/>
      <c r="K18" s="127"/>
      <c r="L18" s="128"/>
      <c r="M18" s="147"/>
      <c r="N18" s="147"/>
      <c r="O18" s="129"/>
      <c r="P18" s="129"/>
    </row>
  </sheetData>
  <mergeCells count="2">
    <mergeCell ref="A5:L5"/>
    <mergeCell ref="A4:L4"/>
  </mergeCells>
  <phoneticPr fontId="3" type="noConversion"/>
  <conditionalFormatting sqref="A9:A13 I9:I1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13 K9:K13 L10:L13">
    <cfRule type="expression" dxfId="56" priority="322" stopIfTrue="1">
      <formula>OR(LEFT(#REF!,3)="TIR",LEFT(#REF!,2)="IR")</formula>
    </cfRule>
  </conditionalFormatting>
  <conditionalFormatting sqref="C9:D13">
    <cfRule type="expression" dxfId="55" priority="329" stopIfTrue="1">
      <formula>LEFT(#REF!,3)="TIR"</formula>
    </cfRule>
  </conditionalFormatting>
  <conditionalFormatting sqref="J1:K3 G9:H13 J9:J5554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47"/>
  <sheetViews>
    <sheetView rightToLeft="1" zoomScale="80" zoomScaleNormal="80" workbookViewId="0"/>
  </sheetViews>
  <sheetFormatPr defaultColWidth="9.109375" defaultRowHeight="13.2" x14ac:dyDescent="0.25"/>
  <cols>
    <col min="1" max="1" width="42.6640625" style="9" bestFit="1" customWidth="1"/>
    <col min="2" max="2" width="15.109375" style="8" bestFit="1" customWidth="1"/>
    <col min="3" max="3" width="12" style="59" bestFit="1" customWidth="1"/>
    <col min="4" max="4" width="14.109375" style="59" customWidth="1"/>
    <col min="5" max="5" width="12.44140625" style="59" bestFit="1" customWidth="1"/>
    <col min="6" max="6" width="10.33203125" style="36" bestFit="1" customWidth="1"/>
    <col min="7" max="7" width="11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5" t="s">
        <v>30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4" t="s">
        <v>69</v>
      </c>
      <c r="C6" s="204" t="s">
        <v>6</v>
      </c>
      <c r="D6" s="204" t="s">
        <v>13</v>
      </c>
      <c r="E6" s="205" t="s">
        <v>67</v>
      </c>
      <c r="F6" s="205" t="s">
        <v>68</v>
      </c>
      <c r="G6" s="205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8" customFormat="1" ht="12.75" customHeight="1" thickBot="1" x14ac:dyDescent="0.3">
      <c r="A9" s="99" t="s">
        <v>60</v>
      </c>
      <c r="B9" s="67" t="s">
        <v>249</v>
      </c>
      <c r="C9" s="100" t="s">
        <v>249</v>
      </c>
      <c r="D9" s="100" t="s">
        <v>249</v>
      </c>
      <c r="E9" s="101" t="s">
        <v>249</v>
      </c>
      <c r="F9" s="100" t="s">
        <v>249</v>
      </c>
      <c r="G9" s="104">
        <v>21553.609600800006</v>
      </c>
      <c r="H9" s="67" t="s">
        <v>249</v>
      </c>
      <c r="I9" s="67">
        <v>1</v>
      </c>
      <c r="J9" s="81">
        <v>4.0511832098562843E-2</v>
      </c>
    </row>
    <row r="10" spans="1:17" s="118" customFormat="1" x14ac:dyDescent="0.25">
      <c r="A10" s="91" t="s">
        <v>1840</v>
      </c>
      <c r="B10" s="120" t="s">
        <v>249</v>
      </c>
      <c r="C10" s="121" t="s">
        <v>249</v>
      </c>
      <c r="D10" s="121" t="s">
        <v>249</v>
      </c>
      <c r="E10" s="132" t="s">
        <v>249</v>
      </c>
      <c r="F10" s="121" t="s">
        <v>249</v>
      </c>
      <c r="G10" s="133">
        <v>3706.3205604000004</v>
      </c>
      <c r="H10" s="120" t="s">
        <v>249</v>
      </c>
      <c r="I10" s="120">
        <v>0.17195823015475015</v>
      </c>
      <c r="J10" s="120">
        <v>6.9663429479952651E-3</v>
      </c>
    </row>
    <row r="11" spans="1:17" s="118" customFormat="1" x14ac:dyDescent="0.25">
      <c r="A11" s="92" t="s">
        <v>1841</v>
      </c>
      <c r="B11" s="136" t="s">
        <v>249</v>
      </c>
      <c r="C11" s="135" t="s">
        <v>249</v>
      </c>
      <c r="D11" s="135" t="s">
        <v>249</v>
      </c>
      <c r="E11" s="134" t="s">
        <v>249</v>
      </c>
      <c r="F11" s="121" t="s">
        <v>249</v>
      </c>
      <c r="G11" s="123">
        <v>0</v>
      </c>
      <c r="H11" s="120"/>
      <c r="I11" s="136">
        <v>0</v>
      </c>
      <c r="J11" s="136">
        <v>0</v>
      </c>
    </row>
    <row r="12" spans="1:17" s="118" customFormat="1" x14ac:dyDescent="0.25">
      <c r="A12" s="92" t="s">
        <v>1842</v>
      </c>
      <c r="B12" s="136" t="s">
        <v>249</v>
      </c>
      <c r="C12" s="135" t="s">
        <v>249</v>
      </c>
      <c r="D12" s="135" t="s">
        <v>249</v>
      </c>
      <c r="E12" s="134" t="s">
        <v>249</v>
      </c>
      <c r="F12" s="121" t="s">
        <v>249</v>
      </c>
      <c r="G12" s="123">
        <v>957.46009009999989</v>
      </c>
      <c r="H12" s="120"/>
      <c r="I12" s="136">
        <v>4.4422261877864848E-2</v>
      </c>
      <c r="J12" s="136">
        <v>1.7996272146344496E-3</v>
      </c>
    </row>
    <row r="13" spans="1:17" x14ac:dyDescent="0.25">
      <c r="A13" s="16" t="s">
        <v>1843</v>
      </c>
      <c r="B13" s="24" t="s">
        <v>1844</v>
      </c>
      <c r="C13" s="60" t="s">
        <v>255</v>
      </c>
      <c r="D13" s="60" t="s">
        <v>394</v>
      </c>
      <c r="E13" s="69">
        <v>549.92999999999995</v>
      </c>
      <c r="F13" s="66">
        <v>174105.8124</v>
      </c>
      <c r="G13" s="84">
        <v>957.46008999999992</v>
      </c>
      <c r="H13" s="32">
        <v>0</v>
      </c>
      <c r="I13" s="24">
        <v>4.4422261873225254E-2</v>
      </c>
      <c r="J13" s="24">
        <v>1.7996272144464912E-3</v>
      </c>
      <c r="K13" s="14"/>
      <c r="L13" s="14"/>
      <c r="M13" s="14"/>
    </row>
    <row r="14" spans="1:17" s="118" customFormat="1" x14ac:dyDescent="0.25">
      <c r="A14" s="92" t="s">
        <v>1845</v>
      </c>
      <c r="B14" s="136" t="s">
        <v>249</v>
      </c>
      <c r="C14" s="135" t="s">
        <v>249</v>
      </c>
      <c r="D14" s="135" t="s">
        <v>249</v>
      </c>
      <c r="E14" s="134" t="s">
        <v>249</v>
      </c>
      <c r="F14" s="121" t="s">
        <v>249</v>
      </c>
      <c r="G14" s="123">
        <v>0</v>
      </c>
      <c r="H14" s="120"/>
      <c r="I14" s="136">
        <v>0</v>
      </c>
      <c r="J14" s="136">
        <v>0</v>
      </c>
    </row>
    <row r="15" spans="1:17" s="118" customFormat="1" x14ac:dyDescent="0.25">
      <c r="A15" s="92" t="s">
        <v>1846</v>
      </c>
      <c r="B15" s="136" t="s">
        <v>249</v>
      </c>
      <c r="C15" s="135" t="s">
        <v>249</v>
      </c>
      <c r="D15" s="135" t="s">
        <v>249</v>
      </c>
      <c r="E15" s="134" t="s">
        <v>249</v>
      </c>
      <c r="F15" s="121" t="s">
        <v>249</v>
      </c>
      <c r="G15" s="123">
        <v>2748.8604700999999</v>
      </c>
      <c r="H15" s="120"/>
      <c r="I15" s="136">
        <v>0.1275359682676061</v>
      </c>
      <c r="J15" s="136">
        <v>5.1667157329848973E-3</v>
      </c>
    </row>
    <row r="16" spans="1:17" x14ac:dyDescent="0.25">
      <c r="A16" s="16" t="s">
        <v>1847</v>
      </c>
      <c r="B16" s="24" t="s">
        <v>1848</v>
      </c>
      <c r="C16" s="60" t="s">
        <v>255</v>
      </c>
      <c r="D16" s="60" t="s">
        <v>1849</v>
      </c>
      <c r="E16" s="69">
        <v>642503.82999999996</v>
      </c>
      <c r="F16" s="66">
        <v>118.2914</v>
      </c>
      <c r="G16" s="84">
        <v>760.02677000000006</v>
      </c>
      <c r="H16" s="32">
        <v>1.0287666666666667E-3</v>
      </c>
      <c r="I16" s="24">
        <v>3.5262157201352951E-2</v>
      </c>
      <c r="J16" s="24">
        <v>1.4285345919743395E-3</v>
      </c>
      <c r="K16" s="14"/>
      <c r="L16" s="14"/>
      <c r="M16" s="14"/>
    </row>
    <row r="17" spans="1:13" x14ac:dyDescent="0.25">
      <c r="A17" s="16" t="s">
        <v>1852</v>
      </c>
      <c r="B17" s="24" t="s">
        <v>1853</v>
      </c>
      <c r="C17" s="60" t="s">
        <v>255</v>
      </c>
      <c r="D17" s="60" t="s">
        <v>1854</v>
      </c>
      <c r="E17" s="69">
        <v>1312109.18</v>
      </c>
      <c r="F17" s="66">
        <v>109.64370000000001</v>
      </c>
      <c r="G17" s="84">
        <v>1438.6454799999999</v>
      </c>
      <c r="H17" s="32">
        <v>2.4280069767441859E-3</v>
      </c>
      <c r="I17" s="24">
        <v>6.6747310851663647E-2</v>
      </c>
      <c r="J17" s="24">
        <v>2.704055850253179E-3</v>
      </c>
      <c r="K17" s="14"/>
      <c r="L17" s="14"/>
      <c r="M17" s="14"/>
    </row>
    <row r="18" spans="1:13" x14ac:dyDescent="0.25">
      <c r="A18" s="16" t="s">
        <v>1850</v>
      </c>
      <c r="B18" s="24" t="s">
        <v>1851</v>
      </c>
      <c r="C18" s="60" t="s">
        <v>255</v>
      </c>
      <c r="D18" s="60" t="s">
        <v>1022</v>
      </c>
      <c r="E18" s="69">
        <v>809974.51</v>
      </c>
      <c r="F18" s="66">
        <v>64.217199999999991</v>
      </c>
      <c r="G18" s="84">
        <v>520.14361999999994</v>
      </c>
      <c r="H18" s="32">
        <v>1.0455686666666667E-3</v>
      </c>
      <c r="I18" s="24">
        <v>2.4132552720111146E-2</v>
      </c>
      <c r="J18" s="24">
        <v>9.7765392390685877E-4</v>
      </c>
      <c r="K18" s="14"/>
      <c r="L18" s="14"/>
      <c r="M18" s="14"/>
    </row>
    <row r="19" spans="1:13" x14ac:dyDescent="0.25">
      <c r="A19" s="16" t="s">
        <v>1855</v>
      </c>
      <c r="B19" s="24" t="s">
        <v>1856</v>
      </c>
      <c r="C19" s="60" t="s">
        <v>255</v>
      </c>
      <c r="D19" s="60" t="s">
        <v>1857</v>
      </c>
      <c r="E19" s="69">
        <v>30044.6</v>
      </c>
      <c r="F19" s="66">
        <v>100</v>
      </c>
      <c r="G19" s="84">
        <v>30.044599999999999</v>
      </c>
      <c r="H19" s="32">
        <v>5.7732909090909093E-4</v>
      </c>
      <c r="I19" s="24">
        <v>1.3939474898387707E-3</v>
      </c>
      <c r="J19" s="24">
        <v>5.6471366662561419E-5</v>
      </c>
      <c r="K19" s="14"/>
      <c r="L19" s="14"/>
      <c r="M19" s="14"/>
    </row>
    <row r="20" spans="1:13" s="118" customFormat="1" x14ac:dyDescent="0.25">
      <c r="A20" s="92" t="s">
        <v>1858</v>
      </c>
      <c r="B20" s="136" t="s">
        <v>249</v>
      </c>
      <c r="C20" s="135" t="s">
        <v>249</v>
      </c>
      <c r="D20" s="135" t="s">
        <v>249</v>
      </c>
      <c r="E20" s="134" t="s">
        <v>249</v>
      </c>
      <c r="F20" s="121" t="s">
        <v>249</v>
      </c>
      <c r="G20" s="123">
        <v>17847.289040400006</v>
      </c>
      <c r="H20" s="120"/>
      <c r="I20" s="136">
        <v>0.8280417698452498</v>
      </c>
      <c r="J20" s="136">
        <v>3.3545489150567577E-2</v>
      </c>
    </row>
    <row r="21" spans="1:13" s="118" customFormat="1" x14ac:dyDescent="0.25">
      <c r="A21" s="92" t="s">
        <v>1841</v>
      </c>
      <c r="B21" s="136" t="s">
        <v>249</v>
      </c>
      <c r="C21" s="135" t="s">
        <v>249</v>
      </c>
      <c r="D21" s="135" t="s">
        <v>249</v>
      </c>
      <c r="E21" s="134" t="s">
        <v>249</v>
      </c>
      <c r="F21" s="121" t="s">
        <v>249</v>
      </c>
      <c r="G21" s="123">
        <v>0</v>
      </c>
      <c r="H21" s="120"/>
      <c r="I21" s="136">
        <v>0</v>
      </c>
      <c r="J21" s="136">
        <v>0</v>
      </c>
    </row>
    <row r="22" spans="1:13" s="118" customFormat="1" x14ac:dyDescent="0.25">
      <c r="A22" s="92" t="s">
        <v>1842</v>
      </c>
      <c r="B22" s="136" t="s">
        <v>249</v>
      </c>
      <c r="C22" s="135" t="s">
        <v>249</v>
      </c>
      <c r="D22" s="135" t="s">
        <v>249</v>
      </c>
      <c r="E22" s="134" t="s">
        <v>249</v>
      </c>
      <c r="F22" s="121" t="s">
        <v>249</v>
      </c>
      <c r="G22" s="123">
        <v>1652.5450600999998</v>
      </c>
      <c r="H22" s="120"/>
      <c r="I22" s="136">
        <v>7.6671383156103112E-2</v>
      </c>
      <c r="J22" s="136">
        <v>3.1060982011846283E-3</v>
      </c>
    </row>
    <row r="23" spans="1:13" x14ac:dyDescent="0.25">
      <c r="A23" s="16" t="s">
        <v>1862</v>
      </c>
      <c r="B23" s="24" t="s">
        <v>1863</v>
      </c>
      <c r="C23" s="60" t="s">
        <v>125</v>
      </c>
      <c r="D23" s="60" t="s">
        <v>1350</v>
      </c>
      <c r="E23" s="69">
        <v>25655.42</v>
      </c>
      <c r="F23" s="66">
        <v>112387.43999999999</v>
      </c>
      <c r="G23" s="84">
        <v>110.25917999999999</v>
      </c>
      <c r="H23" s="32">
        <v>0</v>
      </c>
      <c r="I23" s="24">
        <v>5.1155784131817761E-3</v>
      </c>
      <c r="J23" s="24">
        <v>2.0724145376185265E-4</v>
      </c>
      <c r="K23" s="14"/>
      <c r="L23" s="14"/>
      <c r="M23" s="14"/>
    </row>
    <row r="24" spans="1:13" x14ac:dyDescent="0.25">
      <c r="A24" s="16" t="s">
        <v>1859</v>
      </c>
      <c r="B24" s="24" t="s">
        <v>1860</v>
      </c>
      <c r="C24" s="60" t="s">
        <v>125</v>
      </c>
      <c r="D24" s="60" t="s">
        <v>1861</v>
      </c>
      <c r="E24" s="69">
        <v>371413.44</v>
      </c>
      <c r="F24" s="66">
        <v>108.589888</v>
      </c>
      <c r="G24" s="84">
        <v>1542.2858799999999</v>
      </c>
      <c r="H24" s="32">
        <v>0</v>
      </c>
      <c r="I24" s="24">
        <v>7.1555804738281742E-2</v>
      </c>
      <c r="J24" s="24">
        <v>2.8988567472348174E-3</v>
      </c>
      <c r="K24" s="14"/>
      <c r="L24" s="14"/>
      <c r="M24" s="14"/>
    </row>
    <row r="25" spans="1:13" s="118" customFormat="1" x14ac:dyDescent="0.25">
      <c r="A25" s="92" t="s">
        <v>1845</v>
      </c>
      <c r="B25" s="136" t="s">
        <v>249</v>
      </c>
      <c r="C25" s="135" t="s">
        <v>249</v>
      </c>
      <c r="D25" s="135" t="s">
        <v>249</v>
      </c>
      <c r="E25" s="134" t="s">
        <v>249</v>
      </c>
      <c r="F25" s="121" t="s">
        <v>249</v>
      </c>
      <c r="G25" s="123">
        <v>5246.6968400999995</v>
      </c>
      <c r="H25" s="120"/>
      <c r="I25" s="136">
        <v>0.24342543719012419</v>
      </c>
      <c r="J25" s="136">
        <v>9.8616104399655655E-3</v>
      </c>
    </row>
    <row r="26" spans="1:13" x14ac:dyDescent="0.25">
      <c r="A26" s="16" t="s">
        <v>1864</v>
      </c>
      <c r="B26" s="24" t="s">
        <v>1865</v>
      </c>
      <c r="C26" s="60" t="s">
        <v>125</v>
      </c>
      <c r="D26" s="60" t="s">
        <v>665</v>
      </c>
      <c r="E26" s="69">
        <v>222120.84</v>
      </c>
      <c r="F26" s="66">
        <v>239.33689999999999</v>
      </c>
      <c r="G26" s="84">
        <v>2032.90391</v>
      </c>
      <c r="H26" s="32">
        <v>2.2432149999999998E-5</v>
      </c>
      <c r="I26" s="24">
        <v>9.431848992590755E-2</v>
      </c>
      <c r="J26" s="24">
        <v>3.8210148276683585E-3</v>
      </c>
      <c r="K26" s="14"/>
      <c r="L26" s="14"/>
      <c r="M26" s="14"/>
    </row>
    <row r="27" spans="1:13" x14ac:dyDescent="0.25">
      <c r="A27" s="16" t="s">
        <v>1866</v>
      </c>
      <c r="B27" s="24" t="s">
        <v>1867</v>
      </c>
      <c r="C27" s="60" t="s">
        <v>125</v>
      </c>
      <c r="D27" s="60" t="s">
        <v>776</v>
      </c>
      <c r="E27" s="69">
        <v>298285.40999999997</v>
      </c>
      <c r="F27" s="66">
        <v>133.0401</v>
      </c>
      <c r="G27" s="84">
        <v>1517.5131299999998</v>
      </c>
      <c r="H27" s="32">
        <v>1.7429817799579537E-3</v>
      </c>
      <c r="I27" s="24">
        <v>7.0406449690156497E-2</v>
      </c>
      <c r="J27" s="24">
        <v>2.8522942685035324E-3</v>
      </c>
      <c r="K27" s="14"/>
      <c r="L27" s="14"/>
      <c r="M27" s="14"/>
    </row>
    <row r="28" spans="1:13" x14ac:dyDescent="0.25">
      <c r="A28" s="16" t="s">
        <v>1874</v>
      </c>
      <c r="B28" s="24" t="s">
        <v>1875</v>
      </c>
      <c r="C28" s="60" t="s">
        <v>125</v>
      </c>
      <c r="D28" s="60" t="s">
        <v>1876</v>
      </c>
      <c r="E28" s="69">
        <v>84826.84</v>
      </c>
      <c r="F28" s="66">
        <v>109.94370000000001</v>
      </c>
      <c r="G28" s="84">
        <v>356.63329999999996</v>
      </c>
      <c r="H28" s="32">
        <v>5.6971720116618079E-4</v>
      </c>
      <c r="I28" s="24">
        <v>1.6546337555764339E-2</v>
      </c>
      <c r="J28" s="24">
        <v>6.7032244890526962E-4</v>
      </c>
      <c r="K28" s="14"/>
      <c r="L28" s="14"/>
      <c r="M28" s="14"/>
    </row>
    <row r="29" spans="1:13" x14ac:dyDescent="0.25">
      <c r="A29" s="16" t="s">
        <v>1868</v>
      </c>
      <c r="B29" s="24" t="s">
        <v>1869</v>
      </c>
      <c r="C29" s="60" t="s">
        <v>125</v>
      </c>
      <c r="D29" s="60" t="s">
        <v>1870</v>
      </c>
      <c r="E29" s="69">
        <v>188176.69</v>
      </c>
      <c r="F29" s="66">
        <v>110.61669999999999</v>
      </c>
      <c r="G29" s="84">
        <v>795.98411999999996</v>
      </c>
      <c r="H29" s="32">
        <v>1.87078E-4</v>
      </c>
      <c r="I29" s="24">
        <v>3.6930432291510717E-2</v>
      </c>
      <c r="J29" s="24">
        <v>1.4961194723210256E-3</v>
      </c>
      <c r="K29" s="14"/>
      <c r="L29" s="14"/>
      <c r="M29" s="14"/>
    </row>
    <row r="30" spans="1:13" x14ac:dyDescent="0.25">
      <c r="A30" s="16" t="s">
        <v>1871</v>
      </c>
      <c r="B30" s="24" t="s">
        <v>1872</v>
      </c>
      <c r="C30" s="60" t="s">
        <v>125</v>
      </c>
      <c r="D30" s="60" t="s">
        <v>1873</v>
      </c>
      <c r="E30" s="69">
        <v>138671.60999999999</v>
      </c>
      <c r="F30" s="66">
        <v>102.5236</v>
      </c>
      <c r="G30" s="84">
        <v>543.66237999999998</v>
      </c>
      <c r="H30" s="32">
        <v>5.0484839713438019E-4</v>
      </c>
      <c r="I30" s="24">
        <v>2.5223727722145473E-2</v>
      </c>
      <c r="J30" s="24">
        <v>1.0218594223794224E-3</v>
      </c>
      <c r="K30" s="14"/>
      <c r="L30" s="14"/>
      <c r="M30" s="14"/>
    </row>
    <row r="31" spans="1:13" s="118" customFormat="1" x14ac:dyDescent="0.25">
      <c r="A31" s="92" t="s">
        <v>1846</v>
      </c>
      <c r="B31" s="136" t="s">
        <v>249</v>
      </c>
      <c r="C31" s="135" t="s">
        <v>249</v>
      </c>
      <c r="D31" s="135" t="s">
        <v>249</v>
      </c>
      <c r="E31" s="134" t="s">
        <v>249</v>
      </c>
      <c r="F31" s="121" t="s">
        <v>249</v>
      </c>
      <c r="G31" s="123">
        <v>10948.047140100003</v>
      </c>
      <c r="H31" s="120"/>
      <c r="I31" s="136">
        <v>0.50794494949438274</v>
      </c>
      <c r="J31" s="136">
        <v>2.0577780509229419E-2</v>
      </c>
    </row>
    <row r="32" spans="1:13" x14ac:dyDescent="0.25">
      <c r="A32" s="16" t="s">
        <v>1877</v>
      </c>
      <c r="B32" s="24" t="s">
        <v>1878</v>
      </c>
      <c r="C32" s="60" t="s">
        <v>125</v>
      </c>
      <c r="D32" s="60" t="s">
        <v>1879</v>
      </c>
      <c r="E32" s="69">
        <v>173847.72</v>
      </c>
      <c r="F32" s="66">
        <v>133.73600000000002</v>
      </c>
      <c r="G32" s="84">
        <v>889.06846999999993</v>
      </c>
      <c r="H32" s="32">
        <v>2.9855721830985914E-4</v>
      </c>
      <c r="I32" s="24">
        <v>4.1249168304830032E-2</v>
      </c>
      <c r="J32" s="24">
        <v>1.6710793805706345E-3</v>
      </c>
      <c r="K32" s="14"/>
      <c r="L32" s="14"/>
      <c r="M32" s="14"/>
    </row>
    <row r="33" spans="1:13" x14ac:dyDescent="0.25">
      <c r="A33" s="16" t="s">
        <v>1880</v>
      </c>
      <c r="B33" s="24" t="s">
        <v>1881</v>
      </c>
      <c r="C33" s="60" t="s">
        <v>125</v>
      </c>
      <c r="D33" s="60" t="s">
        <v>1882</v>
      </c>
      <c r="E33" s="69">
        <v>215708.74</v>
      </c>
      <c r="F33" s="66">
        <v>129.6421</v>
      </c>
      <c r="G33" s="84">
        <v>1069.3791100000001</v>
      </c>
      <c r="H33" s="32">
        <v>2.3172319572319571E-4</v>
      </c>
      <c r="I33" s="24">
        <v>4.9614850125164547E-2</v>
      </c>
      <c r="J33" s="24">
        <v>2.0099884778660261E-3</v>
      </c>
      <c r="K33" s="14"/>
      <c r="L33" s="14"/>
      <c r="M33" s="14"/>
    </row>
    <row r="34" spans="1:13" x14ac:dyDescent="0.25">
      <c r="A34" s="16" t="s">
        <v>1883</v>
      </c>
      <c r="B34" s="24" t="s">
        <v>1884</v>
      </c>
      <c r="C34" s="60" t="s">
        <v>125</v>
      </c>
      <c r="D34" s="60" t="s">
        <v>1885</v>
      </c>
      <c r="E34" s="69">
        <v>8964.8700000000008</v>
      </c>
      <c r="F34" s="66">
        <v>1989.4567999999999</v>
      </c>
      <c r="G34" s="84">
        <v>682.01886999999999</v>
      </c>
      <c r="H34" s="32">
        <v>6.7197643416082422E-3</v>
      </c>
      <c r="I34" s="24">
        <v>3.1642907273159736E-2</v>
      </c>
      <c r="J34" s="24">
        <v>1.2819121465606402E-3</v>
      </c>
      <c r="K34" s="14"/>
      <c r="L34" s="14"/>
      <c r="M34" s="14"/>
    </row>
    <row r="35" spans="1:13" x14ac:dyDescent="0.25">
      <c r="A35" s="16" t="s">
        <v>1886</v>
      </c>
      <c r="B35" s="24" t="s">
        <v>1887</v>
      </c>
      <c r="C35" s="60" t="s">
        <v>125</v>
      </c>
      <c r="D35" s="60" t="s">
        <v>1888</v>
      </c>
      <c r="E35" s="69">
        <v>601751.32999999996</v>
      </c>
      <c r="F35" s="66">
        <v>130.37049999999999</v>
      </c>
      <c r="G35" s="84">
        <v>2999.9517700000001</v>
      </c>
      <c r="H35" s="32">
        <v>1.307427288654956E-3</v>
      </c>
      <c r="I35" s="24">
        <v>0.13918558541065207</v>
      </c>
      <c r="J35" s="24">
        <v>5.6386630666965159E-3</v>
      </c>
      <c r="K35" s="14"/>
      <c r="L35" s="14"/>
      <c r="M35" s="14"/>
    </row>
    <row r="36" spans="1:13" x14ac:dyDescent="0.25">
      <c r="A36" s="16" t="s">
        <v>1889</v>
      </c>
      <c r="B36" s="24" t="s">
        <v>1890</v>
      </c>
      <c r="C36" s="60" t="s">
        <v>125</v>
      </c>
      <c r="D36" s="60" t="s">
        <v>1636</v>
      </c>
      <c r="E36" s="69">
        <v>714383.19</v>
      </c>
      <c r="F36" s="66">
        <v>110.95269999999999</v>
      </c>
      <c r="G36" s="84">
        <v>3031.0073199999997</v>
      </c>
      <c r="H36" s="32">
        <v>0</v>
      </c>
      <c r="I36" s="24">
        <v>0.14062643687707407</v>
      </c>
      <c r="J36" s="24">
        <v>5.6970345993831708E-3</v>
      </c>
      <c r="K36" s="14"/>
      <c r="L36" s="14"/>
      <c r="M36" s="14"/>
    </row>
    <row r="37" spans="1:13" x14ac:dyDescent="0.25">
      <c r="A37" s="16" t="s">
        <v>1891</v>
      </c>
      <c r="B37" s="24" t="s">
        <v>1892</v>
      </c>
      <c r="C37" s="60" t="s">
        <v>125</v>
      </c>
      <c r="D37" s="60" t="s">
        <v>1893</v>
      </c>
      <c r="E37" s="69">
        <v>57841.42</v>
      </c>
      <c r="F37" s="66">
        <v>109.3507</v>
      </c>
      <c r="G37" s="84">
        <v>241.86798999999999</v>
      </c>
      <c r="H37" s="32">
        <v>1.2851125000000001E-3</v>
      </c>
      <c r="I37" s="24">
        <v>1.1221693000833723E-2</v>
      </c>
      <c r="J37" s="24">
        <v>4.5461134271139366E-4</v>
      </c>
      <c r="K37" s="14"/>
      <c r="L37" s="14"/>
      <c r="M37" s="14"/>
    </row>
    <row r="38" spans="1:13" x14ac:dyDescent="0.25">
      <c r="A38" s="16" t="s">
        <v>1894</v>
      </c>
      <c r="B38" s="24" t="s">
        <v>1895</v>
      </c>
      <c r="C38" s="60" t="s">
        <v>126</v>
      </c>
      <c r="D38" s="60" t="s">
        <v>1025</v>
      </c>
      <c r="E38" s="69">
        <v>128624.07</v>
      </c>
      <c r="F38" s="66">
        <v>108.8663</v>
      </c>
      <c r="G38" s="84">
        <v>567.54856000000007</v>
      </c>
      <c r="H38" s="32">
        <v>2.1131428571428572E-4</v>
      </c>
      <c r="I38" s="24">
        <v>2.6331949520832662E-2</v>
      </c>
      <c r="J38" s="24">
        <v>1.0667555178158052E-3</v>
      </c>
      <c r="K38" s="14"/>
      <c r="L38" s="14"/>
      <c r="M38" s="14"/>
    </row>
    <row r="39" spans="1:13" x14ac:dyDescent="0.25">
      <c r="A39" s="16" t="s">
        <v>1896</v>
      </c>
      <c r="B39" s="24" t="s">
        <v>1897</v>
      </c>
      <c r="C39" s="60" t="s">
        <v>125</v>
      </c>
      <c r="D39" s="60" t="s">
        <v>1898</v>
      </c>
      <c r="E39" s="69">
        <v>52166.28</v>
      </c>
      <c r="F39" s="66">
        <v>110.2897</v>
      </c>
      <c r="G39" s="84">
        <v>220.01014000000001</v>
      </c>
      <c r="H39" s="32">
        <v>7.5595999999999999E-5</v>
      </c>
      <c r="I39" s="24">
        <v>1.0207577481213814E-2</v>
      </c>
      <c r="J39" s="24">
        <v>4.1352766505200507E-4</v>
      </c>
      <c r="K39" s="14"/>
      <c r="L39" s="14"/>
      <c r="M39" s="14"/>
    </row>
    <row r="40" spans="1:13" x14ac:dyDescent="0.25">
      <c r="A40" s="16" t="s">
        <v>1899</v>
      </c>
      <c r="B40" s="24" t="s">
        <v>1900</v>
      </c>
      <c r="C40" s="60" t="s">
        <v>125</v>
      </c>
      <c r="D40" s="60" t="s">
        <v>1901</v>
      </c>
      <c r="E40" s="69">
        <v>81948.38</v>
      </c>
      <c r="F40" s="66">
        <v>100</v>
      </c>
      <c r="G40" s="84">
        <v>313.37059999999997</v>
      </c>
      <c r="H40" s="32">
        <v>1.6477854000000001E-4</v>
      </c>
      <c r="I40" s="24">
        <v>1.4539123877810636E-2</v>
      </c>
      <c r="J40" s="24">
        <v>5.8900654539807045E-4</v>
      </c>
      <c r="K40" s="14"/>
      <c r="L40" s="14"/>
      <c r="M40" s="14"/>
    </row>
    <row r="41" spans="1:13" x14ac:dyDescent="0.25">
      <c r="A41" s="16" t="s">
        <v>1902</v>
      </c>
      <c r="B41" s="24" t="s">
        <v>1903</v>
      </c>
      <c r="C41" s="60" t="s">
        <v>125</v>
      </c>
      <c r="D41" s="60" t="s">
        <v>1904</v>
      </c>
      <c r="E41" s="69">
        <v>157764.92000000001</v>
      </c>
      <c r="F41" s="66">
        <v>100</v>
      </c>
      <c r="G41" s="84">
        <v>603.29304999999999</v>
      </c>
      <c r="H41" s="32">
        <v>0</v>
      </c>
      <c r="I41" s="24">
        <v>2.7990348770983008E-2</v>
      </c>
      <c r="J41" s="24">
        <v>1.1339403097902784E-3</v>
      </c>
      <c r="K41" s="14"/>
      <c r="L41" s="14"/>
      <c r="M41" s="14"/>
    </row>
    <row r="42" spans="1:13" x14ac:dyDescent="0.25">
      <c r="A42" s="16" t="s">
        <v>1905</v>
      </c>
      <c r="B42" s="24" t="s">
        <v>1906</v>
      </c>
      <c r="C42" s="60" t="s">
        <v>125</v>
      </c>
      <c r="D42" s="60" t="s">
        <v>1448</v>
      </c>
      <c r="E42" s="69">
        <v>86436</v>
      </c>
      <c r="F42" s="66">
        <v>100</v>
      </c>
      <c r="G42" s="84">
        <v>330.53126000000003</v>
      </c>
      <c r="H42" s="32">
        <v>0</v>
      </c>
      <c r="I42" s="24">
        <v>1.5335308847188716E-2</v>
      </c>
      <c r="J42" s="24">
        <v>6.2126145719691467E-4</v>
      </c>
      <c r="K42" s="14"/>
      <c r="L42" s="14"/>
      <c r="M42" s="14"/>
    </row>
    <row r="43" spans="1:13" s="118" customFormat="1" x14ac:dyDescent="0.25">
      <c r="A43" s="78" t="s">
        <v>241</v>
      </c>
      <c r="B43" s="124"/>
      <c r="C43" s="125"/>
      <c r="D43" s="125"/>
      <c r="E43" s="125"/>
      <c r="F43" s="126"/>
      <c r="G43" s="127"/>
      <c r="H43" s="128"/>
      <c r="I43" s="128"/>
      <c r="J43" s="128"/>
      <c r="K43" s="147"/>
      <c r="L43" s="129"/>
      <c r="M43" s="129"/>
    </row>
    <row r="44" spans="1:13" s="118" customFormat="1" x14ac:dyDescent="0.25">
      <c r="A44" s="78" t="s">
        <v>242</v>
      </c>
      <c r="B44" s="124"/>
      <c r="C44" s="125"/>
      <c r="D44" s="125"/>
      <c r="E44" s="125"/>
      <c r="F44" s="126"/>
      <c r="G44" s="127"/>
      <c r="H44" s="128"/>
      <c r="I44" s="128"/>
      <c r="J44" s="128"/>
      <c r="K44" s="147"/>
      <c r="L44" s="129"/>
      <c r="M44" s="129"/>
    </row>
    <row r="45" spans="1:13" s="118" customFormat="1" x14ac:dyDescent="0.25">
      <c r="A45" s="78" t="s">
        <v>243</v>
      </c>
      <c r="B45" s="124"/>
      <c r="C45" s="125"/>
      <c r="D45" s="125"/>
      <c r="E45" s="125"/>
      <c r="F45" s="126"/>
      <c r="G45" s="127"/>
      <c r="H45" s="128"/>
      <c r="I45" s="128"/>
      <c r="J45" s="128"/>
      <c r="K45" s="147"/>
      <c r="L45" s="129"/>
      <c r="M45" s="129"/>
    </row>
    <row r="46" spans="1:13" s="118" customFormat="1" x14ac:dyDescent="0.25">
      <c r="A46" s="78" t="s">
        <v>244</v>
      </c>
      <c r="B46" s="124"/>
      <c r="C46" s="125"/>
      <c r="D46" s="125"/>
      <c r="E46" s="125"/>
      <c r="F46" s="126"/>
      <c r="G46" s="127"/>
      <c r="H46" s="128"/>
      <c r="I46" s="128"/>
      <c r="J46" s="128"/>
      <c r="K46" s="147"/>
      <c r="L46" s="129"/>
      <c r="M46" s="129"/>
    </row>
    <row r="47" spans="1:13" s="118" customFormat="1" x14ac:dyDescent="0.25">
      <c r="A47" s="78" t="s">
        <v>245</v>
      </c>
      <c r="B47" s="124"/>
      <c r="C47" s="125"/>
      <c r="D47" s="125"/>
      <c r="E47" s="125"/>
      <c r="F47" s="126"/>
      <c r="G47" s="127"/>
      <c r="H47" s="128"/>
      <c r="I47" s="128"/>
      <c r="J47" s="128"/>
      <c r="K47" s="147"/>
      <c r="L47" s="129"/>
      <c r="M47" s="129"/>
    </row>
  </sheetData>
  <mergeCells count="2">
    <mergeCell ref="A5:J5"/>
    <mergeCell ref="A4:J4"/>
  </mergeCells>
  <phoneticPr fontId="3" type="noConversion"/>
  <conditionalFormatting sqref="A10:A42 G10:G42">
    <cfRule type="expression" dxfId="53" priority="337" stopIfTrue="1">
      <formula>#REF!&gt;0</formula>
    </cfRule>
  </conditionalFormatting>
  <conditionalFormatting sqref="B10:D42 I10:J42">
    <cfRule type="expression" dxfId="52" priority="335" stopIfTrue="1">
      <formula>OR(LEFT(#REF!,3)="TIR",LEFT(#REF!,2)="IR")</formula>
    </cfRule>
  </conditionalFormatting>
  <conditionalFormatting sqref="F11:F42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31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8" customFormat="1" ht="12.75" customHeight="1" thickBot="1" x14ac:dyDescent="0.3">
      <c r="A9" s="99" t="s">
        <v>55</v>
      </c>
      <c r="B9" s="67" t="s">
        <v>249</v>
      </c>
      <c r="C9" s="67" t="s">
        <v>249</v>
      </c>
      <c r="D9" s="138" t="s">
        <v>249</v>
      </c>
      <c r="E9" s="138" t="s">
        <v>249</v>
      </c>
      <c r="F9" s="140" t="s">
        <v>249</v>
      </c>
      <c r="G9" s="138" t="s">
        <v>249</v>
      </c>
      <c r="H9" s="152">
        <v>33.021340199999997</v>
      </c>
      <c r="I9" s="70"/>
      <c r="J9" s="83">
        <v>1</v>
      </c>
      <c r="K9" s="82">
        <v>6.2066401620370355E-5</v>
      </c>
    </row>
    <row r="10" spans="1:18" s="118" customFormat="1" x14ac:dyDescent="0.25">
      <c r="A10" s="91" t="s">
        <v>1907</v>
      </c>
      <c r="B10" s="120" t="s">
        <v>249</v>
      </c>
      <c r="C10" s="120" t="s">
        <v>249</v>
      </c>
      <c r="D10" s="142" t="s">
        <v>249</v>
      </c>
      <c r="E10" s="142" t="s">
        <v>249</v>
      </c>
      <c r="F10" s="141" t="s">
        <v>249</v>
      </c>
      <c r="G10" s="142" t="s">
        <v>249</v>
      </c>
      <c r="H10" s="122">
        <v>33.021340099999996</v>
      </c>
      <c r="I10" s="120" t="s">
        <v>249</v>
      </c>
      <c r="J10" s="120">
        <v>0.9999999969716552</v>
      </c>
      <c r="K10" s="120">
        <v>6.2066401432411887E-5</v>
      </c>
    </row>
    <row r="11" spans="1:18" x14ac:dyDescent="0.25">
      <c r="A11" s="16" t="s">
        <v>1908</v>
      </c>
      <c r="B11" s="24" t="s">
        <v>1909</v>
      </c>
      <c r="C11" s="24" t="s">
        <v>226</v>
      </c>
      <c r="D11" s="25" t="s">
        <v>255</v>
      </c>
      <c r="E11" s="25" t="s">
        <v>964</v>
      </c>
      <c r="F11" s="109">
        <v>12773.72</v>
      </c>
      <c r="G11" s="25">
        <v>258.51</v>
      </c>
      <c r="H11" s="84">
        <v>33.021339999999995</v>
      </c>
      <c r="I11" s="24">
        <v>1.8653212616822428E-3</v>
      </c>
      <c r="J11" s="32">
        <v>0.99999999394331052</v>
      </c>
      <c r="K11" s="32">
        <v>6.2066401244453433E-5</v>
      </c>
      <c r="L11" s="14"/>
      <c r="M11" s="14"/>
      <c r="N11" s="14"/>
    </row>
    <row r="12" spans="1:18" s="118" customFormat="1" x14ac:dyDescent="0.25">
      <c r="A12" s="92" t="s">
        <v>1910</v>
      </c>
      <c r="B12" s="136" t="s">
        <v>249</v>
      </c>
      <c r="C12" s="136" t="s">
        <v>249</v>
      </c>
      <c r="D12" s="144" t="s">
        <v>249</v>
      </c>
      <c r="E12" s="144" t="s">
        <v>249</v>
      </c>
      <c r="F12" s="143" t="s">
        <v>249</v>
      </c>
      <c r="G12" s="144" t="s">
        <v>249</v>
      </c>
      <c r="H12" s="123">
        <v>0</v>
      </c>
      <c r="I12" s="136"/>
      <c r="J12" s="120">
        <v>0</v>
      </c>
      <c r="K12" s="120">
        <v>0</v>
      </c>
    </row>
    <row r="13" spans="1:18" s="118" customFormat="1" x14ac:dyDescent="0.25">
      <c r="A13" s="78" t="s">
        <v>241</v>
      </c>
      <c r="B13" s="124"/>
      <c r="C13" s="78"/>
      <c r="D13" s="145"/>
      <c r="E13" s="145"/>
      <c r="F13" s="145"/>
      <c r="G13" s="146"/>
      <c r="H13" s="129"/>
      <c r="I13" s="147"/>
      <c r="J13" s="147"/>
      <c r="K13" s="147"/>
      <c r="L13" s="147"/>
      <c r="M13" s="129"/>
      <c r="N13" s="129"/>
    </row>
    <row r="14" spans="1:18" s="118" customFormat="1" x14ac:dyDescent="0.25">
      <c r="A14" s="78" t="s">
        <v>242</v>
      </c>
      <c r="B14" s="124"/>
      <c r="C14" s="78"/>
      <c r="D14" s="145"/>
      <c r="E14" s="145"/>
      <c r="F14" s="145"/>
      <c r="G14" s="146"/>
      <c r="H14" s="129"/>
      <c r="I14" s="147"/>
      <c r="J14" s="147"/>
      <c r="K14" s="147"/>
      <c r="L14" s="147"/>
      <c r="M14" s="129"/>
      <c r="N14" s="129"/>
    </row>
    <row r="15" spans="1:18" s="118" customFormat="1" x14ac:dyDescent="0.25">
      <c r="A15" s="78" t="s">
        <v>243</v>
      </c>
      <c r="B15" s="124"/>
      <c r="C15" s="78"/>
      <c r="D15" s="145"/>
      <c r="E15" s="145"/>
      <c r="F15" s="145"/>
      <c r="G15" s="146"/>
      <c r="H15" s="129"/>
      <c r="I15" s="147"/>
      <c r="J15" s="147"/>
      <c r="K15" s="147"/>
      <c r="L15" s="147"/>
      <c r="M15" s="129"/>
      <c r="N15" s="129"/>
    </row>
    <row r="16" spans="1:18" s="118" customFormat="1" x14ac:dyDescent="0.25">
      <c r="A16" s="78" t="s">
        <v>244</v>
      </c>
      <c r="B16" s="124"/>
      <c r="C16" s="78"/>
      <c r="D16" s="145"/>
      <c r="E16" s="145"/>
      <c r="F16" s="145"/>
      <c r="G16" s="146"/>
      <c r="H16" s="129"/>
      <c r="I16" s="147"/>
      <c r="J16" s="147"/>
      <c r="K16" s="147"/>
      <c r="L16" s="147"/>
      <c r="M16" s="129"/>
      <c r="N16" s="129"/>
    </row>
    <row r="17" spans="1:14" s="118" customFormat="1" x14ac:dyDescent="0.25">
      <c r="A17" s="78" t="s">
        <v>245</v>
      </c>
      <c r="B17" s="124"/>
      <c r="C17" s="78"/>
      <c r="D17" s="145"/>
      <c r="E17" s="145"/>
      <c r="F17" s="145"/>
      <c r="G17" s="146"/>
      <c r="H17" s="129"/>
      <c r="I17" s="147"/>
      <c r="J17" s="147"/>
      <c r="K17" s="147"/>
      <c r="L17" s="147"/>
      <c r="M17" s="129"/>
      <c r="N17" s="129"/>
    </row>
  </sheetData>
  <mergeCells count="2">
    <mergeCell ref="A5:K5"/>
    <mergeCell ref="A4:K4"/>
  </mergeCells>
  <phoneticPr fontId="3" type="noConversion"/>
  <conditionalFormatting sqref="A9:A12 H9:H12">
    <cfRule type="expression" dxfId="50" priority="343" stopIfTrue="1">
      <formula>#REF!&gt;0</formula>
    </cfRule>
  </conditionalFormatting>
  <conditionalFormatting sqref="J9:K12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5" t="s">
        <v>32</v>
      </c>
      <c r="B5" s="226"/>
      <c r="C5" s="226"/>
      <c r="D5" s="226"/>
      <c r="E5" s="226"/>
      <c r="F5" s="226"/>
      <c r="G5" s="226"/>
      <c r="H5" s="226"/>
      <c r="I5" s="226"/>
      <c r="J5" s="226"/>
      <c r="K5" s="227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8" customFormat="1" ht="12.75" customHeight="1" thickBot="1" x14ac:dyDescent="0.3">
      <c r="A9" s="99" t="s">
        <v>56</v>
      </c>
      <c r="B9" s="67" t="s">
        <v>249</v>
      </c>
      <c r="C9" s="67" t="s">
        <v>249</v>
      </c>
      <c r="D9" s="100" t="s">
        <v>249</v>
      </c>
      <c r="E9" s="100" t="s">
        <v>249</v>
      </c>
      <c r="F9" s="101" t="s">
        <v>249</v>
      </c>
      <c r="G9" s="100" t="s">
        <v>249</v>
      </c>
      <c r="H9" s="107">
        <v>9.9999999999999995E-7</v>
      </c>
      <c r="I9" s="67" t="s">
        <v>249</v>
      </c>
      <c r="J9" s="67">
        <v>1</v>
      </c>
      <c r="K9" s="81">
        <v>0</v>
      </c>
    </row>
    <row r="10" spans="1:18" s="118" customFormat="1" x14ac:dyDescent="0.25">
      <c r="A10" s="91" t="s">
        <v>1911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32" t="s">
        <v>249</v>
      </c>
      <c r="G10" s="121" t="s">
        <v>249</v>
      </c>
      <c r="H10" s="122">
        <v>0</v>
      </c>
      <c r="I10" s="120" t="s">
        <v>249</v>
      </c>
      <c r="J10" s="120">
        <v>0</v>
      </c>
      <c r="K10" s="120">
        <v>0</v>
      </c>
    </row>
    <row r="11" spans="1:18" s="118" customFormat="1" x14ac:dyDescent="0.25">
      <c r="A11" s="92" t="s">
        <v>1747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4" t="s">
        <v>249</v>
      </c>
      <c r="G11" s="135" t="s">
        <v>249</v>
      </c>
      <c r="H11" s="123">
        <v>0</v>
      </c>
      <c r="I11" s="136"/>
      <c r="J11" s="136">
        <v>0</v>
      </c>
      <c r="K11" s="136">
        <v>0</v>
      </c>
    </row>
    <row r="12" spans="1:18" s="118" customFormat="1" x14ac:dyDescent="0.25">
      <c r="A12" s="92" t="s">
        <v>1912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4" t="s">
        <v>249</v>
      </c>
      <c r="G12" s="135" t="s">
        <v>249</v>
      </c>
      <c r="H12" s="123">
        <v>0</v>
      </c>
      <c r="I12" s="136"/>
      <c r="J12" s="136">
        <v>0</v>
      </c>
      <c r="K12" s="136">
        <v>0</v>
      </c>
    </row>
    <row r="13" spans="1:18" s="118" customFormat="1" x14ac:dyDescent="0.25">
      <c r="A13" s="92" t="s">
        <v>1913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4" t="s">
        <v>249</v>
      </c>
      <c r="G13" s="135" t="s">
        <v>249</v>
      </c>
      <c r="H13" s="123">
        <v>0</v>
      </c>
      <c r="I13" s="136"/>
      <c r="J13" s="136">
        <v>0</v>
      </c>
      <c r="K13" s="136">
        <v>0</v>
      </c>
    </row>
    <row r="14" spans="1:18" s="118" customFormat="1" x14ac:dyDescent="0.25">
      <c r="A14" s="92" t="s">
        <v>1749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4" t="s">
        <v>249</v>
      </c>
      <c r="G14" s="135" t="s">
        <v>249</v>
      </c>
      <c r="H14" s="123">
        <v>0</v>
      </c>
      <c r="I14" s="136"/>
      <c r="J14" s="136">
        <v>0</v>
      </c>
      <c r="K14" s="136">
        <v>0</v>
      </c>
    </row>
    <row r="15" spans="1:18" s="118" customFormat="1" x14ac:dyDescent="0.25">
      <c r="A15" s="92" t="s">
        <v>141</v>
      </c>
      <c r="B15" s="136" t="s">
        <v>249</v>
      </c>
      <c r="C15" s="136" t="s">
        <v>249</v>
      </c>
      <c r="D15" s="135" t="s">
        <v>249</v>
      </c>
      <c r="E15" s="135" t="s">
        <v>249</v>
      </c>
      <c r="F15" s="134" t="s">
        <v>249</v>
      </c>
      <c r="G15" s="135" t="s">
        <v>249</v>
      </c>
      <c r="H15" s="123">
        <v>0</v>
      </c>
      <c r="I15" s="136"/>
      <c r="J15" s="136">
        <v>0</v>
      </c>
      <c r="K15" s="136">
        <v>0</v>
      </c>
    </row>
    <row r="16" spans="1:18" s="118" customFormat="1" x14ac:dyDescent="0.25">
      <c r="A16" s="92" t="s">
        <v>1914</v>
      </c>
      <c r="B16" s="136" t="s">
        <v>249</v>
      </c>
      <c r="C16" s="136" t="s">
        <v>249</v>
      </c>
      <c r="D16" s="135" t="s">
        <v>249</v>
      </c>
      <c r="E16" s="135" t="s">
        <v>249</v>
      </c>
      <c r="F16" s="134" t="s">
        <v>249</v>
      </c>
      <c r="G16" s="135" t="s">
        <v>249</v>
      </c>
      <c r="H16" s="123">
        <v>0</v>
      </c>
      <c r="I16" s="136"/>
      <c r="J16" s="136">
        <v>0</v>
      </c>
      <c r="K16" s="136">
        <v>0</v>
      </c>
    </row>
    <row r="17" spans="1:14" s="118" customFormat="1" x14ac:dyDescent="0.25">
      <c r="A17" s="92" t="s">
        <v>1747</v>
      </c>
      <c r="B17" s="136" t="s">
        <v>249</v>
      </c>
      <c r="C17" s="136" t="s">
        <v>249</v>
      </c>
      <c r="D17" s="135" t="s">
        <v>249</v>
      </c>
      <c r="E17" s="135" t="s">
        <v>249</v>
      </c>
      <c r="F17" s="134" t="s">
        <v>249</v>
      </c>
      <c r="G17" s="135" t="s">
        <v>249</v>
      </c>
      <c r="H17" s="123">
        <v>0</v>
      </c>
      <c r="I17" s="136"/>
      <c r="J17" s="136">
        <v>0</v>
      </c>
      <c r="K17" s="136">
        <v>0</v>
      </c>
    </row>
    <row r="18" spans="1:14" s="118" customFormat="1" x14ac:dyDescent="0.25">
      <c r="A18" s="92" t="s">
        <v>1750</v>
      </c>
      <c r="B18" s="136" t="s">
        <v>249</v>
      </c>
      <c r="C18" s="136" t="s">
        <v>249</v>
      </c>
      <c r="D18" s="135" t="s">
        <v>249</v>
      </c>
      <c r="E18" s="135" t="s">
        <v>249</v>
      </c>
      <c r="F18" s="134" t="s">
        <v>249</v>
      </c>
      <c r="G18" s="135" t="s">
        <v>249</v>
      </c>
      <c r="H18" s="123">
        <v>0</v>
      </c>
      <c r="I18" s="136"/>
      <c r="J18" s="136">
        <v>0</v>
      </c>
      <c r="K18" s="136">
        <v>0</v>
      </c>
    </row>
    <row r="19" spans="1:14" s="118" customFormat="1" x14ac:dyDescent="0.25">
      <c r="A19" s="92" t="s">
        <v>1749</v>
      </c>
      <c r="B19" s="136" t="s">
        <v>249</v>
      </c>
      <c r="C19" s="136" t="s">
        <v>249</v>
      </c>
      <c r="D19" s="135" t="s">
        <v>249</v>
      </c>
      <c r="E19" s="135" t="s">
        <v>249</v>
      </c>
      <c r="F19" s="134" t="s">
        <v>249</v>
      </c>
      <c r="G19" s="135" t="s">
        <v>249</v>
      </c>
      <c r="H19" s="123">
        <v>0</v>
      </c>
      <c r="I19" s="136"/>
      <c r="J19" s="136">
        <v>0</v>
      </c>
      <c r="K19" s="136">
        <v>0</v>
      </c>
    </row>
    <row r="20" spans="1:14" s="118" customFormat="1" x14ac:dyDescent="0.25">
      <c r="A20" s="92" t="s">
        <v>1751</v>
      </c>
      <c r="B20" s="136" t="s">
        <v>249</v>
      </c>
      <c r="C20" s="136" t="s">
        <v>249</v>
      </c>
      <c r="D20" s="135" t="s">
        <v>249</v>
      </c>
      <c r="E20" s="135" t="s">
        <v>249</v>
      </c>
      <c r="F20" s="134" t="s">
        <v>249</v>
      </c>
      <c r="G20" s="135" t="s">
        <v>249</v>
      </c>
      <c r="H20" s="123">
        <v>0</v>
      </c>
      <c r="I20" s="136"/>
      <c r="J20" s="136">
        <v>0</v>
      </c>
      <c r="K20" s="136">
        <v>0</v>
      </c>
    </row>
    <row r="21" spans="1:14" s="118" customFormat="1" x14ac:dyDescent="0.25">
      <c r="A21" s="92" t="s">
        <v>141</v>
      </c>
      <c r="B21" s="136" t="s">
        <v>249</v>
      </c>
      <c r="C21" s="136" t="s">
        <v>249</v>
      </c>
      <c r="D21" s="135" t="s">
        <v>249</v>
      </c>
      <c r="E21" s="135" t="s">
        <v>249</v>
      </c>
      <c r="F21" s="134" t="s">
        <v>249</v>
      </c>
      <c r="G21" s="135" t="s">
        <v>249</v>
      </c>
      <c r="H21" s="123">
        <v>0</v>
      </c>
      <c r="I21" s="136"/>
      <c r="J21" s="136">
        <v>0</v>
      </c>
      <c r="K21" s="136">
        <v>0</v>
      </c>
    </row>
    <row r="22" spans="1:14" s="118" customFormat="1" x14ac:dyDescent="0.25">
      <c r="A22" s="78" t="s">
        <v>241</v>
      </c>
      <c r="B22" s="124"/>
      <c r="C22" s="124"/>
      <c r="D22" s="125"/>
      <c r="E22" s="125"/>
      <c r="F22" s="125"/>
      <c r="G22" s="126"/>
      <c r="H22" s="127"/>
      <c r="I22" s="128"/>
      <c r="J22" s="128"/>
      <c r="K22" s="128"/>
      <c r="L22" s="147"/>
      <c r="M22" s="129"/>
      <c r="N22" s="129"/>
    </row>
    <row r="23" spans="1:14" s="118" customFormat="1" x14ac:dyDescent="0.25">
      <c r="A23" s="78" t="s">
        <v>242</v>
      </c>
      <c r="B23" s="124"/>
      <c r="C23" s="124"/>
      <c r="D23" s="125"/>
      <c r="E23" s="125"/>
      <c r="F23" s="125"/>
      <c r="G23" s="126"/>
      <c r="H23" s="127"/>
      <c r="I23" s="128"/>
      <c r="J23" s="128"/>
      <c r="K23" s="128"/>
      <c r="L23" s="147"/>
      <c r="M23" s="129"/>
      <c r="N23" s="129"/>
    </row>
    <row r="24" spans="1:14" s="118" customFormat="1" x14ac:dyDescent="0.25">
      <c r="A24" s="78" t="s">
        <v>243</v>
      </c>
      <c r="B24" s="124"/>
      <c r="C24" s="124"/>
      <c r="D24" s="125"/>
      <c r="E24" s="125"/>
      <c r="F24" s="125"/>
      <c r="G24" s="126"/>
      <c r="H24" s="127"/>
      <c r="I24" s="128"/>
      <c r="J24" s="128"/>
      <c r="K24" s="128"/>
      <c r="L24" s="147"/>
      <c r="M24" s="129"/>
      <c r="N24" s="129"/>
    </row>
    <row r="25" spans="1:14" s="118" customFormat="1" x14ac:dyDescent="0.25">
      <c r="A25" s="78" t="s">
        <v>244</v>
      </c>
      <c r="B25" s="124"/>
      <c r="C25" s="124"/>
      <c r="D25" s="125"/>
      <c r="E25" s="125"/>
      <c r="F25" s="125"/>
      <c r="G25" s="126"/>
      <c r="H25" s="127"/>
      <c r="I25" s="128"/>
      <c r="J25" s="128"/>
      <c r="K25" s="128"/>
      <c r="L25" s="147"/>
      <c r="M25" s="129"/>
      <c r="N25" s="129"/>
    </row>
    <row r="26" spans="1:14" s="118" customFormat="1" x14ac:dyDescent="0.25">
      <c r="A26" s="78" t="s">
        <v>245</v>
      </c>
      <c r="B26" s="124"/>
      <c r="C26" s="124"/>
      <c r="D26" s="125"/>
      <c r="E26" s="125"/>
      <c r="F26" s="125"/>
      <c r="G26" s="126"/>
      <c r="H26" s="127"/>
      <c r="I26" s="128"/>
      <c r="J26" s="128"/>
      <c r="K26" s="128"/>
      <c r="L26" s="147"/>
      <c r="M26" s="129"/>
      <c r="N26" s="129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17"/>
  <sheetViews>
    <sheetView rightToLeft="1" zoomScale="85" workbookViewId="0"/>
  </sheetViews>
  <sheetFormatPr defaultColWidth="9.109375" defaultRowHeight="13.2" x14ac:dyDescent="0.25"/>
  <cols>
    <col min="1" max="1" width="42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6640625" style="59" bestFit="1" customWidth="1"/>
    <col min="7" max="7" width="6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4"/>
      <c r="K4" s="13"/>
      <c r="L4" s="13"/>
      <c r="M4" s="12"/>
      <c r="N4" s="12"/>
      <c r="O4" s="12"/>
    </row>
    <row r="5" spans="1:15" s="7" customFormat="1" x14ac:dyDescent="0.25">
      <c r="A5" s="225" t="s">
        <v>33</v>
      </c>
      <c r="B5" s="226"/>
      <c r="C5" s="226"/>
      <c r="D5" s="226"/>
      <c r="E5" s="226"/>
      <c r="F5" s="226"/>
      <c r="G5" s="226"/>
      <c r="H5" s="226"/>
      <c r="I5" s="226"/>
      <c r="J5" s="227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4" t="s">
        <v>69</v>
      </c>
      <c r="C6" s="204" t="s">
        <v>19</v>
      </c>
      <c r="D6" s="204" t="s">
        <v>6</v>
      </c>
      <c r="E6" s="204" t="s">
        <v>13</v>
      </c>
      <c r="F6" s="205" t="s">
        <v>67</v>
      </c>
      <c r="G6" s="205" t="s">
        <v>68</v>
      </c>
      <c r="H6" s="205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8" customFormat="1" ht="12.75" customHeight="1" thickBot="1" x14ac:dyDescent="0.3">
      <c r="A9" s="99" t="s">
        <v>62</v>
      </c>
      <c r="B9" s="67"/>
      <c r="C9" s="67"/>
      <c r="D9" s="100"/>
      <c r="E9" s="100"/>
      <c r="F9" s="101"/>
      <c r="G9" s="100"/>
      <c r="H9" s="102">
        <v>-2272.9360791000013</v>
      </c>
      <c r="I9" s="67">
        <v>1</v>
      </c>
      <c r="J9" s="81">
        <v>-4.2721755897372864E-3</v>
      </c>
    </row>
    <row r="10" spans="1:15" s="118" customFormat="1" x14ac:dyDescent="0.25">
      <c r="A10" s="91" t="s">
        <v>1915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32" t="s">
        <v>249</v>
      </c>
      <c r="G10" s="121" t="s">
        <v>249</v>
      </c>
      <c r="H10" s="122">
        <v>-2016.6160095000012</v>
      </c>
      <c r="I10" s="120">
        <v>0.88722953014081529</v>
      </c>
      <c r="J10" s="120">
        <v>-3.7904003411616733E-3</v>
      </c>
    </row>
    <row r="11" spans="1:15" s="118" customFormat="1" x14ac:dyDescent="0.25">
      <c r="A11" s="92" t="s">
        <v>1747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4" t="s">
        <v>249</v>
      </c>
      <c r="G11" s="135" t="s">
        <v>249</v>
      </c>
      <c r="H11" s="123">
        <v>0</v>
      </c>
      <c r="I11" s="136">
        <v>0</v>
      </c>
      <c r="J11" s="136">
        <v>0</v>
      </c>
    </row>
    <row r="12" spans="1:15" s="118" customFormat="1" x14ac:dyDescent="0.25">
      <c r="A12" s="92" t="s">
        <v>1749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4" t="s">
        <v>249</v>
      </c>
      <c r="G12" s="135" t="s">
        <v>249</v>
      </c>
      <c r="H12" s="123">
        <v>0</v>
      </c>
      <c r="I12" s="136">
        <v>0</v>
      </c>
      <c r="J12" s="136">
        <v>0</v>
      </c>
    </row>
    <row r="13" spans="1:15" s="118" customFormat="1" x14ac:dyDescent="0.25">
      <c r="A13" s="92" t="s">
        <v>1916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4" t="s">
        <v>249</v>
      </c>
      <c r="G13" s="135" t="s">
        <v>249</v>
      </c>
      <c r="H13" s="123">
        <v>0</v>
      </c>
      <c r="I13" s="136">
        <v>0</v>
      </c>
      <c r="J13" s="136">
        <v>0</v>
      </c>
    </row>
    <row r="14" spans="1:15" s="118" customFormat="1" x14ac:dyDescent="0.25">
      <c r="A14" s="92" t="s">
        <v>1913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4" t="s">
        <v>249</v>
      </c>
      <c r="G14" s="135" t="s">
        <v>249</v>
      </c>
      <c r="H14" s="123">
        <v>5.020840100000016</v>
      </c>
      <c r="I14" s="136">
        <v>-2.2089666956178035E-3</v>
      </c>
      <c r="J14" s="136">
        <v>9.437093595561014E-6</v>
      </c>
    </row>
    <row r="15" spans="1:15" x14ac:dyDescent="0.25">
      <c r="A15" s="16" t="s">
        <v>1917</v>
      </c>
      <c r="B15" s="24" t="s">
        <v>1918</v>
      </c>
      <c r="C15" s="24" t="s">
        <v>200</v>
      </c>
      <c r="D15" s="60" t="s">
        <v>125</v>
      </c>
      <c r="E15" s="60" t="s">
        <v>1919</v>
      </c>
      <c r="F15" s="69">
        <v>17182.247060914229</v>
      </c>
      <c r="G15" s="60">
        <v>0.99779300000000004</v>
      </c>
      <c r="H15" s="84">
        <v>65.559939999999997</v>
      </c>
      <c r="I15" s="24">
        <v>-2.8843723588548659E-2</v>
      </c>
      <c r="J15" s="24">
        <v>1.2322545183212713E-4</v>
      </c>
      <c r="K15" s="14"/>
      <c r="L15" s="14"/>
      <c r="M15" s="14"/>
      <c r="N15" s="14"/>
    </row>
    <row r="16" spans="1:15" x14ac:dyDescent="0.25">
      <c r="A16" s="16" t="s">
        <v>1920</v>
      </c>
      <c r="B16" s="24" t="s">
        <v>1921</v>
      </c>
      <c r="C16" s="24" t="s">
        <v>200</v>
      </c>
      <c r="D16" s="60" t="s">
        <v>126</v>
      </c>
      <c r="E16" s="60" t="s">
        <v>1919</v>
      </c>
      <c r="F16" s="69">
        <v>-15524.25646992612</v>
      </c>
      <c r="G16" s="60">
        <v>0.99839999999999995</v>
      </c>
      <c r="H16" s="84">
        <v>-62.820709999999998</v>
      </c>
      <c r="I16" s="24">
        <v>2.7638573111512525E-2</v>
      </c>
      <c r="J16" s="24">
        <v>-1.1807683738217312E-4</v>
      </c>
      <c r="K16" s="14"/>
      <c r="L16" s="14"/>
      <c r="M16" s="14"/>
      <c r="N16" s="14"/>
    </row>
    <row r="17" spans="1:14" x14ac:dyDescent="0.25">
      <c r="A17" s="16" t="s">
        <v>1917</v>
      </c>
      <c r="B17" s="24" t="s">
        <v>1922</v>
      </c>
      <c r="C17" s="24" t="s">
        <v>200</v>
      </c>
      <c r="D17" s="60" t="s">
        <v>125</v>
      </c>
      <c r="E17" s="60" t="s">
        <v>1919</v>
      </c>
      <c r="F17" s="69">
        <v>14377.383544631375</v>
      </c>
      <c r="G17" s="60">
        <v>0.99779300000000004</v>
      </c>
      <c r="H17" s="84">
        <v>54.857810000000001</v>
      </c>
      <c r="I17" s="24">
        <v>-2.4135218981486566E-2</v>
      </c>
      <c r="J17" s="24">
        <v>1.0310989338567092E-4</v>
      </c>
      <c r="K17" s="14"/>
      <c r="L17" s="14"/>
      <c r="M17" s="14"/>
      <c r="N17" s="14"/>
    </row>
    <row r="18" spans="1:14" x14ac:dyDescent="0.25">
      <c r="A18" s="16" t="s">
        <v>1920</v>
      </c>
      <c r="B18" s="24" t="s">
        <v>1923</v>
      </c>
      <c r="C18" s="24" t="s">
        <v>200</v>
      </c>
      <c r="D18" s="60" t="s">
        <v>126</v>
      </c>
      <c r="E18" s="60" t="s">
        <v>1919</v>
      </c>
      <c r="F18" s="69">
        <v>-12990.046570863187</v>
      </c>
      <c r="G18" s="60">
        <v>0.99839999999999995</v>
      </c>
      <c r="H18" s="84">
        <v>-52.565739999999998</v>
      </c>
      <c r="I18" s="24">
        <v>2.3126800829706612E-2</v>
      </c>
      <c r="J18" s="24">
        <v>-9.8801753973388597E-5</v>
      </c>
      <c r="K18" s="14"/>
      <c r="L18" s="14"/>
      <c r="M18" s="14"/>
      <c r="N18" s="14"/>
    </row>
    <row r="19" spans="1:14" x14ac:dyDescent="0.25">
      <c r="A19" s="16" t="s">
        <v>1920</v>
      </c>
      <c r="B19" s="24" t="s">
        <v>1924</v>
      </c>
      <c r="C19" s="24" t="s">
        <v>200</v>
      </c>
      <c r="D19" s="60" t="s">
        <v>126</v>
      </c>
      <c r="E19" s="60" t="s">
        <v>1925</v>
      </c>
      <c r="F19" s="69">
        <v>15524.25646992612</v>
      </c>
      <c r="G19" s="60">
        <v>0.99839999999999995</v>
      </c>
      <c r="H19" s="84">
        <v>62.820709999999998</v>
      </c>
      <c r="I19" s="24">
        <v>-2.7638573111512525E-2</v>
      </c>
      <c r="J19" s="24">
        <v>1.1807683738217312E-4</v>
      </c>
      <c r="K19" s="14"/>
      <c r="L19" s="14"/>
      <c r="M19" s="14"/>
      <c r="N19" s="14"/>
    </row>
    <row r="20" spans="1:14" x14ac:dyDescent="0.25">
      <c r="A20" s="16" t="s">
        <v>1917</v>
      </c>
      <c r="B20" s="24" t="s">
        <v>1926</v>
      </c>
      <c r="C20" s="24" t="s">
        <v>200</v>
      </c>
      <c r="D20" s="60" t="s">
        <v>125</v>
      </c>
      <c r="E20" s="60" t="s">
        <v>1925</v>
      </c>
      <c r="F20" s="69">
        <v>-16551.807005670529</v>
      </c>
      <c r="G20" s="60">
        <v>0.99779300000000004</v>
      </c>
      <c r="H20" s="84">
        <v>-63.15446</v>
      </c>
      <c r="I20" s="24">
        <v>2.7785409620937004E-2</v>
      </c>
      <c r="J20" s="24">
        <v>-1.187041487334186E-4</v>
      </c>
      <c r="K20" s="14"/>
      <c r="L20" s="14"/>
      <c r="M20" s="14"/>
      <c r="N20" s="14"/>
    </row>
    <row r="21" spans="1:14" x14ac:dyDescent="0.25">
      <c r="A21" s="16" t="s">
        <v>1927</v>
      </c>
      <c r="B21" s="24" t="s">
        <v>1928</v>
      </c>
      <c r="C21" s="24" t="s">
        <v>200</v>
      </c>
      <c r="D21" s="60" t="s">
        <v>125</v>
      </c>
      <c r="E21" s="60" t="s">
        <v>1925</v>
      </c>
      <c r="F21" s="69">
        <v>16673.051448700655</v>
      </c>
      <c r="G21" s="60">
        <v>0.97537300000000005</v>
      </c>
      <c r="H21" s="84">
        <v>62.187620000000003</v>
      </c>
      <c r="I21" s="24">
        <v>-2.7360039101770081E-2</v>
      </c>
      <c r="J21" s="24">
        <v>1.168868911848398E-4</v>
      </c>
      <c r="K21" s="14"/>
      <c r="L21" s="14"/>
      <c r="M21" s="14"/>
      <c r="N21" s="14"/>
    </row>
    <row r="22" spans="1:14" x14ac:dyDescent="0.25">
      <c r="A22" s="16" t="s">
        <v>1929</v>
      </c>
      <c r="B22" s="24" t="s">
        <v>1930</v>
      </c>
      <c r="C22" s="24" t="s">
        <v>200</v>
      </c>
      <c r="D22" s="60" t="s">
        <v>126</v>
      </c>
      <c r="E22" s="60" t="s">
        <v>1925</v>
      </c>
      <c r="F22" s="69">
        <v>-15524.25646992612</v>
      </c>
      <c r="G22" s="60">
        <v>0.98312500000000003</v>
      </c>
      <c r="H22" s="84">
        <v>-61.8596</v>
      </c>
      <c r="I22" s="24">
        <v>2.7215723560732125E-2</v>
      </c>
      <c r="J22" s="24">
        <v>-1.1627034985319772E-4</v>
      </c>
      <c r="K22" s="14"/>
      <c r="L22" s="14"/>
      <c r="M22" s="14"/>
      <c r="N22" s="14"/>
    </row>
    <row r="23" spans="1:14" x14ac:dyDescent="0.25">
      <c r="A23" s="16" t="s">
        <v>1920</v>
      </c>
      <c r="B23" s="24" t="s">
        <v>1931</v>
      </c>
      <c r="C23" s="24" t="s">
        <v>200</v>
      </c>
      <c r="D23" s="60" t="s">
        <v>126</v>
      </c>
      <c r="E23" s="60" t="s">
        <v>1925</v>
      </c>
      <c r="F23" s="69">
        <v>12990.046570863187</v>
      </c>
      <c r="G23" s="60">
        <v>0.99839999999999995</v>
      </c>
      <c r="H23" s="84">
        <v>52.565760000000004</v>
      </c>
      <c r="I23" s="24">
        <v>-2.3126809628898189E-2</v>
      </c>
      <c r="J23" s="24">
        <v>9.8801791565080076E-5</v>
      </c>
      <c r="K23" s="14"/>
      <c r="L23" s="14"/>
      <c r="M23" s="14"/>
      <c r="N23" s="14"/>
    </row>
    <row r="24" spans="1:14" x14ac:dyDescent="0.25">
      <c r="A24" s="16" t="s">
        <v>1917</v>
      </c>
      <c r="B24" s="24" t="s">
        <v>1932</v>
      </c>
      <c r="C24" s="24" t="s">
        <v>200</v>
      </c>
      <c r="D24" s="60" t="s">
        <v>125</v>
      </c>
      <c r="E24" s="60" t="s">
        <v>1925</v>
      </c>
      <c r="F24" s="69">
        <v>-13849.857753388622</v>
      </c>
      <c r="G24" s="60">
        <v>0.99779300000000004</v>
      </c>
      <c r="H24" s="84">
        <v>-52.845010000000002</v>
      </c>
      <c r="I24" s="24">
        <v>2.3249668341278069E-2</v>
      </c>
      <c r="J24" s="24">
        <v>-9.9326665557095944E-5</v>
      </c>
      <c r="K24" s="14"/>
      <c r="L24" s="14"/>
      <c r="M24" s="14"/>
      <c r="N24" s="14"/>
    </row>
    <row r="25" spans="1:14" x14ac:dyDescent="0.25">
      <c r="A25" s="16" t="s">
        <v>1927</v>
      </c>
      <c r="B25" s="24" t="s">
        <v>1933</v>
      </c>
      <c r="C25" s="24" t="s">
        <v>200</v>
      </c>
      <c r="D25" s="60" t="s">
        <v>125</v>
      </c>
      <c r="E25" s="60" t="s">
        <v>1925</v>
      </c>
      <c r="F25" s="69">
        <v>13951.310017107064</v>
      </c>
      <c r="G25" s="60">
        <v>0.97537499999999999</v>
      </c>
      <c r="H25" s="84">
        <v>52.036099999999998</v>
      </c>
      <c r="I25" s="24">
        <v>-2.2893780638391016E-2</v>
      </c>
      <c r="J25" s="24">
        <v>9.7806250800134206E-5</v>
      </c>
      <c r="K25" s="14"/>
      <c r="L25" s="14"/>
      <c r="M25" s="14"/>
      <c r="N25" s="14"/>
    </row>
    <row r="26" spans="1:14" x14ac:dyDescent="0.25">
      <c r="A26" s="16" t="s">
        <v>1929</v>
      </c>
      <c r="B26" s="24" t="s">
        <v>1934</v>
      </c>
      <c r="C26" s="24" t="s">
        <v>200</v>
      </c>
      <c r="D26" s="60" t="s">
        <v>126</v>
      </c>
      <c r="E26" s="60" t="s">
        <v>1925</v>
      </c>
      <c r="F26" s="69">
        <v>-12990.046570863187</v>
      </c>
      <c r="G26" s="60">
        <v>0.98312600000000006</v>
      </c>
      <c r="H26" s="84">
        <v>-51.761580000000002</v>
      </c>
      <c r="I26" s="24">
        <v>2.2773002934818862E-2</v>
      </c>
      <c r="J26" s="24">
        <v>-9.7290267243148725E-5</v>
      </c>
      <c r="K26" s="14"/>
      <c r="L26" s="14"/>
      <c r="M26" s="14"/>
      <c r="N26" s="14"/>
    </row>
    <row r="27" spans="1:14" s="118" customFormat="1" x14ac:dyDescent="0.25">
      <c r="A27" s="92" t="s">
        <v>1912</v>
      </c>
      <c r="B27" s="136" t="s">
        <v>249</v>
      </c>
      <c r="C27" s="136" t="s">
        <v>249</v>
      </c>
      <c r="D27" s="135" t="s">
        <v>249</v>
      </c>
      <c r="E27" s="135" t="s">
        <v>249</v>
      </c>
      <c r="F27" s="134" t="s">
        <v>249</v>
      </c>
      <c r="G27" s="135" t="s">
        <v>249</v>
      </c>
      <c r="H27" s="123">
        <v>-2021.6368499000012</v>
      </c>
      <c r="I27" s="136">
        <v>0.88943849696842103</v>
      </c>
      <c r="J27" s="136">
        <v>-3.7998374353211094E-3</v>
      </c>
    </row>
    <row r="28" spans="1:14" x14ac:dyDescent="0.25">
      <c r="A28" s="16" t="s">
        <v>1935</v>
      </c>
      <c r="B28" s="24" t="s">
        <v>1939</v>
      </c>
      <c r="C28" s="24" t="s">
        <v>200</v>
      </c>
      <c r="D28" s="60" t="s">
        <v>255</v>
      </c>
      <c r="E28" s="60" t="s">
        <v>1560</v>
      </c>
      <c r="F28" s="69">
        <v>35954.562656768096</v>
      </c>
      <c r="G28" s="60">
        <v>0.97453299999999998</v>
      </c>
      <c r="H28" s="84">
        <v>35.038910000000001</v>
      </c>
      <c r="I28" s="24">
        <v>-1.5415704085208643E-2</v>
      </c>
      <c r="J28" s="24">
        <v>6.5858594691441726E-5</v>
      </c>
      <c r="K28" s="14"/>
      <c r="L28" s="14"/>
      <c r="M28" s="14"/>
      <c r="N28" s="14"/>
    </row>
    <row r="29" spans="1:14" x14ac:dyDescent="0.25">
      <c r="A29" s="16" t="s">
        <v>1937</v>
      </c>
      <c r="B29" s="24" t="s">
        <v>1940</v>
      </c>
      <c r="C29" s="24" t="s">
        <v>200</v>
      </c>
      <c r="D29" s="60" t="s">
        <v>125</v>
      </c>
      <c r="E29" s="60" t="s">
        <v>1560</v>
      </c>
      <c r="F29" s="69">
        <v>-10032.804826511176</v>
      </c>
      <c r="G29" s="60">
        <v>0.96176300000000003</v>
      </c>
      <c r="H29" s="84">
        <v>-36.898480000000006</v>
      </c>
      <c r="I29" s="24">
        <v>1.6233839719157629E-2</v>
      </c>
      <c r="J29" s="24">
        <v>-6.9353813775892821E-5</v>
      </c>
      <c r="K29" s="14"/>
      <c r="L29" s="14"/>
      <c r="M29" s="14"/>
      <c r="N29" s="14"/>
    </row>
    <row r="30" spans="1:14" x14ac:dyDescent="0.25">
      <c r="A30" s="16" t="s">
        <v>1935</v>
      </c>
      <c r="B30" s="24" t="s">
        <v>1968</v>
      </c>
      <c r="C30" s="24" t="s">
        <v>200</v>
      </c>
      <c r="D30" s="60" t="s">
        <v>255</v>
      </c>
      <c r="E30" s="60" t="s">
        <v>1969</v>
      </c>
      <c r="F30" s="69">
        <v>7723.8777048898291</v>
      </c>
      <c r="G30" s="60">
        <v>0.97453000000000001</v>
      </c>
      <c r="H30" s="84">
        <v>7.5271600000000003</v>
      </c>
      <c r="I30" s="24">
        <v>-3.3116461431596782E-3</v>
      </c>
      <c r="J30" s="24">
        <v>1.4147933814654407E-5</v>
      </c>
      <c r="K30" s="14"/>
      <c r="L30" s="14"/>
      <c r="M30" s="14"/>
      <c r="N30" s="14"/>
    </row>
    <row r="31" spans="1:14" x14ac:dyDescent="0.25">
      <c r="A31" s="16" t="s">
        <v>1937</v>
      </c>
      <c r="B31" s="24" t="s">
        <v>1970</v>
      </c>
      <c r="C31" s="24" t="s">
        <v>200</v>
      </c>
      <c r="D31" s="60" t="s">
        <v>125</v>
      </c>
      <c r="E31" s="60" t="s">
        <v>1969</v>
      </c>
      <c r="F31" s="69">
        <v>-2140.7643304427079</v>
      </c>
      <c r="G31" s="60">
        <v>0.96176099999999998</v>
      </c>
      <c r="H31" s="84">
        <v>-7.8732499999999996</v>
      </c>
      <c r="I31" s="24">
        <v>3.4639117537865458E-3</v>
      </c>
      <c r="J31" s="24">
        <v>-1.4798439239530953E-5</v>
      </c>
      <c r="K31" s="14"/>
      <c r="L31" s="14"/>
      <c r="M31" s="14"/>
      <c r="N31" s="14"/>
    </row>
    <row r="32" spans="1:14" x14ac:dyDescent="0.25">
      <c r="A32" s="16" t="s">
        <v>1935</v>
      </c>
      <c r="B32" s="24" t="s">
        <v>1936</v>
      </c>
      <c r="C32" s="24" t="s">
        <v>200</v>
      </c>
      <c r="D32" s="60" t="s">
        <v>255</v>
      </c>
      <c r="E32" s="60" t="s">
        <v>1560</v>
      </c>
      <c r="F32" s="69">
        <v>11275.007638539329</v>
      </c>
      <c r="G32" s="60">
        <v>0.97453299999999998</v>
      </c>
      <c r="H32" s="84">
        <v>10.987870000000001</v>
      </c>
      <c r="I32" s="24">
        <v>-4.8342186571083828E-3</v>
      </c>
      <c r="J32" s="24">
        <v>2.0652630942351E-5</v>
      </c>
      <c r="K32" s="14"/>
      <c r="L32" s="14"/>
      <c r="M32" s="14"/>
      <c r="N32" s="14"/>
    </row>
    <row r="33" spans="1:14" x14ac:dyDescent="0.25">
      <c r="A33" s="16" t="s">
        <v>1937</v>
      </c>
      <c r="B33" s="24" t="s">
        <v>1938</v>
      </c>
      <c r="C33" s="24" t="s">
        <v>200</v>
      </c>
      <c r="D33" s="60" t="s">
        <v>125</v>
      </c>
      <c r="E33" s="60" t="s">
        <v>1560</v>
      </c>
      <c r="F33" s="69">
        <v>-3158.2654449689999</v>
      </c>
      <c r="G33" s="60">
        <v>0.96176300000000003</v>
      </c>
      <c r="H33" s="84">
        <v>-11.615410000000001</v>
      </c>
      <c r="I33" s="24">
        <v>5.11031089118849E-3</v>
      </c>
      <c r="J33" s="24">
        <v>-2.1832145445304065E-5</v>
      </c>
      <c r="K33" s="14"/>
      <c r="L33" s="14"/>
      <c r="M33" s="14"/>
      <c r="N33" s="14"/>
    </row>
    <row r="34" spans="1:14" x14ac:dyDescent="0.25">
      <c r="A34" s="16" t="s">
        <v>1941</v>
      </c>
      <c r="B34" s="24" t="s">
        <v>1942</v>
      </c>
      <c r="C34" s="24" t="s">
        <v>200</v>
      </c>
      <c r="D34" s="60" t="s">
        <v>255</v>
      </c>
      <c r="E34" s="60" t="s">
        <v>1563</v>
      </c>
      <c r="F34" s="69">
        <v>83730.992717098343</v>
      </c>
      <c r="G34" s="60">
        <v>0.97206899999999996</v>
      </c>
      <c r="H34" s="84">
        <v>81.392350000000008</v>
      </c>
      <c r="I34" s="24">
        <v>-3.580934402353645E-2</v>
      </c>
      <c r="J34" s="24">
        <v>1.5298380542185723E-4</v>
      </c>
      <c r="K34" s="14"/>
      <c r="L34" s="14"/>
      <c r="M34" s="14"/>
      <c r="N34" s="14"/>
    </row>
    <row r="35" spans="1:14" x14ac:dyDescent="0.25">
      <c r="A35" s="16" t="s">
        <v>1943</v>
      </c>
      <c r="B35" s="24" t="s">
        <v>1944</v>
      </c>
      <c r="C35" s="24" t="s">
        <v>200</v>
      </c>
      <c r="D35" s="60" t="s">
        <v>125</v>
      </c>
      <c r="E35" s="60" t="s">
        <v>1563</v>
      </c>
      <c r="F35" s="69">
        <v>-23258.609088082874</v>
      </c>
      <c r="G35" s="60">
        <v>0.95802900000000002</v>
      </c>
      <c r="H35" s="84">
        <v>-85.208029999999994</v>
      </c>
      <c r="I35" s="24">
        <v>3.7488088989171768E-2</v>
      </c>
      <c r="J35" s="24">
        <v>-1.6015569868543876E-4</v>
      </c>
      <c r="K35" s="14"/>
      <c r="L35" s="14"/>
      <c r="M35" s="14"/>
      <c r="N35" s="14"/>
    </row>
    <row r="36" spans="1:14" x14ac:dyDescent="0.25">
      <c r="A36" s="16" t="s">
        <v>1941</v>
      </c>
      <c r="B36" s="24" t="s">
        <v>1945</v>
      </c>
      <c r="C36" s="24" t="s">
        <v>200</v>
      </c>
      <c r="D36" s="60" t="s">
        <v>255</v>
      </c>
      <c r="E36" s="60" t="s">
        <v>1946</v>
      </c>
      <c r="F36" s="69">
        <v>28267.517624083703</v>
      </c>
      <c r="G36" s="60">
        <v>0.97206899999999996</v>
      </c>
      <c r="H36" s="84">
        <v>27.477990000000002</v>
      </c>
      <c r="I36" s="24">
        <v>-1.2089204906668679E-2</v>
      </c>
      <c r="J36" s="24">
        <v>5.1647206101602157E-5</v>
      </c>
      <c r="K36" s="14"/>
      <c r="L36" s="14"/>
      <c r="M36" s="14"/>
      <c r="N36" s="14"/>
    </row>
    <row r="37" spans="1:14" x14ac:dyDescent="0.25">
      <c r="A37" s="16" t="s">
        <v>1943</v>
      </c>
      <c r="B37" s="24" t="s">
        <v>1947</v>
      </c>
      <c r="C37" s="24" t="s">
        <v>200</v>
      </c>
      <c r="D37" s="60" t="s">
        <v>125</v>
      </c>
      <c r="E37" s="60" t="s">
        <v>1946</v>
      </c>
      <c r="F37" s="69">
        <v>-7889.7838629238877</v>
      </c>
      <c r="G37" s="60">
        <v>0.95802900000000002</v>
      </c>
      <c r="H37" s="84">
        <v>-28.904259999999997</v>
      </c>
      <c r="I37" s="24">
        <v>1.2716706055123653E-2</v>
      </c>
      <c r="J37" s="24">
        <v>-5.4328001190563611E-5</v>
      </c>
      <c r="K37" s="14"/>
      <c r="L37" s="14"/>
      <c r="M37" s="14"/>
      <c r="N37" s="14"/>
    </row>
    <row r="38" spans="1:14" x14ac:dyDescent="0.25">
      <c r="A38" s="16" t="s">
        <v>1951</v>
      </c>
      <c r="B38" s="24" t="s">
        <v>1952</v>
      </c>
      <c r="C38" s="24" t="s">
        <v>200</v>
      </c>
      <c r="D38" s="60" t="s">
        <v>255</v>
      </c>
      <c r="E38" s="60" t="s">
        <v>1953</v>
      </c>
      <c r="F38" s="69">
        <v>33253750</v>
      </c>
      <c r="G38" s="60">
        <v>0.99354699999999996</v>
      </c>
      <c r="H38" s="84">
        <v>33039.180939999998</v>
      </c>
      <c r="I38" s="24">
        <v>-14.535904130257061</v>
      </c>
      <c r="J38" s="24">
        <v>6.2099934800045616E-2</v>
      </c>
      <c r="K38" s="14"/>
      <c r="L38" s="14"/>
      <c r="M38" s="14"/>
      <c r="N38" s="14"/>
    </row>
    <row r="39" spans="1:14" x14ac:dyDescent="0.25">
      <c r="A39" s="16" t="s">
        <v>1954</v>
      </c>
      <c r="B39" s="24" t="s">
        <v>1955</v>
      </c>
      <c r="C39" s="24" t="s">
        <v>200</v>
      </c>
      <c r="D39" s="60" t="s">
        <v>125</v>
      </c>
      <c r="E39" s="60" t="s">
        <v>1953</v>
      </c>
      <c r="F39" s="69">
        <v>-9250000</v>
      </c>
      <c r="G39" s="60">
        <v>0.99060800000000004</v>
      </c>
      <c r="H39" s="84">
        <v>-35039.819210000001</v>
      </c>
      <c r="I39" s="24">
        <v>15.416104100857282</v>
      </c>
      <c r="J39" s="24">
        <v>-6.5860303628531361E-2</v>
      </c>
      <c r="K39" s="14"/>
      <c r="L39" s="14"/>
      <c r="M39" s="14"/>
      <c r="N39" s="14"/>
    </row>
    <row r="40" spans="1:14" x14ac:dyDescent="0.25">
      <c r="A40" s="16" t="s">
        <v>1937</v>
      </c>
      <c r="B40" s="24" t="s">
        <v>1956</v>
      </c>
      <c r="C40" s="24" t="s">
        <v>200</v>
      </c>
      <c r="D40" s="60" t="s">
        <v>125</v>
      </c>
      <c r="E40" s="60" t="s">
        <v>1957</v>
      </c>
      <c r="F40" s="69">
        <v>1595.93200676625</v>
      </c>
      <c r="G40" s="60">
        <v>0.96175999999999995</v>
      </c>
      <c r="H40" s="84">
        <v>5.8694700000000006</v>
      </c>
      <c r="I40" s="24">
        <v>-2.5823295489788229E-3</v>
      </c>
      <c r="J40" s="24">
        <v>1.1032165263804624E-5</v>
      </c>
      <c r="K40" s="14"/>
      <c r="L40" s="14"/>
      <c r="M40" s="14"/>
      <c r="N40" s="14"/>
    </row>
    <row r="41" spans="1:14" x14ac:dyDescent="0.25">
      <c r="A41" s="16" t="s">
        <v>1935</v>
      </c>
      <c r="B41" s="24" t="s">
        <v>1958</v>
      </c>
      <c r="C41" s="24" t="s">
        <v>200</v>
      </c>
      <c r="D41" s="60" t="s">
        <v>255</v>
      </c>
      <c r="E41" s="60" t="s">
        <v>1957</v>
      </c>
      <c r="F41" s="69">
        <v>-5683.113876094616</v>
      </c>
      <c r="G41" s="60">
        <v>0.97453000000000001</v>
      </c>
      <c r="H41" s="84">
        <v>-5.5383699999999996</v>
      </c>
      <c r="I41" s="24">
        <v>2.4366589324381661E-3</v>
      </c>
      <c r="J41" s="24">
        <v>-1.0409834811677648E-5</v>
      </c>
      <c r="K41" s="14"/>
      <c r="L41" s="14"/>
      <c r="M41" s="14"/>
      <c r="N41" s="14"/>
    </row>
    <row r="42" spans="1:14" x14ac:dyDescent="0.25">
      <c r="A42" s="16" t="s">
        <v>1935</v>
      </c>
      <c r="B42" s="24" t="s">
        <v>1971</v>
      </c>
      <c r="C42" s="24" t="s">
        <v>200</v>
      </c>
      <c r="D42" s="60" t="s">
        <v>255</v>
      </c>
      <c r="E42" s="60" t="s">
        <v>1972</v>
      </c>
      <c r="F42" s="69">
        <v>619.89358999657497</v>
      </c>
      <c r="G42" s="60">
        <v>0.97453000000000001</v>
      </c>
      <c r="H42" s="84">
        <v>0.60411000000000004</v>
      </c>
      <c r="I42" s="24">
        <v>-2.657839811488255E-4</v>
      </c>
      <c r="J42" s="24">
        <v>1.1354758364072073E-6</v>
      </c>
      <c r="K42" s="14"/>
      <c r="L42" s="14"/>
      <c r="M42" s="14"/>
      <c r="N42" s="14"/>
    </row>
    <row r="43" spans="1:14" x14ac:dyDescent="0.25">
      <c r="A43" s="16" t="s">
        <v>1937</v>
      </c>
      <c r="B43" s="24" t="s">
        <v>1973</v>
      </c>
      <c r="C43" s="24" t="s">
        <v>200</v>
      </c>
      <c r="D43" s="60" t="s">
        <v>125</v>
      </c>
      <c r="E43" s="60" t="s">
        <v>1972</v>
      </c>
      <c r="F43" s="69">
        <v>-167.99284281749999</v>
      </c>
      <c r="G43" s="60">
        <v>0.96176099999999998</v>
      </c>
      <c r="H43" s="84">
        <v>-0.61784000000000006</v>
      </c>
      <c r="I43" s="24">
        <v>2.7182462616574853E-4</v>
      </c>
      <c r="J43" s="24">
        <v>-1.1612825325947742E-6</v>
      </c>
      <c r="K43" s="14"/>
      <c r="L43" s="14"/>
      <c r="M43" s="14"/>
      <c r="N43" s="14"/>
    </row>
    <row r="44" spans="1:14" x14ac:dyDescent="0.25">
      <c r="A44" s="16" t="s">
        <v>1951</v>
      </c>
      <c r="B44" s="24" t="s">
        <v>1981</v>
      </c>
      <c r="C44" s="24" t="s">
        <v>200</v>
      </c>
      <c r="D44" s="60" t="s">
        <v>255</v>
      </c>
      <c r="E44" s="60" t="s">
        <v>1982</v>
      </c>
      <c r="F44" s="69">
        <v>1700988.75</v>
      </c>
      <c r="G44" s="60">
        <v>0.99354699999999996</v>
      </c>
      <c r="H44" s="84">
        <v>1690.0124499999999</v>
      </c>
      <c r="I44" s="24">
        <v>-0.74353716566863703</v>
      </c>
      <c r="J44" s="24">
        <v>3.176521329232E-3</v>
      </c>
      <c r="K44" s="14"/>
      <c r="L44" s="14"/>
      <c r="M44" s="14"/>
      <c r="N44" s="14"/>
    </row>
    <row r="45" spans="1:14" x14ac:dyDescent="0.25">
      <c r="A45" s="16" t="s">
        <v>1954</v>
      </c>
      <c r="B45" s="24" t="s">
        <v>1983</v>
      </c>
      <c r="C45" s="24" t="s">
        <v>200</v>
      </c>
      <c r="D45" s="60" t="s">
        <v>125</v>
      </c>
      <c r="E45" s="60" t="s">
        <v>1982</v>
      </c>
      <c r="F45" s="69">
        <v>-450000</v>
      </c>
      <c r="G45" s="60">
        <v>0.99060800000000004</v>
      </c>
      <c r="H45" s="84">
        <v>-1704.63914</v>
      </c>
      <c r="I45" s="24">
        <v>0.7499723180402742</v>
      </c>
      <c r="J45" s="24">
        <v>-3.2040134301103483E-3</v>
      </c>
      <c r="K45" s="14"/>
      <c r="L45" s="14"/>
      <c r="M45" s="14"/>
      <c r="N45" s="14"/>
    </row>
    <row r="46" spans="1:14" x14ac:dyDescent="0.25">
      <c r="A46" s="16" t="s">
        <v>1937</v>
      </c>
      <c r="B46" s="24" t="s">
        <v>1948</v>
      </c>
      <c r="C46" s="24" t="s">
        <v>200</v>
      </c>
      <c r="D46" s="60" t="s">
        <v>125</v>
      </c>
      <c r="E46" s="60" t="s">
        <v>1949</v>
      </c>
      <c r="F46" s="69">
        <v>4173.2698533280864</v>
      </c>
      <c r="G46" s="60">
        <v>0.96176099999999998</v>
      </c>
      <c r="H46" s="84">
        <v>15.34835</v>
      </c>
      <c r="I46" s="24">
        <v>-6.7526536012738995E-3</v>
      </c>
      <c r="J46" s="24">
        <v>2.884852188131393E-5</v>
      </c>
      <c r="K46" s="14"/>
      <c r="L46" s="14"/>
      <c r="M46" s="14"/>
      <c r="N46" s="14"/>
    </row>
    <row r="47" spans="1:14" x14ac:dyDescent="0.25">
      <c r="A47" s="16" t="s">
        <v>1935</v>
      </c>
      <c r="B47" s="24" t="s">
        <v>1950</v>
      </c>
      <c r="C47" s="24" t="s">
        <v>200</v>
      </c>
      <c r="D47" s="60" t="s">
        <v>255</v>
      </c>
      <c r="E47" s="60" t="s">
        <v>1949</v>
      </c>
      <c r="F47" s="69">
        <v>-15211.568614573358</v>
      </c>
      <c r="G47" s="60">
        <v>0.97453100000000004</v>
      </c>
      <c r="H47" s="84">
        <v>-14.824149999999999</v>
      </c>
      <c r="I47" s="24">
        <v>6.5220267900669765E-3</v>
      </c>
      <c r="J47" s="24">
        <v>-2.7863243648136766E-5</v>
      </c>
      <c r="K47" s="14"/>
      <c r="L47" s="14"/>
      <c r="M47" s="14"/>
      <c r="N47" s="14"/>
    </row>
    <row r="48" spans="1:14" x14ac:dyDescent="0.25">
      <c r="A48" s="16" t="s">
        <v>1935</v>
      </c>
      <c r="B48" s="24" t="s">
        <v>1959</v>
      </c>
      <c r="C48" s="24" t="s">
        <v>200</v>
      </c>
      <c r="D48" s="60" t="s">
        <v>255</v>
      </c>
      <c r="E48" s="60" t="s">
        <v>1960</v>
      </c>
      <c r="F48" s="69">
        <v>608.97405521343751</v>
      </c>
      <c r="G48" s="60">
        <v>0.97453000000000001</v>
      </c>
      <c r="H48" s="84">
        <v>0.59345999999999999</v>
      </c>
      <c r="I48" s="24">
        <v>-2.6109841163460626E-4</v>
      </c>
      <c r="J48" s="24">
        <v>1.1154582607045425E-6</v>
      </c>
      <c r="K48" s="14"/>
      <c r="L48" s="14"/>
      <c r="M48" s="14"/>
      <c r="N48" s="14"/>
    </row>
    <row r="49" spans="1:14" x14ac:dyDescent="0.25">
      <c r="A49" s="16" t="s">
        <v>1937</v>
      </c>
      <c r="B49" s="24" t="s">
        <v>1961</v>
      </c>
      <c r="C49" s="24" t="s">
        <v>200</v>
      </c>
      <c r="D49" s="60" t="s">
        <v>125</v>
      </c>
      <c r="E49" s="60" t="s">
        <v>1960</v>
      </c>
      <c r="F49" s="69">
        <v>-167.99284281749999</v>
      </c>
      <c r="G49" s="60">
        <v>0.96175999999999995</v>
      </c>
      <c r="H49" s="84">
        <v>-0.61784000000000006</v>
      </c>
      <c r="I49" s="24">
        <v>2.7182462616574853E-4</v>
      </c>
      <c r="J49" s="24">
        <v>-1.1612825325947742E-6</v>
      </c>
      <c r="K49" s="14"/>
      <c r="L49" s="14"/>
      <c r="M49" s="14"/>
      <c r="N49" s="14"/>
    </row>
    <row r="50" spans="1:14" x14ac:dyDescent="0.25">
      <c r="A50" s="16" t="s">
        <v>1935</v>
      </c>
      <c r="B50" s="24" t="s">
        <v>1962</v>
      </c>
      <c r="C50" s="24" t="s">
        <v>200</v>
      </c>
      <c r="D50" s="60" t="s">
        <v>255</v>
      </c>
      <c r="E50" s="60" t="s">
        <v>1963</v>
      </c>
      <c r="F50" s="69">
        <v>10677.6250894803</v>
      </c>
      <c r="G50" s="60">
        <v>0.97453000000000001</v>
      </c>
      <c r="H50" s="84">
        <v>10.405670000000001</v>
      </c>
      <c r="I50" s="24">
        <v>-4.578074190331064E-3</v>
      </c>
      <c r="J50" s="24">
        <v>1.9558336803938663E-5</v>
      </c>
      <c r="K50" s="14"/>
      <c r="L50" s="14"/>
      <c r="M50" s="14"/>
      <c r="N50" s="14"/>
    </row>
    <row r="51" spans="1:14" x14ac:dyDescent="0.25">
      <c r="A51" s="16" t="s">
        <v>1937</v>
      </c>
      <c r="B51" s="24" t="s">
        <v>1964</v>
      </c>
      <c r="C51" s="24" t="s">
        <v>200</v>
      </c>
      <c r="D51" s="60" t="s">
        <v>125</v>
      </c>
      <c r="E51" s="60" t="s">
        <v>1963</v>
      </c>
      <c r="F51" s="69">
        <v>-2939.8747493062501</v>
      </c>
      <c r="G51" s="60">
        <v>0.96175999999999995</v>
      </c>
      <c r="H51" s="84">
        <v>-10.81218</v>
      </c>
      <c r="I51" s="24">
        <v>4.7569221587090227E-3</v>
      </c>
      <c r="J51" s="24">
        <v>-2.0322406728717085E-5</v>
      </c>
      <c r="K51" s="14"/>
      <c r="L51" s="14"/>
      <c r="M51" s="14"/>
      <c r="N51" s="14"/>
    </row>
    <row r="52" spans="1:14" x14ac:dyDescent="0.25">
      <c r="A52" s="16" t="s">
        <v>1937</v>
      </c>
      <c r="B52" s="24" t="s">
        <v>1965</v>
      </c>
      <c r="C52" s="24" t="s">
        <v>200</v>
      </c>
      <c r="D52" s="60" t="s">
        <v>125</v>
      </c>
      <c r="E52" s="60" t="s">
        <v>1966</v>
      </c>
      <c r="F52" s="69">
        <v>5657.7707101289916</v>
      </c>
      <c r="G52" s="60">
        <v>0.96175999999999995</v>
      </c>
      <c r="H52" s="84">
        <v>20.807980000000001</v>
      </c>
      <c r="I52" s="24">
        <v>-9.1546701164773592E-3</v>
      </c>
      <c r="J52" s="24">
        <v>3.9110358203711975E-5</v>
      </c>
      <c r="K52" s="14"/>
      <c r="L52" s="14"/>
      <c r="M52" s="14"/>
      <c r="N52" s="14"/>
    </row>
    <row r="53" spans="1:14" x14ac:dyDescent="0.25">
      <c r="A53" s="16" t="s">
        <v>1935</v>
      </c>
      <c r="B53" s="24" t="s">
        <v>1967</v>
      </c>
      <c r="C53" s="24" t="s">
        <v>200</v>
      </c>
      <c r="D53" s="60" t="s">
        <v>255</v>
      </c>
      <c r="E53" s="60" t="s">
        <v>1966</v>
      </c>
      <c r="F53" s="69">
        <v>-20062.454937872702</v>
      </c>
      <c r="G53" s="60">
        <v>0.97453000000000001</v>
      </c>
      <c r="H53" s="84">
        <v>-19.551470000000002</v>
      </c>
      <c r="I53" s="24">
        <v>8.6018565061194603E-3</v>
      </c>
      <c r="J53" s="24">
        <v>-3.6748641391866418E-5</v>
      </c>
      <c r="K53" s="14"/>
      <c r="L53" s="14"/>
      <c r="M53" s="14"/>
      <c r="N53" s="14"/>
    </row>
    <row r="54" spans="1:14" x14ac:dyDescent="0.25">
      <c r="A54" s="16" t="s">
        <v>1951</v>
      </c>
      <c r="B54" s="24" t="s">
        <v>1974</v>
      </c>
      <c r="C54" s="24" t="s">
        <v>200</v>
      </c>
      <c r="D54" s="60" t="s">
        <v>255</v>
      </c>
      <c r="E54" s="60" t="s">
        <v>1376</v>
      </c>
      <c r="F54" s="69">
        <v>471.97589189576627</v>
      </c>
      <c r="G54" s="60">
        <v>0.99354699999999996</v>
      </c>
      <c r="H54" s="84">
        <v>0.46893000000000001</v>
      </c>
      <c r="I54" s="24">
        <v>-2.0631024528665098E-4</v>
      </c>
      <c r="J54" s="24">
        <v>8.8139359382634236E-7</v>
      </c>
      <c r="K54" s="14"/>
      <c r="L54" s="14"/>
      <c r="M54" s="14"/>
      <c r="N54" s="14"/>
    </row>
    <row r="55" spans="1:14" x14ac:dyDescent="0.25">
      <c r="A55" s="16" t="s">
        <v>1954</v>
      </c>
      <c r="B55" s="24" t="s">
        <v>1975</v>
      </c>
      <c r="C55" s="24" t="s">
        <v>200</v>
      </c>
      <c r="D55" s="60" t="s">
        <v>125</v>
      </c>
      <c r="E55" s="60" t="s">
        <v>1376</v>
      </c>
      <c r="F55" s="69">
        <v>-125.99463211312499</v>
      </c>
      <c r="G55" s="60">
        <v>0.99060899999999996</v>
      </c>
      <c r="H55" s="84">
        <v>-0.47727999999999998</v>
      </c>
      <c r="I55" s="24">
        <v>2.0998390776963039E-4</v>
      </c>
      <c r="J55" s="24">
        <v>-8.9708812501106063E-7</v>
      </c>
      <c r="K55" s="14"/>
      <c r="L55" s="14"/>
      <c r="M55" s="14"/>
      <c r="N55" s="14"/>
    </row>
    <row r="56" spans="1:14" x14ac:dyDescent="0.25">
      <c r="A56" s="16" t="s">
        <v>1951</v>
      </c>
      <c r="B56" s="24" t="s">
        <v>1976</v>
      </c>
      <c r="C56" s="24" t="s">
        <v>200</v>
      </c>
      <c r="D56" s="60" t="s">
        <v>255</v>
      </c>
      <c r="E56" s="60" t="s">
        <v>1977</v>
      </c>
      <c r="F56" s="69">
        <v>315.99453733971751</v>
      </c>
      <c r="G56" s="60">
        <v>0.99354699999999996</v>
      </c>
      <c r="H56" s="84">
        <v>0.31395999999999996</v>
      </c>
      <c r="I56" s="24">
        <v>-1.381297093600259E-4</v>
      </c>
      <c r="J56" s="24">
        <v>5.9011437254540855E-7</v>
      </c>
      <c r="K56" s="14"/>
      <c r="L56" s="14"/>
      <c r="M56" s="14"/>
      <c r="N56" s="14"/>
    </row>
    <row r="57" spans="1:14" x14ac:dyDescent="0.25">
      <c r="A57" s="16" t="s">
        <v>1954</v>
      </c>
      <c r="B57" s="24" t="s">
        <v>1978</v>
      </c>
      <c r="C57" s="24" t="s">
        <v>200</v>
      </c>
      <c r="D57" s="60" t="s">
        <v>125</v>
      </c>
      <c r="E57" s="60" t="s">
        <v>1977</v>
      </c>
      <c r="F57" s="69">
        <v>-83.996421408749995</v>
      </c>
      <c r="G57" s="60">
        <v>0.99060899999999996</v>
      </c>
      <c r="H57" s="84">
        <v>-0.31818999999999997</v>
      </c>
      <c r="I57" s="24">
        <v>1.3999073837834961E-4</v>
      </c>
      <c r="J57" s="24">
        <v>-5.9806501528928386E-7</v>
      </c>
      <c r="K57" s="14"/>
      <c r="L57" s="14"/>
      <c r="M57" s="14"/>
      <c r="N57" s="14"/>
    </row>
    <row r="58" spans="1:14" x14ac:dyDescent="0.25">
      <c r="A58" s="16" t="s">
        <v>1937</v>
      </c>
      <c r="B58" s="24" t="s">
        <v>1979</v>
      </c>
      <c r="C58" s="24" t="s">
        <v>200</v>
      </c>
      <c r="D58" s="60" t="s">
        <v>125</v>
      </c>
      <c r="E58" s="60" t="s">
        <v>1380</v>
      </c>
      <c r="F58" s="69">
        <v>815.67518914724997</v>
      </c>
      <c r="G58" s="60">
        <v>0.96176099999999998</v>
      </c>
      <c r="H58" s="84">
        <v>2.99987</v>
      </c>
      <c r="I58" s="24">
        <v>-1.3198215416545449E-3</v>
      </c>
      <c r="J58" s="24">
        <v>5.6385093730659791E-6</v>
      </c>
      <c r="K58" s="14"/>
      <c r="L58" s="14"/>
      <c r="M58" s="14"/>
      <c r="N58" s="14"/>
    </row>
    <row r="59" spans="1:14" x14ac:dyDescent="0.25">
      <c r="A59" s="16" t="s">
        <v>1935</v>
      </c>
      <c r="B59" s="24" t="s">
        <v>1980</v>
      </c>
      <c r="C59" s="24" t="s">
        <v>200</v>
      </c>
      <c r="D59" s="60" t="s">
        <v>255</v>
      </c>
      <c r="E59" s="60" t="s">
        <v>1380</v>
      </c>
      <c r="F59" s="69">
        <v>-3025.3392765471503</v>
      </c>
      <c r="G59" s="60">
        <v>0.97453100000000004</v>
      </c>
      <c r="H59" s="84">
        <v>-2.9482900000000001</v>
      </c>
      <c r="I59" s="24">
        <v>1.2971284265800445E-3</v>
      </c>
      <c r="J59" s="24">
        <v>-5.5415604007895998E-6</v>
      </c>
      <c r="K59" s="14"/>
      <c r="L59" s="14"/>
      <c r="M59" s="14"/>
      <c r="N59" s="14"/>
    </row>
    <row r="60" spans="1:14" x14ac:dyDescent="0.25">
      <c r="A60" s="16" t="s">
        <v>1951</v>
      </c>
      <c r="B60" s="24" t="s">
        <v>1984</v>
      </c>
      <c r="C60" s="24" t="s">
        <v>200</v>
      </c>
      <c r="D60" s="60" t="s">
        <v>255</v>
      </c>
      <c r="E60" s="60" t="s">
        <v>1383</v>
      </c>
      <c r="F60" s="69">
        <v>318.43043356057126</v>
      </c>
      <c r="G60" s="60">
        <v>0.99354699999999996</v>
      </c>
      <c r="H60" s="84">
        <v>0.31637999999999999</v>
      </c>
      <c r="I60" s="24">
        <v>-1.3919441154072173E-4</v>
      </c>
      <c r="J60" s="24">
        <v>5.946629672121174E-7</v>
      </c>
      <c r="K60" s="14"/>
      <c r="L60" s="14"/>
      <c r="M60" s="14"/>
      <c r="N60" s="14"/>
    </row>
    <row r="61" spans="1:14" x14ac:dyDescent="0.25">
      <c r="A61" s="16" t="s">
        <v>1954</v>
      </c>
      <c r="B61" s="24" t="s">
        <v>1985</v>
      </c>
      <c r="C61" s="24" t="s">
        <v>200</v>
      </c>
      <c r="D61" s="60" t="s">
        <v>125</v>
      </c>
      <c r="E61" s="60" t="s">
        <v>1383</v>
      </c>
      <c r="F61" s="69">
        <v>-83.996421408749995</v>
      </c>
      <c r="G61" s="60">
        <v>0.99060800000000004</v>
      </c>
      <c r="H61" s="84">
        <v>-0.31818999999999997</v>
      </c>
      <c r="I61" s="24">
        <v>1.3999073837834961E-4</v>
      </c>
      <c r="J61" s="24">
        <v>-5.9806501528928386E-7</v>
      </c>
      <c r="K61" s="14"/>
      <c r="L61" s="14"/>
      <c r="M61" s="14"/>
      <c r="N61" s="14"/>
    </row>
    <row r="62" spans="1:14" x14ac:dyDescent="0.25">
      <c r="A62" s="16" t="s">
        <v>1951</v>
      </c>
      <c r="B62" s="24" t="s">
        <v>1986</v>
      </c>
      <c r="C62" s="24" t="s">
        <v>200</v>
      </c>
      <c r="D62" s="60" t="s">
        <v>255</v>
      </c>
      <c r="E62" s="60" t="s">
        <v>1392</v>
      </c>
      <c r="F62" s="69">
        <v>2960.6640270085304</v>
      </c>
      <c r="G62" s="60">
        <v>0.99354699999999996</v>
      </c>
      <c r="H62" s="84">
        <v>2.94156</v>
      </c>
      <c r="I62" s="24">
        <v>-1.2941674986147208E-3</v>
      </c>
      <c r="J62" s="24">
        <v>5.5289107966131742E-6</v>
      </c>
      <c r="K62" s="14"/>
      <c r="L62" s="14"/>
      <c r="M62" s="14"/>
      <c r="N62" s="14"/>
    </row>
    <row r="63" spans="1:14" x14ac:dyDescent="0.25">
      <c r="A63" s="16" t="s">
        <v>1954</v>
      </c>
      <c r="B63" s="24" t="s">
        <v>1987</v>
      </c>
      <c r="C63" s="24" t="s">
        <v>200</v>
      </c>
      <c r="D63" s="60" t="s">
        <v>125</v>
      </c>
      <c r="E63" s="60" t="s">
        <v>1392</v>
      </c>
      <c r="F63" s="69">
        <v>-779.32719861379974</v>
      </c>
      <c r="G63" s="60">
        <v>0.99060899999999996</v>
      </c>
      <c r="H63" s="84">
        <v>-2.9521599999999997</v>
      </c>
      <c r="I63" s="24">
        <v>1.2988310701500002E-3</v>
      </c>
      <c r="J63" s="24">
        <v>-5.5488343930871866E-6</v>
      </c>
      <c r="K63" s="14"/>
      <c r="L63" s="14"/>
      <c r="M63" s="14"/>
      <c r="N63" s="14"/>
    </row>
    <row r="64" spans="1:14" x14ac:dyDescent="0.25">
      <c r="A64" s="16" t="s">
        <v>1954</v>
      </c>
      <c r="B64" s="24" t="s">
        <v>1988</v>
      </c>
      <c r="C64" s="24" t="s">
        <v>200</v>
      </c>
      <c r="D64" s="60" t="s">
        <v>125</v>
      </c>
      <c r="E64" s="60" t="s">
        <v>985</v>
      </c>
      <c r="F64" s="69">
        <v>815.67518914724997</v>
      </c>
      <c r="G64" s="60">
        <v>0.99060800000000004</v>
      </c>
      <c r="H64" s="84">
        <v>3.0898499999999998</v>
      </c>
      <c r="I64" s="24">
        <v>-1.3594091045549626E-3</v>
      </c>
      <c r="J64" s="24">
        <v>5.8076343929463327E-6</v>
      </c>
      <c r="K64" s="14"/>
      <c r="L64" s="14"/>
      <c r="M64" s="14"/>
      <c r="N64" s="14"/>
    </row>
    <row r="65" spans="1:14" x14ac:dyDescent="0.25">
      <c r="A65" s="16" t="s">
        <v>1951</v>
      </c>
      <c r="B65" s="24" t="s">
        <v>1989</v>
      </c>
      <c r="C65" s="24" t="s">
        <v>200</v>
      </c>
      <c r="D65" s="60" t="s">
        <v>255</v>
      </c>
      <c r="E65" s="60" t="s">
        <v>985</v>
      </c>
      <c r="F65" s="69">
        <v>-3100.3813939486972</v>
      </c>
      <c r="G65" s="60">
        <v>0.99354699999999996</v>
      </c>
      <c r="H65" s="84">
        <v>-3.0803699999999998</v>
      </c>
      <c r="I65" s="24">
        <v>1.3552382877479391E-3</v>
      </c>
      <c r="J65" s="24">
        <v>-5.7898159311941013E-6</v>
      </c>
      <c r="K65" s="14"/>
      <c r="L65" s="14"/>
      <c r="M65" s="14"/>
      <c r="N65" s="14"/>
    </row>
    <row r="66" spans="1:14" s="118" customFormat="1" x14ac:dyDescent="0.25">
      <c r="A66" s="92" t="s">
        <v>1990</v>
      </c>
      <c r="B66" s="136" t="s">
        <v>249</v>
      </c>
      <c r="C66" s="136" t="s">
        <v>249</v>
      </c>
      <c r="D66" s="135" t="s">
        <v>249</v>
      </c>
      <c r="E66" s="135" t="s">
        <v>249</v>
      </c>
      <c r="F66" s="134" t="s">
        <v>249</v>
      </c>
      <c r="G66" s="135" t="s">
        <v>249</v>
      </c>
      <c r="H66" s="123">
        <v>-256.32006960000024</v>
      </c>
      <c r="I66" s="136">
        <v>0.11277046985918475</v>
      </c>
      <c r="J66" s="136">
        <v>-4.8177524857561348E-4</v>
      </c>
    </row>
    <row r="67" spans="1:14" s="118" customFormat="1" x14ac:dyDescent="0.25">
      <c r="A67" s="92" t="s">
        <v>1747</v>
      </c>
      <c r="B67" s="136" t="s">
        <v>249</v>
      </c>
      <c r="C67" s="136" t="s">
        <v>249</v>
      </c>
      <c r="D67" s="135" t="s">
        <v>249</v>
      </c>
      <c r="E67" s="135" t="s">
        <v>249</v>
      </c>
      <c r="F67" s="134" t="s">
        <v>249</v>
      </c>
      <c r="G67" s="135" t="s">
        <v>249</v>
      </c>
      <c r="H67" s="123">
        <v>0</v>
      </c>
      <c r="I67" s="136">
        <v>0</v>
      </c>
      <c r="J67" s="136">
        <v>0</v>
      </c>
    </row>
    <row r="68" spans="1:14" s="118" customFormat="1" x14ac:dyDescent="0.25">
      <c r="A68" s="92" t="s">
        <v>1750</v>
      </c>
      <c r="B68" s="136" t="s">
        <v>249</v>
      </c>
      <c r="C68" s="136" t="s">
        <v>249</v>
      </c>
      <c r="D68" s="135" t="s">
        <v>249</v>
      </c>
      <c r="E68" s="135" t="s">
        <v>249</v>
      </c>
      <c r="F68" s="134" t="s">
        <v>249</v>
      </c>
      <c r="G68" s="135" t="s">
        <v>249</v>
      </c>
      <c r="H68" s="123">
        <v>-60.255089900000691</v>
      </c>
      <c r="I68" s="136">
        <v>2.6509803972956197E-2</v>
      </c>
      <c r="J68" s="136">
        <v>-1.1325453742198399E-4</v>
      </c>
    </row>
    <row r="69" spans="1:14" x14ac:dyDescent="0.25">
      <c r="A69" s="16" t="s">
        <v>1917</v>
      </c>
      <c r="B69" s="24" t="s">
        <v>1996</v>
      </c>
      <c r="C69" s="24" t="s">
        <v>200</v>
      </c>
      <c r="D69" s="60" t="s">
        <v>125</v>
      </c>
      <c r="E69" s="60" t="s">
        <v>1919</v>
      </c>
      <c r="F69" s="69">
        <v>867389.39413407398</v>
      </c>
      <c r="G69" s="60">
        <v>0.99779300000000004</v>
      </c>
      <c r="H69" s="84">
        <v>3309.5787999999998</v>
      </c>
      <c r="I69" s="24">
        <v>-1.4560808948531765</v>
      </c>
      <c r="J69" s="24">
        <v>6.2206332556745646E-3</v>
      </c>
      <c r="K69" s="14"/>
      <c r="L69" s="14"/>
      <c r="M69" s="14"/>
      <c r="N69" s="14"/>
    </row>
    <row r="70" spans="1:14" x14ac:dyDescent="0.25">
      <c r="A70" s="16" t="s">
        <v>1920</v>
      </c>
      <c r="B70" s="24" t="s">
        <v>1997</v>
      </c>
      <c r="C70" s="24" t="s">
        <v>200</v>
      </c>
      <c r="D70" s="60" t="s">
        <v>126</v>
      </c>
      <c r="E70" s="60" t="s">
        <v>1919</v>
      </c>
      <c r="F70" s="69">
        <v>-783542.51012553996</v>
      </c>
      <c r="G70" s="60">
        <v>0.99839999999999995</v>
      </c>
      <c r="H70" s="84">
        <v>-3170.69605</v>
      </c>
      <c r="I70" s="24">
        <v>1.3949780986606004</v>
      </c>
      <c r="J70" s="24">
        <v>-5.9595913813159495E-3</v>
      </c>
      <c r="K70" s="14"/>
      <c r="L70" s="14"/>
      <c r="M70" s="14"/>
      <c r="N70" s="14"/>
    </row>
    <row r="71" spans="1:14" x14ac:dyDescent="0.25">
      <c r="A71" s="16" t="s">
        <v>1917</v>
      </c>
      <c r="B71" s="24" t="s">
        <v>1998</v>
      </c>
      <c r="C71" s="24" t="s">
        <v>200</v>
      </c>
      <c r="D71" s="60" t="s">
        <v>125</v>
      </c>
      <c r="E71" s="60" t="s">
        <v>1999</v>
      </c>
      <c r="F71" s="69">
        <v>51618.568457110159</v>
      </c>
      <c r="G71" s="60">
        <v>0.99779300000000004</v>
      </c>
      <c r="H71" s="84">
        <v>196.9539</v>
      </c>
      <c r="I71" s="24">
        <v>-8.6651754887003454E-2</v>
      </c>
      <c r="J71" s="24">
        <v>3.7019151203615476E-4</v>
      </c>
      <c r="K71" s="14"/>
      <c r="L71" s="14"/>
      <c r="M71" s="14"/>
      <c r="N71" s="14"/>
    </row>
    <row r="72" spans="1:14" x14ac:dyDescent="0.25">
      <c r="A72" s="16" t="s">
        <v>1920</v>
      </c>
      <c r="B72" s="24" t="s">
        <v>2000</v>
      </c>
      <c r="C72" s="24" t="s">
        <v>200</v>
      </c>
      <c r="D72" s="60" t="s">
        <v>126</v>
      </c>
      <c r="E72" s="60" t="s">
        <v>1999</v>
      </c>
      <c r="F72" s="69">
        <v>-47618.605587739999</v>
      </c>
      <c r="G72" s="60">
        <v>0.99839999999999995</v>
      </c>
      <c r="H72" s="84">
        <v>-192.69423999999998</v>
      </c>
      <c r="I72" s="24">
        <v>8.4777676667572549E-2</v>
      </c>
      <c r="J72" s="24">
        <v>-3.6218512081384369E-4</v>
      </c>
      <c r="K72" s="14"/>
      <c r="L72" s="14"/>
      <c r="M72" s="14"/>
      <c r="N72" s="14"/>
    </row>
    <row r="73" spans="1:14" x14ac:dyDescent="0.25">
      <c r="A73" s="16" t="s">
        <v>1917</v>
      </c>
      <c r="B73" s="24" t="s">
        <v>2001</v>
      </c>
      <c r="C73" s="24" t="s">
        <v>200</v>
      </c>
      <c r="D73" s="60" t="s">
        <v>125</v>
      </c>
      <c r="E73" s="60" t="s">
        <v>944</v>
      </c>
      <c r="F73" s="69">
        <v>32879.391758732614</v>
      </c>
      <c r="G73" s="60">
        <v>0.99779300000000004</v>
      </c>
      <c r="H73" s="84">
        <v>125.45339</v>
      </c>
      <c r="I73" s="24">
        <v>-5.51944206234233E-2</v>
      </c>
      <c r="J73" s="24">
        <v>2.3580025647708128E-4</v>
      </c>
      <c r="K73" s="14"/>
      <c r="L73" s="14"/>
      <c r="M73" s="14"/>
      <c r="N73" s="14"/>
    </row>
    <row r="74" spans="1:14" x14ac:dyDescent="0.25">
      <c r="A74" s="16" t="s">
        <v>1920</v>
      </c>
      <c r="B74" s="24" t="s">
        <v>2002</v>
      </c>
      <c r="C74" s="24" t="s">
        <v>200</v>
      </c>
      <c r="D74" s="60" t="s">
        <v>126</v>
      </c>
      <c r="E74" s="60" t="s">
        <v>944</v>
      </c>
      <c r="F74" s="69">
        <v>-30302.749010380001</v>
      </c>
      <c r="G74" s="60">
        <v>0.99839999999999995</v>
      </c>
      <c r="H74" s="84">
        <v>-122.62360000000001</v>
      </c>
      <c r="I74" s="24">
        <v>5.3949427406931053E-2</v>
      </c>
      <c r="J74" s="24">
        <v>-2.3048142684819458E-4</v>
      </c>
      <c r="K74" s="14"/>
      <c r="L74" s="14"/>
      <c r="M74" s="14"/>
      <c r="N74" s="14"/>
    </row>
    <row r="75" spans="1:14" x14ac:dyDescent="0.25">
      <c r="A75" s="16" t="s">
        <v>1917</v>
      </c>
      <c r="B75" s="24" t="s">
        <v>2003</v>
      </c>
      <c r="C75" s="24" t="s">
        <v>200</v>
      </c>
      <c r="D75" s="60" t="s">
        <v>125</v>
      </c>
      <c r="E75" s="60" t="s">
        <v>2004</v>
      </c>
      <c r="F75" s="69">
        <v>33387.516912066953</v>
      </c>
      <c r="G75" s="60">
        <v>0.99779300000000004</v>
      </c>
      <c r="H75" s="84">
        <v>127.39216999999999</v>
      </c>
      <c r="I75" s="24">
        <v>-5.6047405455609031E-2</v>
      </c>
      <c r="J75" s="24">
        <v>2.3944435745556128E-4</v>
      </c>
      <c r="K75" s="14"/>
      <c r="L75" s="14"/>
      <c r="M75" s="14"/>
      <c r="N75" s="14"/>
    </row>
    <row r="76" spans="1:14" x14ac:dyDescent="0.25">
      <c r="A76" s="16" t="s">
        <v>1920</v>
      </c>
      <c r="B76" s="24" t="s">
        <v>2005</v>
      </c>
      <c r="C76" s="24" t="s">
        <v>200</v>
      </c>
      <c r="D76" s="60" t="s">
        <v>126</v>
      </c>
      <c r="E76" s="60" t="s">
        <v>2004</v>
      </c>
      <c r="F76" s="69">
        <v>-30735.645424814</v>
      </c>
      <c r="G76" s="60">
        <v>0.99839999999999995</v>
      </c>
      <c r="H76" s="84">
        <v>-124.37536999999999</v>
      </c>
      <c r="I76" s="24">
        <v>5.4720135398285401E-2</v>
      </c>
      <c r="J76" s="24">
        <v>-2.3377402671567407E-4</v>
      </c>
      <c r="K76" s="14"/>
      <c r="L76" s="14"/>
      <c r="M76" s="14"/>
      <c r="N76" s="14"/>
    </row>
    <row r="77" spans="1:14" x14ac:dyDescent="0.25">
      <c r="A77" s="16" t="s">
        <v>1917</v>
      </c>
      <c r="B77" s="24" t="s">
        <v>2006</v>
      </c>
      <c r="C77" s="24" t="s">
        <v>200</v>
      </c>
      <c r="D77" s="60" t="s">
        <v>125</v>
      </c>
      <c r="E77" s="60" t="s">
        <v>2007</v>
      </c>
      <c r="F77" s="69">
        <v>113278.4289848656</v>
      </c>
      <c r="G77" s="60">
        <v>0.99779300000000004</v>
      </c>
      <c r="H77" s="84">
        <v>432.22096999999997</v>
      </c>
      <c r="I77" s="24">
        <v>-0.190159755909697</v>
      </c>
      <c r="J77" s="24">
        <v>8.123958673478082E-4</v>
      </c>
      <c r="K77" s="14"/>
      <c r="L77" s="14"/>
      <c r="M77" s="14"/>
      <c r="N77" s="14"/>
    </row>
    <row r="78" spans="1:14" x14ac:dyDescent="0.25">
      <c r="A78" s="16" t="s">
        <v>1920</v>
      </c>
      <c r="B78" s="24" t="s">
        <v>2008</v>
      </c>
      <c r="C78" s="24" t="s">
        <v>200</v>
      </c>
      <c r="D78" s="60" t="s">
        <v>126</v>
      </c>
      <c r="E78" s="60" t="s">
        <v>2007</v>
      </c>
      <c r="F78" s="69">
        <v>-103895.13946416001</v>
      </c>
      <c r="G78" s="60">
        <v>0.99839999999999995</v>
      </c>
      <c r="H78" s="84">
        <v>-420.42379</v>
      </c>
      <c r="I78" s="24">
        <v>0.18496947356587004</v>
      </c>
      <c r="J78" s="24">
        <v>-7.9022206981466624E-4</v>
      </c>
      <c r="K78" s="14"/>
      <c r="L78" s="14"/>
      <c r="M78" s="14"/>
      <c r="N78" s="14"/>
    </row>
    <row r="79" spans="1:14" x14ac:dyDescent="0.25">
      <c r="A79" s="16" t="s">
        <v>1920</v>
      </c>
      <c r="B79" s="24" t="s">
        <v>2009</v>
      </c>
      <c r="C79" s="24" t="s">
        <v>200</v>
      </c>
      <c r="D79" s="60" t="s">
        <v>126</v>
      </c>
      <c r="E79" s="60" t="s">
        <v>1357</v>
      </c>
      <c r="F79" s="69">
        <v>72293.701210478001</v>
      </c>
      <c r="G79" s="60">
        <v>0.99839999999999995</v>
      </c>
      <c r="H79" s="84">
        <v>292.54487999999998</v>
      </c>
      <c r="I79" s="24">
        <v>-0.12870792218487595</v>
      </c>
      <c r="J79" s="24">
        <v>5.4986284336403315E-4</v>
      </c>
      <c r="K79" s="14"/>
      <c r="L79" s="14"/>
      <c r="M79" s="14"/>
      <c r="N79" s="14"/>
    </row>
    <row r="80" spans="1:14" x14ac:dyDescent="0.25">
      <c r="A80" s="16" t="s">
        <v>1917</v>
      </c>
      <c r="B80" s="24" t="s">
        <v>2010</v>
      </c>
      <c r="C80" s="24" t="s">
        <v>200</v>
      </c>
      <c r="D80" s="60" t="s">
        <v>125</v>
      </c>
      <c r="E80" s="60" t="s">
        <v>1357</v>
      </c>
      <c r="F80" s="69">
        <v>-79208.593731260218</v>
      </c>
      <c r="G80" s="60">
        <v>0.99779300000000004</v>
      </c>
      <c r="H80" s="84">
        <v>-302.22537</v>
      </c>
      <c r="I80" s="24">
        <v>0.13296694648785287</v>
      </c>
      <c r="J80" s="24">
        <v>-5.6805814302730905E-4</v>
      </c>
      <c r="K80" s="14"/>
      <c r="L80" s="14"/>
      <c r="M80" s="14"/>
      <c r="N80" s="14"/>
    </row>
    <row r="81" spans="1:14" x14ac:dyDescent="0.25">
      <c r="A81" s="16" t="s">
        <v>1920</v>
      </c>
      <c r="B81" s="24" t="s">
        <v>2011</v>
      </c>
      <c r="C81" s="24" t="s">
        <v>200</v>
      </c>
      <c r="D81" s="60" t="s">
        <v>126</v>
      </c>
      <c r="E81" s="60" t="s">
        <v>1966</v>
      </c>
      <c r="F81" s="69">
        <v>73592.390453779997</v>
      </c>
      <c r="G81" s="60">
        <v>0.99839999999999995</v>
      </c>
      <c r="H81" s="84">
        <v>297.80018000000001</v>
      </c>
      <c r="I81" s="24">
        <v>-0.13102004175934323</v>
      </c>
      <c r="J81" s="24">
        <v>5.5974062417062597E-4</v>
      </c>
      <c r="K81" s="14"/>
      <c r="L81" s="14"/>
      <c r="M81" s="14"/>
      <c r="N81" s="14"/>
    </row>
    <row r="82" spans="1:14" x14ac:dyDescent="0.25">
      <c r="A82" s="16" t="s">
        <v>1917</v>
      </c>
      <c r="B82" s="24" t="s">
        <v>2012</v>
      </c>
      <c r="C82" s="24" t="s">
        <v>200</v>
      </c>
      <c r="D82" s="60" t="s">
        <v>125</v>
      </c>
      <c r="E82" s="60" t="s">
        <v>1966</v>
      </c>
      <c r="F82" s="69">
        <v>-81958.373400565717</v>
      </c>
      <c r="G82" s="60">
        <v>0.99779300000000004</v>
      </c>
      <c r="H82" s="84">
        <v>-312.71733</v>
      </c>
      <c r="I82" s="24">
        <v>0.13758298479023859</v>
      </c>
      <c r="J82" s="24">
        <v>-5.8777866918405361E-4</v>
      </c>
      <c r="K82" s="14"/>
      <c r="L82" s="14"/>
      <c r="M82" s="14"/>
      <c r="N82" s="14"/>
    </row>
    <row r="83" spans="1:14" x14ac:dyDescent="0.25">
      <c r="A83" s="16" t="s">
        <v>1920</v>
      </c>
      <c r="B83" s="24" t="s">
        <v>2013</v>
      </c>
      <c r="C83" s="24" t="s">
        <v>200</v>
      </c>
      <c r="D83" s="60" t="s">
        <v>126</v>
      </c>
      <c r="E83" s="60" t="s">
        <v>1830</v>
      </c>
      <c r="F83" s="69">
        <v>43289.641443400003</v>
      </c>
      <c r="G83" s="60">
        <v>0.99839999999999995</v>
      </c>
      <c r="H83" s="84">
        <v>175.17658</v>
      </c>
      <c r="I83" s="24">
        <v>-7.7070614352412165E-2</v>
      </c>
      <c r="J83" s="24">
        <v>3.2925919732243144E-4</v>
      </c>
      <c r="K83" s="14"/>
      <c r="L83" s="14"/>
      <c r="M83" s="14"/>
      <c r="N83" s="14"/>
    </row>
    <row r="84" spans="1:14" x14ac:dyDescent="0.25">
      <c r="A84" s="16" t="s">
        <v>1917</v>
      </c>
      <c r="B84" s="24" t="s">
        <v>2014</v>
      </c>
      <c r="C84" s="24" t="s">
        <v>200</v>
      </c>
      <c r="D84" s="60" t="s">
        <v>125</v>
      </c>
      <c r="E84" s="60" t="s">
        <v>1830</v>
      </c>
      <c r="F84" s="69">
        <v>-47648.475440335947</v>
      </c>
      <c r="G84" s="60">
        <v>0.99779300000000004</v>
      </c>
      <c r="H84" s="84">
        <v>-181.80576000000002</v>
      </c>
      <c r="I84" s="24">
        <v>7.9987185593001095E-2</v>
      </c>
      <c r="J84" s="24">
        <v>-3.4171930178220522E-4</v>
      </c>
      <c r="K84" s="14"/>
      <c r="L84" s="14"/>
      <c r="M84" s="14"/>
      <c r="N84" s="14"/>
    </row>
    <row r="85" spans="1:14" x14ac:dyDescent="0.25">
      <c r="A85" s="16" t="s">
        <v>2015</v>
      </c>
      <c r="B85" s="24" t="s">
        <v>2016</v>
      </c>
      <c r="C85" s="24" t="s">
        <v>200</v>
      </c>
      <c r="D85" s="60" t="s">
        <v>125</v>
      </c>
      <c r="E85" s="60" t="s">
        <v>979</v>
      </c>
      <c r="F85" s="69">
        <v>58941.595717420758</v>
      </c>
      <c r="G85" s="60">
        <v>0.97838400000000003</v>
      </c>
      <c r="H85" s="84">
        <v>220.52074999999999</v>
      </c>
      <c r="I85" s="24">
        <v>-9.7020216286644576E-2</v>
      </c>
      <c r="J85" s="24">
        <v>4.1448739973083486E-4</v>
      </c>
      <c r="K85" s="14"/>
      <c r="L85" s="14"/>
      <c r="M85" s="14"/>
      <c r="N85" s="14"/>
    </row>
    <row r="86" spans="1:14" x14ac:dyDescent="0.25">
      <c r="A86" s="16" t="s">
        <v>2017</v>
      </c>
      <c r="B86" s="24" t="s">
        <v>2018</v>
      </c>
      <c r="C86" s="24" t="s">
        <v>200</v>
      </c>
      <c r="D86" s="60" t="s">
        <v>2</v>
      </c>
      <c r="E86" s="60" t="s">
        <v>979</v>
      </c>
      <c r="F86" s="69">
        <v>-47618.605587739999</v>
      </c>
      <c r="G86" s="60">
        <v>0.97932300000000005</v>
      </c>
      <c r="H86" s="84">
        <v>-218.14928</v>
      </c>
      <c r="I86" s="24">
        <v>9.597686534430791E-2</v>
      </c>
      <c r="J86" s="24">
        <v>-4.1003002130345474E-4</v>
      </c>
      <c r="K86" s="14"/>
      <c r="L86" s="14"/>
      <c r="M86" s="14"/>
      <c r="N86" s="14"/>
    </row>
    <row r="87" spans="1:14" x14ac:dyDescent="0.25">
      <c r="A87" s="16" t="s">
        <v>1920</v>
      </c>
      <c r="B87" s="24" t="s">
        <v>2021</v>
      </c>
      <c r="C87" s="24" t="s">
        <v>200</v>
      </c>
      <c r="D87" s="60" t="s">
        <v>126</v>
      </c>
      <c r="E87" s="60" t="s">
        <v>1572</v>
      </c>
      <c r="F87" s="69">
        <v>27921.818730993</v>
      </c>
      <c r="G87" s="60">
        <v>0.99839999999999995</v>
      </c>
      <c r="H87" s="84">
        <v>112.98894</v>
      </c>
      <c r="I87" s="24">
        <v>-4.971056645145052E-2</v>
      </c>
      <c r="J87" s="24">
        <v>2.1237226854590018E-4</v>
      </c>
      <c r="K87" s="14"/>
      <c r="L87" s="14"/>
      <c r="M87" s="14"/>
      <c r="N87" s="14"/>
    </row>
    <row r="88" spans="1:14" x14ac:dyDescent="0.25">
      <c r="A88" s="16" t="s">
        <v>1917</v>
      </c>
      <c r="B88" s="24" t="s">
        <v>2022</v>
      </c>
      <c r="C88" s="24" t="s">
        <v>200</v>
      </c>
      <c r="D88" s="60" t="s">
        <v>125</v>
      </c>
      <c r="E88" s="60" t="s">
        <v>1572</v>
      </c>
      <c r="F88" s="69">
        <v>-29876.34604216251</v>
      </c>
      <c r="G88" s="60">
        <v>0.99779300000000004</v>
      </c>
      <c r="H88" s="84">
        <v>-113.99508</v>
      </c>
      <c r="I88" s="24">
        <v>5.0153227382064278E-2</v>
      </c>
      <c r="J88" s="24">
        <v>-2.1426339376819868E-4</v>
      </c>
      <c r="K88" s="14"/>
      <c r="L88" s="14"/>
      <c r="M88" s="14"/>
      <c r="N88" s="14"/>
    </row>
    <row r="89" spans="1:14" x14ac:dyDescent="0.25">
      <c r="A89" s="16" t="s">
        <v>2017</v>
      </c>
      <c r="B89" s="24" t="s">
        <v>2023</v>
      </c>
      <c r="C89" s="24" t="s">
        <v>200</v>
      </c>
      <c r="D89" s="60" t="s">
        <v>2</v>
      </c>
      <c r="E89" s="60" t="s">
        <v>1572</v>
      </c>
      <c r="F89" s="69">
        <v>8657.9282886799992</v>
      </c>
      <c r="G89" s="60">
        <v>0.97932300000000005</v>
      </c>
      <c r="H89" s="84">
        <v>39.663499999999999</v>
      </c>
      <c r="I89" s="24">
        <v>-1.7450336753731008E-2</v>
      </c>
      <c r="J89" s="24">
        <v>7.4550902711985006E-5</v>
      </c>
      <c r="K89" s="14"/>
      <c r="L89" s="14"/>
      <c r="M89" s="14"/>
      <c r="N89" s="14"/>
    </row>
    <row r="90" spans="1:14" x14ac:dyDescent="0.25">
      <c r="A90" s="16" t="s">
        <v>2015</v>
      </c>
      <c r="B90" s="24" t="s">
        <v>2024</v>
      </c>
      <c r="C90" s="24" t="s">
        <v>200</v>
      </c>
      <c r="D90" s="60" t="s">
        <v>125</v>
      </c>
      <c r="E90" s="60" t="s">
        <v>1572</v>
      </c>
      <c r="F90" s="69">
        <v>-10722.541158040076</v>
      </c>
      <c r="G90" s="60">
        <v>0.97838400000000003</v>
      </c>
      <c r="H90" s="84">
        <v>-40.116690000000006</v>
      </c>
      <c r="I90" s="24">
        <v>1.764972203524735E-2</v>
      </c>
      <c r="J90" s="24">
        <v>-7.5402711644632025E-5</v>
      </c>
      <c r="K90" s="14"/>
      <c r="L90" s="14"/>
      <c r="M90" s="14"/>
      <c r="N90" s="14"/>
    </row>
    <row r="91" spans="1:14" x14ac:dyDescent="0.25">
      <c r="A91" s="16" t="s">
        <v>1920</v>
      </c>
      <c r="B91" s="24" t="s">
        <v>2025</v>
      </c>
      <c r="C91" s="24" t="s">
        <v>200</v>
      </c>
      <c r="D91" s="60" t="s">
        <v>126</v>
      </c>
      <c r="E91" s="60" t="s">
        <v>1925</v>
      </c>
      <c r="F91" s="69">
        <v>778997.09777398303</v>
      </c>
      <c r="G91" s="60">
        <v>0.99839999999999995</v>
      </c>
      <c r="H91" s="84">
        <v>3152.3040099999998</v>
      </c>
      <c r="I91" s="24">
        <v>-1.386886344488929</v>
      </c>
      <c r="J91" s="24">
        <v>5.925021986665579E-3</v>
      </c>
      <c r="K91" s="14"/>
      <c r="L91" s="14"/>
      <c r="M91" s="14"/>
      <c r="N91" s="14"/>
    </row>
    <row r="92" spans="1:14" x14ac:dyDescent="0.25">
      <c r="A92" s="16" t="s">
        <v>1917</v>
      </c>
      <c r="B92" s="24" t="s">
        <v>2026</v>
      </c>
      <c r="C92" s="24" t="s">
        <v>200</v>
      </c>
      <c r="D92" s="60" t="s">
        <v>125</v>
      </c>
      <c r="E92" s="60" t="s">
        <v>1925</v>
      </c>
      <c r="F92" s="69">
        <v>-830558.9156756429</v>
      </c>
      <c r="G92" s="60">
        <v>0.99779300000000004</v>
      </c>
      <c r="H92" s="84">
        <v>-3169.0500200000001</v>
      </c>
      <c r="I92" s="24">
        <v>1.3942539119951085</v>
      </c>
      <c r="J92" s="24">
        <v>-5.9564975287212212E-3</v>
      </c>
      <c r="K92" s="14"/>
      <c r="L92" s="14"/>
      <c r="M92" s="14"/>
      <c r="N92" s="14"/>
    </row>
    <row r="93" spans="1:14" x14ac:dyDescent="0.25">
      <c r="A93" s="16" t="s">
        <v>1927</v>
      </c>
      <c r="B93" s="24" t="s">
        <v>2027</v>
      </c>
      <c r="C93" s="24" t="s">
        <v>200</v>
      </c>
      <c r="D93" s="60" t="s">
        <v>125</v>
      </c>
      <c r="E93" s="60" t="s">
        <v>1925</v>
      </c>
      <c r="F93" s="69">
        <v>836642.88300925773</v>
      </c>
      <c r="G93" s="60">
        <v>0.97537499999999999</v>
      </c>
      <c r="H93" s="84">
        <v>3120.5406400000002</v>
      </c>
      <c r="I93" s="24">
        <v>-1.3729117456024629</v>
      </c>
      <c r="J93" s="24">
        <v>5.8653200464264489E-3</v>
      </c>
      <c r="K93" s="14"/>
      <c r="L93" s="14"/>
      <c r="M93" s="14"/>
      <c r="N93" s="14"/>
    </row>
    <row r="94" spans="1:14" x14ac:dyDescent="0.25">
      <c r="A94" s="16" t="s">
        <v>1929</v>
      </c>
      <c r="B94" s="24" t="s">
        <v>2028</v>
      </c>
      <c r="C94" s="24" t="s">
        <v>200</v>
      </c>
      <c r="D94" s="60" t="s">
        <v>126</v>
      </c>
      <c r="E94" s="60" t="s">
        <v>1925</v>
      </c>
      <c r="F94" s="69">
        <v>-778997.09777398303</v>
      </c>
      <c r="G94" s="60">
        <v>0.98312600000000006</v>
      </c>
      <c r="H94" s="84">
        <v>-3104.07843</v>
      </c>
      <c r="I94" s="24">
        <v>1.365669038624747</v>
      </c>
      <c r="J94" s="24">
        <v>-5.8343779304726303E-3</v>
      </c>
      <c r="K94" s="18"/>
      <c r="L94" s="18"/>
    </row>
    <row r="95" spans="1:14" x14ac:dyDescent="0.25">
      <c r="A95" s="16" t="s">
        <v>2017</v>
      </c>
      <c r="B95" s="24" t="s">
        <v>2029</v>
      </c>
      <c r="C95" s="24" t="s">
        <v>200</v>
      </c>
      <c r="D95" s="60" t="s">
        <v>2</v>
      </c>
      <c r="E95" s="60" t="s">
        <v>982</v>
      </c>
      <c r="F95" s="69">
        <v>56276.533876419999</v>
      </c>
      <c r="G95" s="60">
        <v>0.979321</v>
      </c>
      <c r="H95" s="84">
        <v>257.81232</v>
      </c>
      <c r="I95" s="24">
        <v>-0.11342699971663267</v>
      </c>
      <c r="J95" s="24">
        <v>4.8458005940653619E-4</v>
      </c>
      <c r="K95" s="18"/>
      <c r="L95" s="18"/>
    </row>
    <row r="96" spans="1:14" x14ac:dyDescent="0.25">
      <c r="A96" s="16" t="s">
        <v>2015</v>
      </c>
      <c r="B96" s="24" t="s">
        <v>2030</v>
      </c>
      <c r="C96" s="24" t="s">
        <v>200</v>
      </c>
      <c r="D96" s="60" t="s">
        <v>125</v>
      </c>
      <c r="E96" s="60" t="s">
        <v>982</v>
      </c>
      <c r="F96" s="69">
        <v>-68426.074775000307</v>
      </c>
      <c r="G96" s="60">
        <v>0.97838199999999997</v>
      </c>
      <c r="H96" s="84">
        <v>-256.00485000000003</v>
      </c>
      <c r="I96" s="24">
        <v>0.11263178597673917</v>
      </c>
      <c r="J96" s="24">
        <v>-4.811827666783395E-4</v>
      </c>
      <c r="K96" s="18"/>
      <c r="L96" s="18"/>
    </row>
    <row r="97" spans="1:14" x14ac:dyDescent="0.25">
      <c r="A97" s="16" t="s">
        <v>1991</v>
      </c>
      <c r="B97" s="24" t="s">
        <v>1992</v>
      </c>
      <c r="C97" s="24" t="s">
        <v>200</v>
      </c>
      <c r="D97" s="60" t="s">
        <v>255</v>
      </c>
      <c r="E97" s="60" t="s">
        <v>1993</v>
      </c>
      <c r="F97" s="69">
        <v>1402380</v>
      </c>
      <c r="G97" s="60">
        <v>0.98915399999999998</v>
      </c>
      <c r="H97" s="84">
        <v>1387.16994</v>
      </c>
      <c r="I97" s="24">
        <v>-0.61029870252632357</v>
      </c>
      <c r="J97" s="24">
        <v>2.6073032193812975E-3</v>
      </c>
      <c r="K97" s="14"/>
      <c r="L97" s="14"/>
      <c r="M97" s="14"/>
      <c r="N97" s="14"/>
    </row>
    <row r="98" spans="1:14" x14ac:dyDescent="0.25">
      <c r="A98" s="16" t="s">
        <v>1994</v>
      </c>
      <c r="B98" s="24" t="s">
        <v>1995</v>
      </c>
      <c r="C98" s="24" t="s">
        <v>200</v>
      </c>
      <c r="D98" s="60" t="s">
        <v>125</v>
      </c>
      <c r="E98" s="60" t="s">
        <v>1993</v>
      </c>
      <c r="F98" s="69">
        <v>-420000</v>
      </c>
      <c r="G98" s="60">
        <v>0.98344799999999999</v>
      </c>
      <c r="H98" s="84">
        <v>-1579.49719</v>
      </c>
      <c r="I98" s="24">
        <v>0.6949149184280724</v>
      </c>
      <c r="J98" s="24">
        <v>-2.9687985514526886E-3</v>
      </c>
      <c r="K98" s="14"/>
      <c r="L98" s="14"/>
      <c r="M98" s="14"/>
      <c r="N98" s="14"/>
    </row>
    <row r="99" spans="1:14" x14ac:dyDescent="0.25">
      <c r="A99" s="16" t="s">
        <v>1917</v>
      </c>
      <c r="B99" s="24" t="s">
        <v>2019</v>
      </c>
      <c r="C99" s="24" t="s">
        <v>200</v>
      </c>
      <c r="D99" s="60" t="s">
        <v>125</v>
      </c>
      <c r="E99" s="60" t="s">
        <v>979</v>
      </c>
      <c r="F99" s="69">
        <v>2736.26</v>
      </c>
      <c r="G99" s="60">
        <v>0.99779300000000004</v>
      </c>
      <c r="H99" s="84">
        <v>10.440370000000001</v>
      </c>
      <c r="I99" s="24">
        <v>-4.5933407877154211E-3</v>
      </c>
      <c r="J99" s="24">
        <v>1.9623558388622462E-5</v>
      </c>
      <c r="K99" s="14"/>
      <c r="L99" s="14"/>
      <c r="M99" s="14"/>
      <c r="N99" s="14"/>
    </row>
    <row r="100" spans="1:14" x14ac:dyDescent="0.25">
      <c r="A100" s="16" t="s">
        <v>1920</v>
      </c>
      <c r="B100" s="24" t="s">
        <v>2020</v>
      </c>
      <c r="C100" s="24" t="s">
        <v>200</v>
      </c>
      <c r="D100" s="60" t="s">
        <v>126</v>
      </c>
      <c r="E100" s="60" t="s">
        <v>979</v>
      </c>
      <c r="F100" s="69">
        <v>-2561</v>
      </c>
      <c r="G100" s="60">
        <v>0.99839999999999995</v>
      </c>
      <c r="H100" s="84">
        <v>-10.363379999999999</v>
      </c>
      <c r="I100" s="24">
        <v>4.5594682997436142E-3</v>
      </c>
      <c r="J100" s="24">
        <v>-1.9478849172345636E-5</v>
      </c>
      <c r="K100" s="14"/>
      <c r="L100" s="14"/>
      <c r="M100" s="14"/>
      <c r="N100" s="14"/>
    </row>
    <row r="101" spans="1:14" s="118" customFormat="1" x14ac:dyDescent="0.25">
      <c r="A101" s="92" t="s">
        <v>1749</v>
      </c>
      <c r="B101" s="136" t="s">
        <v>249</v>
      </c>
      <c r="C101" s="136" t="s">
        <v>249</v>
      </c>
      <c r="D101" s="135" t="s">
        <v>249</v>
      </c>
      <c r="E101" s="135" t="s">
        <v>249</v>
      </c>
      <c r="F101" s="134" t="s">
        <v>249</v>
      </c>
      <c r="G101" s="135" t="s">
        <v>249</v>
      </c>
      <c r="H101" s="123">
        <v>-196.06497989999991</v>
      </c>
      <c r="I101" s="136">
        <v>8.6260665974220635E-2</v>
      </c>
      <c r="J101" s="136">
        <v>-3.6852071152954709E-4</v>
      </c>
      <c r="K101" s="158"/>
      <c r="L101" s="158"/>
      <c r="M101" s="129"/>
      <c r="N101" s="129"/>
    </row>
    <row r="102" spans="1:14" x14ac:dyDescent="0.25">
      <c r="A102" s="16" t="s">
        <v>2031</v>
      </c>
      <c r="B102" s="24" t="s">
        <v>2032</v>
      </c>
      <c r="C102" s="24" t="s">
        <v>200</v>
      </c>
      <c r="D102" s="60" t="s">
        <v>125</v>
      </c>
      <c r="E102" s="60" t="s">
        <v>2033</v>
      </c>
      <c r="F102" s="69">
        <v>935.05625517743999</v>
      </c>
      <c r="G102" s="60">
        <v>285.87189999999998</v>
      </c>
      <c r="H102" s="84">
        <v>1022.17932</v>
      </c>
      <c r="I102" s="24">
        <v>-0.44971758308519844</v>
      </c>
      <c r="J102" s="24">
        <v>1.9212724807322347E-3</v>
      </c>
      <c r="K102" s="18"/>
      <c r="L102" s="18"/>
    </row>
    <row r="103" spans="1:14" x14ac:dyDescent="0.25">
      <c r="A103" s="16" t="s">
        <v>2034</v>
      </c>
      <c r="B103" s="24" t="s">
        <v>2035</v>
      </c>
      <c r="C103" s="24" t="s">
        <v>200</v>
      </c>
      <c r="D103" s="60" t="s">
        <v>125</v>
      </c>
      <c r="E103" s="60" t="s">
        <v>2033</v>
      </c>
      <c r="F103" s="69">
        <v>-935.05625517743999</v>
      </c>
      <c r="G103" s="60">
        <v>294.93432899999999</v>
      </c>
      <c r="H103" s="84">
        <v>-1054.5834399999999</v>
      </c>
      <c r="I103" s="24">
        <v>0.46397408607178081</v>
      </c>
      <c r="J103" s="24">
        <v>-1.9821787647865286E-3</v>
      </c>
      <c r="K103" s="18"/>
      <c r="L103" s="18"/>
    </row>
    <row r="104" spans="1:14" x14ac:dyDescent="0.25">
      <c r="A104" s="16" t="s">
        <v>2036</v>
      </c>
      <c r="B104" s="24" t="s">
        <v>2037</v>
      </c>
      <c r="C104" s="24" t="s">
        <v>200</v>
      </c>
      <c r="D104" s="60" t="s">
        <v>125</v>
      </c>
      <c r="E104" s="60" t="s">
        <v>1563</v>
      </c>
      <c r="F104" s="69">
        <v>3290.0127496984001</v>
      </c>
      <c r="G104" s="60">
        <v>84.980999999999995</v>
      </c>
      <c r="H104" s="84">
        <v>1069.1467</v>
      </c>
      <c r="I104" s="24">
        <v>-0.47038133180733471</v>
      </c>
      <c r="J104" s="24">
        <v>2.0095516436154101E-3</v>
      </c>
      <c r="K104" s="18"/>
      <c r="L104" s="18"/>
    </row>
    <row r="105" spans="1:14" x14ac:dyDescent="0.25">
      <c r="A105" s="16" t="s">
        <v>2038</v>
      </c>
      <c r="B105" s="24" t="s">
        <v>2039</v>
      </c>
      <c r="C105" s="24" t="s">
        <v>200</v>
      </c>
      <c r="D105" s="60" t="s">
        <v>125</v>
      </c>
      <c r="E105" s="60" t="s">
        <v>1563</v>
      </c>
      <c r="F105" s="69">
        <v>-3290.0127496984001</v>
      </c>
      <c r="G105" s="60">
        <v>87.227005000000005</v>
      </c>
      <c r="H105" s="84">
        <v>-1097.40373</v>
      </c>
      <c r="I105" s="24">
        <v>0.48281328282427166</v>
      </c>
      <c r="J105" s="24">
        <v>-2.0626631212827778E-3</v>
      </c>
      <c r="K105" s="18"/>
      <c r="L105" s="18"/>
    </row>
    <row r="106" spans="1:14" x14ac:dyDescent="0.25">
      <c r="A106" s="16" t="s">
        <v>2036</v>
      </c>
      <c r="B106" s="24" t="s">
        <v>2040</v>
      </c>
      <c r="C106" s="24" t="s">
        <v>200</v>
      </c>
      <c r="D106" s="60" t="s">
        <v>125</v>
      </c>
      <c r="E106" s="60" t="s">
        <v>1946</v>
      </c>
      <c r="F106" s="69">
        <v>3030.2749010379998</v>
      </c>
      <c r="G106" s="60">
        <v>84.980999999999995</v>
      </c>
      <c r="H106" s="84">
        <v>984.74039000000005</v>
      </c>
      <c r="I106" s="24">
        <v>-0.43324596721167841</v>
      </c>
      <c r="J106" s="24">
        <v>1.8509028454738532E-3</v>
      </c>
      <c r="K106" s="18"/>
      <c r="L106" s="18"/>
    </row>
    <row r="107" spans="1:14" x14ac:dyDescent="0.25">
      <c r="A107" s="16" t="s">
        <v>2038</v>
      </c>
      <c r="B107" s="24" t="s">
        <v>2041</v>
      </c>
      <c r="C107" s="24" t="s">
        <v>200</v>
      </c>
      <c r="D107" s="60" t="s">
        <v>125</v>
      </c>
      <c r="E107" s="60" t="s">
        <v>1946</v>
      </c>
      <c r="F107" s="69">
        <v>-3030.2749010379998</v>
      </c>
      <c r="G107" s="60">
        <v>86.731295000000003</v>
      </c>
      <c r="H107" s="84">
        <v>-1005.0224000000001</v>
      </c>
      <c r="I107" s="24">
        <v>0.44216923178849438</v>
      </c>
      <c r="J107" s="24">
        <v>-1.8890245985796938E-3</v>
      </c>
      <c r="K107" s="18"/>
      <c r="L107" s="18"/>
    </row>
    <row r="108" spans="1:14" x14ac:dyDescent="0.25">
      <c r="A108" s="16" t="s">
        <v>2042</v>
      </c>
      <c r="B108" s="24" t="s">
        <v>2043</v>
      </c>
      <c r="C108" s="24" t="s">
        <v>200</v>
      </c>
      <c r="D108" s="60" t="s">
        <v>125</v>
      </c>
      <c r="E108" s="60" t="s">
        <v>1946</v>
      </c>
      <c r="F108" s="69">
        <v>848.47697229063999</v>
      </c>
      <c r="G108" s="60">
        <v>285.87189999999998</v>
      </c>
      <c r="H108" s="84">
        <v>927.53309000000002</v>
      </c>
      <c r="I108" s="24">
        <v>-0.40807706759939721</v>
      </c>
      <c r="J108" s="24">
        <v>1.7433768869297172E-3</v>
      </c>
      <c r="K108" s="18"/>
      <c r="L108" s="18"/>
    </row>
    <row r="109" spans="1:14" x14ac:dyDescent="0.25">
      <c r="A109" s="16" t="s">
        <v>2044</v>
      </c>
      <c r="B109" s="24" t="s">
        <v>2045</v>
      </c>
      <c r="C109" s="24" t="s">
        <v>200</v>
      </c>
      <c r="D109" s="60" t="s">
        <v>125</v>
      </c>
      <c r="E109" s="60" t="s">
        <v>1946</v>
      </c>
      <c r="F109" s="69">
        <v>-848.47697229063999</v>
      </c>
      <c r="G109" s="60">
        <v>295.535214</v>
      </c>
      <c r="H109" s="84">
        <v>-958.88644999999997</v>
      </c>
      <c r="I109" s="24">
        <v>0.42187127865895974</v>
      </c>
      <c r="J109" s="24">
        <v>-1.8023081786980645E-3</v>
      </c>
      <c r="K109" s="18"/>
      <c r="L109" s="18"/>
    </row>
    <row r="110" spans="1:14" x14ac:dyDescent="0.25">
      <c r="A110" s="16" t="s">
        <v>2046</v>
      </c>
      <c r="B110" s="24" t="s">
        <v>2047</v>
      </c>
      <c r="C110" s="24" t="s">
        <v>200</v>
      </c>
      <c r="D110" s="60" t="s">
        <v>125</v>
      </c>
      <c r="E110" s="60" t="s">
        <v>2048</v>
      </c>
      <c r="F110" s="69">
        <v>4415.5434272268003</v>
      </c>
      <c r="G110" s="60">
        <v>88.0886</v>
      </c>
      <c r="H110" s="84">
        <v>1487.3793600000001</v>
      </c>
      <c r="I110" s="24">
        <v>-0.65438679674130895</v>
      </c>
      <c r="J110" s="24">
        <v>2.7956552992845951E-3</v>
      </c>
      <c r="K110" s="18"/>
      <c r="L110" s="18"/>
    </row>
    <row r="111" spans="1:14" x14ac:dyDescent="0.25">
      <c r="A111" s="16" t="s">
        <v>2049</v>
      </c>
      <c r="B111" s="24" t="s">
        <v>2050</v>
      </c>
      <c r="C111" s="24" t="s">
        <v>200</v>
      </c>
      <c r="D111" s="60" t="s">
        <v>125</v>
      </c>
      <c r="E111" s="60" t="s">
        <v>2048</v>
      </c>
      <c r="F111" s="69">
        <v>-4415.5434272268003</v>
      </c>
      <c r="G111" s="60">
        <v>93.049705000000003</v>
      </c>
      <c r="H111" s="84">
        <v>-1571.1478200000001</v>
      </c>
      <c r="I111" s="24">
        <v>0.69124153311962766</v>
      </c>
      <c r="J111" s="24">
        <v>-2.9531052044062512E-3</v>
      </c>
      <c r="K111" s="18"/>
      <c r="L111" s="18"/>
    </row>
    <row r="112" spans="1:14" s="118" customFormat="1" x14ac:dyDescent="0.25">
      <c r="A112" s="92" t="s">
        <v>141</v>
      </c>
      <c r="B112" s="136" t="s">
        <v>249</v>
      </c>
      <c r="C112" s="136" t="s">
        <v>249</v>
      </c>
      <c r="D112" s="135" t="s">
        <v>249</v>
      </c>
      <c r="E112" s="135" t="s">
        <v>249</v>
      </c>
      <c r="F112" s="134" t="s">
        <v>249</v>
      </c>
      <c r="G112" s="135" t="s">
        <v>249</v>
      </c>
      <c r="H112" s="123">
        <v>0</v>
      </c>
      <c r="I112" s="136">
        <v>0</v>
      </c>
      <c r="J112" s="136">
        <v>0</v>
      </c>
      <c r="K112" s="158"/>
      <c r="L112" s="158"/>
      <c r="M112" s="129"/>
      <c r="N112" s="129"/>
    </row>
    <row r="113" spans="1:14" s="118" customFormat="1" x14ac:dyDescent="0.25">
      <c r="A113" s="78" t="s">
        <v>241</v>
      </c>
      <c r="B113" s="124"/>
      <c r="C113" s="78"/>
      <c r="D113" s="125"/>
      <c r="E113" s="125"/>
      <c r="F113" s="125"/>
      <c r="G113" s="126"/>
      <c r="H113" s="127"/>
      <c r="I113" s="127"/>
      <c r="J113" s="128"/>
      <c r="K113" s="147"/>
      <c r="L113" s="147"/>
      <c r="M113" s="129"/>
      <c r="N113" s="129"/>
    </row>
    <row r="114" spans="1:14" s="118" customFormat="1" x14ac:dyDescent="0.25">
      <c r="A114" s="78" t="s">
        <v>242</v>
      </c>
      <c r="B114" s="124"/>
      <c r="C114" s="78"/>
      <c r="D114" s="125"/>
      <c r="E114" s="125"/>
      <c r="F114" s="125"/>
      <c r="G114" s="126"/>
      <c r="H114" s="127"/>
      <c r="I114" s="127"/>
      <c r="J114" s="128"/>
      <c r="K114" s="147"/>
      <c r="L114" s="147"/>
      <c r="M114" s="129"/>
      <c r="N114" s="129"/>
    </row>
    <row r="115" spans="1:14" s="118" customFormat="1" x14ac:dyDescent="0.25">
      <c r="A115" s="78" t="s">
        <v>243</v>
      </c>
      <c r="B115" s="124"/>
      <c r="C115" s="78"/>
      <c r="D115" s="125"/>
      <c r="E115" s="125"/>
      <c r="F115" s="125"/>
      <c r="G115" s="126"/>
      <c r="H115" s="127"/>
      <c r="I115" s="127"/>
      <c r="J115" s="128"/>
      <c r="K115" s="147"/>
      <c r="L115" s="147"/>
      <c r="M115" s="129"/>
      <c r="N115" s="129"/>
    </row>
    <row r="116" spans="1:14" s="118" customFormat="1" x14ac:dyDescent="0.25">
      <c r="A116" s="78" t="s">
        <v>244</v>
      </c>
      <c r="B116" s="124"/>
      <c r="C116" s="78"/>
      <c r="D116" s="125"/>
      <c r="E116" s="125"/>
      <c r="F116" s="125"/>
      <c r="G116" s="126"/>
      <c r="H116" s="127"/>
      <c r="I116" s="127"/>
      <c r="J116" s="128"/>
      <c r="K116" s="147"/>
      <c r="L116" s="147"/>
      <c r="M116" s="129"/>
      <c r="N116" s="129"/>
    </row>
    <row r="117" spans="1:14" s="118" customFormat="1" x14ac:dyDescent="0.25">
      <c r="A117" s="78" t="s">
        <v>245</v>
      </c>
      <c r="B117" s="124"/>
      <c r="C117" s="78"/>
      <c r="D117" s="125"/>
      <c r="E117" s="125"/>
      <c r="F117" s="125"/>
      <c r="G117" s="126"/>
      <c r="H117" s="127"/>
      <c r="I117" s="127"/>
      <c r="J117" s="128"/>
      <c r="K117" s="147"/>
      <c r="L117" s="147"/>
      <c r="M117" s="129"/>
      <c r="N117" s="129"/>
    </row>
  </sheetData>
  <mergeCells count="2">
    <mergeCell ref="A5:J5"/>
    <mergeCell ref="A4:J4"/>
  </mergeCells>
  <phoneticPr fontId="3" type="noConversion"/>
  <conditionalFormatting sqref="B10:E112 I10:J112">
    <cfRule type="expression" dxfId="46" priority="355" stopIfTrue="1">
      <formula>OR(LEFT(#REF!,3)="TIR",LEFT(#REF!,2)="IR")</formula>
    </cfRule>
  </conditionalFormatting>
  <conditionalFormatting sqref="H10:I112 A10:A112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 s="7" customFormat="1" x14ac:dyDescent="0.25">
      <c r="A5" s="225" t="s">
        <v>34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</row>
    <row r="6" spans="1:16" s="7" customFormat="1" ht="31.5" customHeight="1" x14ac:dyDescent="0.25">
      <c r="A6" s="86" t="s">
        <v>157</v>
      </c>
      <c r="B6" s="204" t="s">
        <v>69</v>
      </c>
      <c r="C6" s="204" t="s">
        <v>27</v>
      </c>
      <c r="D6" s="204" t="s">
        <v>70</v>
      </c>
      <c r="E6" s="204" t="s">
        <v>5</v>
      </c>
      <c r="F6" s="204" t="s">
        <v>13</v>
      </c>
      <c r="G6" s="204" t="s">
        <v>14</v>
      </c>
      <c r="H6" s="204" t="s">
        <v>6</v>
      </c>
      <c r="I6" s="205" t="s">
        <v>66</v>
      </c>
      <c r="J6" s="205" t="s">
        <v>71</v>
      </c>
      <c r="K6" s="205" t="s">
        <v>67</v>
      </c>
      <c r="L6" s="205" t="s">
        <v>68</v>
      </c>
      <c r="M6" s="205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7" t="s">
        <v>249</v>
      </c>
      <c r="C9" s="67" t="s">
        <v>249</v>
      </c>
      <c r="D9" s="100"/>
      <c r="E9" s="100" t="s">
        <v>249</v>
      </c>
      <c r="F9" s="100" t="s">
        <v>249</v>
      </c>
      <c r="G9" s="100" t="s">
        <v>249</v>
      </c>
      <c r="H9" s="100" t="s">
        <v>249</v>
      </c>
      <c r="I9" s="67" t="s">
        <v>249</v>
      </c>
      <c r="J9" s="67" t="s">
        <v>249</v>
      </c>
      <c r="K9" s="101" t="s">
        <v>249</v>
      </c>
      <c r="L9" s="100" t="s">
        <v>249</v>
      </c>
      <c r="M9" s="102">
        <v>1.2000000000000002E-6</v>
      </c>
      <c r="N9" s="67" t="s">
        <v>249</v>
      </c>
      <c r="O9" s="67">
        <v>0</v>
      </c>
      <c r="P9" s="81">
        <v>0</v>
      </c>
    </row>
    <row r="10" spans="1:16" s="118" customFormat="1" x14ac:dyDescent="0.25">
      <c r="A10" s="91" t="s">
        <v>137</v>
      </c>
      <c r="B10" s="120" t="s">
        <v>249</v>
      </c>
      <c r="C10" s="120" t="s">
        <v>249</v>
      </c>
      <c r="D10" s="121" t="s">
        <v>249</v>
      </c>
      <c r="E10" s="121" t="s">
        <v>249</v>
      </c>
      <c r="F10" s="121" t="s">
        <v>249</v>
      </c>
      <c r="G10" s="121" t="s">
        <v>249</v>
      </c>
      <c r="H10" s="121" t="s">
        <v>249</v>
      </c>
      <c r="I10" s="120" t="s">
        <v>249</v>
      </c>
      <c r="J10" s="120" t="s">
        <v>249</v>
      </c>
      <c r="K10" s="132" t="s">
        <v>249</v>
      </c>
      <c r="L10" s="121" t="s">
        <v>249</v>
      </c>
      <c r="M10" s="122">
        <v>0</v>
      </c>
      <c r="N10" s="120" t="s">
        <v>249</v>
      </c>
      <c r="O10" s="120">
        <v>0</v>
      </c>
      <c r="P10" s="120">
        <v>0</v>
      </c>
    </row>
    <row r="11" spans="1:16" s="118" customFormat="1" x14ac:dyDescent="0.25">
      <c r="A11" s="92" t="s">
        <v>1752</v>
      </c>
      <c r="B11" s="136" t="s">
        <v>249</v>
      </c>
      <c r="C11" s="136" t="s">
        <v>249</v>
      </c>
      <c r="D11" s="135" t="s">
        <v>249</v>
      </c>
      <c r="E11" s="135" t="s">
        <v>249</v>
      </c>
      <c r="F11" s="135" t="s">
        <v>249</v>
      </c>
      <c r="G11" s="135" t="s">
        <v>249</v>
      </c>
      <c r="H11" s="135" t="s">
        <v>249</v>
      </c>
      <c r="I11" s="136" t="s">
        <v>249</v>
      </c>
      <c r="J11" s="136" t="s">
        <v>249</v>
      </c>
      <c r="K11" s="134" t="s">
        <v>249</v>
      </c>
      <c r="L11" s="121" t="s">
        <v>249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2" t="s">
        <v>1753</v>
      </c>
      <c r="B12" s="136" t="s">
        <v>249</v>
      </c>
      <c r="C12" s="136" t="s">
        <v>249</v>
      </c>
      <c r="D12" s="135" t="s">
        <v>249</v>
      </c>
      <c r="E12" s="135" t="s">
        <v>249</v>
      </c>
      <c r="F12" s="135" t="s">
        <v>249</v>
      </c>
      <c r="G12" s="135" t="s">
        <v>249</v>
      </c>
      <c r="H12" s="135" t="s">
        <v>249</v>
      </c>
      <c r="I12" s="136" t="s">
        <v>249</v>
      </c>
      <c r="J12" s="136" t="s">
        <v>249</v>
      </c>
      <c r="K12" s="134" t="s">
        <v>249</v>
      </c>
      <c r="L12" s="121" t="s">
        <v>249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2" t="s">
        <v>1754</v>
      </c>
      <c r="B13" s="136" t="s">
        <v>249</v>
      </c>
      <c r="C13" s="136" t="s">
        <v>249</v>
      </c>
      <c r="D13" s="135" t="s">
        <v>249</v>
      </c>
      <c r="E13" s="135" t="s">
        <v>249</v>
      </c>
      <c r="F13" s="135" t="s">
        <v>249</v>
      </c>
      <c r="G13" s="135" t="s">
        <v>249</v>
      </c>
      <c r="H13" s="135" t="s">
        <v>249</v>
      </c>
      <c r="I13" s="136" t="s">
        <v>249</v>
      </c>
      <c r="J13" s="136" t="s">
        <v>249</v>
      </c>
      <c r="K13" s="134" t="s">
        <v>249</v>
      </c>
      <c r="L13" s="121" t="s">
        <v>249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2" t="s">
        <v>1755</v>
      </c>
      <c r="B14" s="136" t="s">
        <v>249</v>
      </c>
      <c r="C14" s="136" t="s">
        <v>249</v>
      </c>
      <c r="D14" s="135" t="s">
        <v>249</v>
      </c>
      <c r="E14" s="135" t="s">
        <v>249</v>
      </c>
      <c r="F14" s="135" t="s">
        <v>249</v>
      </c>
      <c r="G14" s="135" t="s">
        <v>249</v>
      </c>
      <c r="H14" s="135" t="s">
        <v>249</v>
      </c>
      <c r="I14" s="136" t="s">
        <v>249</v>
      </c>
      <c r="J14" s="136" t="s">
        <v>249</v>
      </c>
      <c r="K14" s="134" t="s">
        <v>249</v>
      </c>
      <c r="L14" s="121" t="s">
        <v>249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2" t="s">
        <v>1756</v>
      </c>
      <c r="B15" s="136" t="s">
        <v>249</v>
      </c>
      <c r="C15" s="136" t="s">
        <v>249</v>
      </c>
      <c r="D15" s="135" t="s">
        <v>249</v>
      </c>
      <c r="E15" s="135" t="s">
        <v>249</v>
      </c>
      <c r="F15" s="135" t="s">
        <v>249</v>
      </c>
      <c r="G15" s="135" t="s">
        <v>249</v>
      </c>
      <c r="H15" s="135" t="s">
        <v>249</v>
      </c>
      <c r="I15" s="136" t="s">
        <v>249</v>
      </c>
      <c r="J15" s="136" t="s">
        <v>249</v>
      </c>
      <c r="K15" s="134" t="s">
        <v>249</v>
      </c>
      <c r="L15" s="121" t="s">
        <v>249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2" t="s">
        <v>1757</v>
      </c>
      <c r="B16" s="136" t="s">
        <v>249</v>
      </c>
      <c r="C16" s="136" t="s">
        <v>249</v>
      </c>
      <c r="D16" s="135" t="s">
        <v>249</v>
      </c>
      <c r="E16" s="135" t="s">
        <v>249</v>
      </c>
      <c r="F16" s="135" t="s">
        <v>249</v>
      </c>
      <c r="G16" s="135" t="s">
        <v>249</v>
      </c>
      <c r="H16" s="135" t="s">
        <v>249</v>
      </c>
      <c r="I16" s="136" t="s">
        <v>249</v>
      </c>
      <c r="J16" s="136" t="s">
        <v>249</v>
      </c>
      <c r="K16" s="134" t="s">
        <v>249</v>
      </c>
      <c r="L16" s="121" t="s">
        <v>249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2" t="s">
        <v>1758</v>
      </c>
      <c r="B17" s="136" t="s">
        <v>249</v>
      </c>
      <c r="C17" s="136" t="s">
        <v>249</v>
      </c>
      <c r="D17" s="135" t="s">
        <v>249</v>
      </c>
      <c r="E17" s="135" t="s">
        <v>249</v>
      </c>
      <c r="F17" s="135" t="s">
        <v>249</v>
      </c>
      <c r="G17" s="135" t="s">
        <v>249</v>
      </c>
      <c r="H17" s="135" t="s">
        <v>249</v>
      </c>
      <c r="I17" s="136" t="s">
        <v>249</v>
      </c>
      <c r="J17" s="136" t="s">
        <v>249</v>
      </c>
      <c r="K17" s="134" t="s">
        <v>249</v>
      </c>
      <c r="L17" s="121" t="s">
        <v>249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2" t="s">
        <v>411</v>
      </c>
      <c r="B18" s="136" t="s">
        <v>249</v>
      </c>
      <c r="C18" s="136" t="s">
        <v>249</v>
      </c>
      <c r="D18" s="135" t="s">
        <v>249</v>
      </c>
      <c r="E18" s="135" t="s">
        <v>249</v>
      </c>
      <c r="F18" s="135" t="s">
        <v>249</v>
      </c>
      <c r="G18" s="135" t="s">
        <v>249</v>
      </c>
      <c r="H18" s="135" t="s">
        <v>249</v>
      </c>
      <c r="I18" s="136" t="s">
        <v>249</v>
      </c>
      <c r="J18" s="136" t="s">
        <v>249</v>
      </c>
      <c r="K18" s="134" t="s">
        <v>249</v>
      </c>
      <c r="L18" s="121" t="s">
        <v>249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2" t="s">
        <v>1752</v>
      </c>
      <c r="B19" s="136" t="s">
        <v>249</v>
      </c>
      <c r="C19" s="136" t="s">
        <v>249</v>
      </c>
      <c r="D19" s="135" t="s">
        <v>249</v>
      </c>
      <c r="E19" s="135" t="s">
        <v>249</v>
      </c>
      <c r="F19" s="135" t="s">
        <v>249</v>
      </c>
      <c r="G19" s="135" t="s">
        <v>249</v>
      </c>
      <c r="H19" s="135" t="s">
        <v>249</v>
      </c>
      <c r="I19" s="136" t="s">
        <v>249</v>
      </c>
      <c r="J19" s="136" t="s">
        <v>249</v>
      </c>
      <c r="K19" s="134" t="s">
        <v>249</v>
      </c>
      <c r="L19" s="121" t="s">
        <v>249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2" t="s">
        <v>1753</v>
      </c>
      <c r="B20" s="136" t="s">
        <v>249</v>
      </c>
      <c r="C20" s="136" t="s">
        <v>249</v>
      </c>
      <c r="D20" s="135" t="s">
        <v>249</v>
      </c>
      <c r="E20" s="135" t="s">
        <v>249</v>
      </c>
      <c r="F20" s="135" t="s">
        <v>249</v>
      </c>
      <c r="G20" s="135" t="s">
        <v>249</v>
      </c>
      <c r="H20" s="135" t="s">
        <v>249</v>
      </c>
      <c r="I20" s="136" t="s">
        <v>249</v>
      </c>
      <c r="J20" s="136" t="s">
        <v>249</v>
      </c>
      <c r="K20" s="134" t="s">
        <v>249</v>
      </c>
      <c r="L20" s="121" t="s">
        <v>249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2" t="s">
        <v>1754</v>
      </c>
      <c r="B21" s="136" t="s">
        <v>249</v>
      </c>
      <c r="C21" s="136" t="s">
        <v>249</v>
      </c>
      <c r="D21" s="135" t="s">
        <v>249</v>
      </c>
      <c r="E21" s="135" t="s">
        <v>249</v>
      </c>
      <c r="F21" s="135" t="s">
        <v>249</v>
      </c>
      <c r="G21" s="135" t="s">
        <v>249</v>
      </c>
      <c r="H21" s="135" t="s">
        <v>249</v>
      </c>
      <c r="I21" s="136" t="s">
        <v>249</v>
      </c>
      <c r="J21" s="136" t="s">
        <v>249</v>
      </c>
      <c r="K21" s="134" t="s">
        <v>249</v>
      </c>
      <c r="L21" s="121" t="s">
        <v>249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2" t="s">
        <v>1755</v>
      </c>
      <c r="B22" s="136" t="s">
        <v>249</v>
      </c>
      <c r="C22" s="136" t="s">
        <v>249</v>
      </c>
      <c r="D22" s="135" t="s">
        <v>249</v>
      </c>
      <c r="E22" s="135" t="s">
        <v>249</v>
      </c>
      <c r="F22" s="135" t="s">
        <v>249</v>
      </c>
      <c r="G22" s="135" t="s">
        <v>249</v>
      </c>
      <c r="H22" s="135" t="s">
        <v>249</v>
      </c>
      <c r="I22" s="136" t="s">
        <v>249</v>
      </c>
      <c r="J22" s="136" t="s">
        <v>249</v>
      </c>
      <c r="K22" s="134" t="s">
        <v>249</v>
      </c>
      <c r="L22" s="121" t="s">
        <v>249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2" t="s">
        <v>1756</v>
      </c>
      <c r="B23" s="136" t="s">
        <v>249</v>
      </c>
      <c r="C23" s="136" t="s">
        <v>249</v>
      </c>
      <c r="D23" s="135" t="s">
        <v>249</v>
      </c>
      <c r="E23" s="135" t="s">
        <v>249</v>
      </c>
      <c r="F23" s="135" t="s">
        <v>249</v>
      </c>
      <c r="G23" s="135" t="s">
        <v>249</v>
      </c>
      <c r="H23" s="135" t="s">
        <v>249</v>
      </c>
      <c r="I23" s="136" t="s">
        <v>249</v>
      </c>
      <c r="J23" s="136" t="s">
        <v>249</v>
      </c>
      <c r="K23" s="134" t="s">
        <v>249</v>
      </c>
      <c r="L23" s="121" t="s">
        <v>249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2" t="s">
        <v>1757</v>
      </c>
      <c r="B24" s="136" t="s">
        <v>249</v>
      </c>
      <c r="C24" s="136" t="s">
        <v>249</v>
      </c>
      <c r="D24" s="135" t="s">
        <v>249</v>
      </c>
      <c r="E24" s="135" t="s">
        <v>249</v>
      </c>
      <c r="F24" s="135" t="s">
        <v>249</v>
      </c>
      <c r="G24" s="135" t="s">
        <v>249</v>
      </c>
      <c r="H24" s="135" t="s">
        <v>249</v>
      </c>
      <c r="I24" s="136" t="s">
        <v>249</v>
      </c>
      <c r="J24" s="136" t="s">
        <v>249</v>
      </c>
      <c r="K24" s="134" t="s">
        <v>249</v>
      </c>
      <c r="L24" s="121" t="s">
        <v>249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2" t="s">
        <v>1758</v>
      </c>
      <c r="B25" s="136" t="s">
        <v>249</v>
      </c>
      <c r="C25" s="136" t="s">
        <v>249</v>
      </c>
      <c r="D25" s="135" t="s">
        <v>249</v>
      </c>
      <c r="E25" s="135" t="s">
        <v>249</v>
      </c>
      <c r="F25" s="135" t="s">
        <v>249</v>
      </c>
      <c r="G25" s="135" t="s">
        <v>249</v>
      </c>
      <c r="H25" s="135" t="s">
        <v>249</v>
      </c>
      <c r="I25" s="136" t="s">
        <v>249</v>
      </c>
      <c r="J25" s="136" t="s">
        <v>249</v>
      </c>
      <c r="K25" s="134" t="s">
        <v>249</v>
      </c>
      <c r="L25" s="121" t="s">
        <v>249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8" t="s">
        <v>241</v>
      </c>
      <c r="B26" s="124"/>
      <c r="C26" s="78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8" t="s">
        <v>242</v>
      </c>
      <c r="B27" s="124"/>
      <c r="C27" s="78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8" t="s">
        <v>243</v>
      </c>
      <c r="B28" s="124"/>
      <c r="C28" s="78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8" t="s">
        <v>244</v>
      </c>
      <c r="B29" s="124"/>
      <c r="C29" s="78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8" t="s">
        <v>245</v>
      </c>
      <c r="B30" s="124"/>
      <c r="C30" s="78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88671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2" t="s">
        <v>37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4"/>
      <c r="O4" s="12"/>
      <c r="P4" s="12"/>
      <c r="Q4" s="12"/>
    </row>
    <row r="5" spans="1:17" s="7" customFormat="1" ht="30.75" customHeight="1" x14ac:dyDescent="0.25">
      <c r="A5" s="86" t="s">
        <v>157</v>
      </c>
      <c r="B5" s="204" t="s">
        <v>69</v>
      </c>
      <c r="C5" s="204" t="s">
        <v>74</v>
      </c>
      <c r="D5" s="204" t="s">
        <v>70</v>
      </c>
      <c r="E5" s="204" t="s">
        <v>5</v>
      </c>
      <c r="F5" s="204" t="s">
        <v>14</v>
      </c>
      <c r="G5" s="204" t="s">
        <v>6</v>
      </c>
      <c r="H5" s="205" t="s">
        <v>89</v>
      </c>
      <c r="I5" s="205" t="s">
        <v>71</v>
      </c>
      <c r="J5" s="205" t="s">
        <v>67</v>
      </c>
      <c r="K5" s="205" t="s">
        <v>68</v>
      </c>
      <c r="L5" s="205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8" customFormat="1" ht="12.75" customHeight="1" thickBot="1" x14ac:dyDescent="0.3">
      <c r="A8" s="99" t="s">
        <v>122</v>
      </c>
      <c r="B8" s="67" t="s">
        <v>249</v>
      </c>
      <c r="C8" s="100" t="s">
        <v>249</v>
      </c>
      <c r="D8" s="100"/>
      <c r="E8" s="100" t="s">
        <v>249</v>
      </c>
      <c r="F8" s="100" t="s">
        <v>249</v>
      </c>
      <c r="G8" s="100" t="s">
        <v>249</v>
      </c>
      <c r="H8" s="67" t="s">
        <v>249</v>
      </c>
      <c r="I8" s="67" t="s">
        <v>249</v>
      </c>
      <c r="J8" s="101" t="s">
        <v>249</v>
      </c>
      <c r="K8" s="100" t="s">
        <v>249</v>
      </c>
      <c r="L8" s="102">
        <v>2345.8957305999998</v>
      </c>
      <c r="M8" s="67">
        <v>1</v>
      </c>
      <c r="N8" s="81">
        <v>4.409309425149611E-3</v>
      </c>
    </row>
    <row r="9" spans="1:17" s="118" customFormat="1" x14ac:dyDescent="0.25">
      <c r="A9" s="91" t="s">
        <v>137</v>
      </c>
      <c r="B9" s="120" t="s">
        <v>249</v>
      </c>
      <c r="C9" s="121" t="s">
        <v>249</v>
      </c>
      <c r="D9" s="121" t="s">
        <v>249</v>
      </c>
      <c r="E9" s="121" t="s">
        <v>249</v>
      </c>
      <c r="F9" s="121" t="s">
        <v>249</v>
      </c>
      <c r="G9" s="121" t="s">
        <v>249</v>
      </c>
      <c r="H9" s="120" t="s">
        <v>249</v>
      </c>
      <c r="I9" s="120" t="s">
        <v>249</v>
      </c>
      <c r="J9" s="132" t="s">
        <v>249</v>
      </c>
      <c r="K9" s="121" t="s">
        <v>249</v>
      </c>
      <c r="L9" s="122">
        <v>2345.8957304999999</v>
      </c>
      <c r="M9" s="120">
        <v>0.99999999995737243</v>
      </c>
      <c r="N9" s="120">
        <v>4.4093094249616528E-3</v>
      </c>
    </row>
    <row r="10" spans="1:17" s="118" customFormat="1" x14ac:dyDescent="0.25">
      <c r="A10" s="92" t="s">
        <v>2544</v>
      </c>
      <c r="B10" s="136" t="s">
        <v>249</v>
      </c>
      <c r="C10" s="135" t="s">
        <v>249</v>
      </c>
      <c r="D10" s="135" t="s">
        <v>249</v>
      </c>
      <c r="E10" s="135" t="s">
        <v>249</v>
      </c>
      <c r="F10" s="135" t="s">
        <v>249</v>
      </c>
      <c r="G10" s="135" t="s">
        <v>249</v>
      </c>
      <c r="H10" s="136" t="s">
        <v>249</v>
      </c>
      <c r="I10" s="136" t="s">
        <v>249</v>
      </c>
      <c r="J10" s="134" t="s">
        <v>249</v>
      </c>
      <c r="K10" s="135" t="s">
        <v>249</v>
      </c>
      <c r="L10" s="123">
        <v>2345.8957301000005</v>
      </c>
      <c r="M10" s="136">
        <v>0.99999999978686194</v>
      </c>
      <c r="N10" s="136">
        <v>4.4093094242098193E-3</v>
      </c>
    </row>
    <row r="11" spans="1:17" x14ac:dyDescent="0.25">
      <c r="A11" s="16" t="s">
        <v>2547</v>
      </c>
      <c r="B11" s="24" t="s">
        <v>2548</v>
      </c>
      <c r="C11" s="60" t="s">
        <v>2549</v>
      </c>
      <c r="D11" s="60" t="s">
        <v>253</v>
      </c>
      <c r="E11" s="60" t="s">
        <v>254</v>
      </c>
      <c r="F11" s="60">
        <v>4.8899999999999997</v>
      </c>
      <c r="G11" s="60" t="s">
        <v>255</v>
      </c>
      <c r="H11" s="24">
        <v>5.2999999999999999E-2</v>
      </c>
      <c r="I11" s="24">
        <v>1.9400000000000001E-2</v>
      </c>
      <c r="J11" s="69">
        <v>811999.84</v>
      </c>
      <c r="K11" s="60">
        <v>167.55</v>
      </c>
      <c r="L11" s="84">
        <v>1360.5057300000001</v>
      </c>
      <c r="M11" s="24">
        <v>0.57995149241012056</v>
      </c>
      <c r="N11" s="24">
        <v>2.5571855816135278E-3</v>
      </c>
      <c r="O11" s="14"/>
    </row>
    <row r="12" spans="1:17" x14ac:dyDescent="0.25">
      <c r="A12" s="16" t="s">
        <v>2545</v>
      </c>
      <c r="B12" s="24" t="s">
        <v>2546</v>
      </c>
      <c r="C12" s="60" t="s">
        <v>257</v>
      </c>
      <c r="D12" s="60" t="s">
        <v>567</v>
      </c>
      <c r="E12" s="60" t="s">
        <v>427</v>
      </c>
      <c r="F12" s="60">
        <v>0.16</v>
      </c>
      <c r="G12" s="60" t="s">
        <v>255</v>
      </c>
      <c r="H12" s="24">
        <v>2.5000000000000001E-2</v>
      </c>
      <c r="I12" s="24">
        <v>2.7999999999999997E-2</v>
      </c>
      <c r="J12" s="69">
        <v>700000</v>
      </c>
      <c r="K12" s="60">
        <v>140.77000000000001</v>
      </c>
      <c r="L12" s="84">
        <v>985.39</v>
      </c>
      <c r="M12" s="24">
        <v>0.4200485073341137</v>
      </c>
      <c r="N12" s="24">
        <v>1.8521238424083328E-3</v>
      </c>
      <c r="O12" s="14"/>
    </row>
    <row r="13" spans="1:17" s="118" customFormat="1" x14ac:dyDescent="0.25">
      <c r="A13" s="92" t="s">
        <v>1769</v>
      </c>
      <c r="B13" s="136" t="s">
        <v>249</v>
      </c>
      <c r="C13" s="135" t="s">
        <v>249</v>
      </c>
      <c r="D13" s="135" t="s">
        <v>249</v>
      </c>
      <c r="E13" s="135" t="s">
        <v>249</v>
      </c>
      <c r="F13" s="135" t="s">
        <v>249</v>
      </c>
      <c r="G13" s="135" t="s">
        <v>249</v>
      </c>
      <c r="H13" s="136" t="s">
        <v>249</v>
      </c>
      <c r="I13" s="136" t="s">
        <v>249</v>
      </c>
      <c r="J13" s="134" t="s">
        <v>249</v>
      </c>
      <c r="K13" s="135" t="s">
        <v>249</v>
      </c>
      <c r="L13" s="123">
        <v>0</v>
      </c>
      <c r="M13" s="136">
        <v>0</v>
      </c>
      <c r="N13" s="136">
        <v>0</v>
      </c>
    </row>
    <row r="14" spans="1:17" s="118" customFormat="1" x14ac:dyDescent="0.25">
      <c r="A14" s="92" t="s">
        <v>2550</v>
      </c>
      <c r="B14" s="136" t="s">
        <v>249</v>
      </c>
      <c r="C14" s="135" t="s">
        <v>249</v>
      </c>
      <c r="D14" s="135" t="s">
        <v>249</v>
      </c>
      <c r="E14" s="135" t="s">
        <v>249</v>
      </c>
      <c r="F14" s="135" t="s">
        <v>249</v>
      </c>
      <c r="G14" s="135" t="s">
        <v>249</v>
      </c>
      <c r="H14" s="136" t="s">
        <v>249</v>
      </c>
      <c r="I14" s="136" t="s">
        <v>249</v>
      </c>
      <c r="J14" s="134" t="s">
        <v>249</v>
      </c>
      <c r="K14" s="135" t="s">
        <v>249</v>
      </c>
      <c r="L14" s="123">
        <v>0</v>
      </c>
      <c r="M14" s="136">
        <v>0</v>
      </c>
      <c r="N14" s="136">
        <v>0</v>
      </c>
    </row>
    <row r="15" spans="1:17" s="118" customFormat="1" x14ac:dyDescent="0.25">
      <c r="A15" s="92" t="s">
        <v>2551</v>
      </c>
      <c r="B15" s="136" t="s">
        <v>249</v>
      </c>
      <c r="C15" s="135" t="s">
        <v>249</v>
      </c>
      <c r="D15" s="135" t="s">
        <v>249</v>
      </c>
      <c r="E15" s="135" t="s">
        <v>249</v>
      </c>
      <c r="F15" s="135" t="s">
        <v>249</v>
      </c>
      <c r="G15" s="135" t="s">
        <v>249</v>
      </c>
      <c r="H15" s="136" t="s">
        <v>249</v>
      </c>
      <c r="I15" s="136" t="s">
        <v>249</v>
      </c>
      <c r="J15" s="134" t="s">
        <v>249</v>
      </c>
      <c r="K15" s="135" t="s">
        <v>249</v>
      </c>
      <c r="L15" s="123">
        <v>0</v>
      </c>
      <c r="M15" s="136">
        <v>0</v>
      </c>
      <c r="N15" s="136">
        <v>0</v>
      </c>
    </row>
    <row r="16" spans="1:17" s="118" customFormat="1" x14ac:dyDescent="0.25">
      <c r="A16" s="92" t="s">
        <v>141</v>
      </c>
      <c r="B16" s="136" t="s">
        <v>249</v>
      </c>
      <c r="C16" s="135" t="s">
        <v>249</v>
      </c>
      <c r="D16" s="135" t="s">
        <v>249</v>
      </c>
      <c r="E16" s="135" t="s">
        <v>249</v>
      </c>
      <c r="F16" s="135" t="s">
        <v>249</v>
      </c>
      <c r="G16" s="135" t="s">
        <v>249</v>
      </c>
      <c r="H16" s="136" t="s">
        <v>249</v>
      </c>
      <c r="I16" s="136" t="s">
        <v>249</v>
      </c>
      <c r="J16" s="134" t="s">
        <v>249</v>
      </c>
      <c r="K16" s="135" t="s">
        <v>249</v>
      </c>
      <c r="L16" s="123">
        <v>0</v>
      </c>
      <c r="M16" s="136">
        <v>0</v>
      </c>
      <c r="N16" s="136">
        <v>0</v>
      </c>
    </row>
    <row r="17" spans="1:15" s="118" customFormat="1" x14ac:dyDescent="0.25">
      <c r="A17" s="92" t="s">
        <v>415</v>
      </c>
      <c r="B17" s="136" t="s">
        <v>249</v>
      </c>
      <c r="C17" s="135" t="s">
        <v>249</v>
      </c>
      <c r="D17" s="135" t="s">
        <v>249</v>
      </c>
      <c r="E17" s="135" t="s">
        <v>249</v>
      </c>
      <c r="F17" s="135" t="s">
        <v>249</v>
      </c>
      <c r="G17" s="135" t="s">
        <v>249</v>
      </c>
      <c r="H17" s="136" t="s">
        <v>249</v>
      </c>
      <c r="I17" s="136" t="s">
        <v>249</v>
      </c>
      <c r="J17" s="134" t="s">
        <v>249</v>
      </c>
      <c r="K17" s="135" t="s">
        <v>249</v>
      </c>
      <c r="L17" s="123">
        <v>0</v>
      </c>
      <c r="M17" s="136">
        <v>0</v>
      </c>
      <c r="N17" s="136">
        <v>0</v>
      </c>
    </row>
    <row r="18" spans="1:15" s="118" customFormat="1" x14ac:dyDescent="0.25">
      <c r="A18" s="78" t="s">
        <v>241</v>
      </c>
      <c r="B18" s="78"/>
      <c r="C18" s="124"/>
      <c r="D18" s="124"/>
      <c r="E18" s="125"/>
      <c r="F18" s="125"/>
      <c r="G18" s="125"/>
      <c r="H18" s="126"/>
      <c r="I18" s="127"/>
      <c r="J18" s="128"/>
      <c r="K18" s="128"/>
      <c r="L18" s="128"/>
      <c r="M18" s="128"/>
      <c r="N18" s="127"/>
      <c r="O18" s="129"/>
    </row>
    <row r="19" spans="1:15" s="118" customFormat="1" x14ac:dyDescent="0.25">
      <c r="A19" s="78" t="s">
        <v>242</v>
      </c>
      <c r="B19" s="78"/>
      <c r="C19" s="124"/>
      <c r="D19" s="124"/>
      <c r="E19" s="125"/>
      <c r="F19" s="125"/>
      <c r="G19" s="125"/>
      <c r="H19" s="126"/>
      <c r="I19" s="127"/>
      <c r="J19" s="128"/>
      <c r="K19" s="128"/>
      <c r="L19" s="128"/>
      <c r="M19" s="128"/>
      <c r="N19" s="127"/>
      <c r="O19" s="129"/>
    </row>
    <row r="20" spans="1:15" s="118" customFormat="1" x14ac:dyDescent="0.25">
      <c r="A20" s="78" t="s">
        <v>243</v>
      </c>
      <c r="B20" s="78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9"/>
    </row>
    <row r="21" spans="1:15" s="118" customFormat="1" x14ac:dyDescent="0.25">
      <c r="A21" s="78" t="s">
        <v>244</v>
      </c>
      <c r="B21" s="78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9"/>
    </row>
    <row r="22" spans="1:15" s="118" customFormat="1" x14ac:dyDescent="0.25">
      <c r="A22" s="78" t="s">
        <v>245</v>
      </c>
      <c r="B22" s="78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9"/>
    </row>
  </sheetData>
  <mergeCells count="1">
    <mergeCell ref="A4:N4"/>
  </mergeCells>
  <phoneticPr fontId="3" type="noConversion"/>
  <conditionalFormatting sqref="B9:E17 G9:G17 M9:N17">
    <cfRule type="expression" dxfId="42" priority="378" stopIfTrue="1">
      <formula>OR(LEFT(#REF!,3)="TIR",LEFT(#REF!,2)="IR")</formula>
    </cfRule>
  </conditionalFormatting>
  <conditionalFormatting sqref="L8:M17 A8:A17">
    <cfRule type="expression" dxfId="41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63"/>
  <sheetViews>
    <sheetView rightToLeft="1" tabSelected="1" topLeftCell="A334" zoomScale="80" zoomScaleNormal="80" workbookViewId="0">
      <selection activeCell="B356" sqref="B356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3.109375" style="8" bestFit="1" customWidth="1"/>
    <col min="4" max="4" width="16.44140625" style="8" bestFit="1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2" t="s">
        <v>35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4"/>
      <c r="R4" s="12"/>
      <c r="S4" s="12"/>
      <c r="T4" s="12"/>
    </row>
    <row r="5" spans="1:20" s="7" customFormat="1" ht="33.75" customHeight="1" x14ac:dyDescent="0.25">
      <c r="A5" s="86" t="s">
        <v>157</v>
      </c>
      <c r="B5" s="204" t="s">
        <v>80</v>
      </c>
      <c r="C5" s="204" t="s">
        <v>69</v>
      </c>
      <c r="D5" s="204" t="s">
        <v>74</v>
      </c>
      <c r="E5" s="204" t="s">
        <v>70</v>
      </c>
      <c r="F5" s="204" t="s">
        <v>13</v>
      </c>
      <c r="G5" s="204" t="s">
        <v>5</v>
      </c>
      <c r="H5" s="204" t="s">
        <v>14</v>
      </c>
      <c r="I5" s="204" t="s">
        <v>160</v>
      </c>
      <c r="J5" s="204" t="s">
        <v>6</v>
      </c>
      <c r="K5" s="205" t="s">
        <v>36</v>
      </c>
      <c r="L5" s="205" t="s">
        <v>71</v>
      </c>
      <c r="M5" s="205" t="s">
        <v>67</v>
      </c>
      <c r="N5" s="205" t="s">
        <v>68</v>
      </c>
      <c r="O5" s="205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8" customFormat="1" ht="12.75" customHeight="1" thickBot="1" x14ac:dyDescent="0.3">
      <c r="A8" s="99" t="s">
        <v>121</v>
      </c>
      <c r="B8" s="67" t="s">
        <v>249</v>
      </c>
      <c r="C8" s="67" t="s">
        <v>249</v>
      </c>
      <c r="D8" s="67"/>
      <c r="E8" s="100" t="s">
        <v>249</v>
      </c>
      <c r="F8" s="100"/>
      <c r="G8" s="100" t="s">
        <v>249</v>
      </c>
      <c r="H8" s="101" t="s">
        <v>249</v>
      </c>
      <c r="I8" s="101"/>
      <c r="J8" s="100" t="s">
        <v>249</v>
      </c>
      <c r="K8" s="67" t="s">
        <v>249</v>
      </c>
      <c r="L8" s="67" t="s">
        <v>249</v>
      </c>
      <c r="M8" s="110" t="s">
        <v>249</v>
      </c>
      <c r="N8" s="100" t="s">
        <v>249</v>
      </c>
      <c r="O8" s="102">
        <v>38309.725581300008</v>
      </c>
      <c r="P8" s="67">
        <v>1</v>
      </c>
      <c r="Q8" s="81">
        <v>7.2006369199247175E-2</v>
      </c>
    </row>
    <row r="9" spans="1:20" s="118" customFormat="1" x14ac:dyDescent="0.25">
      <c r="A9" s="91" t="s">
        <v>137</v>
      </c>
      <c r="B9" s="130" t="s">
        <v>249</v>
      </c>
      <c r="C9" s="130" t="s">
        <v>249</v>
      </c>
      <c r="D9" s="130" t="s">
        <v>249</v>
      </c>
      <c r="E9" s="130" t="s">
        <v>249</v>
      </c>
      <c r="F9" s="130" t="s">
        <v>249</v>
      </c>
      <c r="G9" s="130" t="s">
        <v>249</v>
      </c>
      <c r="H9" s="131" t="s">
        <v>249</v>
      </c>
      <c r="I9" s="130" t="s">
        <v>249</v>
      </c>
      <c r="J9" s="131" t="s">
        <v>249</v>
      </c>
      <c r="K9" s="130" t="s">
        <v>249</v>
      </c>
      <c r="L9" s="130" t="s">
        <v>249</v>
      </c>
      <c r="M9" s="159" t="s">
        <v>249</v>
      </c>
      <c r="N9" s="121" t="s">
        <v>249</v>
      </c>
      <c r="O9" s="122">
        <v>38225.616840900009</v>
      </c>
      <c r="P9" s="120">
        <v>0.99780450684196365</v>
      </c>
      <c r="Q9" s="120">
        <v>7.1848279708335183E-2</v>
      </c>
    </row>
    <row r="10" spans="1:20" s="118" customFormat="1" x14ac:dyDescent="0.25">
      <c r="A10" s="92" t="s">
        <v>2051</v>
      </c>
      <c r="B10" s="130" t="s">
        <v>249</v>
      </c>
      <c r="C10" s="130" t="s">
        <v>249</v>
      </c>
      <c r="D10" s="130"/>
      <c r="E10" s="130" t="s">
        <v>249</v>
      </c>
      <c r="F10" s="130" t="s">
        <v>249</v>
      </c>
      <c r="G10" s="130" t="s">
        <v>249</v>
      </c>
      <c r="H10" s="131" t="s">
        <v>249</v>
      </c>
      <c r="I10" s="130" t="s">
        <v>249</v>
      </c>
      <c r="J10" s="131" t="s">
        <v>249</v>
      </c>
      <c r="K10" s="130" t="s">
        <v>249</v>
      </c>
      <c r="L10" s="130" t="s">
        <v>249</v>
      </c>
      <c r="M10" s="160" t="s">
        <v>249</v>
      </c>
      <c r="N10" s="135" t="s">
        <v>249</v>
      </c>
      <c r="O10" s="123">
        <v>5157.6885401</v>
      </c>
      <c r="P10" s="136">
        <v>0.13463130998300871</v>
      </c>
      <c r="Q10" s="136">
        <v>9.6943118124148166E-3</v>
      </c>
    </row>
    <row r="11" spans="1:20" s="118" customFormat="1" x14ac:dyDescent="0.25">
      <c r="A11" s="176" t="s">
        <v>2665</v>
      </c>
      <c r="B11" s="117" t="s">
        <v>2729</v>
      </c>
      <c r="C11" s="174">
        <v>40480</v>
      </c>
      <c r="D11" s="174"/>
      <c r="E11" s="116" t="s">
        <v>431</v>
      </c>
      <c r="F11" s="130"/>
      <c r="G11" s="130" t="s">
        <v>431</v>
      </c>
      <c r="H11" s="117">
        <v>3.6</v>
      </c>
      <c r="I11" s="116" t="s">
        <v>218</v>
      </c>
      <c r="J11" s="117" t="s">
        <v>255</v>
      </c>
      <c r="K11" s="116">
        <v>6.0499999999999998E-2</v>
      </c>
      <c r="L11" s="116">
        <v>6.0499999999999998E-2</v>
      </c>
      <c r="M11" s="111">
        <f>O11/N11*1000*100</f>
        <v>315632.19565703376</v>
      </c>
      <c r="N11" s="175">
        <v>109.982573</v>
      </c>
      <c r="O11" s="111">
        <v>347.14040999999997</v>
      </c>
      <c r="P11" s="24">
        <v>9.0614172963287519E-3</v>
      </c>
      <c r="Q11" s="24">
        <v>6.5247975930789236E-4</v>
      </c>
    </row>
    <row r="12" spans="1:20" s="118" customFormat="1" x14ac:dyDescent="0.25">
      <c r="A12" s="176" t="s">
        <v>2666</v>
      </c>
      <c r="B12" s="117" t="s">
        <v>2729</v>
      </c>
      <c r="C12" s="174">
        <v>41885</v>
      </c>
      <c r="D12" s="174"/>
      <c r="E12" s="116" t="s">
        <v>431</v>
      </c>
      <c r="F12" s="130"/>
      <c r="G12" s="130" t="s">
        <v>431</v>
      </c>
      <c r="H12" s="117">
        <v>3.8</v>
      </c>
      <c r="I12" s="116" t="s">
        <v>218</v>
      </c>
      <c r="J12" s="117" t="s">
        <v>255</v>
      </c>
      <c r="K12" s="116">
        <v>5.7500000000000002E-2</v>
      </c>
      <c r="L12" s="116">
        <v>5.7500000000000002E-2</v>
      </c>
      <c r="M12" s="111">
        <f t="shared" ref="M12:M16" si="0">O12/N12*1000*100</f>
        <v>372871.78215043212</v>
      </c>
      <c r="N12" s="175">
        <v>109.982573</v>
      </c>
      <c r="O12" s="111">
        <v>410.09397999999999</v>
      </c>
      <c r="P12" s="24">
        <v>1.0704696360450509E-2</v>
      </c>
      <c r="Q12" s="24">
        <v>7.7080631829643692E-4</v>
      </c>
    </row>
    <row r="13" spans="1:20" s="118" customFormat="1" x14ac:dyDescent="0.25">
      <c r="A13" s="176" t="s">
        <v>2667</v>
      </c>
      <c r="B13" s="117" t="s">
        <v>2729</v>
      </c>
      <c r="C13" s="174">
        <v>57588</v>
      </c>
      <c r="D13" s="174"/>
      <c r="E13" s="116" t="s">
        <v>431</v>
      </c>
      <c r="F13" s="130"/>
      <c r="G13" s="130" t="s">
        <v>431</v>
      </c>
      <c r="H13" s="117">
        <v>4.7</v>
      </c>
      <c r="I13" s="116" t="s">
        <v>218</v>
      </c>
      <c r="J13" s="117" t="s">
        <v>255</v>
      </c>
      <c r="K13" s="116">
        <v>5.7500000000000002E-2</v>
      </c>
      <c r="L13" s="116">
        <v>5.7500000000000002E-2</v>
      </c>
      <c r="M13" s="111">
        <f t="shared" si="0"/>
        <v>286373.26024369331</v>
      </c>
      <c r="N13" s="175">
        <v>109.982573</v>
      </c>
      <c r="O13" s="111">
        <v>314.96067999999997</v>
      </c>
      <c r="P13" s="24">
        <v>8.2214287683057847E-3</v>
      </c>
      <c r="Q13" s="24">
        <v>5.9199523523593837E-4</v>
      </c>
    </row>
    <row r="14" spans="1:20" s="118" customFormat="1" x14ac:dyDescent="0.25">
      <c r="A14" s="176" t="s">
        <v>2668</v>
      </c>
      <c r="B14" s="117" t="s">
        <v>2729</v>
      </c>
      <c r="C14" s="174">
        <v>57589</v>
      </c>
      <c r="D14" s="174"/>
      <c r="E14" s="116" t="s">
        <v>431</v>
      </c>
      <c r="F14" s="130"/>
      <c r="G14" s="130" t="s">
        <v>431</v>
      </c>
      <c r="H14" s="117">
        <v>4.7</v>
      </c>
      <c r="I14" s="116" t="s">
        <v>218</v>
      </c>
      <c r="J14" s="117" t="s">
        <v>255</v>
      </c>
      <c r="K14" s="116">
        <v>5.7500000000000002E-2</v>
      </c>
      <c r="L14" s="116">
        <v>5.7500000000000002E-2</v>
      </c>
      <c r="M14" s="111">
        <f t="shared" si="0"/>
        <v>399634.44026718667</v>
      </c>
      <c r="N14" s="175">
        <v>109.982573</v>
      </c>
      <c r="O14" s="111">
        <v>439.52823999999998</v>
      </c>
      <c r="P14" s="24">
        <v>1.1473019796689573E-2</v>
      </c>
      <c r="Q14" s="24">
        <v>8.2613049931070119E-4</v>
      </c>
    </row>
    <row r="15" spans="1:20" s="118" customFormat="1" x14ac:dyDescent="0.25">
      <c r="A15" s="176" t="s">
        <v>2669</v>
      </c>
      <c r="B15" s="117" t="s">
        <v>2729</v>
      </c>
      <c r="C15" s="174">
        <v>64497</v>
      </c>
      <c r="D15" s="174"/>
      <c r="E15" s="116" t="s">
        <v>431</v>
      </c>
      <c r="F15" s="130"/>
      <c r="G15" s="130" t="s">
        <v>431</v>
      </c>
      <c r="H15" s="117">
        <v>2.1</v>
      </c>
      <c r="I15" s="116" t="s">
        <v>218</v>
      </c>
      <c r="J15" s="117" t="s">
        <v>255</v>
      </c>
      <c r="K15" s="116">
        <v>0.04</v>
      </c>
      <c r="L15" s="116">
        <v>0.04</v>
      </c>
      <c r="M15" s="111">
        <f t="shared" si="0"/>
        <v>373224.2379890494</v>
      </c>
      <c r="N15" s="175">
        <v>109.982573</v>
      </c>
      <c r="O15" s="111">
        <v>410.48162000000002</v>
      </c>
      <c r="P15" s="24">
        <v>1.0714814939848251E-2</v>
      </c>
      <c r="Q15" s="24">
        <v>7.7153492046032248E-4</v>
      </c>
    </row>
    <row r="16" spans="1:20" x14ac:dyDescent="0.25">
      <c r="A16" s="16" t="s">
        <v>2670</v>
      </c>
      <c r="B16" s="216" t="s">
        <v>2729</v>
      </c>
      <c r="C16" s="116" t="s">
        <v>2052</v>
      </c>
      <c r="D16" s="116"/>
      <c r="E16" s="116" t="s">
        <v>431</v>
      </c>
      <c r="F16" s="116" t="s">
        <v>249</v>
      </c>
      <c r="G16" s="116" t="s">
        <v>431</v>
      </c>
      <c r="H16" s="117">
        <v>1.1000000000000001</v>
      </c>
      <c r="I16" s="116" t="s">
        <v>218</v>
      </c>
      <c r="J16" s="117" t="s">
        <v>255</v>
      </c>
      <c r="K16" s="116">
        <v>6.9400000000000003E-2</v>
      </c>
      <c r="L16" s="116">
        <v>6.9400000000000003E-2</v>
      </c>
      <c r="M16" s="111">
        <f t="shared" si="0"/>
        <v>2941814.8001502017</v>
      </c>
      <c r="N16" s="60">
        <v>109.982573</v>
      </c>
      <c r="O16" s="84">
        <v>3235.4836101000001</v>
      </c>
      <c r="P16" s="24">
        <v>8.4455932821385846E-2</v>
      </c>
      <c r="Q16" s="24">
        <v>6.0813650798035258E-3</v>
      </c>
      <c r="R16" s="14"/>
    </row>
    <row r="17" spans="1:18" s="118" customFormat="1" x14ac:dyDescent="0.25">
      <c r="A17" s="92" t="s">
        <v>2053</v>
      </c>
      <c r="B17" s="130" t="s">
        <v>249</v>
      </c>
      <c r="C17" s="130" t="s">
        <v>249</v>
      </c>
      <c r="D17" s="130"/>
      <c r="E17" s="130" t="s">
        <v>249</v>
      </c>
      <c r="F17" s="130" t="s">
        <v>249</v>
      </c>
      <c r="G17" s="130" t="s">
        <v>249</v>
      </c>
      <c r="H17" s="131" t="s">
        <v>249</v>
      </c>
      <c r="I17" s="130" t="s">
        <v>249</v>
      </c>
      <c r="J17" s="131" t="s">
        <v>249</v>
      </c>
      <c r="K17" s="130" t="s">
        <v>249</v>
      </c>
      <c r="L17" s="130" t="s">
        <v>249</v>
      </c>
      <c r="M17" s="160" t="s">
        <v>249</v>
      </c>
      <c r="N17" s="135" t="s">
        <v>249</v>
      </c>
      <c r="O17" s="123">
        <v>412.06196009999991</v>
      </c>
      <c r="P17" s="136">
        <v>1.0756066608348097E-2</v>
      </c>
      <c r="Q17" s="136">
        <v>7.7450530333240746E-4</v>
      </c>
      <c r="R17" s="14"/>
    </row>
    <row r="18" spans="1:18" x14ac:dyDescent="0.25">
      <c r="A18" s="16" t="s">
        <v>2671</v>
      </c>
      <c r="B18" s="117" t="s">
        <v>2729</v>
      </c>
      <c r="C18" s="116" t="s">
        <v>2054</v>
      </c>
      <c r="D18" s="116"/>
      <c r="E18" s="116" t="s">
        <v>431</v>
      </c>
      <c r="F18" s="116" t="s">
        <v>2055</v>
      </c>
      <c r="G18" s="116" t="s">
        <v>431</v>
      </c>
      <c r="H18" s="117">
        <v>5.75</v>
      </c>
      <c r="I18" s="116" t="s">
        <v>218</v>
      </c>
      <c r="J18" s="117" t="s">
        <v>255</v>
      </c>
      <c r="K18" s="116">
        <v>5.2999999999999999E-2</v>
      </c>
      <c r="L18" s="116">
        <v>5.79E-2</v>
      </c>
      <c r="M18" s="111">
        <v>1859.3318644653191</v>
      </c>
      <c r="N18" s="60">
        <v>98.51</v>
      </c>
      <c r="O18" s="84">
        <v>1.8316300000000001</v>
      </c>
      <c r="P18" s="24">
        <v>4.7811096848317479E-5</v>
      </c>
      <c r="Q18" s="24">
        <v>3.4427034914809112E-6</v>
      </c>
      <c r="R18" s="14"/>
    </row>
    <row r="19" spans="1:18" x14ac:dyDescent="0.25">
      <c r="A19" s="16" t="s">
        <v>2671</v>
      </c>
      <c r="B19" s="117" t="s">
        <v>2729</v>
      </c>
      <c r="C19" s="116" t="s">
        <v>2056</v>
      </c>
      <c r="D19" s="116"/>
      <c r="E19" s="116" t="s">
        <v>431</v>
      </c>
      <c r="F19" s="116" t="s">
        <v>2055</v>
      </c>
      <c r="G19" s="116" t="s">
        <v>431</v>
      </c>
      <c r="H19" s="117">
        <v>7.02</v>
      </c>
      <c r="I19" s="116" t="s">
        <v>218</v>
      </c>
      <c r="J19" s="117" t="s">
        <v>255</v>
      </c>
      <c r="K19" s="116">
        <v>0.05</v>
      </c>
      <c r="L19" s="116">
        <v>5.8400000000000001E-2</v>
      </c>
      <c r="M19" s="111">
        <v>1436.0369950369504</v>
      </c>
      <c r="N19" s="60">
        <v>112.11</v>
      </c>
      <c r="O19" s="84">
        <v>1.6099400000000001</v>
      </c>
      <c r="P19" s="24">
        <v>4.2024315642340555E-5</v>
      </c>
      <c r="Q19" s="24">
        <v>3.0260183874880725E-6</v>
      </c>
      <c r="R19" s="14"/>
    </row>
    <row r="20" spans="1:18" x14ac:dyDescent="0.25">
      <c r="A20" s="16" t="s">
        <v>2671</v>
      </c>
      <c r="B20" s="117" t="s">
        <v>2729</v>
      </c>
      <c r="C20" s="116" t="s">
        <v>2057</v>
      </c>
      <c r="D20" s="116"/>
      <c r="E20" s="14" t="s">
        <v>2730</v>
      </c>
      <c r="F20" s="116" t="s">
        <v>2055</v>
      </c>
      <c r="G20" s="116" t="s">
        <v>431</v>
      </c>
      <c r="H20" s="117">
        <v>6.5</v>
      </c>
      <c r="I20" s="116" t="s">
        <v>218</v>
      </c>
      <c r="J20" s="117" t="s">
        <v>255</v>
      </c>
      <c r="K20" s="116">
        <v>3.5000000000000003E-2</v>
      </c>
      <c r="L20" s="116">
        <v>7.6399999999999996E-2</v>
      </c>
      <c r="M20" s="111">
        <v>673.26725071031547</v>
      </c>
      <c r="N20" s="60">
        <v>98.63</v>
      </c>
      <c r="O20" s="84">
        <v>0.66403999999999996</v>
      </c>
      <c r="P20" s="24">
        <v>1.7333457494776093E-5</v>
      </c>
      <c r="Q20" s="24">
        <v>1.2481193398683052E-6</v>
      </c>
      <c r="R20" s="14"/>
    </row>
    <row r="21" spans="1:18" x14ac:dyDescent="0.25">
      <c r="A21" s="16" t="s">
        <v>2671</v>
      </c>
      <c r="B21" s="117" t="s">
        <v>2729</v>
      </c>
      <c r="C21" s="116" t="s">
        <v>2058</v>
      </c>
      <c r="D21" s="116"/>
      <c r="E21" s="116" t="s">
        <v>431</v>
      </c>
      <c r="F21" s="116" t="s">
        <v>2055</v>
      </c>
      <c r="G21" s="116" t="s">
        <v>431</v>
      </c>
      <c r="H21" s="117">
        <v>6.85</v>
      </c>
      <c r="I21" s="116" t="s">
        <v>218</v>
      </c>
      <c r="J21" s="117" t="s">
        <v>255</v>
      </c>
      <c r="K21" s="116">
        <v>8.6979999542236328E-2</v>
      </c>
      <c r="L21" s="116">
        <v>7.3800000000000004E-2</v>
      </c>
      <c r="M21" s="111">
        <v>3677.3584055497804</v>
      </c>
      <c r="N21" s="60">
        <v>107.06</v>
      </c>
      <c r="O21" s="84">
        <v>3.9369800000000001</v>
      </c>
      <c r="P21" s="24">
        <v>1.0276711566740495E-4</v>
      </c>
      <c r="Q21" s="24">
        <v>7.3998868722888991E-6</v>
      </c>
      <c r="R21" s="14"/>
    </row>
    <row r="22" spans="1:18" x14ac:dyDescent="0.25">
      <c r="A22" s="16" t="s">
        <v>2671</v>
      </c>
      <c r="B22" s="117" t="s">
        <v>2729</v>
      </c>
      <c r="C22" s="116" t="s">
        <v>2059</v>
      </c>
      <c r="D22" s="116"/>
      <c r="E22" s="116" t="s">
        <v>431</v>
      </c>
      <c r="F22" s="116" t="s">
        <v>2060</v>
      </c>
      <c r="G22" s="116" t="s">
        <v>431</v>
      </c>
      <c r="H22" s="117">
        <v>6.82</v>
      </c>
      <c r="I22" s="116" t="s">
        <v>218</v>
      </c>
      <c r="J22" s="117" t="s">
        <v>255</v>
      </c>
      <c r="K22" s="116">
        <v>4.87E-2</v>
      </c>
      <c r="L22" s="116">
        <v>6.0299999999999999E-2</v>
      </c>
      <c r="M22" s="111">
        <v>4225.2736834216257</v>
      </c>
      <c r="N22" s="60">
        <v>93.36</v>
      </c>
      <c r="O22" s="84">
        <v>3.9447199999999998</v>
      </c>
      <c r="P22" s="24">
        <v>1.0296915313654772E-4</v>
      </c>
      <c r="Q22" s="24">
        <v>7.4144348568840745E-6</v>
      </c>
      <c r="R22" s="14"/>
    </row>
    <row r="23" spans="1:18" x14ac:dyDescent="0.25">
      <c r="A23" s="16" t="s">
        <v>2671</v>
      </c>
      <c r="B23" s="117" t="s">
        <v>2729</v>
      </c>
      <c r="C23" s="116" t="s">
        <v>2061</v>
      </c>
      <c r="D23" s="116"/>
      <c r="E23" s="116" t="s">
        <v>431</v>
      </c>
      <c r="F23" s="116" t="s">
        <v>2060</v>
      </c>
      <c r="G23" s="116" t="s">
        <v>431</v>
      </c>
      <c r="H23" s="117">
        <v>7.45</v>
      </c>
      <c r="I23" s="116" t="s">
        <v>218</v>
      </c>
      <c r="J23" s="117" t="s">
        <v>255</v>
      </c>
      <c r="K23" s="116">
        <v>4.9299999999999997E-2</v>
      </c>
      <c r="L23" s="116">
        <v>6.2100000000000002E-2</v>
      </c>
      <c r="M23" s="111">
        <v>3430.3971838468924</v>
      </c>
      <c r="N23" s="60">
        <v>112.14</v>
      </c>
      <c r="O23" s="84">
        <v>3.8468499999999999</v>
      </c>
      <c r="P23" s="24">
        <v>1.0041444937621139E-4</v>
      </c>
      <c r="Q23" s="24">
        <v>7.2304799147225922E-6</v>
      </c>
      <c r="R23" s="14"/>
    </row>
    <row r="24" spans="1:18" x14ac:dyDescent="0.25">
      <c r="A24" s="16" t="s">
        <v>2671</v>
      </c>
      <c r="B24" s="117" t="s">
        <v>2729</v>
      </c>
      <c r="C24" s="116" t="s">
        <v>2062</v>
      </c>
      <c r="D24" s="116"/>
      <c r="E24" s="116" t="s">
        <v>431</v>
      </c>
      <c r="F24" s="116" t="s">
        <v>2060</v>
      </c>
      <c r="G24" s="116" t="s">
        <v>431</v>
      </c>
      <c r="H24" s="117">
        <v>6.68</v>
      </c>
      <c r="I24" s="116" t="s">
        <v>218</v>
      </c>
      <c r="J24" s="117" t="s">
        <v>255</v>
      </c>
      <c r="K24" s="116">
        <v>3.7000000000000005E-2</v>
      </c>
      <c r="L24" s="116">
        <v>8.14E-2</v>
      </c>
      <c r="M24" s="111">
        <v>156.6520791590641</v>
      </c>
      <c r="N24" s="60">
        <v>98.53</v>
      </c>
      <c r="O24" s="84">
        <v>0.15434999999999999</v>
      </c>
      <c r="P24" s="24">
        <v>4.0290030183704139E-6</v>
      </c>
      <c r="Q24" s="24">
        <v>2.9011387884566126E-7</v>
      </c>
      <c r="R24" s="14"/>
    </row>
    <row r="25" spans="1:18" x14ac:dyDescent="0.25">
      <c r="A25" s="16" t="s">
        <v>2671</v>
      </c>
      <c r="B25" s="117" t="s">
        <v>2729</v>
      </c>
      <c r="C25" s="116" t="s">
        <v>2063</v>
      </c>
      <c r="D25" s="116"/>
      <c r="E25" s="116" t="s">
        <v>431</v>
      </c>
      <c r="F25" s="116" t="s">
        <v>2060</v>
      </c>
      <c r="G25" s="116" t="s">
        <v>431</v>
      </c>
      <c r="H25" s="117">
        <v>7.24</v>
      </c>
      <c r="I25" s="116" t="s">
        <v>218</v>
      </c>
      <c r="J25" s="117" t="s">
        <v>255</v>
      </c>
      <c r="K25" s="116">
        <v>8.0199999809265135E-2</v>
      </c>
      <c r="L25" s="116">
        <v>7.5800000000000006E-2</v>
      </c>
      <c r="M25" s="111">
        <v>5402.5006016924026</v>
      </c>
      <c r="N25" s="60">
        <v>101.49</v>
      </c>
      <c r="O25" s="84">
        <v>5.4829999999999997</v>
      </c>
      <c r="P25" s="24">
        <v>1.4312292549222534E-4</v>
      </c>
      <c r="Q25" s="24">
        <v>1.0305762213869522E-5</v>
      </c>
      <c r="R25" s="14"/>
    </row>
    <row r="26" spans="1:18" x14ac:dyDescent="0.25">
      <c r="A26" s="16" t="s">
        <v>2671</v>
      </c>
      <c r="B26" s="117" t="s">
        <v>2729</v>
      </c>
      <c r="C26" s="116" t="s">
        <v>2064</v>
      </c>
      <c r="D26" s="116"/>
      <c r="E26" s="116" t="s">
        <v>431</v>
      </c>
      <c r="F26" s="116" t="s">
        <v>2065</v>
      </c>
      <c r="G26" s="116" t="s">
        <v>431</v>
      </c>
      <c r="H26" s="117">
        <v>0</v>
      </c>
      <c r="I26" s="116" t="s">
        <v>218</v>
      </c>
      <c r="J26" s="117" t="s">
        <v>255</v>
      </c>
      <c r="K26" s="116">
        <v>9.0768001079559332E-2</v>
      </c>
      <c r="L26" s="116">
        <v>0</v>
      </c>
      <c r="M26" s="111">
        <v>-1.2856672331338999E-2</v>
      </c>
      <c r="N26" s="60">
        <v>8313.0400000000009</v>
      </c>
      <c r="O26" s="84">
        <v>-1.07E-3</v>
      </c>
      <c r="P26" s="24">
        <v>-2.7930244442217969E-8</v>
      </c>
      <c r="Q26" s="24">
        <v>-2.0111554931315684E-9</v>
      </c>
      <c r="R26" s="14"/>
    </row>
    <row r="27" spans="1:18" x14ac:dyDescent="0.25">
      <c r="A27" s="16" t="s">
        <v>2671</v>
      </c>
      <c r="B27" s="117" t="s">
        <v>2729</v>
      </c>
      <c r="C27" s="116" t="s">
        <v>2066</v>
      </c>
      <c r="D27" s="116"/>
      <c r="E27" s="116" t="s">
        <v>431</v>
      </c>
      <c r="F27" s="116" t="s">
        <v>2065</v>
      </c>
      <c r="G27" s="116" t="s">
        <v>431</v>
      </c>
      <c r="H27" s="117">
        <v>0</v>
      </c>
      <c r="I27" s="116" t="s">
        <v>218</v>
      </c>
      <c r="J27" s="117" t="s">
        <v>255</v>
      </c>
      <c r="K27" s="116">
        <v>9.0768001079559332E-2</v>
      </c>
      <c r="L27" s="116">
        <v>0</v>
      </c>
      <c r="M27" s="111">
        <v>-1.2838727477178E-2</v>
      </c>
      <c r="N27" s="60">
        <v>12217.32</v>
      </c>
      <c r="O27" s="84">
        <v>-1.57E-3</v>
      </c>
      <c r="P27" s="24">
        <v>-4.0981760536712348E-8</v>
      </c>
      <c r="Q27" s="24">
        <v>-2.9509477796416468E-9</v>
      </c>
      <c r="R27" s="14"/>
    </row>
    <row r="28" spans="1:18" x14ac:dyDescent="0.25">
      <c r="A28" s="16" t="s">
        <v>2671</v>
      </c>
      <c r="B28" s="117" t="s">
        <v>2729</v>
      </c>
      <c r="C28" s="116" t="s">
        <v>2067</v>
      </c>
      <c r="D28" s="116"/>
      <c r="E28" s="116" t="s">
        <v>431</v>
      </c>
      <c r="F28" s="116" t="s">
        <v>2065</v>
      </c>
      <c r="G28" s="116" t="s">
        <v>431</v>
      </c>
      <c r="H28" s="117">
        <v>0</v>
      </c>
      <c r="I28" s="116" t="s">
        <v>218</v>
      </c>
      <c r="J28" s="117" t="s">
        <v>255</v>
      </c>
      <c r="K28" s="116">
        <v>9.0768001079559332E-2</v>
      </c>
      <c r="L28" s="116">
        <v>0</v>
      </c>
      <c r="M28" s="111">
        <v>-1.288440528777E-2</v>
      </c>
      <c r="N28" s="60">
        <v>10735.32</v>
      </c>
      <c r="O28" s="84">
        <v>-1.3799999999999999E-3</v>
      </c>
      <c r="P28" s="24">
        <v>-3.6022184420804482E-8</v>
      </c>
      <c r="Q28" s="24">
        <v>-2.5938267107678171E-9</v>
      </c>
      <c r="R28" s="14"/>
    </row>
    <row r="29" spans="1:18" x14ac:dyDescent="0.25">
      <c r="A29" s="16" t="s">
        <v>2671</v>
      </c>
      <c r="B29" s="117" t="s">
        <v>2729</v>
      </c>
      <c r="C29" s="116" t="s">
        <v>2068</v>
      </c>
      <c r="D29" s="116"/>
      <c r="E29" s="116" t="s">
        <v>431</v>
      </c>
      <c r="F29" s="116" t="s">
        <v>2069</v>
      </c>
      <c r="G29" s="116" t="s">
        <v>431</v>
      </c>
      <c r="H29" s="117">
        <v>7.4</v>
      </c>
      <c r="I29" s="116" t="s">
        <v>218</v>
      </c>
      <c r="J29" s="117" t="s">
        <v>255</v>
      </c>
      <c r="K29" s="116">
        <v>4.5199999999999997E-2</v>
      </c>
      <c r="L29" s="116">
        <v>6.5500000000000003E-2</v>
      </c>
      <c r="M29" s="111">
        <v>15509.837653993585</v>
      </c>
      <c r="N29" s="60">
        <v>85.93</v>
      </c>
      <c r="O29" s="84">
        <v>13.3276</v>
      </c>
      <c r="P29" s="24">
        <v>3.4789077180196653E-4</v>
      </c>
      <c r="Q29" s="24">
        <v>2.505035135538345E-5</v>
      </c>
      <c r="R29" s="14"/>
    </row>
    <row r="30" spans="1:18" x14ac:dyDescent="0.25">
      <c r="A30" s="16" t="s">
        <v>2671</v>
      </c>
      <c r="B30" s="117" t="s">
        <v>2729</v>
      </c>
      <c r="C30" s="116" t="s">
        <v>2070</v>
      </c>
      <c r="D30" s="116"/>
      <c r="E30" s="116" t="s">
        <v>431</v>
      </c>
      <c r="F30" s="116" t="s">
        <v>2069</v>
      </c>
      <c r="G30" s="116" t="s">
        <v>431</v>
      </c>
      <c r="H30" s="117">
        <v>7.3</v>
      </c>
      <c r="I30" s="116" t="s">
        <v>218</v>
      </c>
      <c r="J30" s="117" t="s">
        <v>255</v>
      </c>
      <c r="K30" s="116">
        <v>3.0499999999999999E-2</v>
      </c>
      <c r="L30" s="116">
        <v>5.6399999999999999E-2</v>
      </c>
      <c r="M30" s="111">
        <v>1249.0234069974438</v>
      </c>
      <c r="N30" s="60">
        <v>99.85</v>
      </c>
      <c r="O30" s="84">
        <v>1.24715</v>
      </c>
      <c r="P30" s="24">
        <v>3.2554396594497328E-5</v>
      </c>
      <c r="Q30" s="24">
        <v>2.3441239002420892E-6</v>
      </c>
      <c r="R30" s="14"/>
    </row>
    <row r="31" spans="1:18" x14ac:dyDescent="0.25">
      <c r="A31" s="16" t="s">
        <v>2671</v>
      </c>
      <c r="B31" s="117" t="s">
        <v>2729</v>
      </c>
      <c r="C31" s="116" t="s">
        <v>2071</v>
      </c>
      <c r="D31" s="116"/>
      <c r="E31" s="116" t="s">
        <v>431</v>
      </c>
      <c r="F31" s="116" t="s">
        <v>2069</v>
      </c>
      <c r="G31" s="116" t="s">
        <v>431</v>
      </c>
      <c r="H31" s="117">
        <v>8.5399999999999991</v>
      </c>
      <c r="I31" s="116" t="s">
        <v>218</v>
      </c>
      <c r="J31" s="117" t="s">
        <v>255</v>
      </c>
      <c r="K31" s="116">
        <v>4.41E-2</v>
      </c>
      <c r="L31" s="116">
        <v>5.2400000000000002E-2</v>
      </c>
      <c r="M31" s="111">
        <v>8592.4285585565394</v>
      </c>
      <c r="N31" s="60">
        <v>117.51</v>
      </c>
      <c r="O31" s="84">
        <v>10.096959999999999</v>
      </c>
      <c r="P31" s="24">
        <v>2.6356127189093191E-4</v>
      </c>
      <c r="Q31" s="24">
        <v>1.8978090250401608E-5</v>
      </c>
      <c r="R31" s="14"/>
    </row>
    <row r="32" spans="1:18" x14ac:dyDescent="0.25">
      <c r="A32" s="16" t="s">
        <v>2671</v>
      </c>
      <c r="B32" s="117" t="s">
        <v>2729</v>
      </c>
      <c r="C32" s="116" t="s">
        <v>2072</v>
      </c>
      <c r="D32" s="116"/>
      <c r="E32" s="116" t="s">
        <v>431</v>
      </c>
      <c r="F32" s="116" t="s">
        <v>2069</v>
      </c>
      <c r="G32" s="116" t="s">
        <v>431</v>
      </c>
      <c r="H32" s="117">
        <v>8.1199999999999992</v>
      </c>
      <c r="I32" s="116" t="s">
        <v>218</v>
      </c>
      <c r="J32" s="117" t="s">
        <v>255</v>
      </c>
      <c r="K32" s="116">
        <v>7.9233000278472895E-2</v>
      </c>
      <c r="L32" s="116">
        <v>6.8600000000000008E-2</v>
      </c>
      <c r="M32" s="111">
        <v>15589.396531971277</v>
      </c>
      <c r="N32" s="60">
        <v>105.81</v>
      </c>
      <c r="O32" s="84">
        <v>16.495139999999999</v>
      </c>
      <c r="P32" s="24">
        <v>4.3057317038187594E-4</v>
      </c>
      <c r="Q32" s="24">
        <v>3.1004010673807714E-5</v>
      </c>
      <c r="R32" s="14"/>
    </row>
    <row r="33" spans="1:18" x14ac:dyDescent="0.25">
      <c r="A33" s="16" t="s">
        <v>2672</v>
      </c>
      <c r="B33" s="117" t="s">
        <v>2729</v>
      </c>
      <c r="C33" s="116" t="s">
        <v>2073</v>
      </c>
      <c r="D33" s="116"/>
      <c r="E33" s="116" t="s">
        <v>431</v>
      </c>
      <c r="F33" s="116" t="s">
        <v>2074</v>
      </c>
      <c r="G33" s="116" t="s">
        <v>431</v>
      </c>
      <c r="H33" s="117">
        <v>9.9</v>
      </c>
      <c r="I33" s="116" t="s">
        <v>218</v>
      </c>
      <c r="J33" s="117" t="s">
        <v>255</v>
      </c>
      <c r="K33" s="116">
        <v>4.4199999999999996E-2</v>
      </c>
      <c r="L33" s="116">
        <v>4.8399999999999999E-2</v>
      </c>
      <c r="M33" s="111">
        <v>73448.606883706903</v>
      </c>
      <c r="N33" s="60">
        <v>94.97</v>
      </c>
      <c r="O33" s="84">
        <v>69.754139999999992</v>
      </c>
      <c r="P33" s="24">
        <v>1.8207945617352281E-3</v>
      </c>
      <c r="Q33" s="24">
        <v>1.3110880544828826E-4</v>
      </c>
      <c r="R33" s="14"/>
    </row>
    <row r="34" spans="1:18" x14ac:dyDescent="0.25">
      <c r="A34" s="16" t="s">
        <v>2672</v>
      </c>
      <c r="B34" s="117" t="s">
        <v>2729</v>
      </c>
      <c r="C34" s="116" t="s">
        <v>2075</v>
      </c>
      <c r="D34" s="116"/>
      <c r="E34" s="116" t="s">
        <v>431</v>
      </c>
      <c r="F34" s="116" t="s">
        <v>2074</v>
      </c>
      <c r="G34" s="116" t="s">
        <v>431</v>
      </c>
      <c r="H34" s="117">
        <v>8.9600000000000009</v>
      </c>
      <c r="I34" s="116" t="s">
        <v>218</v>
      </c>
      <c r="J34" s="117" t="s">
        <v>255</v>
      </c>
      <c r="K34" s="116">
        <v>9.3560159206390381E-2</v>
      </c>
      <c r="L34" s="116">
        <v>6.0700000000000004E-2</v>
      </c>
      <c r="M34" s="111">
        <v>69298.52694844178</v>
      </c>
      <c r="N34" s="60">
        <v>95.4</v>
      </c>
      <c r="O34" s="84">
        <v>66.110789999999994</v>
      </c>
      <c r="P34" s="24">
        <v>1.7256920794094758E-3</v>
      </c>
      <c r="Q34" s="24">
        <v>1.2426082099417526E-4</v>
      </c>
      <c r="R34" s="14"/>
    </row>
    <row r="35" spans="1:18" x14ac:dyDescent="0.25">
      <c r="A35" s="16" t="s">
        <v>2672</v>
      </c>
      <c r="B35" s="117" t="s">
        <v>2729</v>
      </c>
      <c r="C35" s="116" t="s">
        <v>2076</v>
      </c>
      <c r="D35" s="116"/>
      <c r="E35" s="116" t="s">
        <v>431</v>
      </c>
      <c r="F35" s="116" t="s">
        <v>2074</v>
      </c>
      <c r="G35" s="116" t="s">
        <v>431</v>
      </c>
      <c r="H35" s="117">
        <v>9.31</v>
      </c>
      <c r="I35" s="116" t="s">
        <v>218</v>
      </c>
      <c r="J35" s="117" t="s">
        <v>255</v>
      </c>
      <c r="K35" s="116">
        <v>3.1099999999999999E-2</v>
      </c>
      <c r="L35" s="116">
        <v>5.74E-2</v>
      </c>
      <c r="M35" s="111">
        <v>21904.16295714747</v>
      </c>
      <c r="N35" s="60">
        <v>112.13</v>
      </c>
      <c r="O35" s="84">
        <v>24.561139999999998</v>
      </c>
      <c r="P35" s="24">
        <v>6.4112022801825924E-4</v>
      </c>
      <c r="Q35" s="24">
        <v>4.6164739839788304E-5</v>
      </c>
      <c r="R35" s="14"/>
    </row>
    <row r="36" spans="1:18" x14ac:dyDescent="0.25">
      <c r="A36" s="16" t="s">
        <v>2671</v>
      </c>
      <c r="B36" s="117" t="s">
        <v>2729</v>
      </c>
      <c r="C36" s="116" t="s">
        <v>2077</v>
      </c>
      <c r="D36" s="116"/>
      <c r="E36" s="116" t="s">
        <v>431</v>
      </c>
      <c r="F36" s="116" t="s">
        <v>2033</v>
      </c>
      <c r="G36" s="116" t="s">
        <v>431</v>
      </c>
      <c r="H36" s="117">
        <v>7.63</v>
      </c>
      <c r="I36" s="116" t="s">
        <v>218</v>
      </c>
      <c r="J36" s="117" t="s">
        <v>255</v>
      </c>
      <c r="K36" s="116">
        <v>4.4299999999999999E-2</v>
      </c>
      <c r="L36" s="116">
        <v>7.0499999999999993E-2</v>
      </c>
      <c r="M36" s="111">
        <v>7111.7455331011024</v>
      </c>
      <c r="N36" s="60">
        <v>81.349999999999994</v>
      </c>
      <c r="O36" s="84">
        <v>5.7853999999999992</v>
      </c>
      <c r="P36" s="24">
        <v>1.5101648242617552E-4</v>
      </c>
      <c r="Q36" s="24">
        <v>1.0874148588750817E-5</v>
      </c>
      <c r="R36" s="14"/>
    </row>
    <row r="37" spans="1:18" x14ac:dyDescent="0.25">
      <c r="A37" s="16" t="s">
        <v>2671</v>
      </c>
      <c r="B37" s="117" t="s">
        <v>2729</v>
      </c>
      <c r="C37" s="116" t="s">
        <v>2078</v>
      </c>
      <c r="D37" s="116"/>
      <c r="E37" s="116" t="s">
        <v>431</v>
      </c>
      <c r="F37" s="116" t="s">
        <v>2033</v>
      </c>
      <c r="G37" s="116" t="s">
        <v>431</v>
      </c>
      <c r="H37" s="117">
        <v>7.66</v>
      </c>
      <c r="I37" s="116" t="s">
        <v>218</v>
      </c>
      <c r="J37" s="117" t="s">
        <v>255</v>
      </c>
      <c r="K37" s="116">
        <v>4.4299999999999999E-2</v>
      </c>
      <c r="L37" s="116">
        <v>6.93E-2</v>
      </c>
      <c r="M37" s="111">
        <v>17641.464577260565</v>
      </c>
      <c r="N37" s="60">
        <v>103.41</v>
      </c>
      <c r="O37" s="84">
        <v>18.243040000000001</v>
      </c>
      <c r="P37" s="24">
        <v>4.7619866034500946E-4</v>
      </c>
      <c r="Q37" s="24">
        <v>3.4289336548989655E-5</v>
      </c>
      <c r="R37" s="14"/>
    </row>
    <row r="38" spans="1:18" x14ac:dyDescent="0.25">
      <c r="A38" s="16" t="s">
        <v>2671</v>
      </c>
      <c r="B38" s="117" t="s">
        <v>2729</v>
      </c>
      <c r="C38" s="116" t="s">
        <v>2079</v>
      </c>
      <c r="D38" s="116"/>
      <c r="E38" s="116" t="s">
        <v>431</v>
      </c>
      <c r="F38" s="116" t="s">
        <v>2033</v>
      </c>
      <c r="G38" s="116" t="s">
        <v>431</v>
      </c>
      <c r="H38" s="117">
        <v>8.0399999999999991</v>
      </c>
      <c r="I38" s="116" t="s">
        <v>218</v>
      </c>
      <c r="J38" s="117" t="s">
        <v>255</v>
      </c>
      <c r="K38" s="116">
        <v>4.4299999999999999E-2</v>
      </c>
      <c r="L38" s="116">
        <v>5.9900000000000002E-2</v>
      </c>
      <c r="M38" s="111">
        <v>2148.7292159534882</v>
      </c>
      <c r="N38" s="60">
        <v>106.55</v>
      </c>
      <c r="O38" s="84">
        <v>2.2894699999999997</v>
      </c>
      <c r="P38" s="24">
        <v>5.9762109105724084E-5</v>
      </c>
      <c r="Q38" s="24">
        <v>4.3032524923924591E-6</v>
      </c>
      <c r="R38" s="14"/>
    </row>
    <row r="39" spans="1:18" x14ac:dyDescent="0.25">
      <c r="A39" s="16" t="s">
        <v>2671</v>
      </c>
      <c r="B39" s="117" t="s">
        <v>2729</v>
      </c>
      <c r="C39" s="116" t="s">
        <v>2080</v>
      </c>
      <c r="D39" s="116"/>
      <c r="E39" s="116" t="s">
        <v>431</v>
      </c>
      <c r="F39" s="116" t="s">
        <v>2033</v>
      </c>
      <c r="G39" s="116" t="s">
        <v>431</v>
      </c>
      <c r="H39" s="117">
        <v>7.93</v>
      </c>
      <c r="I39" s="116" t="s">
        <v>218</v>
      </c>
      <c r="J39" s="117" t="s">
        <v>255</v>
      </c>
      <c r="K39" s="116">
        <v>0.10679181098937988</v>
      </c>
      <c r="L39" s="116">
        <v>6.8400000000000002E-2</v>
      </c>
      <c r="M39" s="111">
        <v>11917.88176703538</v>
      </c>
      <c r="N39" s="60">
        <v>107.83</v>
      </c>
      <c r="O39" s="84">
        <v>12.851049999999999</v>
      </c>
      <c r="P39" s="24">
        <v>3.3545137181230394E-4</v>
      </c>
      <c r="Q39" s="24">
        <v>2.415463532711069E-5</v>
      </c>
      <c r="R39" s="14"/>
    </row>
    <row r="40" spans="1:18" x14ac:dyDescent="0.25">
      <c r="A40" s="16" t="s">
        <v>2671</v>
      </c>
      <c r="B40" s="117" t="s">
        <v>2729</v>
      </c>
      <c r="C40" s="116" t="s">
        <v>2081</v>
      </c>
      <c r="D40" s="116"/>
      <c r="E40" s="116" t="s">
        <v>431</v>
      </c>
      <c r="F40" s="116" t="s">
        <v>2082</v>
      </c>
      <c r="G40" s="116" t="s">
        <v>431</v>
      </c>
      <c r="H40" s="117">
        <v>0</v>
      </c>
      <c r="I40" s="116" t="s">
        <v>218</v>
      </c>
      <c r="J40" s="117" t="s">
        <v>255</v>
      </c>
      <c r="K40" s="116">
        <v>0</v>
      </c>
      <c r="L40" s="116">
        <v>0</v>
      </c>
      <c r="M40" s="111">
        <v>-1.6200940606843E-2</v>
      </c>
      <c r="N40" s="60">
        <v>5899.2</v>
      </c>
      <c r="O40" s="84">
        <v>-9.5999999999999992E-4</v>
      </c>
      <c r="P40" s="24">
        <v>-2.5058910901429205E-8</v>
      </c>
      <c r="Q40" s="24">
        <v>-1.8044011900993508E-9</v>
      </c>
      <c r="R40" s="14"/>
    </row>
    <row r="41" spans="1:18" x14ac:dyDescent="0.25">
      <c r="A41" s="16" t="s">
        <v>2671</v>
      </c>
      <c r="B41" s="117" t="s">
        <v>2729</v>
      </c>
      <c r="C41" s="116" t="s">
        <v>2083</v>
      </c>
      <c r="D41" s="116"/>
      <c r="E41" s="116" t="s">
        <v>431</v>
      </c>
      <c r="F41" s="116" t="s">
        <v>2082</v>
      </c>
      <c r="G41" s="116" t="s">
        <v>431</v>
      </c>
      <c r="H41" s="117">
        <v>0</v>
      </c>
      <c r="I41" s="116" t="s">
        <v>218</v>
      </c>
      <c r="J41" s="117" t="s">
        <v>255</v>
      </c>
      <c r="K41" s="116">
        <v>0</v>
      </c>
      <c r="L41" s="116">
        <v>0</v>
      </c>
      <c r="M41" s="111">
        <v>-1.6200940606843E-2</v>
      </c>
      <c r="N41" s="60">
        <v>3104.2</v>
      </c>
      <c r="O41" s="84">
        <v>-5.0000000000000001E-4</v>
      </c>
      <c r="P41" s="24">
        <v>-1.3051516094494378E-8</v>
      </c>
      <c r="Q41" s="24">
        <v>-9.3979228651007866E-10</v>
      </c>
      <c r="R41" s="14"/>
    </row>
    <row r="42" spans="1:18" x14ac:dyDescent="0.25">
      <c r="A42" s="16" t="s">
        <v>2671</v>
      </c>
      <c r="B42" s="117" t="s">
        <v>2729</v>
      </c>
      <c r="C42" s="116" t="s">
        <v>2084</v>
      </c>
      <c r="D42" s="116"/>
      <c r="E42" s="116" t="s">
        <v>431</v>
      </c>
      <c r="F42" s="116" t="s">
        <v>2082</v>
      </c>
      <c r="G42" s="116" t="s">
        <v>431</v>
      </c>
      <c r="H42" s="117">
        <v>0</v>
      </c>
      <c r="I42" s="116" t="s">
        <v>218</v>
      </c>
      <c r="J42" s="117" t="s">
        <v>255</v>
      </c>
      <c r="K42" s="116">
        <v>0</v>
      </c>
      <c r="L42" s="116">
        <v>0</v>
      </c>
      <c r="M42" s="111">
        <v>-1.6200940606843E-2</v>
      </c>
      <c r="N42" s="60">
        <v>5411.48</v>
      </c>
      <c r="O42" s="84">
        <v>-8.8000000000000003E-4</v>
      </c>
      <c r="P42" s="24">
        <v>-2.2970668326310103E-8</v>
      </c>
      <c r="Q42" s="24">
        <v>-1.6540344242577385E-9</v>
      </c>
      <c r="R42" s="14"/>
    </row>
    <row r="43" spans="1:18" x14ac:dyDescent="0.25">
      <c r="A43" s="16" t="s">
        <v>2671</v>
      </c>
      <c r="B43" s="117" t="s">
        <v>2729</v>
      </c>
      <c r="C43" s="116" t="s">
        <v>2085</v>
      </c>
      <c r="D43" s="116"/>
      <c r="E43" s="116" t="s">
        <v>431</v>
      </c>
      <c r="F43" s="116" t="s">
        <v>2082</v>
      </c>
      <c r="G43" s="116" t="s">
        <v>431</v>
      </c>
      <c r="H43" s="117">
        <v>0</v>
      </c>
      <c r="I43" s="116" t="s">
        <v>218</v>
      </c>
      <c r="J43" s="117" t="s">
        <v>255</v>
      </c>
      <c r="K43" s="116">
        <v>0</v>
      </c>
      <c r="L43" s="116">
        <v>0</v>
      </c>
      <c r="M43" s="111">
        <v>-1.6200940606843E-2</v>
      </c>
      <c r="N43" s="60">
        <v>5389.84</v>
      </c>
      <c r="O43" s="84">
        <v>-8.7000000000000001E-4</v>
      </c>
      <c r="P43" s="24">
        <v>-2.2709638004420218E-8</v>
      </c>
      <c r="Q43" s="24">
        <v>-1.6352385785275369E-9</v>
      </c>
      <c r="R43" s="14"/>
    </row>
    <row r="44" spans="1:18" x14ac:dyDescent="0.25">
      <c r="A44" s="16" t="s">
        <v>2671</v>
      </c>
      <c r="B44" s="117" t="s">
        <v>2729</v>
      </c>
      <c r="C44" s="116" t="s">
        <v>2086</v>
      </c>
      <c r="D44" s="116"/>
      <c r="E44" s="116" t="s">
        <v>431</v>
      </c>
      <c r="F44" s="116" t="s">
        <v>2082</v>
      </c>
      <c r="G44" s="116" t="s">
        <v>431</v>
      </c>
      <c r="H44" s="117">
        <v>0</v>
      </c>
      <c r="I44" s="116" t="s">
        <v>218</v>
      </c>
      <c r="J44" s="117" t="s">
        <v>255</v>
      </c>
      <c r="K44" s="116">
        <v>0</v>
      </c>
      <c r="L44" s="116">
        <v>0</v>
      </c>
      <c r="M44" s="111">
        <v>-1.6200940606843E-2</v>
      </c>
      <c r="N44" s="60">
        <v>2644.12</v>
      </c>
      <c r="O44" s="84">
        <v>0</v>
      </c>
      <c r="P44" s="24">
        <v>0</v>
      </c>
      <c r="Q44" s="24">
        <v>0</v>
      </c>
      <c r="R44" s="14"/>
    </row>
    <row r="45" spans="1:18" x14ac:dyDescent="0.25">
      <c r="A45" s="16" t="s">
        <v>2671</v>
      </c>
      <c r="B45" s="117" t="s">
        <v>2729</v>
      </c>
      <c r="C45" s="116" t="s">
        <v>2087</v>
      </c>
      <c r="D45" s="116"/>
      <c r="E45" s="116" t="s">
        <v>431</v>
      </c>
      <c r="F45" s="116" t="s">
        <v>2082</v>
      </c>
      <c r="G45" s="116" t="s">
        <v>431</v>
      </c>
      <c r="H45" s="117">
        <v>0</v>
      </c>
      <c r="I45" s="116" t="s">
        <v>218</v>
      </c>
      <c r="J45" s="117" t="s">
        <v>255</v>
      </c>
      <c r="K45" s="116">
        <v>0</v>
      </c>
      <c r="L45" s="116">
        <v>0</v>
      </c>
      <c r="M45" s="111">
        <v>-1.6200940606843E-2</v>
      </c>
      <c r="N45" s="60">
        <v>2948.56</v>
      </c>
      <c r="O45" s="84">
        <v>0</v>
      </c>
      <c r="P45" s="24">
        <v>0</v>
      </c>
      <c r="Q45" s="24">
        <v>0</v>
      </c>
      <c r="R45" s="14"/>
    </row>
    <row r="46" spans="1:18" x14ac:dyDescent="0.25">
      <c r="A46" s="16" t="s">
        <v>2671</v>
      </c>
      <c r="B46" s="117" t="s">
        <v>2729</v>
      </c>
      <c r="C46" s="116" t="s">
        <v>2088</v>
      </c>
      <c r="D46" s="116"/>
      <c r="E46" s="116" t="s">
        <v>431</v>
      </c>
      <c r="F46" s="116" t="s">
        <v>2055</v>
      </c>
      <c r="G46" s="116" t="s">
        <v>431</v>
      </c>
      <c r="H46" s="117">
        <v>7.65</v>
      </c>
      <c r="I46" s="116" t="s">
        <v>218</v>
      </c>
      <c r="J46" s="117" t="s">
        <v>255</v>
      </c>
      <c r="K46" s="116">
        <v>5.2999999999999999E-2</v>
      </c>
      <c r="L46" s="116">
        <v>2.41E-2</v>
      </c>
      <c r="M46" s="111">
        <v>3805.1102987135182</v>
      </c>
      <c r="N46" s="60">
        <v>133.44999999999999</v>
      </c>
      <c r="O46" s="84">
        <v>5.0779199999999998</v>
      </c>
      <c r="P46" s="24">
        <v>1.3254910921310978E-4</v>
      </c>
      <c r="Q46" s="24">
        <v>9.5443800950305168E-6</v>
      </c>
      <c r="R46" s="14"/>
    </row>
    <row r="47" spans="1:18" x14ac:dyDescent="0.25">
      <c r="A47" s="16" t="s">
        <v>2671</v>
      </c>
      <c r="B47" s="117" t="s">
        <v>2729</v>
      </c>
      <c r="C47" s="116" t="s">
        <v>2089</v>
      </c>
      <c r="D47" s="116"/>
      <c r="E47" s="116" t="s">
        <v>431</v>
      </c>
      <c r="F47" s="116" t="s">
        <v>2055</v>
      </c>
      <c r="G47" s="116" t="s">
        <v>431</v>
      </c>
      <c r="H47" s="117">
        <v>8.1199999999999992</v>
      </c>
      <c r="I47" s="116" t="s">
        <v>218</v>
      </c>
      <c r="J47" s="117" t="s">
        <v>255</v>
      </c>
      <c r="K47" s="116">
        <v>5.2999999999999999E-2</v>
      </c>
      <c r="L47" s="116">
        <v>3.04E-2</v>
      </c>
      <c r="M47" s="111">
        <v>2487.4273951485461</v>
      </c>
      <c r="N47" s="60">
        <v>135.52000000000001</v>
      </c>
      <c r="O47" s="84">
        <v>3.3709600000000002</v>
      </c>
      <c r="P47" s="24">
        <v>8.7992277387793542E-5</v>
      </c>
      <c r="Q47" s="24">
        <v>6.3360044122680295E-6</v>
      </c>
      <c r="R47" s="14"/>
    </row>
    <row r="48" spans="1:18" x14ac:dyDescent="0.25">
      <c r="A48" s="16" t="s">
        <v>2671</v>
      </c>
      <c r="B48" s="117" t="s">
        <v>2729</v>
      </c>
      <c r="C48" s="116" t="s">
        <v>2090</v>
      </c>
      <c r="D48" s="116"/>
      <c r="E48" s="116" t="s">
        <v>431</v>
      </c>
      <c r="F48" s="116" t="s">
        <v>2060</v>
      </c>
      <c r="G48" s="116" t="s">
        <v>431</v>
      </c>
      <c r="H48" s="117">
        <v>7.85</v>
      </c>
      <c r="I48" s="116" t="s">
        <v>218</v>
      </c>
      <c r="J48" s="117" t="s">
        <v>255</v>
      </c>
      <c r="K48" s="116">
        <v>4.7199999999999999E-2</v>
      </c>
      <c r="L48" s="116">
        <v>3.8900000000000004E-2</v>
      </c>
      <c r="M48" s="111">
        <v>483.2640777005027</v>
      </c>
      <c r="N48" s="60">
        <v>128.55000000000001</v>
      </c>
      <c r="O48" s="84">
        <v>0.62124000000000001</v>
      </c>
      <c r="P48" s="24">
        <v>1.6216247717087374E-5</v>
      </c>
      <c r="Q48" s="24">
        <v>1.1676731201430427E-6</v>
      </c>
      <c r="R48" s="14"/>
    </row>
    <row r="49" spans="1:18" x14ac:dyDescent="0.25">
      <c r="A49" s="16" t="s">
        <v>2671</v>
      </c>
      <c r="B49" s="117" t="s">
        <v>2729</v>
      </c>
      <c r="C49" s="116" t="s">
        <v>2091</v>
      </c>
      <c r="D49" s="116"/>
      <c r="E49" s="116" t="s">
        <v>431</v>
      </c>
      <c r="F49" s="116" t="s">
        <v>2060</v>
      </c>
      <c r="G49" s="116" t="s">
        <v>431</v>
      </c>
      <c r="H49" s="117">
        <v>7.87</v>
      </c>
      <c r="I49" s="116" t="s">
        <v>218</v>
      </c>
      <c r="J49" s="117" t="s">
        <v>255</v>
      </c>
      <c r="K49" s="116">
        <v>4.6500000000000007E-2</v>
      </c>
      <c r="L49" s="116">
        <v>2.75E-2</v>
      </c>
      <c r="M49" s="111">
        <v>2207.2449628179784</v>
      </c>
      <c r="N49" s="60">
        <v>128</v>
      </c>
      <c r="O49" s="84">
        <v>2.8252700000000002</v>
      </c>
      <c r="P49" s="24">
        <v>7.3748113752584256E-5</v>
      </c>
      <c r="Q49" s="24">
        <v>5.3103339066166601E-6</v>
      </c>
      <c r="R49" s="14"/>
    </row>
    <row r="50" spans="1:18" x14ac:dyDescent="0.25">
      <c r="A50" s="16" t="s">
        <v>2671</v>
      </c>
      <c r="B50" s="117" t="s">
        <v>2729</v>
      </c>
      <c r="C50" s="116" t="s">
        <v>2092</v>
      </c>
      <c r="D50" s="116"/>
      <c r="E50" s="116" t="s">
        <v>431</v>
      </c>
      <c r="F50" s="116" t="s">
        <v>2060</v>
      </c>
      <c r="G50" s="116" t="s">
        <v>431</v>
      </c>
      <c r="H50" s="117">
        <v>7.85</v>
      </c>
      <c r="I50" s="116" t="s">
        <v>218</v>
      </c>
      <c r="J50" s="117" t="s">
        <v>255</v>
      </c>
      <c r="K50" s="116">
        <v>4.5700000000000005E-2</v>
      </c>
      <c r="L50" s="116">
        <v>3.8900000000000004E-2</v>
      </c>
      <c r="M50" s="111">
        <v>1030.8996801261944</v>
      </c>
      <c r="N50" s="60">
        <v>128.55000000000001</v>
      </c>
      <c r="O50" s="84">
        <v>1.3252200000000001</v>
      </c>
      <c r="P50" s="24">
        <v>3.4592260317491681E-5</v>
      </c>
      <c r="Q50" s="24">
        <v>2.490863067857773E-6</v>
      </c>
      <c r="R50" s="14"/>
    </row>
    <row r="51" spans="1:18" x14ac:dyDescent="0.25">
      <c r="A51" s="16" t="s">
        <v>2671</v>
      </c>
      <c r="B51" s="117" t="s">
        <v>2729</v>
      </c>
      <c r="C51" s="116" t="s">
        <v>2093</v>
      </c>
      <c r="D51" s="116"/>
      <c r="E51" s="116" t="s">
        <v>431</v>
      </c>
      <c r="F51" s="116" t="s">
        <v>2069</v>
      </c>
      <c r="G51" s="116" t="s">
        <v>431</v>
      </c>
      <c r="H51" s="117">
        <v>8.85</v>
      </c>
      <c r="I51" s="116" t="s">
        <v>218</v>
      </c>
      <c r="J51" s="117" t="s">
        <v>255</v>
      </c>
      <c r="K51" s="116">
        <v>4.4400000000000002E-2</v>
      </c>
      <c r="L51" s="116">
        <v>2.6800000000000001E-2</v>
      </c>
      <c r="M51" s="111">
        <v>4469.2567086111985</v>
      </c>
      <c r="N51" s="60">
        <v>122.21</v>
      </c>
      <c r="O51" s="84">
        <v>5.4618799999999998</v>
      </c>
      <c r="P51" s="24">
        <v>1.4257162945239391E-4</v>
      </c>
      <c r="Q51" s="24">
        <v>1.0266065387687336E-5</v>
      </c>
      <c r="R51" s="14"/>
    </row>
    <row r="52" spans="1:18" x14ac:dyDescent="0.25">
      <c r="A52" s="16" t="s">
        <v>2671</v>
      </c>
      <c r="B52" s="117" t="s">
        <v>2729</v>
      </c>
      <c r="C52" s="116" t="s">
        <v>2094</v>
      </c>
      <c r="D52" s="116"/>
      <c r="E52" s="116" t="s">
        <v>431</v>
      </c>
      <c r="F52" s="116" t="s">
        <v>2069</v>
      </c>
      <c r="G52" s="116" t="s">
        <v>431</v>
      </c>
      <c r="H52" s="117">
        <v>9.7100000000000009</v>
      </c>
      <c r="I52" s="116" t="s">
        <v>218</v>
      </c>
      <c r="J52" s="117" t="s">
        <v>255</v>
      </c>
      <c r="K52" s="116">
        <v>4.2099999999999999E-2</v>
      </c>
      <c r="L52" s="116">
        <v>2.4199999999999999E-2</v>
      </c>
      <c r="M52" s="111">
        <v>5520.0682566680644</v>
      </c>
      <c r="N52" s="60">
        <v>142.77000000000001</v>
      </c>
      <c r="O52" s="84">
        <v>7.8810000000000002</v>
      </c>
      <c r="P52" s="24">
        <v>2.0571799668142037E-4</v>
      </c>
      <c r="Q52" s="24">
        <v>1.481300601997186E-5</v>
      </c>
      <c r="R52" s="14"/>
    </row>
    <row r="53" spans="1:18" x14ac:dyDescent="0.25">
      <c r="A53" s="16" t="s">
        <v>2671</v>
      </c>
      <c r="B53" s="117" t="s">
        <v>2729</v>
      </c>
      <c r="C53" s="116" t="s">
        <v>2095</v>
      </c>
      <c r="D53" s="116"/>
      <c r="E53" s="116" t="s">
        <v>431</v>
      </c>
      <c r="F53" s="116" t="s">
        <v>2069</v>
      </c>
      <c r="G53" s="116" t="s">
        <v>431</v>
      </c>
      <c r="H53" s="117">
        <v>9.7100000000000009</v>
      </c>
      <c r="I53" s="116" t="s">
        <v>218</v>
      </c>
      <c r="J53" s="117" t="s">
        <v>255</v>
      </c>
      <c r="K53" s="116">
        <v>4.2599999999999999E-2</v>
      </c>
      <c r="L53" s="116">
        <v>2.4199999999999999E-2</v>
      </c>
      <c r="M53" s="111">
        <v>161.76251260812458</v>
      </c>
      <c r="N53" s="60">
        <v>142.77000000000001</v>
      </c>
      <c r="O53" s="84">
        <v>0.23094999999999999</v>
      </c>
      <c r="P53" s="24">
        <v>6.028495284046953E-6</v>
      </c>
      <c r="Q53" s="24">
        <v>4.3409005713900529E-7</v>
      </c>
      <c r="R53" s="14"/>
    </row>
    <row r="54" spans="1:18" x14ac:dyDescent="0.25">
      <c r="A54" s="16" t="s">
        <v>2672</v>
      </c>
      <c r="B54" s="117" t="s">
        <v>2729</v>
      </c>
      <c r="C54" s="116" t="s">
        <v>2096</v>
      </c>
      <c r="D54" s="116"/>
      <c r="E54" s="116" t="s">
        <v>431</v>
      </c>
      <c r="F54" s="116" t="s">
        <v>2074</v>
      </c>
      <c r="G54" s="116" t="s">
        <v>431</v>
      </c>
      <c r="H54" s="117">
        <v>11.03</v>
      </c>
      <c r="I54" s="116" t="s">
        <v>218</v>
      </c>
      <c r="J54" s="117" t="s">
        <v>255</v>
      </c>
      <c r="K54" s="116">
        <v>3.1099999999999999E-2</v>
      </c>
      <c r="L54" s="116">
        <v>2.5699999999999997E-2</v>
      </c>
      <c r="M54" s="111">
        <v>28419.45672615663</v>
      </c>
      <c r="N54" s="60">
        <v>123.84</v>
      </c>
      <c r="O54" s="84">
        <v>35.194660000000006</v>
      </c>
      <c r="P54" s="24">
        <v>9.1868734286051511E-4</v>
      </c>
      <c r="Q54" s="24">
        <v>6.6151339988689624E-5</v>
      </c>
      <c r="R54" s="14"/>
    </row>
    <row r="55" spans="1:18" x14ac:dyDescent="0.25">
      <c r="A55" s="16" t="s">
        <v>2672</v>
      </c>
      <c r="B55" s="117" t="s">
        <v>2729</v>
      </c>
      <c r="C55" s="116" t="s">
        <v>2097</v>
      </c>
      <c r="D55" s="116"/>
      <c r="E55" s="116" t="s">
        <v>431</v>
      </c>
      <c r="F55" s="116" t="s">
        <v>2074</v>
      </c>
      <c r="G55" s="116" t="s">
        <v>431</v>
      </c>
      <c r="H55" s="117">
        <v>10.78</v>
      </c>
      <c r="I55" s="116" t="s">
        <v>218</v>
      </c>
      <c r="J55" s="117" t="s">
        <v>255</v>
      </c>
      <c r="K55" s="116">
        <v>3.1699999999999999E-2</v>
      </c>
      <c r="L55" s="116">
        <v>2.9900000000000003E-2</v>
      </c>
      <c r="M55" s="111">
        <v>49234.576935044635</v>
      </c>
      <c r="N55" s="60">
        <v>130.88</v>
      </c>
      <c r="O55" s="84">
        <v>64.438209999999998</v>
      </c>
      <c r="P55" s="24">
        <v>1.6820326698308171E-3</v>
      </c>
      <c r="Q55" s="24">
        <v>1.2111706542903323E-4</v>
      </c>
      <c r="R55" s="14"/>
    </row>
    <row r="56" spans="1:18" x14ac:dyDescent="0.25">
      <c r="A56" s="16" t="s">
        <v>2671</v>
      </c>
      <c r="B56" s="117" t="s">
        <v>2729</v>
      </c>
      <c r="C56" s="116" t="s">
        <v>2098</v>
      </c>
      <c r="D56" s="116"/>
      <c r="E56" s="116" t="s">
        <v>431</v>
      </c>
      <c r="F56" s="116" t="s">
        <v>2033</v>
      </c>
      <c r="G56" s="116" t="s">
        <v>431</v>
      </c>
      <c r="H56" s="117">
        <v>9.02</v>
      </c>
      <c r="I56" s="116" t="s">
        <v>218</v>
      </c>
      <c r="J56" s="117" t="s">
        <v>255</v>
      </c>
      <c r="K56" s="116">
        <v>4.4400000000000002E-2</v>
      </c>
      <c r="L56" s="116">
        <v>2.8300000000000002E-2</v>
      </c>
      <c r="M56" s="111">
        <v>13932.889249577331</v>
      </c>
      <c r="N56" s="60">
        <v>111.19</v>
      </c>
      <c r="O56" s="84">
        <v>15.49198</v>
      </c>
      <c r="P56" s="24">
        <v>4.0438765261117E-4</v>
      </c>
      <c r="Q56" s="24">
        <v>2.9118486613536817E-5</v>
      </c>
      <c r="R56" s="14"/>
    </row>
    <row r="57" spans="1:18" x14ac:dyDescent="0.25">
      <c r="A57" s="16" t="s">
        <v>2671</v>
      </c>
      <c r="B57" s="117" t="s">
        <v>2729</v>
      </c>
      <c r="C57" s="116" t="s">
        <v>2099</v>
      </c>
      <c r="D57" s="116"/>
      <c r="E57" s="116" t="s">
        <v>431</v>
      </c>
      <c r="F57" s="116" t="s">
        <v>2033</v>
      </c>
      <c r="G57" s="116" t="s">
        <v>431</v>
      </c>
      <c r="H57" s="117">
        <v>9.4700000000000006</v>
      </c>
      <c r="I57" s="116" t="s">
        <v>218</v>
      </c>
      <c r="J57" s="117" t="s">
        <v>255</v>
      </c>
      <c r="K57" s="116">
        <v>4.4299999999999999E-2</v>
      </c>
      <c r="L57" s="116">
        <v>1.01E-2</v>
      </c>
      <c r="M57" s="111">
        <v>3608.0535859250076</v>
      </c>
      <c r="N57" s="60">
        <v>138.41</v>
      </c>
      <c r="O57" s="84">
        <v>4.9939099999999996</v>
      </c>
      <c r="P57" s="24">
        <v>1.3035619347891283E-4</v>
      </c>
      <c r="Q57" s="24">
        <v>9.386476195051093E-6</v>
      </c>
      <c r="R57" s="14"/>
    </row>
    <row r="58" spans="1:18" x14ac:dyDescent="0.25">
      <c r="A58" s="16" t="s">
        <v>2671</v>
      </c>
      <c r="B58" s="117" t="s">
        <v>2729</v>
      </c>
      <c r="C58" s="116" t="s">
        <v>2100</v>
      </c>
      <c r="D58" s="116"/>
      <c r="E58" s="116" t="s">
        <v>431</v>
      </c>
      <c r="F58" s="116" t="s">
        <v>2033</v>
      </c>
      <c r="G58" s="116" t="s">
        <v>431</v>
      </c>
      <c r="H58" s="117">
        <v>9.14</v>
      </c>
      <c r="I58" s="116" t="s">
        <v>218</v>
      </c>
      <c r="J58" s="117" t="s">
        <v>255</v>
      </c>
      <c r="K58" s="116">
        <v>4.4299999999999999E-2</v>
      </c>
      <c r="L58" s="116">
        <v>2.3300000000000001E-2</v>
      </c>
      <c r="M58" s="111">
        <v>2089.7038107605631</v>
      </c>
      <c r="N58" s="60">
        <v>130.87</v>
      </c>
      <c r="O58" s="84">
        <v>2.7348000000000003</v>
      </c>
      <c r="P58" s="24">
        <v>7.1386572430446452E-5</v>
      </c>
      <c r="Q58" s="24">
        <v>5.1402878902955269E-6</v>
      </c>
      <c r="R58" s="14"/>
    </row>
    <row r="59" spans="1:18" x14ac:dyDescent="0.25">
      <c r="A59" s="16" t="s">
        <v>2671</v>
      </c>
      <c r="B59" s="117" t="s">
        <v>2729</v>
      </c>
      <c r="C59" s="116" t="s">
        <v>2101</v>
      </c>
      <c r="D59" s="116"/>
      <c r="E59" s="116" t="s">
        <v>431</v>
      </c>
      <c r="F59" s="116" t="s">
        <v>2033</v>
      </c>
      <c r="G59" s="116" t="s">
        <v>431</v>
      </c>
      <c r="H59" s="117">
        <v>9.14</v>
      </c>
      <c r="I59" s="116" t="s">
        <v>218</v>
      </c>
      <c r="J59" s="117" t="s">
        <v>255</v>
      </c>
      <c r="K59" s="116">
        <v>4.4299999999999999E-2</v>
      </c>
      <c r="L59" s="116">
        <v>2.3300000000000001E-2</v>
      </c>
      <c r="M59" s="111">
        <v>144.19848251054452</v>
      </c>
      <c r="N59" s="60">
        <v>130.87</v>
      </c>
      <c r="O59" s="84">
        <v>0.18871000000000002</v>
      </c>
      <c r="P59" s="24">
        <v>4.9259032043840684E-6</v>
      </c>
      <c r="Q59" s="24">
        <v>3.5469640477463392E-7</v>
      </c>
      <c r="R59" s="14"/>
    </row>
    <row r="60" spans="1:18" s="118" customFormat="1" x14ac:dyDescent="0.25">
      <c r="A60" s="92" t="s">
        <v>2102</v>
      </c>
      <c r="B60" s="130" t="s">
        <v>249</v>
      </c>
      <c r="C60" s="130" t="s">
        <v>249</v>
      </c>
      <c r="D60" s="130"/>
      <c r="E60" s="130" t="s">
        <v>249</v>
      </c>
      <c r="F60" s="130" t="s">
        <v>249</v>
      </c>
      <c r="G60" s="130" t="s">
        <v>249</v>
      </c>
      <c r="H60" s="131" t="s">
        <v>249</v>
      </c>
      <c r="I60" s="130" t="s">
        <v>249</v>
      </c>
      <c r="J60" s="131" t="s">
        <v>249</v>
      </c>
      <c r="K60" s="130" t="s">
        <v>249</v>
      </c>
      <c r="L60" s="130" t="s">
        <v>249</v>
      </c>
      <c r="M60" s="160" t="s">
        <v>249</v>
      </c>
      <c r="N60" s="135" t="s">
        <v>249</v>
      </c>
      <c r="O60" s="123">
        <v>32655.866340100001</v>
      </c>
      <c r="P60" s="136">
        <v>0.85241713023494481</v>
      </c>
      <c r="Q60" s="136">
        <v>6.1379462591460189E-2</v>
      </c>
      <c r="R60" s="14"/>
    </row>
    <row r="61" spans="1:18" x14ac:dyDescent="0.25">
      <c r="A61" s="16" t="s">
        <v>2673</v>
      </c>
      <c r="B61" s="217" t="s">
        <v>2729</v>
      </c>
      <c r="C61" s="116" t="s">
        <v>2110</v>
      </c>
      <c r="D61" s="116"/>
      <c r="E61" s="116" t="s">
        <v>567</v>
      </c>
      <c r="F61" s="116" t="s">
        <v>2111</v>
      </c>
      <c r="G61" s="116" t="s">
        <v>427</v>
      </c>
      <c r="H61" s="117">
        <v>7.9</v>
      </c>
      <c r="I61" s="116" t="s">
        <v>221</v>
      </c>
      <c r="J61" s="117" t="s">
        <v>255</v>
      </c>
      <c r="K61" s="116">
        <v>3.0800000000000001E-2</v>
      </c>
      <c r="L61" s="116">
        <v>5.45E-2</v>
      </c>
      <c r="M61" s="111">
        <v>7887.7364146411419</v>
      </c>
      <c r="N61" s="60">
        <v>83.84</v>
      </c>
      <c r="O61" s="84">
        <v>6.6130800000000001</v>
      </c>
      <c r="P61" s="24">
        <v>1.7262144010835777E-4</v>
      </c>
      <c r="Q61" s="24">
        <v>1.2429843148148143E-5</v>
      </c>
      <c r="R61" s="14"/>
    </row>
    <row r="62" spans="1:18" x14ac:dyDescent="0.25">
      <c r="A62" s="16" t="s">
        <v>2673</v>
      </c>
      <c r="B62" s="217" t="s">
        <v>2729</v>
      </c>
      <c r="C62" s="116" t="s">
        <v>2118</v>
      </c>
      <c r="D62" s="116"/>
      <c r="E62" s="116" t="s">
        <v>567</v>
      </c>
      <c r="F62" s="116" t="s">
        <v>2119</v>
      </c>
      <c r="G62" s="116" t="s">
        <v>427</v>
      </c>
      <c r="H62" s="117">
        <v>7.63</v>
      </c>
      <c r="I62" s="116" t="s">
        <v>221</v>
      </c>
      <c r="J62" s="117" t="s">
        <v>255</v>
      </c>
      <c r="K62" s="116">
        <v>3.1300000000000001E-2</v>
      </c>
      <c r="L62" s="116">
        <v>6.4100000000000004E-2</v>
      </c>
      <c r="M62" s="111">
        <v>6456.8897631201826</v>
      </c>
      <c r="N62" s="60">
        <v>78.489999999999995</v>
      </c>
      <c r="O62" s="84">
        <v>5.0680100000000001</v>
      </c>
      <c r="P62" s="24">
        <v>1.322904281641169E-4</v>
      </c>
      <c r="Q62" s="24">
        <v>9.5257534119118877E-6</v>
      </c>
      <c r="R62" s="14"/>
    </row>
    <row r="63" spans="1:18" x14ac:dyDescent="0.25">
      <c r="A63" s="16" t="s">
        <v>2673</v>
      </c>
      <c r="B63" s="217" t="s">
        <v>2729</v>
      </c>
      <c r="C63" s="116" t="s">
        <v>2124</v>
      </c>
      <c r="D63" s="116"/>
      <c r="E63" s="116" t="s">
        <v>567</v>
      </c>
      <c r="F63" s="116" t="s">
        <v>2125</v>
      </c>
      <c r="G63" s="116" t="s">
        <v>427</v>
      </c>
      <c r="H63" s="117">
        <v>7.67</v>
      </c>
      <c r="I63" s="116" t="s">
        <v>221</v>
      </c>
      <c r="J63" s="117" t="s">
        <v>255</v>
      </c>
      <c r="K63" s="116">
        <v>3.1899999999999998E-2</v>
      </c>
      <c r="L63" s="116">
        <v>6.2699999999999992E-2</v>
      </c>
      <c r="M63" s="111">
        <v>6385.2884817797822</v>
      </c>
      <c r="N63" s="60">
        <v>79.680000000000007</v>
      </c>
      <c r="O63" s="84">
        <v>5.0878000000000005</v>
      </c>
      <c r="P63" s="24">
        <v>1.3280700717113701E-4</v>
      </c>
      <c r="Q63" s="24">
        <v>9.5629503906119572E-6</v>
      </c>
      <c r="R63" s="14"/>
    </row>
    <row r="64" spans="1:18" x14ac:dyDescent="0.25">
      <c r="A64" s="16" t="s">
        <v>2673</v>
      </c>
      <c r="B64" s="217" t="s">
        <v>2729</v>
      </c>
      <c r="C64" s="116" t="s">
        <v>2159</v>
      </c>
      <c r="D64" s="116"/>
      <c r="E64" s="116" t="s">
        <v>567</v>
      </c>
      <c r="F64" s="116" t="s">
        <v>2160</v>
      </c>
      <c r="G64" s="116" t="s">
        <v>427</v>
      </c>
      <c r="H64" s="117">
        <v>7.84</v>
      </c>
      <c r="I64" s="116" t="s">
        <v>221</v>
      </c>
      <c r="J64" s="117" t="s">
        <v>255</v>
      </c>
      <c r="K64" s="116">
        <v>3.2400000000000005E-2</v>
      </c>
      <c r="L64" s="116">
        <v>5.67E-2</v>
      </c>
      <c r="M64" s="111">
        <v>6287.9147046433382</v>
      </c>
      <c r="N64" s="60">
        <v>83.59</v>
      </c>
      <c r="O64" s="84">
        <v>5.2560699999999994</v>
      </c>
      <c r="P64" s="24">
        <v>1.3719936439757812E-4</v>
      </c>
      <c r="Q64" s="24">
        <v>9.8792280867140579E-6</v>
      </c>
      <c r="R64" s="14"/>
    </row>
    <row r="65" spans="1:18" x14ac:dyDescent="0.25">
      <c r="A65" s="16" t="s">
        <v>2673</v>
      </c>
      <c r="B65" s="217" t="s">
        <v>2729</v>
      </c>
      <c r="C65" s="116" t="s">
        <v>2185</v>
      </c>
      <c r="D65" s="116"/>
      <c r="E65" s="116" t="s">
        <v>567</v>
      </c>
      <c r="F65" s="116" t="s">
        <v>2186</v>
      </c>
      <c r="G65" s="116" t="s">
        <v>427</v>
      </c>
      <c r="H65" s="117">
        <v>8.16</v>
      </c>
      <c r="I65" s="116" t="s">
        <v>221</v>
      </c>
      <c r="J65" s="117" t="s">
        <v>255</v>
      </c>
      <c r="K65" s="116">
        <v>3.3000000000000002E-2</v>
      </c>
      <c r="L65" s="116">
        <v>4.5199999999999997E-2</v>
      </c>
      <c r="M65" s="111">
        <v>6189.2864190659848</v>
      </c>
      <c r="N65" s="60">
        <v>91.69</v>
      </c>
      <c r="O65" s="84">
        <v>5.6749600000000004</v>
      </c>
      <c r="P65" s="24">
        <v>1.4813366355122362E-4</v>
      </c>
      <c r="Q65" s="24">
        <v>1.0666567268506473E-5</v>
      </c>
      <c r="R65" s="14"/>
    </row>
    <row r="66" spans="1:18" x14ac:dyDescent="0.25">
      <c r="A66" s="16" t="s">
        <v>2674</v>
      </c>
      <c r="B66" s="116" t="s">
        <v>2105</v>
      </c>
      <c r="C66" s="116" t="s">
        <v>2347</v>
      </c>
      <c r="D66" s="116"/>
      <c r="E66" s="116" t="s">
        <v>503</v>
      </c>
      <c r="F66" s="116" t="s">
        <v>2346</v>
      </c>
      <c r="G66" s="116" t="s">
        <v>427</v>
      </c>
      <c r="H66" s="117">
        <v>1.92</v>
      </c>
      <c r="I66" s="116" t="s">
        <v>218</v>
      </c>
      <c r="J66" s="117" t="s">
        <v>255</v>
      </c>
      <c r="K66" s="116">
        <v>3.85E-2</v>
      </c>
      <c r="L66" s="116">
        <v>2.3900000000000001E-2</v>
      </c>
      <c r="M66" s="111">
        <v>3350.47</v>
      </c>
      <c r="N66" s="60">
        <v>153.08000000000001</v>
      </c>
      <c r="O66" s="84">
        <v>5.1288900000000002</v>
      </c>
      <c r="P66" s="24">
        <v>1.3387958076378255E-4</v>
      </c>
      <c r="Q66" s="24">
        <v>9.6401825207173553E-6</v>
      </c>
      <c r="R66" s="14"/>
    </row>
    <row r="67" spans="1:18" x14ac:dyDescent="0.25">
      <c r="A67" s="16" t="s">
        <v>2674</v>
      </c>
      <c r="B67" s="116" t="s">
        <v>2105</v>
      </c>
      <c r="C67" s="116" t="s">
        <v>2367</v>
      </c>
      <c r="D67" s="116"/>
      <c r="E67" s="116" t="s">
        <v>503</v>
      </c>
      <c r="F67" s="116" t="s">
        <v>2366</v>
      </c>
      <c r="G67" s="116" t="s">
        <v>427</v>
      </c>
      <c r="H67" s="117">
        <v>1.91</v>
      </c>
      <c r="I67" s="116" t="s">
        <v>218</v>
      </c>
      <c r="J67" s="117" t="s">
        <v>255</v>
      </c>
      <c r="K67" s="116">
        <v>5.1699999999999996E-2</v>
      </c>
      <c r="L67" s="116">
        <v>2.3900000000000001E-2</v>
      </c>
      <c r="M67" s="111">
        <v>3350.49</v>
      </c>
      <c r="N67" s="60">
        <v>157.34</v>
      </c>
      <c r="O67" s="84">
        <v>5.2716599999999998</v>
      </c>
      <c r="P67" s="24">
        <v>1.3760631066940445E-4</v>
      </c>
      <c r="Q67" s="24">
        <v>9.9085308102074416E-6</v>
      </c>
      <c r="R67" s="14"/>
    </row>
    <row r="68" spans="1:18" x14ac:dyDescent="0.25">
      <c r="A68" s="16" t="s">
        <v>2674</v>
      </c>
      <c r="B68" s="116" t="s">
        <v>2105</v>
      </c>
      <c r="C68" s="116" t="s">
        <v>2350</v>
      </c>
      <c r="D68" s="116"/>
      <c r="E68" s="116" t="s">
        <v>503</v>
      </c>
      <c r="F68" s="116" t="s">
        <v>2346</v>
      </c>
      <c r="G68" s="116" t="s">
        <v>427</v>
      </c>
      <c r="H68" s="117">
        <v>1.92</v>
      </c>
      <c r="I68" s="116" t="s">
        <v>218</v>
      </c>
      <c r="J68" s="117" t="s">
        <v>255</v>
      </c>
      <c r="K68" s="116">
        <v>3.85E-2</v>
      </c>
      <c r="L68" s="116">
        <v>2.3900000000000001E-2</v>
      </c>
      <c r="M68" s="111">
        <v>50411</v>
      </c>
      <c r="N68" s="60">
        <v>152.94</v>
      </c>
      <c r="O68" s="84">
        <v>77.098579999999998</v>
      </c>
      <c r="P68" s="24">
        <v>2.0125067154653248E-3</v>
      </c>
      <c r="Q68" s="24">
        <v>1.4491330156976044E-4</v>
      </c>
      <c r="R68" s="14"/>
    </row>
    <row r="69" spans="1:18" x14ac:dyDescent="0.25">
      <c r="A69" s="16" t="s">
        <v>2674</v>
      </c>
      <c r="B69" s="116" t="s">
        <v>2105</v>
      </c>
      <c r="C69" s="116" t="s">
        <v>2370</v>
      </c>
      <c r="D69" s="116"/>
      <c r="E69" s="116" t="s">
        <v>503</v>
      </c>
      <c r="F69" s="116" t="s">
        <v>2366</v>
      </c>
      <c r="G69" s="116" t="s">
        <v>427</v>
      </c>
      <c r="H69" s="117">
        <v>1.91</v>
      </c>
      <c r="I69" s="116" t="s">
        <v>218</v>
      </c>
      <c r="J69" s="117" t="s">
        <v>255</v>
      </c>
      <c r="K69" s="116">
        <v>5.1699999999999996E-2</v>
      </c>
      <c r="L69" s="116">
        <v>2.3900000000000001E-2</v>
      </c>
      <c r="M69" s="111">
        <v>50411.38</v>
      </c>
      <c r="N69" s="60">
        <v>157.19</v>
      </c>
      <c r="O69" s="84">
        <v>79.241640000000004</v>
      </c>
      <c r="P69" s="24">
        <v>2.068447079628259E-3</v>
      </c>
      <c r="Q69" s="24">
        <v>1.4894136408481702E-4</v>
      </c>
      <c r="R69" s="14"/>
    </row>
    <row r="70" spans="1:18" x14ac:dyDescent="0.25">
      <c r="A70" s="16" t="s">
        <v>2674</v>
      </c>
      <c r="B70" s="116" t="s">
        <v>2105</v>
      </c>
      <c r="C70" s="116" t="s">
        <v>2349</v>
      </c>
      <c r="D70" s="116"/>
      <c r="E70" s="116" t="s">
        <v>503</v>
      </c>
      <c r="F70" s="116" t="s">
        <v>2346</v>
      </c>
      <c r="G70" s="116" t="s">
        <v>427</v>
      </c>
      <c r="H70" s="117">
        <v>1.92</v>
      </c>
      <c r="I70" s="116" t="s">
        <v>218</v>
      </c>
      <c r="J70" s="117" t="s">
        <v>255</v>
      </c>
      <c r="K70" s="116">
        <v>3.85E-2</v>
      </c>
      <c r="L70" s="116">
        <v>2.3900000000000001E-2</v>
      </c>
      <c r="M70" s="111">
        <v>43197.46</v>
      </c>
      <c r="N70" s="60">
        <v>152.94</v>
      </c>
      <c r="O70" s="84">
        <v>66.066190000000006</v>
      </c>
      <c r="P70" s="24">
        <v>1.724527884173847E-3</v>
      </c>
      <c r="Q70" s="24">
        <v>1.2417699152221859E-4</v>
      </c>
      <c r="R70" s="14"/>
    </row>
    <row r="71" spans="1:18" x14ac:dyDescent="0.25">
      <c r="A71" s="16" t="s">
        <v>2674</v>
      </c>
      <c r="B71" s="116" t="s">
        <v>2105</v>
      </c>
      <c r="C71" s="116" t="s">
        <v>2369</v>
      </c>
      <c r="D71" s="116"/>
      <c r="E71" s="116" t="s">
        <v>503</v>
      </c>
      <c r="F71" s="116" t="s">
        <v>2366</v>
      </c>
      <c r="G71" s="116" t="s">
        <v>427</v>
      </c>
      <c r="H71" s="117">
        <v>1.91</v>
      </c>
      <c r="I71" s="116" t="s">
        <v>218</v>
      </c>
      <c r="J71" s="117" t="s">
        <v>255</v>
      </c>
      <c r="K71" s="116">
        <v>5.1699999999999996E-2</v>
      </c>
      <c r="L71" s="116">
        <v>2.3900000000000001E-2</v>
      </c>
      <c r="M71" s="111">
        <v>43197.8</v>
      </c>
      <c r="N71" s="60">
        <v>157.19</v>
      </c>
      <c r="O71" s="84">
        <v>67.902619999999999</v>
      </c>
      <c r="P71" s="24">
        <v>1.7724642755766716E-3</v>
      </c>
      <c r="Q71" s="24">
        <v>1.2762871701965E-4</v>
      </c>
      <c r="R71" s="14"/>
    </row>
    <row r="72" spans="1:18" x14ac:dyDescent="0.25">
      <c r="A72" s="16" t="s">
        <v>2674</v>
      </c>
      <c r="B72" s="116" t="s">
        <v>2105</v>
      </c>
      <c r="C72" s="116" t="s">
        <v>2364</v>
      </c>
      <c r="D72" s="116"/>
      <c r="E72" s="116" t="s">
        <v>503</v>
      </c>
      <c r="F72" s="116" t="s">
        <v>2346</v>
      </c>
      <c r="G72" s="116" t="s">
        <v>427</v>
      </c>
      <c r="H72" s="117">
        <v>1.92</v>
      </c>
      <c r="I72" s="116" t="s">
        <v>218</v>
      </c>
      <c r="J72" s="117" t="s">
        <v>255</v>
      </c>
      <c r="K72" s="116">
        <v>3.85E-2</v>
      </c>
      <c r="L72" s="116">
        <v>2.4E-2</v>
      </c>
      <c r="M72" s="111">
        <v>28483.35</v>
      </c>
      <c r="N72" s="60">
        <v>144.61000000000001</v>
      </c>
      <c r="O72" s="84">
        <v>41.189769999999996</v>
      </c>
      <c r="P72" s="24">
        <v>1.0751778921670432E-3</v>
      </c>
      <c r="Q72" s="24">
        <v>7.741965625824848E-5</v>
      </c>
      <c r="R72" s="14"/>
    </row>
    <row r="73" spans="1:18" x14ac:dyDescent="0.25">
      <c r="A73" s="16" t="s">
        <v>2674</v>
      </c>
      <c r="B73" s="116" t="s">
        <v>2105</v>
      </c>
      <c r="C73" s="116" t="s">
        <v>2384</v>
      </c>
      <c r="D73" s="116"/>
      <c r="E73" s="116" t="s">
        <v>503</v>
      </c>
      <c r="F73" s="116" t="s">
        <v>2366</v>
      </c>
      <c r="G73" s="116" t="s">
        <v>427</v>
      </c>
      <c r="H73" s="117">
        <v>1.91</v>
      </c>
      <c r="I73" s="116" t="s">
        <v>218</v>
      </c>
      <c r="J73" s="117" t="s">
        <v>255</v>
      </c>
      <c r="K73" s="116">
        <v>5.1699999999999996E-2</v>
      </c>
      <c r="L73" s="116">
        <v>2.4E-2</v>
      </c>
      <c r="M73" s="111">
        <v>28483.599999999999</v>
      </c>
      <c r="N73" s="60">
        <v>148.63</v>
      </c>
      <c r="O73" s="84">
        <v>42.335169999999998</v>
      </c>
      <c r="P73" s="24">
        <v>1.105076305236311E-3</v>
      </c>
      <c r="Q73" s="24">
        <v>7.9572532428185772E-5</v>
      </c>
      <c r="R73" s="14"/>
    </row>
    <row r="74" spans="1:18" x14ac:dyDescent="0.25">
      <c r="A74" s="16" t="s">
        <v>2674</v>
      </c>
      <c r="B74" s="116" t="s">
        <v>2105</v>
      </c>
      <c r="C74" s="116" t="s">
        <v>2353</v>
      </c>
      <c r="D74" s="116"/>
      <c r="E74" s="116" t="s">
        <v>503</v>
      </c>
      <c r="F74" s="116" t="s">
        <v>2346</v>
      </c>
      <c r="G74" s="116" t="s">
        <v>427</v>
      </c>
      <c r="H74" s="117">
        <v>1.92</v>
      </c>
      <c r="I74" s="116" t="s">
        <v>218</v>
      </c>
      <c r="J74" s="117" t="s">
        <v>255</v>
      </c>
      <c r="K74" s="116">
        <v>3.85E-2</v>
      </c>
      <c r="L74" s="116">
        <v>2.3900000000000001E-2</v>
      </c>
      <c r="M74" s="111">
        <v>12191.15</v>
      </c>
      <c r="N74" s="60">
        <v>151.85</v>
      </c>
      <c r="O74" s="84">
        <v>18.512259999999998</v>
      </c>
      <c r="P74" s="24">
        <v>4.8322611867092894E-4</v>
      </c>
      <c r="Q74" s="24">
        <v>3.4795358307738136E-5</v>
      </c>
      <c r="R74" s="14"/>
    </row>
    <row r="75" spans="1:18" x14ac:dyDescent="0.25">
      <c r="A75" s="16" t="s">
        <v>2674</v>
      </c>
      <c r="B75" s="116" t="s">
        <v>2105</v>
      </c>
      <c r="C75" s="116" t="s">
        <v>2373</v>
      </c>
      <c r="D75" s="116"/>
      <c r="E75" s="116" t="s">
        <v>503</v>
      </c>
      <c r="F75" s="116" t="s">
        <v>2366</v>
      </c>
      <c r="G75" s="116" t="s">
        <v>427</v>
      </c>
      <c r="H75" s="117">
        <v>1.91</v>
      </c>
      <c r="I75" s="116" t="s">
        <v>218</v>
      </c>
      <c r="J75" s="117" t="s">
        <v>255</v>
      </c>
      <c r="K75" s="116">
        <v>5.1699999999999996E-2</v>
      </c>
      <c r="L75" s="116">
        <v>2.4E-2</v>
      </c>
      <c r="M75" s="111">
        <v>12191.25</v>
      </c>
      <c r="N75" s="60">
        <v>156.07</v>
      </c>
      <c r="O75" s="84">
        <v>19.026880000000002</v>
      </c>
      <c r="P75" s="24">
        <v>4.9665926109602641E-4</v>
      </c>
      <c r="Q75" s="24">
        <v>3.5762630120705777E-5</v>
      </c>
      <c r="R75" s="14"/>
    </row>
    <row r="76" spans="1:18" x14ac:dyDescent="0.25">
      <c r="A76" s="16" t="s">
        <v>2674</v>
      </c>
      <c r="B76" s="116" t="s">
        <v>2105</v>
      </c>
      <c r="C76" s="116" t="s">
        <v>2345</v>
      </c>
      <c r="D76" s="116"/>
      <c r="E76" s="116" t="s">
        <v>503</v>
      </c>
      <c r="F76" s="116" t="s">
        <v>2346</v>
      </c>
      <c r="G76" s="116" t="s">
        <v>427</v>
      </c>
      <c r="H76" s="117">
        <v>1.92</v>
      </c>
      <c r="I76" s="116" t="s">
        <v>218</v>
      </c>
      <c r="J76" s="117" t="s">
        <v>255</v>
      </c>
      <c r="K76" s="116">
        <v>3.85E-2</v>
      </c>
      <c r="L76" s="116">
        <v>2.4E-2</v>
      </c>
      <c r="M76" s="111">
        <v>87028.73</v>
      </c>
      <c r="N76" s="60">
        <v>153.80000000000001</v>
      </c>
      <c r="O76" s="84">
        <v>133.85017999999999</v>
      </c>
      <c r="P76" s="24">
        <v>3.493895557041939E-3</v>
      </c>
      <c r="Q76" s="24">
        <v>2.5158273342397122E-4</v>
      </c>
      <c r="R76" s="14"/>
    </row>
    <row r="77" spans="1:18" x14ac:dyDescent="0.25">
      <c r="A77" s="16" t="s">
        <v>2674</v>
      </c>
      <c r="B77" s="116" t="s">
        <v>2105</v>
      </c>
      <c r="C77" s="116" t="s">
        <v>2365</v>
      </c>
      <c r="D77" s="116"/>
      <c r="E77" s="116" t="s">
        <v>503</v>
      </c>
      <c r="F77" s="116" t="s">
        <v>2366</v>
      </c>
      <c r="G77" s="116" t="s">
        <v>427</v>
      </c>
      <c r="H77" s="117">
        <v>1.91</v>
      </c>
      <c r="I77" s="116" t="s">
        <v>218</v>
      </c>
      <c r="J77" s="117" t="s">
        <v>255</v>
      </c>
      <c r="K77" s="116">
        <v>5.1699999999999996E-2</v>
      </c>
      <c r="L77" s="116">
        <v>2.3900000000000001E-2</v>
      </c>
      <c r="M77" s="111">
        <v>87067.99</v>
      </c>
      <c r="N77" s="60">
        <v>158.08000000000001</v>
      </c>
      <c r="O77" s="84">
        <v>137.63706999999999</v>
      </c>
      <c r="P77" s="24">
        <v>3.5927448686080988E-3</v>
      </c>
      <c r="Q77" s="24">
        <v>2.5870051344769549E-4</v>
      </c>
      <c r="R77" s="14"/>
    </row>
    <row r="78" spans="1:18" x14ac:dyDescent="0.25">
      <c r="A78" s="16" t="s">
        <v>2674</v>
      </c>
      <c r="B78" s="116" t="s">
        <v>2105</v>
      </c>
      <c r="C78" s="116" t="s">
        <v>2352</v>
      </c>
      <c r="D78" s="116"/>
      <c r="E78" s="116" t="s">
        <v>503</v>
      </c>
      <c r="F78" s="116" t="s">
        <v>2346</v>
      </c>
      <c r="G78" s="116" t="s">
        <v>427</v>
      </c>
      <c r="H78" s="117">
        <v>1.92</v>
      </c>
      <c r="I78" s="116" t="s">
        <v>218</v>
      </c>
      <c r="J78" s="117" t="s">
        <v>255</v>
      </c>
      <c r="K78" s="116">
        <v>3.85E-2</v>
      </c>
      <c r="L78" s="116">
        <v>2.3900000000000001E-2</v>
      </c>
      <c r="M78" s="111">
        <v>48001.16</v>
      </c>
      <c r="N78" s="60">
        <v>154.13999999999999</v>
      </c>
      <c r="O78" s="84">
        <v>73.988979999999998</v>
      </c>
      <c r="P78" s="24">
        <v>1.9313367265704452E-3</v>
      </c>
      <c r="Q78" s="24">
        <v>1.3906854538149697E-4</v>
      </c>
      <c r="R78" s="14"/>
    </row>
    <row r="79" spans="1:18" x14ac:dyDescent="0.25">
      <c r="A79" s="16" t="s">
        <v>2674</v>
      </c>
      <c r="B79" s="116" t="s">
        <v>2105</v>
      </c>
      <c r="C79" s="116" t="s">
        <v>2372</v>
      </c>
      <c r="D79" s="116"/>
      <c r="E79" s="116" t="s">
        <v>503</v>
      </c>
      <c r="F79" s="116" t="s">
        <v>2366</v>
      </c>
      <c r="G79" s="116" t="s">
        <v>427</v>
      </c>
      <c r="H79" s="117">
        <v>1.91</v>
      </c>
      <c r="I79" s="116" t="s">
        <v>218</v>
      </c>
      <c r="J79" s="117" t="s">
        <v>255</v>
      </c>
      <c r="K79" s="116">
        <v>5.1699999999999996E-2</v>
      </c>
      <c r="L79" s="116">
        <v>2.3900000000000001E-2</v>
      </c>
      <c r="M79" s="111">
        <v>48001.57</v>
      </c>
      <c r="N79" s="60">
        <v>158.43</v>
      </c>
      <c r="O79" s="84">
        <v>76.048880000000011</v>
      </c>
      <c r="P79" s="24">
        <v>1.9851063625765434E-3</v>
      </c>
      <c r="Q79" s="24">
        <v>1.429403016434612E-4</v>
      </c>
      <c r="R79" s="14"/>
    </row>
    <row r="80" spans="1:18" x14ac:dyDescent="0.25">
      <c r="A80" s="16" t="s">
        <v>2674</v>
      </c>
      <c r="B80" s="116" t="s">
        <v>2105</v>
      </c>
      <c r="C80" s="116" t="s">
        <v>2348</v>
      </c>
      <c r="D80" s="116"/>
      <c r="E80" s="116" t="s">
        <v>503</v>
      </c>
      <c r="F80" s="116" t="s">
        <v>2346</v>
      </c>
      <c r="G80" s="116" t="s">
        <v>427</v>
      </c>
      <c r="H80" s="117">
        <v>1.92</v>
      </c>
      <c r="I80" s="116" t="s">
        <v>218</v>
      </c>
      <c r="J80" s="117" t="s">
        <v>255</v>
      </c>
      <c r="K80" s="116">
        <v>3.85E-2</v>
      </c>
      <c r="L80" s="116">
        <v>2.3900000000000001E-2</v>
      </c>
      <c r="M80" s="111">
        <v>37694.69</v>
      </c>
      <c r="N80" s="60">
        <v>154.53</v>
      </c>
      <c r="O80" s="84">
        <v>58.249600000000001</v>
      </c>
      <c r="P80" s="24">
        <v>1.5204911837957194E-3</v>
      </c>
      <c r="Q80" s="24">
        <v>1.0948504954459496E-4</v>
      </c>
      <c r="R80" s="14"/>
    </row>
    <row r="81" spans="1:18" x14ac:dyDescent="0.25">
      <c r="A81" s="16" t="s">
        <v>2674</v>
      </c>
      <c r="B81" s="116" t="s">
        <v>2105</v>
      </c>
      <c r="C81" s="116" t="s">
        <v>2368</v>
      </c>
      <c r="D81" s="116"/>
      <c r="E81" s="116" t="s">
        <v>503</v>
      </c>
      <c r="F81" s="116" t="s">
        <v>2366</v>
      </c>
      <c r="G81" s="116" t="s">
        <v>427</v>
      </c>
      <c r="H81" s="117">
        <v>1.91</v>
      </c>
      <c r="I81" s="116" t="s">
        <v>218</v>
      </c>
      <c r="J81" s="117" t="s">
        <v>255</v>
      </c>
      <c r="K81" s="116">
        <v>5.1699999999999996E-2</v>
      </c>
      <c r="L81" s="116">
        <v>2.3900000000000001E-2</v>
      </c>
      <c r="M81" s="111">
        <v>37694.959999999999</v>
      </c>
      <c r="N81" s="60">
        <v>158.83000000000001</v>
      </c>
      <c r="O81" s="84">
        <v>59.870899999999999</v>
      </c>
      <c r="P81" s="24">
        <v>1.562812029883727E-3</v>
      </c>
      <c r="Q81" s="24">
        <v>1.1253242001283254E-4</v>
      </c>
      <c r="R81" s="14"/>
    </row>
    <row r="82" spans="1:18" x14ac:dyDescent="0.25">
      <c r="A82" s="16" t="s">
        <v>2674</v>
      </c>
      <c r="B82" s="116" t="s">
        <v>2105</v>
      </c>
      <c r="C82" s="116" t="s">
        <v>2357</v>
      </c>
      <c r="D82" s="116"/>
      <c r="E82" s="116" t="s">
        <v>503</v>
      </c>
      <c r="F82" s="116" t="s">
        <v>2346</v>
      </c>
      <c r="G82" s="116" t="s">
        <v>427</v>
      </c>
      <c r="H82" s="117">
        <v>1.92</v>
      </c>
      <c r="I82" s="116" t="s">
        <v>218</v>
      </c>
      <c r="J82" s="117" t="s">
        <v>255</v>
      </c>
      <c r="K82" s="116">
        <v>3.85E-2</v>
      </c>
      <c r="L82" s="116">
        <v>2.4E-2</v>
      </c>
      <c r="M82" s="111">
        <v>60544.68</v>
      </c>
      <c r="N82" s="60">
        <v>143.87</v>
      </c>
      <c r="O82" s="84">
        <v>87.105630000000005</v>
      </c>
      <c r="P82" s="24">
        <v>2.2737210637321448E-3</v>
      </c>
      <c r="Q82" s="24">
        <v>1.6372239837120182E-4</v>
      </c>
      <c r="R82" s="14"/>
    </row>
    <row r="83" spans="1:18" x14ac:dyDescent="0.25">
      <c r="A83" s="16" t="s">
        <v>2674</v>
      </c>
      <c r="B83" s="116" t="s">
        <v>2105</v>
      </c>
      <c r="C83" s="116" t="s">
        <v>2377</v>
      </c>
      <c r="D83" s="116"/>
      <c r="E83" s="116" t="s">
        <v>503</v>
      </c>
      <c r="F83" s="116" t="s">
        <v>2366</v>
      </c>
      <c r="G83" s="116" t="s">
        <v>427</v>
      </c>
      <c r="H83" s="117">
        <v>1.91</v>
      </c>
      <c r="I83" s="116" t="s">
        <v>218</v>
      </c>
      <c r="J83" s="117" t="s">
        <v>255</v>
      </c>
      <c r="K83" s="116">
        <v>5.1699999999999996E-2</v>
      </c>
      <c r="L83" s="116">
        <v>2.4E-2</v>
      </c>
      <c r="M83" s="111">
        <v>60545.14</v>
      </c>
      <c r="N83" s="60">
        <v>147.87</v>
      </c>
      <c r="O83" s="84">
        <v>89.528089999999992</v>
      </c>
      <c r="P83" s="24">
        <v>2.3369546150886823E-3</v>
      </c>
      <c r="Q83" s="24">
        <v>1.6827561681596019E-4</v>
      </c>
      <c r="R83" s="14"/>
    </row>
    <row r="84" spans="1:18" x14ac:dyDescent="0.25">
      <c r="A84" s="16" t="s">
        <v>2674</v>
      </c>
      <c r="B84" s="116" t="s">
        <v>2105</v>
      </c>
      <c r="C84" s="116" t="s">
        <v>2361</v>
      </c>
      <c r="D84" s="116"/>
      <c r="E84" s="116" t="s">
        <v>503</v>
      </c>
      <c r="F84" s="116" t="s">
        <v>2346</v>
      </c>
      <c r="G84" s="116" t="s">
        <v>427</v>
      </c>
      <c r="H84" s="117">
        <v>1.92</v>
      </c>
      <c r="I84" s="116" t="s">
        <v>218</v>
      </c>
      <c r="J84" s="117" t="s">
        <v>255</v>
      </c>
      <c r="K84" s="116">
        <v>3.85E-2</v>
      </c>
      <c r="L84" s="116">
        <v>2.3900000000000001E-2</v>
      </c>
      <c r="M84" s="111">
        <v>66258.240000000005</v>
      </c>
      <c r="N84" s="60">
        <v>141.62</v>
      </c>
      <c r="O84" s="84">
        <v>93.834910000000008</v>
      </c>
      <c r="P84" s="24">
        <v>2.4493756761808628E-3</v>
      </c>
      <c r="Q84" s="24">
        <v>1.763706492467349E-4</v>
      </c>
      <c r="R84" s="14"/>
    </row>
    <row r="85" spans="1:18" x14ac:dyDescent="0.25">
      <c r="A85" s="16" t="s">
        <v>2674</v>
      </c>
      <c r="B85" s="116" t="s">
        <v>2105</v>
      </c>
      <c r="C85" s="116" t="s">
        <v>2381</v>
      </c>
      <c r="D85" s="116"/>
      <c r="E85" s="116" t="s">
        <v>503</v>
      </c>
      <c r="F85" s="116" t="s">
        <v>2366</v>
      </c>
      <c r="G85" s="116" t="s">
        <v>427</v>
      </c>
      <c r="H85" s="117">
        <v>1.91</v>
      </c>
      <c r="I85" s="116" t="s">
        <v>218</v>
      </c>
      <c r="J85" s="117" t="s">
        <v>255</v>
      </c>
      <c r="K85" s="116">
        <v>5.1699999999999996E-2</v>
      </c>
      <c r="L85" s="116">
        <v>2.3900000000000001E-2</v>
      </c>
      <c r="M85" s="111">
        <v>66258.77</v>
      </c>
      <c r="N85" s="60">
        <v>145.56</v>
      </c>
      <c r="O85" s="84">
        <v>96.446259999999995</v>
      </c>
      <c r="P85" s="24">
        <v>2.5175398292875783E-3</v>
      </c>
      <c r="Q85" s="24">
        <v>1.8127890242149107E-4</v>
      </c>
      <c r="R85" s="14"/>
    </row>
    <row r="86" spans="1:18" x14ac:dyDescent="0.25">
      <c r="A86" s="16" t="s">
        <v>2674</v>
      </c>
      <c r="B86" s="116" t="s">
        <v>2105</v>
      </c>
      <c r="C86" s="116" t="s">
        <v>2354</v>
      </c>
      <c r="D86" s="116"/>
      <c r="E86" s="116" t="s">
        <v>503</v>
      </c>
      <c r="F86" s="116" t="s">
        <v>2346</v>
      </c>
      <c r="G86" s="116" t="s">
        <v>427</v>
      </c>
      <c r="H86" s="117">
        <v>1.92</v>
      </c>
      <c r="I86" s="116" t="s">
        <v>218</v>
      </c>
      <c r="J86" s="117" t="s">
        <v>255</v>
      </c>
      <c r="K86" s="116">
        <v>3.85E-2</v>
      </c>
      <c r="L86" s="116">
        <v>2.3900000000000001E-2</v>
      </c>
      <c r="M86" s="111">
        <v>158000.81</v>
      </c>
      <c r="N86" s="60">
        <v>150.36000000000001</v>
      </c>
      <c r="O86" s="84">
        <v>237.57001</v>
      </c>
      <c r="P86" s="24">
        <v>6.2012976181683808E-3</v>
      </c>
      <c r="Q86" s="24">
        <v>4.4653292580824449E-4</v>
      </c>
      <c r="R86" s="14"/>
    </row>
    <row r="87" spans="1:18" x14ac:dyDescent="0.25">
      <c r="A87" s="16" t="s">
        <v>2674</v>
      </c>
      <c r="B87" s="116" t="s">
        <v>2105</v>
      </c>
      <c r="C87" s="116" t="s">
        <v>2374</v>
      </c>
      <c r="D87" s="116"/>
      <c r="E87" s="116" t="s">
        <v>503</v>
      </c>
      <c r="F87" s="116" t="s">
        <v>2366</v>
      </c>
      <c r="G87" s="116" t="s">
        <v>427</v>
      </c>
      <c r="H87" s="117">
        <v>1.91</v>
      </c>
      <c r="I87" s="116" t="s">
        <v>218</v>
      </c>
      <c r="J87" s="117" t="s">
        <v>255</v>
      </c>
      <c r="K87" s="116">
        <v>5.1699999999999996E-2</v>
      </c>
      <c r="L87" s="116">
        <v>2.4E-2</v>
      </c>
      <c r="M87" s="111">
        <v>157993.01</v>
      </c>
      <c r="N87" s="60">
        <v>154.54</v>
      </c>
      <c r="O87" s="84">
        <v>244.16239000000002</v>
      </c>
      <c r="P87" s="24">
        <v>6.3733787255104268E-3</v>
      </c>
      <c r="Q87" s="24">
        <v>4.5892386155573119E-4</v>
      </c>
      <c r="R87" s="14"/>
    </row>
    <row r="88" spans="1:18" x14ac:dyDescent="0.25">
      <c r="A88" s="16" t="s">
        <v>2674</v>
      </c>
      <c r="B88" s="116" t="s">
        <v>2105</v>
      </c>
      <c r="C88" s="116" t="s">
        <v>2358</v>
      </c>
      <c r="D88" s="116"/>
      <c r="E88" s="116" t="s">
        <v>503</v>
      </c>
      <c r="F88" s="116" t="s">
        <v>2346</v>
      </c>
      <c r="G88" s="116" t="s">
        <v>427</v>
      </c>
      <c r="H88" s="117">
        <v>1.92</v>
      </c>
      <c r="I88" s="116" t="s">
        <v>218</v>
      </c>
      <c r="J88" s="117" t="s">
        <v>255</v>
      </c>
      <c r="K88" s="116">
        <v>3.85E-2</v>
      </c>
      <c r="L88" s="116">
        <v>2.4E-2</v>
      </c>
      <c r="M88" s="111">
        <v>75324.7</v>
      </c>
      <c r="N88" s="60">
        <v>141.61000000000001</v>
      </c>
      <c r="O88" s="84">
        <v>106.6673</v>
      </c>
      <c r="P88" s="24">
        <v>2.7843399654125202E-3</v>
      </c>
      <c r="Q88" s="24">
        <v>2.0049021152571301E-4</v>
      </c>
      <c r="R88" s="14"/>
    </row>
    <row r="89" spans="1:18" x14ac:dyDescent="0.25">
      <c r="A89" s="16" t="s">
        <v>2674</v>
      </c>
      <c r="B89" s="116" t="s">
        <v>2105</v>
      </c>
      <c r="C89" s="116" t="s">
        <v>2378</v>
      </c>
      <c r="D89" s="116"/>
      <c r="E89" s="116" t="s">
        <v>503</v>
      </c>
      <c r="F89" s="116" t="s">
        <v>2366</v>
      </c>
      <c r="G89" s="116" t="s">
        <v>427</v>
      </c>
      <c r="H89" s="117">
        <v>1.91</v>
      </c>
      <c r="I89" s="116" t="s">
        <v>218</v>
      </c>
      <c r="J89" s="117" t="s">
        <v>255</v>
      </c>
      <c r="K89" s="116">
        <v>5.1699999999999996E-2</v>
      </c>
      <c r="L89" s="116">
        <v>2.4E-2</v>
      </c>
      <c r="M89" s="111">
        <v>75325.27</v>
      </c>
      <c r="N89" s="60">
        <v>145.55000000000001</v>
      </c>
      <c r="O89" s="84">
        <v>109.63592999999999</v>
      </c>
      <c r="P89" s="24">
        <v>2.8618302098597178E-3</v>
      </c>
      <c r="Q89" s="24">
        <v>2.0607000267671783E-4</v>
      </c>
      <c r="R89" s="14"/>
    </row>
    <row r="90" spans="1:18" x14ac:dyDescent="0.25">
      <c r="A90" s="16" t="s">
        <v>2674</v>
      </c>
      <c r="B90" s="116" t="s">
        <v>2105</v>
      </c>
      <c r="C90" s="116" t="s">
        <v>2362</v>
      </c>
      <c r="D90" s="116"/>
      <c r="E90" s="116" t="s">
        <v>503</v>
      </c>
      <c r="F90" s="116" t="s">
        <v>2346</v>
      </c>
      <c r="G90" s="116" t="s">
        <v>427</v>
      </c>
      <c r="H90" s="117">
        <v>1.92</v>
      </c>
      <c r="I90" s="116" t="s">
        <v>218</v>
      </c>
      <c r="J90" s="117" t="s">
        <v>255</v>
      </c>
      <c r="K90" s="116">
        <v>3.85E-2</v>
      </c>
      <c r="L90" s="116">
        <v>2.4E-2</v>
      </c>
      <c r="M90" s="111">
        <v>47001.16</v>
      </c>
      <c r="N90" s="60">
        <v>143.16999999999999</v>
      </c>
      <c r="O90" s="84">
        <v>67.291560000000004</v>
      </c>
      <c r="P90" s="24">
        <v>1.7565137567272682E-3</v>
      </c>
      <c r="Q90" s="24">
        <v>1.2648017807046031E-4</v>
      </c>
      <c r="R90" s="14"/>
    </row>
    <row r="91" spans="1:18" x14ac:dyDescent="0.25">
      <c r="A91" s="16" t="s">
        <v>2674</v>
      </c>
      <c r="B91" s="116" t="s">
        <v>2105</v>
      </c>
      <c r="C91" s="116" t="s">
        <v>2382</v>
      </c>
      <c r="D91" s="116"/>
      <c r="E91" s="116" t="s">
        <v>503</v>
      </c>
      <c r="F91" s="116" t="s">
        <v>2366</v>
      </c>
      <c r="G91" s="116" t="s">
        <v>427</v>
      </c>
      <c r="H91" s="117">
        <v>1.91</v>
      </c>
      <c r="I91" s="116" t="s">
        <v>218</v>
      </c>
      <c r="J91" s="117" t="s">
        <v>255</v>
      </c>
      <c r="K91" s="116">
        <v>5.1699999999999996E-2</v>
      </c>
      <c r="L91" s="116">
        <v>2.4E-2</v>
      </c>
      <c r="M91" s="111">
        <v>47001.48</v>
      </c>
      <c r="N91" s="60">
        <v>147.15</v>
      </c>
      <c r="O91" s="84">
        <v>69.162669999999991</v>
      </c>
      <c r="P91" s="24">
        <v>1.8053554012864069E-3</v>
      </c>
      <c r="Q91" s="24">
        <v>1.2999708756088402E-4</v>
      </c>
      <c r="R91" s="14"/>
    </row>
    <row r="92" spans="1:18" x14ac:dyDescent="0.25">
      <c r="A92" s="16" t="s">
        <v>2674</v>
      </c>
      <c r="B92" s="116" t="s">
        <v>2105</v>
      </c>
      <c r="C92" s="116" t="s">
        <v>2356</v>
      </c>
      <c r="D92" s="116"/>
      <c r="E92" s="116" t="s">
        <v>503</v>
      </c>
      <c r="F92" s="116" t="s">
        <v>2346</v>
      </c>
      <c r="G92" s="116" t="s">
        <v>427</v>
      </c>
      <c r="H92" s="117">
        <v>1.92</v>
      </c>
      <c r="I92" s="116" t="s">
        <v>218</v>
      </c>
      <c r="J92" s="117" t="s">
        <v>255</v>
      </c>
      <c r="K92" s="116">
        <v>3.85E-2</v>
      </c>
      <c r="L92" s="116">
        <v>2.4E-2</v>
      </c>
      <c r="M92" s="111">
        <v>77806.850000000006</v>
      </c>
      <c r="N92" s="60">
        <v>148.18</v>
      </c>
      <c r="O92" s="84">
        <v>115.29419</v>
      </c>
      <c r="P92" s="24">
        <v>3.0095279527733855E-3</v>
      </c>
      <c r="Q92" s="24">
        <v>2.167051808828549E-4</v>
      </c>
      <c r="R92" s="14"/>
    </row>
    <row r="93" spans="1:18" x14ac:dyDescent="0.25">
      <c r="A93" s="16" t="s">
        <v>2674</v>
      </c>
      <c r="B93" s="116" t="s">
        <v>2105</v>
      </c>
      <c r="C93" s="116" t="s">
        <v>2376</v>
      </c>
      <c r="D93" s="116"/>
      <c r="E93" s="116" t="s">
        <v>503</v>
      </c>
      <c r="F93" s="116" t="s">
        <v>2366</v>
      </c>
      <c r="G93" s="116" t="s">
        <v>427</v>
      </c>
      <c r="H93" s="117">
        <v>1.91</v>
      </c>
      <c r="I93" s="116" t="s">
        <v>218</v>
      </c>
      <c r="J93" s="117" t="s">
        <v>255</v>
      </c>
      <c r="K93" s="116">
        <v>5.1699999999999996E-2</v>
      </c>
      <c r="L93" s="116">
        <v>2.4E-2</v>
      </c>
      <c r="M93" s="111">
        <v>77807.45</v>
      </c>
      <c r="N93" s="60">
        <v>152.30000000000001</v>
      </c>
      <c r="O93" s="84">
        <v>118.50074000000001</v>
      </c>
      <c r="P93" s="24">
        <v>3.0932286306389876E-3</v>
      </c>
      <c r="Q93" s="24">
        <v>2.2273216279547269E-4</v>
      </c>
      <c r="R93" s="14"/>
    </row>
    <row r="94" spans="1:18" x14ac:dyDescent="0.25">
      <c r="A94" s="16" t="s">
        <v>2674</v>
      </c>
      <c r="B94" s="116" t="s">
        <v>2105</v>
      </c>
      <c r="C94" s="116" t="s">
        <v>2360</v>
      </c>
      <c r="D94" s="116"/>
      <c r="E94" s="116" t="s">
        <v>503</v>
      </c>
      <c r="F94" s="116" t="s">
        <v>2346</v>
      </c>
      <c r="G94" s="116" t="s">
        <v>427</v>
      </c>
      <c r="H94" s="117">
        <v>1.92</v>
      </c>
      <c r="I94" s="116" t="s">
        <v>218</v>
      </c>
      <c r="J94" s="117" t="s">
        <v>255</v>
      </c>
      <c r="K94" s="116">
        <v>3.85E-2</v>
      </c>
      <c r="L94" s="116">
        <v>2.4E-2</v>
      </c>
      <c r="M94" s="111">
        <v>63909.63</v>
      </c>
      <c r="N94" s="60">
        <v>140.91999999999999</v>
      </c>
      <c r="O94" s="84">
        <v>90.061449999999994</v>
      </c>
      <c r="P94" s="24">
        <v>2.3508769283370015E-3</v>
      </c>
      <c r="Q94" s="24">
        <v>1.6927811204382623E-4</v>
      </c>
      <c r="R94" s="14"/>
    </row>
    <row r="95" spans="1:18" x14ac:dyDescent="0.25">
      <c r="A95" s="16" t="s">
        <v>2674</v>
      </c>
      <c r="B95" s="116" t="s">
        <v>2105</v>
      </c>
      <c r="C95" s="116" t="s">
        <v>2380</v>
      </c>
      <c r="D95" s="116"/>
      <c r="E95" s="116" t="s">
        <v>503</v>
      </c>
      <c r="F95" s="116" t="s">
        <v>2366</v>
      </c>
      <c r="G95" s="116" t="s">
        <v>427</v>
      </c>
      <c r="H95" s="117">
        <v>1.91</v>
      </c>
      <c r="I95" s="116" t="s">
        <v>218</v>
      </c>
      <c r="J95" s="117" t="s">
        <v>255</v>
      </c>
      <c r="K95" s="116">
        <v>5.1699999999999996E-2</v>
      </c>
      <c r="L95" s="116">
        <v>2.4E-2</v>
      </c>
      <c r="M95" s="111">
        <v>63910.09</v>
      </c>
      <c r="N95" s="60">
        <v>144.84</v>
      </c>
      <c r="O95" s="84">
        <v>92.567369999999997</v>
      </c>
      <c r="P95" s="24">
        <v>2.4162890387600319E-3</v>
      </c>
      <c r="Q95" s="24">
        <v>1.7398820061704891E-4</v>
      </c>
      <c r="R95" s="14"/>
    </row>
    <row r="96" spans="1:18" x14ac:dyDescent="0.25">
      <c r="A96" s="16" t="s">
        <v>2674</v>
      </c>
      <c r="B96" s="116" t="s">
        <v>2105</v>
      </c>
      <c r="C96" s="116" t="s">
        <v>2351</v>
      </c>
      <c r="D96" s="116"/>
      <c r="E96" s="116" t="s">
        <v>503</v>
      </c>
      <c r="F96" s="116" t="s">
        <v>2346</v>
      </c>
      <c r="G96" s="116" t="s">
        <v>427</v>
      </c>
      <c r="H96" s="117">
        <v>1.92</v>
      </c>
      <c r="I96" s="116" t="s">
        <v>218</v>
      </c>
      <c r="J96" s="117" t="s">
        <v>255</v>
      </c>
      <c r="K96" s="116">
        <v>3.85E-2</v>
      </c>
      <c r="L96" s="116">
        <v>2.3900000000000001E-2</v>
      </c>
      <c r="M96" s="111">
        <v>51164.57</v>
      </c>
      <c r="N96" s="60">
        <v>152.94</v>
      </c>
      <c r="O96" s="84">
        <v>78.251089999999991</v>
      </c>
      <c r="P96" s="24">
        <v>2.0425907210934562E-3</v>
      </c>
      <c r="Q96" s="24">
        <v>1.470795415860119E-4</v>
      </c>
      <c r="R96" s="14"/>
    </row>
    <row r="97" spans="1:18" x14ac:dyDescent="0.25">
      <c r="A97" s="16" t="s">
        <v>2674</v>
      </c>
      <c r="B97" s="116" t="s">
        <v>2105</v>
      </c>
      <c r="C97" s="116" t="s">
        <v>2371</v>
      </c>
      <c r="D97" s="116"/>
      <c r="E97" s="116" t="s">
        <v>503</v>
      </c>
      <c r="F97" s="116" t="s">
        <v>2366</v>
      </c>
      <c r="G97" s="116" t="s">
        <v>427</v>
      </c>
      <c r="H97" s="117">
        <v>1.91</v>
      </c>
      <c r="I97" s="116" t="s">
        <v>218</v>
      </c>
      <c r="J97" s="117" t="s">
        <v>255</v>
      </c>
      <c r="K97" s="116">
        <v>5.1699999999999996E-2</v>
      </c>
      <c r="L97" s="116">
        <v>2.3900000000000001E-2</v>
      </c>
      <c r="M97" s="111">
        <v>51107.39</v>
      </c>
      <c r="N97" s="60">
        <v>157.19</v>
      </c>
      <c r="O97" s="84">
        <v>80.335700000000003</v>
      </c>
      <c r="P97" s="24">
        <v>2.0970053630249437E-3</v>
      </c>
      <c r="Q97" s="24">
        <v>1.5099774238277547E-4</v>
      </c>
      <c r="R97" s="14"/>
    </row>
    <row r="98" spans="1:18" x14ac:dyDescent="0.25">
      <c r="A98" s="16" t="s">
        <v>2674</v>
      </c>
      <c r="B98" s="116" t="s">
        <v>2105</v>
      </c>
      <c r="C98" s="116" t="s">
        <v>2355</v>
      </c>
      <c r="D98" s="116"/>
      <c r="E98" s="116" t="s">
        <v>503</v>
      </c>
      <c r="F98" s="116" t="s">
        <v>2346</v>
      </c>
      <c r="G98" s="116" t="s">
        <v>427</v>
      </c>
      <c r="H98" s="117">
        <v>1.92</v>
      </c>
      <c r="I98" s="116" t="s">
        <v>218</v>
      </c>
      <c r="J98" s="117" t="s">
        <v>255</v>
      </c>
      <c r="K98" s="116">
        <v>3.85E-2</v>
      </c>
      <c r="L98" s="116">
        <v>2.3900000000000001E-2</v>
      </c>
      <c r="M98" s="111">
        <v>104941.46</v>
      </c>
      <c r="N98" s="60">
        <v>150.81</v>
      </c>
      <c r="O98" s="84">
        <v>158.26220999999998</v>
      </c>
      <c r="P98" s="24">
        <v>4.1311235619304982E-3</v>
      </c>
      <c r="Q98" s="24">
        <v>2.9746720840807643E-4</v>
      </c>
      <c r="R98" s="14"/>
    </row>
    <row r="99" spans="1:18" x14ac:dyDescent="0.25">
      <c r="A99" s="16" t="s">
        <v>2674</v>
      </c>
      <c r="B99" s="116" t="s">
        <v>2105</v>
      </c>
      <c r="C99" s="116" t="s">
        <v>2375</v>
      </c>
      <c r="D99" s="116"/>
      <c r="E99" s="116" t="s">
        <v>503</v>
      </c>
      <c r="F99" s="116" t="s">
        <v>2366</v>
      </c>
      <c r="G99" s="116" t="s">
        <v>427</v>
      </c>
      <c r="H99" s="117">
        <v>1.91</v>
      </c>
      <c r="I99" s="116" t="s">
        <v>218</v>
      </c>
      <c r="J99" s="117" t="s">
        <v>255</v>
      </c>
      <c r="K99" s="116">
        <v>5.1699999999999996E-2</v>
      </c>
      <c r="L99" s="116">
        <v>2.3900000000000001E-2</v>
      </c>
      <c r="M99" s="111">
        <v>104942.27</v>
      </c>
      <c r="N99" s="60">
        <v>155</v>
      </c>
      <c r="O99" s="84">
        <v>162.66051000000002</v>
      </c>
      <c r="P99" s="24">
        <v>4.2459325284073274E-3</v>
      </c>
      <c r="Q99" s="24">
        <v>3.0573418523559108E-4</v>
      </c>
      <c r="R99" s="14"/>
    </row>
    <row r="100" spans="1:18" x14ac:dyDescent="0.25">
      <c r="A100" s="16" t="s">
        <v>2674</v>
      </c>
      <c r="B100" s="116" t="s">
        <v>2105</v>
      </c>
      <c r="C100" s="116" t="s">
        <v>2359</v>
      </c>
      <c r="D100" s="116"/>
      <c r="E100" s="116" t="s">
        <v>503</v>
      </c>
      <c r="F100" s="116" t="s">
        <v>2346</v>
      </c>
      <c r="G100" s="116" t="s">
        <v>427</v>
      </c>
      <c r="H100" s="117">
        <v>1.92</v>
      </c>
      <c r="I100" s="116" t="s">
        <v>218</v>
      </c>
      <c r="J100" s="117" t="s">
        <v>255</v>
      </c>
      <c r="K100" s="116">
        <v>3.85E-2</v>
      </c>
      <c r="L100" s="116">
        <v>2.4E-2</v>
      </c>
      <c r="M100" s="111">
        <v>72535.73</v>
      </c>
      <c r="N100" s="60">
        <v>141.35</v>
      </c>
      <c r="O100" s="84">
        <v>102.52925</v>
      </c>
      <c r="P100" s="24">
        <v>2.6763243130628754E-3</v>
      </c>
      <c r="Q100" s="24">
        <v>1.9271239658332696E-4</v>
      </c>
      <c r="R100" s="14"/>
    </row>
    <row r="101" spans="1:18" x14ac:dyDescent="0.25">
      <c r="A101" s="16" t="s">
        <v>2674</v>
      </c>
      <c r="B101" s="116" t="s">
        <v>2105</v>
      </c>
      <c r="C101" s="116" t="s">
        <v>2379</v>
      </c>
      <c r="D101" s="116"/>
      <c r="E101" s="116" t="s">
        <v>503</v>
      </c>
      <c r="F101" s="116" t="s">
        <v>2366</v>
      </c>
      <c r="G101" s="116" t="s">
        <v>427</v>
      </c>
      <c r="H101" s="117">
        <v>1.91</v>
      </c>
      <c r="I101" s="116" t="s">
        <v>218</v>
      </c>
      <c r="J101" s="117" t="s">
        <v>255</v>
      </c>
      <c r="K101" s="116">
        <v>5.1699999999999996E-2</v>
      </c>
      <c r="L101" s="116">
        <v>2.4E-2</v>
      </c>
      <c r="M101" s="111">
        <v>72536.31</v>
      </c>
      <c r="N101" s="60">
        <v>145.28</v>
      </c>
      <c r="O101" s="84">
        <v>105.38075000000001</v>
      </c>
      <c r="P101" s="24">
        <v>2.750757109349777E-3</v>
      </c>
      <c r="Q101" s="24">
        <v>1.9807203199329396E-4</v>
      </c>
      <c r="R101" s="14"/>
    </row>
    <row r="102" spans="1:18" x14ac:dyDescent="0.25">
      <c r="A102" s="16" t="s">
        <v>2674</v>
      </c>
      <c r="B102" s="116" t="s">
        <v>2105</v>
      </c>
      <c r="C102" s="116" t="s">
        <v>2363</v>
      </c>
      <c r="D102" s="116"/>
      <c r="E102" s="116" t="s">
        <v>503</v>
      </c>
      <c r="F102" s="116" t="s">
        <v>2346</v>
      </c>
      <c r="G102" s="116" t="s">
        <v>427</v>
      </c>
      <c r="H102" s="117">
        <v>1.92</v>
      </c>
      <c r="I102" s="116" t="s">
        <v>218</v>
      </c>
      <c r="J102" s="117" t="s">
        <v>255</v>
      </c>
      <c r="K102" s="116">
        <v>3.85E-2</v>
      </c>
      <c r="L102" s="116">
        <v>2.3900000000000001E-2</v>
      </c>
      <c r="M102" s="111">
        <v>28326.32</v>
      </c>
      <c r="N102" s="60">
        <v>144.18</v>
      </c>
      <c r="O102" s="84">
        <v>40.840879999999999</v>
      </c>
      <c r="P102" s="24">
        <v>1.0660708052666269E-3</v>
      </c>
      <c r="Q102" s="24">
        <v>7.6763887996567483E-5</v>
      </c>
      <c r="R102" s="14"/>
    </row>
    <row r="103" spans="1:18" x14ac:dyDescent="0.25">
      <c r="A103" s="16" t="s">
        <v>2674</v>
      </c>
      <c r="B103" s="116" t="s">
        <v>2105</v>
      </c>
      <c r="C103" s="116" t="s">
        <v>2383</v>
      </c>
      <c r="D103" s="116"/>
      <c r="E103" s="116" t="s">
        <v>503</v>
      </c>
      <c r="F103" s="116" t="s">
        <v>2366</v>
      </c>
      <c r="G103" s="116" t="s">
        <v>427</v>
      </c>
      <c r="H103" s="117">
        <v>1.91</v>
      </c>
      <c r="I103" s="116" t="s">
        <v>218</v>
      </c>
      <c r="J103" s="117" t="s">
        <v>255</v>
      </c>
      <c r="K103" s="116">
        <v>5.1699999999999996E-2</v>
      </c>
      <c r="L103" s="116">
        <v>2.3900000000000001E-2</v>
      </c>
      <c r="M103" s="111">
        <v>28326.53</v>
      </c>
      <c r="N103" s="60">
        <v>148.19</v>
      </c>
      <c r="O103" s="84">
        <v>41.977080000000001</v>
      </c>
      <c r="P103" s="24">
        <v>1.0957290704397562E-3</v>
      </c>
      <c r="Q103" s="24">
        <v>7.8899471988432988E-5</v>
      </c>
      <c r="R103" s="14"/>
    </row>
    <row r="104" spans="1:18" x14ac:dyDescent="0.25">
      <c r="A104" s="16" t="s">
        <v>2675</v>
      </c>
      <c r="B104" s="116" t="s">
        <v>2105</v>
      </c>
      <c r="C104" s="116" t="s">
        <v>2389</v>
      </c>
      <c r="D104" s="116"/>
      <c r="E104" s="116" t="s">
        <v>487</v>
      </c>
      <c r="F104" s="116" t="s">
        <v>2390</v>
      </c>
      <c r="G104" s="116" t="s">
        <v>254</v>
      </c>
      <c r="H104" s="117">
        <v>0.33</v>
      </c>
      <c r="I104" s="116" t="s">
        <v>220</v>
      </c>
      <c r="J104" s="117" t="s">
        <v>255</v>
      </c>
      <c r="K104" s="116">
        <v>0.03</v>
      </c>
      <c r="L104" s="116">
        <v>3.0299999999999997E-2</v>
      </c>
      <c r="M104" s="111">
        <v>202355.65</v>
      </c>
      <c r="N104" s="60">
        <v>113.02</v>
      </c>
      <c r="O104" s="84">
        <v>228.70235</v>
      </c>
      <c r="P104" s="24">
        <v>5.9698248037473728E-3</v>
      </c>
      <c r="Q104" s="24">
        <v>4.2986540887345655E-4</v>
      </c>
      <c r="R104" s="14"/>
    </row>
    <row r="105" spans="1:18" x14ac:dyDescent="0.25">
      <c r="A105" s="16" t="s">
        <v>2676</v>
      </c>
      <c r="B105" s="116" t="s">
        <v>2105</v>
      </c>
      <c r="C105" s="116" t="s">
        <v>2391</v>
      </c>
      <c r="D105" s="116"/>
      <c r="E105" s="116" t="s">
        <v>487</v>
      </c>
      <c r="F105" s="116" t="s">
        <v>2390</v>
      </c>
      <c r="G105" s="116" t="s">
        <v>254</v>
      </c>
      <c r="H105" s="117">
        <v>0.33</v>
      </c>
      <c r="I105" s="116" t="s">
        <v>220</v>
      </c>
      <c r="J105" s="117" t="s">
        <v>255</v>
      </c>
      <c r="K105" s="116">
        <v>0.03</v>
      </c>
      <c r="L105" s="116">
        <v>3.0299999999999997E-2</v>
      </c>
      <c r="M105" s="111">
        <v>202355.65</v>
      </c>
      <c r="N105" s="60">
        <v>113.02</v>
      </c>
      <c r="O105" s="84">
        <v>228.70235</v>
      </c>
      <c r="P105" s="24">
        <v>5.9698248037473728E-3</v>
      </c>
      <c r="Q105" s="24">
        <v>4.2986540887345655E-4</v>
      </c>
      <c r="R105" s="14"/>
    </row>
    <row r="106" spans="1:18" x14ac:dyDescent="0.25">
      <c r="A106" s="16" t="s">
        <v>2675</v>
      </c>
      <c r="B106" s="116" t="s">
        <v>2105</v>
      </c>
      <c r="C106" s="116" t="s">
        <v>2314</v>
      </c>
      <c r="D106" s="116"/>
      <c r="E106" s="116" t="s">
        <v>487</v>
      </c>
      <c r="F106" s="116" t="s">
        <v>2315</v>
      </c>
      <c r="G106" s="116" t="s">
        <v>254</v>
      </c>
      <c r="H106" s="117">
        <v>0.34</v>
      </c>
      <c r="I106" s="116" t="s">
        <v>220</v>
      </c>
      <c r="J106" s="117" t="s">
        <v>255</v>
      </c>
      <c r="K106" s="116">
        <v>0.03</v>
      </c>
      <c r="L106" s="116">
        <v>3.0499999999999999E-2</v>
      </c>
      <c r="M106" s="111">
        <v>1245306.97</v>
      </c>
      <c r="N106" s="60">
        <v>111.55</v>
      </c>
      <c r="O106" s="84">
        <v>1389.1399199999998</v>
      </c>
      <c r="P106" s="24">
        <v>3.6260764046769263E-2</v>
      </c>
      <c r="Q106" s="24">
        <v>2.6110059633984552E-3</v>
      </c>
      <c r="R106" s="14"/>
    </row>
    <row r="107" spans="1:18" x14ac:dyDescent="0.25">
      <c r="A107" s="16" t="s">
        <v>2676</v>
      </c>
      <c r="B107" s="116" t="s">
        <v>2105</v>
      </c>
      <c r="C107" s="116" t="s">
        <v>2316</v>
      </c>
      <c r="D107" s="116"/>
      <c r="E107" s="116" t="s">
        <v>487</v>
      </c>
      <c r="F107" s="116" t="s">
        <v>2315</v>
      </c>
      <c r="G107" s="116" t="s">
        <v>254</v>
      </c>
      <c r="H107" s="117">
        <v>0.34</v>
      </c>
      <c r="I107" s="116" t="s">
        <v>220</v>
      </c>
      <c r="J107" s="117" t="s">
        <v>255</v>
      </c>
      <c r="K107" s="116">
        <v>0.03</v>
      </c>
      <c r="L107" s="116">
        <v>3.0499999999999999E-2</v>
      </c>
      <c r="M107" s="111">
        <v>1245306.97</v>
      </c>
      <c r="N107" s="60">
        <v>111.55</v>
      </c>
      <c r="O107" s="84">
        <v>1389.1399199999998</v>
      </c>
      <c r="P107" s="24">
        <v>3.6260764046769263E-2</v>
      </c>
      <c r="Q107" s="24">
        <v>2.6110059633984552E-3</v>
      </c>
      <c r="R107" s="14"/>
    </row>
    <row r="108" spans="1:18" x14ac:dyDescent="0.25">
      <c r="A108" s="16" t="s">
        <v>2677</v>
      </c>
      <c r="B108" s="217" t="s">
        <v>2729</v>
      </c>
      <c r="C108" s="116" t="s">
        <v>2434</v>
      </c>
      <c r="D108" s="116"/>
      <c r="E108" s="116" t="s">
        <v>367</v>
      </c>
      <c r="F108" s="116" t="s">
        <v>2435</v>
      </c>
      <c r="G108" s="116" t="s">
        <v>2194</v>
      </c>
      <c r="H108" s="117">
        <v>4.3099999999999996</v>
      </c>
      <c r="I108" s="116" t="s">
        <v>223</v>
      </c>
      <c r="J108" s="117" t="s">
        <v>255</v>
      </c>
      <c r="K108" s="116">
        <v>6.9999999999999993E-3</v>
      </c>
      <c r="L108" s="116">
        <v>3.85E-2</v>
      </c>
      <c r="M108" s="111">
        <v>20321.808052027402</v>
      </c>
      <c r="N108" s="60">
        <v>96.49</v>
      </c>
      <c r="O108" s="84">
        <v>19.608509999999999</v>
      </c>
      <c r="P108" s="24">
        <v>5.1184156770810781E-4</v>
      </c>
      <c r="Q108" s="24">
        <v>3.6855852895911481E-5</v>
      </c>
      <c r="R108" s="14"/>
    </row>
    <row r="109" spans="1:18" x14ac:dyDescent="0.25">
      <c r="A109" s="16" t="s">
        <v>2678</v>
      </c>
      <c r="B109" s="116" t="s">
        <v>2105</v>
      </c>
      <c r="C109" s="116" t="s">
        <v>2260</v>
      </c>
      <c r="D109" s="116"/>
      <c r="E109" s="116" t="s">
        <v>443</v>
      </c>
      <c r="F109" s="116" t="s">
        <v>2261</v>
      </c>
      <c r="G109" s="116" t="s">
        <v>254</v>
      </c>
      <c r="H109" s="117">
        <v>2.73</v>
      </c>
      <c r="I109" s="116" t="s">
        <v>204</v>
      </c>
      <c r="J109" s="117" t="s">
        <v>255</v>
      </c>
      <c r="K109" s="116">
        <v>3.4799999999999998E-2</v>
      </c>
      <c r="L109" s="116">
        <v>3.7499999999999999E-2</v>
      </c>
      <c r="M109" s="111">
        <v>3686401.95</v>
      </c>
      <c r="N109" s="60">
        <v>112.88</v>
      </c>
      <c r="O109" s="84">
        <v>4161.2105199999996</v>
      </c>
      <c r="P109" s="24">
        <v>0.10862021214871863</v>
      </c>
      <c r="Q109" s="24">
        <v>7.8213470984811861E-3</v>
      </c>
      <c r="R109" s="14"/>
    </row>
    <row r="110" spans="1:18" x14ac:dyDescent="0.25">
      <c r="A110" s="16" t="s">
        <v>2679</v>
      </c>
      <c r="B110" s="116" t="s">
        <v>2105</v>
      </c>
      <c r="C110" s="116" t="s">
        <v>2474</v>
      </c>
      <c r="D110" s="116"/>
      <c r="E110" s="116" t="s">
        <v>523</v>
      </c>
      <c r="F110" s="116" t="s">
        <v>2475</v>
      </c>
      <c r="G110" s="116" t="s">
        <v>427</v>
      </c>
      <c r="H110" s="117">
        <v>3.51</v>
      </c>
      <c r="I110" s="116" t="s">
        <v>204</v>
      </c>
      <c r="J110" s="117" t="s">
        <v>126</v>
      </c>
      <c r="K110" s="116">
        <v>5.2549999523162839E-2</v>
      </c>
      <c r="L110" s="116">
        <v>4.9500000000000002E-2</v>
      </c>
      <c r="M110" s="111">
        <v>57305.59</v>
      </c>
      <c r="N110" s="60">
        <v>99.93</v>
      </c>
      <c r="O110" s="84">
        <v>232.1027</v>
      </c>
      <c r="P110" s="24">
        <v>6.0585842492512009E-3</v>
      </c>
      <c r="Q110" s="24">
        <v>4.3625665427632566E-4</v>
      </c>
      <c r="R110" s="14"/>
    </row>
    <row r="111" spans="1:18" x14ac:dyDescent="0.25">
      <c r="A111" s="16" t="s">
        <v>2680</v>
      </c>
      <c r="B111" s="217" t="s">
        <v>2729</v>
      </c>
      <c r="C111" s="116" t="s">
        <v>2427</v>
      </c>
      <c r="D111" s="116"/>
      <c r="E111" s="116" t="s">
        <v>2428</v>
      </c>
      <c r="F111" s="116" t="s">
        <v>2429</v>
      </c>
      <c r="G111" s="116" t="s">
        <v>2194</v>
      </c>
      <c r="H111" s="117">
        <v>3.86</v>
      </c>
      <c r="I111" s="116" t="s">
        <v>220</v>
      </c>
      <c r="J111" s="117" t="s">
        <v>255</v>
      </c>
      <c r="K111" s="116">
        <v>3.95E-2</v>
      </c>
      <c r="L111" s="116">
        <v>2.8799999999999999E-2</v>
      </c>
      <c r="M111" s="111">
        <v>827786.17</v>
      </c>
      <c r="N111" s="60">
        <v>116.89</v>
      </c>
      <c r="O111" s="84">
        <v>967.59924999999998</v>
      </c>
      <c r="P111" s="24">
        <v>2.5257274368791379E-2</v>
      </c>
      <c r="Q111" s="24">
        <v>1.8186846231658745E-3</v>
      </c>
      <c r="R111" s="14"/>
    </row>
    <row r="112" spans="1:18" x14ac:dyDescent="0.25">
      <c r="A112" s="16" t="s">
        <v>2680</v>
      </c>
      <c r="B112" s="217" t="s">
        <v>2729</v>
      </c>
      <c r="C112" s="116" t="s">
        <v>2430</v>
      </c>
      <c r="D112" s="116"/>
      <c r="E112" s="116" t="s">
        <v>2428</v>
      </c>
      <c r="F112" s="116" t="s">
        <v>2429</v>
      </c>
      <c r="G112" s="116" t="s">
        <v>2194</v>
      </c>
      <c r="H112" s="117">
        <v>4.22</v>
      </c>
      <c r="I112" s="116" t="s">
        <v>220</v>
      </c>
      <c r="J112" s="117" t="s">
        <v>255</v>
      </c>
      <c r="K112" s="116">
        <v>3.95E-2</v>
      </c>
      <c r="L112" s="116">
        <v>2.8900000000000002E-2</v>
      </c>
      <c r="M112" s="111">
        <v>152359.24</v>
      </c>
      <c r="N112" s="60">
        <v>117.28</v>
      </c>
      <c r="O112" s="84">
        <v>178.68691000000001</v>
      </c>
      <c r="P112" s="24">
        <v>4.664270163480937E-3</v>
      </c>
      <c r="Q112" s="24">
        <v>3.358571594366413E-4</v>
      </c>
      <c r="R112" s="14"/>
    </row>
    <row r="113" spans="1:18" x14ac:dyDescent="0.25">
      <c r="A113" s="16" t="s">
        <v>2681</v>
      </c>
      <c r="B113" s="116" t="s">
        <v>2105</v>
      </c>
      <c r="C113" s="116" t="s">
        <v>2341</v>
      </c>
      <c r="D113" s="116"/>
      <c r="E113" s="116" t="s">
        <v>435</v>
      </c>
      <c r="F113" s="116" t="s">
        <v>2342</v>
      </c>
      <c r="G113" s="116" t="s">
        <v>254</v>
      </c>
      <c r="H113" s="117">
        <v>3.67</v>
      </c>
      <c r="I113" s="116" t="s">
        <v>211</v>
      </c>
      <c r="J113" s="117" t="s">
        <v>255</v>
      </c>
      <c r="K113" s="116">
        <v>5.0999999999999997E-2</v>
      </c>
      <c r="L113" s="116">
        <v>2.8500000000000001E-2</v>
      </c>
      <c r="M113" s="111">
        <v>328911.78000000003</v>
      </c>
      <c r="N113" s="60">
        <v>124.31</v>
      </c>
      <c r="O113" s="84">
        <v>408.87022999999999</v>
      </c>
      <c r="P113" s="24">
        <v>1.0672752774809235E-2</v>
      </c>
      <c r="Q113" s="24">
        <v>7.6850617667520351E-4</v>
      </c>
      <c r="R113" s="14"/>
    </row>
    <row r="114" spans="1:18" x14ac:dyDescent="0.25">
      <c r="A114" s="16" t="s">
        <v>2681</v>
      </c>
      <c r="B114" s="116" t="s">
        <v>2105</v>
      </c>
      <c r="C114" s="116" t="s">
        <v>2312</v>
      </c>
      <c r="D114" s="116"/>
      <c r="E114" s="116" t="s">
        <v>435</v>
      </c>
      <c r="F114" s="116" t="s">
        <v>2313</v>
      </c>
      <c r="G114" s="116" t="s">
        <v>254</v>
      </c>
      <c r="H114" s="117">
        <v>3.67</v>
      </c>
      <c r="I114" s="116" t="s">
        <v>211</v>
      </c>
      <c r="J114" s="117" t="s">
        <v>255</v>
      </c>
      <c r="K114" s="116">
        <v>5.0999999999999997E-2</v>
      </c>
      <c r="L114" s="116">
        <v>2.8500000000000001E-2</v>
      </c>
      <c r="M114" s="111">
        <v>136993.79999999999</v>
      </c>
      <c r="N114" s="60">
        <v>122.72</v>
      </c>
      <c r="O114" s="84">
        <v>168.11879000000002</v>
      </c>
      <c r="P114" s="24">
        <v>4.3884101869438412E-3</v>
      </c>
      <c r="Q114" s="24">
        <v>3.1599348411881555E-4</v>
      </c>
      <c r="R114" s="14"/>
    </row>
    <row r="115" spans="1:18" x14ac:dyDescent="0.25">
      <c r="A115" s="16" t="s">
        <v>2681</v>
      </c>
      <c r="B115" s="116" t="s">
        <v>2105</v>
      </c>
      <c r="C115" s="116" t="s">
        <v>2317</v>
      </c>
      <c r="D115" s="116"/>
      <c r="E115" s="116" t="s">
        <v>435</v>
      </c>
      <c r="F115" s="116" t="s">
        <v>2318</v>
      </c>
      <c r="G115" s="116" t="s">
        <v>254</v>
      </c>
      <c r="H115" s="117">
        <v>3.67</v>
      </c>
      <c r="I115" s="116" t="s">
        <v>211</v>
      </c>
      <c r="J115" s="117" t="s">
        <v>255</v>
      </c>
      <c r="K115" s="116">
        <v>5.0999999999999997E-2</v>
      </c>
      <c r="L115" s="116">
        <v>2.8500000000000001E-2</v>
      </c>
      <c r="M115" s="111">
        <v>267634.03000000003</v>
      </c>
      <c r="N115" s="60">
        <v>123.81</v>
      </c>
      <c r="O115" s="84">
        <v>331.35768999999999</v>
      </c>
      <c r="P115" s="24">
        <v>8.6494404481389578E-3</v>
      </c>
      <c r="Q115" s="24">
        <v>6.2281480227559564E-4</v>
      </c>
      <c r="R115" s="14"/>
    </row>
    <row r="116" spans="1:18" x14ac:dyDescent="0.25">
      <c r="A116" s="16" t="s">
        <v>2681</v>
      </c>
      <c r="B116" s="116" t="s">
        <v>2105</v>
      </c>
      <c r="C116" s="116" t="s">
        <v>2271</v>
      </c>
      <c r="D116" s="116"/>
      <c r="E116" s="116" t="s">
        <v>435</v>
      </c>
      <c r="F116" s="116" t="s">
        <v>2267</v>
      </c>
      <c r="G116" s="116" t="s">
        <v>254</v>
      </c>
      <c r="H116" s="117">
        <v>3.67</v>
      </c>
      <c r="I116" s="116" t="s">
        <v>211</v>
      </c>
      <c r="J116" s="117" t="s">
        <v>255</v>
      </c>
      <c r="K116" s="116">
        <v>5.0999999999999997E-2</v>
      </c>
      <c r="L116" s="116">
        <v>2.8500000000000001E-2</v>
      </c>
      <c r="M116" s="111">
        <v>100073.93</v>
      </c>
      <c r="N116" s="60">
        <v>125.16</v>
      </c>
      <c r="O116" s="84">
        <v>125.25252999999999</v>
      </c>
      <c r="P116" s="24">
        <v>3.2694708223422798E-3</v>
      </c>
      <c r="Q116" s="24">
        <v>2.3542272311974445E-4</v>
      </c>
      <c r="R116" s="14"/>
    </row>
    <row r="117" spans="1:18" x14ac:dyDescent="0.25">
      <c r="A117" s="16" t="s">
        <v>2681</v>
      </c>
      <c r="B117" s="116" t="s">
        <v>2105</v>
      </c>
      <c r="C117" s="116" t="s">
        <v>2272</v>
      </c>
      <c r="D117" s="116"/>
      <c r="E117" s="116" t="s">
        <v>435</v>
      </c>
      <c r="F117" s="116" t="s">
        <v>2267</v>
      </c>
      <c r="G117" s="116" t="s">
        <v>254</v>
      </c>
      <c r="H117" s="117">
        <v>3.67</v>
      </c>
      <c r="I117" s="116" t="s">
        <v>211</v>
      </c>
      <c r="J117" s="117" t="s">
        <v>255</v>
      </c>
      <c r="K117" s="116">
        <v>5.0999999999999997E-2</v>
      </c>
      <c r="L117" s="116">
        <v>2.8500000000000001E-2</v>
      </c>
      <c r="M117" s="111">
        <v>184143.02</v>
      </c>
      <c r="N117" s="60">
        <v>125.16</v>
      </c>
      <c r="O117" s="84">
        <v>230.4734</v>
      </c>
      <c r="P117" s="24">
        <v>6.0160545789056811E-3</v>
      </c>
      <c r="Q117" s="24">
        <v>4.3319424713150393E-4</v>
      </c>
      <c r="R117" s="14"/>
    </row>
    <row r="118" spans="1:18" x14ac:dyDescent="0.25">
      <c r="A118" s="16" t="s">
        <v>2681</v>
      </c>
      <c r="B118" s="116" t="s">
        <v>2105</v>
      </c>
      <c r="C118" s="116" t="s">
        <v>2264</v>
      </c>
      <c r="D118" s="116"/>
      <c r="E118" s="116" t="s">
        <v>435</v>
      </c>
      <c r="F118" s="116" t="s">
        <v>2265</v>
      </c>
      <c r="G118" s="116" t="s">
        <v>254</v>
      </c>
      <c r="H118" s="117">
        <v>3.68</v>
      </c>
      <c r="I118" s="116" t="s">
        <v>211</v>
      </c>
      <c r="J118" s="117" t="s">
        <v>255</v>
      </c>
      <c r="K118" s="116">
        <v>5.0999999999999997E-2</v>
      </c>
      <c r="L118" s="116">
        <v>2.5099999999999997E-2</v>
      </c>
      <c r="M118" s="111">
        <v>1656340.64</v>
      </c>
      <c r="N118" s="60">
        <v>131.08000000000001</v>
      </c>
      <c r="O118" s="84">
        <v>2171.1313100000002</v>
      </c>
      <c r="P118" s="24">
        <v>5.6673110471451328E-2</v>
      </c>
      <c r="Q118" s="24">
        <v>4.0808249162770449E-3</v>
      </c>
      <c r="R118" s="14"/>
    </row>
    <row r="119" spans="1:18" x14ac:dyDescent="0.25">
      <c r="A119" s="16" t="s">
        <v>2681</v>
      </c>
      <c r="B119" s="116" t="s">
        <v>2105</v>
      </c>
      <c r="C119" s="116" t="s">
        <v>2269</v>
      </c>
      <c r="D119" s="116"/>
      <c r="E119" s="116" t="s">
        <v>435</v>
      </c>
      <c r="F119" s="116" t="s">
        <v>2267</v>
      </c>
      <c r="G119" s="116" t="s">
        <v>254</v>
      </c>
      <c r="H119" s="117">
        <v>3.67</v>
      </c>
      <c r="I119" s="116" t="s">
        <v>211</v>
      </c>
      <c r="J119" s="117" t="s">
        <v>255</v>
      </c>
      <c r="K119" s="116">
        <v>5.1299999999999998E-2</v>
      </c>
      <c r="L119" s="116">
        <v>2.8500000000000001E-2</v>
      </c>
      <c r="M119" s="111">
        <v>244125.58</v>
      </c>
      <c r="N119" s="60">
        <v>126.89</v>
      </c>
      <c r="O119" s="84">
        <v>309.77094</v>
      </c>
      <c r="P119" s="24">
        <v>8.085960818033304E-3</v>
      </c>
      <c r="Q119" s="24">
        <v>5.8224067999395278E-4</v>
      </c>
      <c r="R119" s="14"/>
    </row>
    <row r="120" spans="1:18" x14ac:dyDescent="0.25">
      <c r="A120" s="16" t="s">
        <v>2681</v>
      </c>
      <c r="B120" s="116" t="s">
        <v>2105</v>
      </c>
      <c r="C120" s="116" t="s">
        <v>2270</v>
      </c>
      <c r="D120" s="116"/>
      <c r="E120" s="116" t="s">
        <v>435</v>
      </c>
      <c r="F120" s="116" t="s">
        <v>2267</v>
      </c>
      <c r="G120" s="116" t="s">
        <v>254</v>
      </c>
      <c r="H120" s="117">
        <v>3.66</v>
      </c>
      <c r="I120" s="116" t="s">
        <v>211</v>
      </c>
      <c r="J120" s="117" t="s">
        <v>255</v>
      </c>
      <c r="K120" s="116">
        <v>5.1500000000000004E-2</v>
      </c>
      <c r="L120" s="116">
        <v>2.8500000000000001E-2</v>
      </c>
      <c r="M120" s="111">
        <v>142074.88</v>
      </c>
      <c r="N120" s="60">
        <v>126.96</v>
      </c>
      <c r="O120" s="84">
        <v>180.37826000000001</v>
      </c>
      <c r="P120" s="24">
        <v>4.7084195269737833E-3</v>
      </c>
      <c r="Q120" s="24">
        <v>3.3903619480421895E-4</v>
      </c>
      <c r="R120" s="14"/>
    </row>
    <row r="121" spans="1:18" x14ac:dyDescent="0.25">
      <c r="A121" s="16" t="s">
        <v>2681</v>
      </c>
      <c r="B121" s="116" t="s">
        <v>2105</v>
      </c>
      <c r="C121" s="116" t="s">
        <v>2273</v>
      </c>
      <c r="D121" s="116"/>
      <c r="E121" s="116" t="s">
        <v>435</v>
      </c>
      <c r="F121" s="116" t="s">
        <v>2267</v>
      </c>
      <c r="G121" s="116" t="s">
        <v>254</v>
      </c>
      <c r="H121" s="117">
        <v>3.67</v>
      </c>
      <c r="I121" s="116" t="s">
        <v>211</v>
      </c>
      <c r="J121" s="117" t="s">
        <v>255</v>
      </c>
      <c r="K121" s="116">
        <v>5.0999999999999997E-2</v>
      </c>
      <c r="L121" s="116">
        <v>2.86E-2</v>
      </c>
      <c r="M121" s="111">
        <v>81657.81</v>
      </c>
      <c r="N121" s="60">
        <v>125.47</v>
      </c>
      <c r="O121" s="84">
        <v>102.45605</v>
      </c>
      <c r="P121" s="24">
        <v>2.6744135711066416E-3</v>
      </c>
      <c r="Q121" s="24">
        <v>1.9257481099258189E-4</v>
      </c>
      <c r="R121" s="14"/>
    </row>
    <row r="122" spans="1:18" x14ac:dyDescent="0.25">
      <c r="A122" s="16" t="s">
        <v>2681</v>
      </c>
      <c r="B122" s="116" t="s">
        <v>2105</v>
      </c>
      <c r="C122" s="116" t="s">
        <v>2274</v>
      </c>
      <c r="D122" s="116"/>
      <c r="E122" s="116" t="s">
        <v>435</v>
      </c>
      <c r="F122" s="116" t="s">
        <v>2267</v>
      </c>
      <c r="G122" s="116" t="s">
        <v>254</v>
      </c>
      <c r="H122" s="117">
        <v>3.67</v>
      </c>
      <c r="I122" s="116" t="s">
        <v>211</v>
      </c>
      <c r="J122" s="117" t="s">
        <v>255</v>
      </c>
      <c r="K122" s="116">
        <v>5.0999999999999997E-2</v>
      </c>
      <c r="L122" s="116">
        <v>2.8500000000000001E-2</v>
      </c>
      <c r="M122" s="111">
        <v>102971.13</v>
      </c>
      <c r="N122" s="60">
        <v>124.1</v>
      </c>
      <c r="O122" s="84">
        <v>127.78717</v>
      </c>
      <c r="P122" s="24">
        <v>3.3356326118497781E-3</v>
      </c>
      <c r="Q122" s="24">
        <v>2.4018679336190426E-4</v>
      </c>
      <c r="R122" s="14"/>
    </row>
    <row r="123" spans="1:18" x14ac:dyDescent="0.25">
      <c r="A123" s="16" t="s">
        <v>2681</v>
      </c>
      <c r="B123" s="116" t="s">
        <v>2105</v>
      </c>
      <c r="C123" s="116" t="s">
        <v>2275</v>
      </c>
      <c r="D123" s="116"/>
      <c r="E123" s="116" t="s">
        <v>435</v>
      </c>
      <c r="F123" s="116" t="s">
        <v>2267</v>
      </c>
      <c r="G123" s="116" t="s">
        <v>254</v>
      </c>
      <c r="H123" s="117">
        <v>3.68</v>
      </c>
      <c r="I123" s="116" t="s">
        <v>211</v>
      </c>
      <c r="J123" s="117" t="s">
        <v>255</v>
      </c>
      <c r="K123" s="116">
        <v>5.0999999999999997E-2</v>
      </c>
      <c r="L123" s="116">
        <v>2.5000000000000001E-2</v>
      </c>
      <c r="M123" s="111">
        <v>23543.11</v>
      </c>
      <c r="N123" s="60">
        <v>125.65</v>
      </c>
      <c r="O123" s="84">
        <v>29.581919999999997</v>
      </c>
      <c r="P123" s="24">
        <v>7.7217780997209024E-4</v>
      </c>
      <c r="Q123" s="24">
        <v>5.5601720472316449E-5</v>
      </c>
      <c r="R123" s="14"/>
    </row>
    <row r="124" spans="1:18" x14ac:dyDescent="0.25">
      <c r="A124" s="16" t="s">
        <v>2681</v>
      </c>
      <c r="B124" s="116" t="s">
        <v>2105</v>
      </c>
      <c r="C124" s="116" t="s">
        <v>2276</v>
      </c>
      <c r="D124" s="116"/>
      <c r="E124" s="116" t="s">
        <v>435</v>
      </c>
      <c r="F124" s="116" t="s">
        <v>2267</v>
      </c>
      <c r="G124" s="116" t="s">
        <v>254</v>
      </c>
      <c r="H124" s="117">
        <v>3.67</v>
      </c>
      <c r="I124" s="116" t="s">
        <v>211</v>
      </c>
      <c r="J124" s="117" t="s">
        <v>255</v>
      </c>
      <c r="K124" s="116">
        <v>5.0999999999999997E-2</v>
      </c>
      <c r="L124" s="116">
        <v>2.8500000000000001E-2</v>
      </c>
      <c r="M124" s="111">
        <v>207771.57</v>
      </c>
      <c r="N124" s="60">
        <v>124.34</v>
      </c>
      <c r="O124" s="84">
        <v>258.34316999999999</v>
      </c>
      <c r="P124" s="24">
        <v>6.7435400823153933E-3</v>
      </c>
      <c r="Q124" s="24">
        <v>4.8557783687712392E-4</v>
      </c>
      <c r="R124" s="14"/>
    </row>
    <row r="125" spans="1:18" x14ac:dyDescent="0.25">
      <c r="A125" s="16" t="s">
        <v>2681</v>
      </c>
      <c r="B125" s="116" t="s">
        <v>2105</v>
      </c>
      <c r="C125" s="116" t="s">
        <v>2277</v>
      </c>
      <c r="D125" s="116"/>
      <c r="E125" s="116" t="s">
        <v>435</v>
      </c>
      <c r="F125" s="116" t="s">
        <v>2267</v>
      </c>
      <c r="G125" s="116" t="s">
        <v>254</v>
      </c>
      <c r="H125" s="117">
        <v>3.68</v>
      </c>
      <c r="I125" s="116" t="s">
        <v>211</v>
      </c>
      <c r="J125" s="117" t="s">
        <v>255</v>
      </c>
      <c r="K125" s="116">
        <v>5.0999999999999997E-2</v>
      </c>
      <c r="L125" s="116">
        <v>2.5099999999999997E-2</v>
      </c>
      <c r="M125" s="111">
        <v>56527.21</v>
      </c>
      <c r="N125" s="60">
        <v>126.47</v>
      </c>
      <c r="O125" s="84">
        <v>71.489960000000011</v>
      </c>
      <c r="P125" s="24">
        <v>1.8661047270695187E-3</v>
      </c>
      <c r="Q125" s="24">
        <v>1.3437142594182816E-4</v>
      </c>
      <c r="R125" s="14"/>
    </row>
    <row r="126" spans="1:18" x14ac:dyDescent="0.25">
      <c r="A126" s="16" t="s">
        <v>2681</v>
      </c>
      <c r="B126" s="116" t="s">
        <v>2105</v>
      </c>
      <c r="C126" s="116" t="s">
        <v>2278</v>
      </c>
      <c r="D126" s="116"/>
      <c r="E126" s="116" t="s">
        <v>435</v>
      </c>
      <c r="F126" s="116" t="s">
        <v>2267</v>
      </c>
      <c r="G126" s="116" t="s">
        <v>254</v>
      </c>
      <c r="H126" s="117">
        <v>3.67</v>
      </c>
      <c r="I126" s="116" t="s">
        <v>211</v>
      </c>
      <c r="J126" s="117" t="s">
        <v>255</v>
      </c>
      <c r="K126" s="116">
        <v>5.0999999999999997E-2</v>
      </c>
      <c r="L126" s="116">
        <v>2.8500000000000001E-2</v>
      </c>
      <c r="M126" s="111">
        <v>114384.82</v>
      </c>
      <c r="N126" s="60">
        <v>124.68</v>
      </c>
      <c r="O126" s="84">
        <v>142.61498999999998</v>
      </c>
      <c r="P126" s="24">
        <v>3.7226836746023094E-3</v>
      </c>
      <c r="Q126" s="24">
        <v>2.6805693508542399E-4</v>
      </c>
      <c r="R126" s="14"/>
    </row>
    <row r="127" spans="1:18" x14ac:dyDescent="0.25">
      <c r="A127" s="16" t="s">
        <v>2681</v>
      </c>
      <c r="B127" s="116" t="s">
        <v>2105</v>
      </c>
      <c r="C127" s="116" t="s">
        <v>2279</v>
      </c>
      <c r="D127" s="116"/>
      <c r="E127" s="116" t="s">
        <v>435</v>
      </c>
      <c r="F127" s="116" t="s">
        <v>2267</v>
      </c>
      <c r="G127" s="116" t="s">
        <v>254</v>
      </c>
      <c r="H127" s="117">
        <v>3.67</v>
      </c>
      <c r="I127" s="116" t="s">
        <v>211</v>
      </c>
      <c r="J127" s="117" t="s">
        <v>255</v>
      </c>
      <c r="K127" s="116">
        <v>5.0999999999999997E-2</v>
      </c>
      <c r="L127" s="116">
        <v>2.8500000000000001E-2</v>
      </c>
      <c r="M127" s="111">
        <v>177315.55</v>
      </c>
      <c r="N127" s="60">
        <v>124.91</v>
      </c>
      <c r="O127" s="84">
        <v>221.48484999999999</v>
      </c>
      <c r="P127" s="24">
        <v>5.7814261689233459E-3</v>
      </c>
      <c r="Q127" s="24">
        <v>4.1629950721768356E-4</v>
      </c>
      <c r="R127" s="14"/>
    </row>
    <row r="128" spans="1:18" x14ac:dyDescent="0.25">
      <c r="A128" s="16" t="s">
        <v>2681</v>
      </c>
      <c r="B128" s="116" t="s">
        <v>2105</v>
      </c>
      <c r="C128" s="116" t="s">
        <v>2280</v>
      </c>
      <c r="D128" s="116"/>
      <c r="E128" s="116" t="s">
        <v>435</v>
      </c>
      <c r="F128" s="116" t="s">
        <v>2267</v>
      </c>
      <c r="G128" s="116" t="s">
        <v>254</v>
      </c>
      <c r="H128" s="117">
        <v>3.68</v>
      </c>
      <c r="I128" s="116" t="s">
        <v>211</v>
      </c>
      <c r="J128" s="117" t="s">
        <v>255</v>
      </c>
      <c r="K128" s="116">
        <v>5.0999999999999997E-2</v>
      </c>
      <c r="L128" s="116">
        <v>2.5099999999999997E-2</v>
      </c>
      <c r="M128" s="111">
        <v>77614.03</v>
      </c>
      <c r="N128" s="60">
        <v>126.2</v>
      </c>
      <c r="O128" s="84">
        <v>97.948909999999998</v>
      </c>
      <c r="P128" s="24">
        <v>2.5567635506063627E-3</v>
      </c>
      <c r="Q128" s="24">
        <v>1.8410326018013983E-4</v>
      </c>
      <c r="R128" s="14"/>
    </row>
    <row r="129" spans="1:18" x14ac:dyDescent="0.25">
      <c r="A129" s="16" t="s">
        <v>2681</v>
      </c>
      <c r="B129" s="116" t="s">
        <v>2105</v>
      </c>
      <c r="C129" s="116" t="s">
        <v>2281</v>
      </c>
      <c r="D129" s="116"/>
      <c r="E129" s="116" t="s">
        <v>435</v>
      </c>
      <c r="F129" s="116" t="s">
        <v>2267</v>
      </c>
      <c r="G129" s="116" t="s">
        <v>254</v>
      </c>
      <c r="H129" s="117">
        <v>3.68</v>
      </c>
      <c r="I129" s="116" t="s">
        <v>211</v>
      </c>
      <c r="J129" s="117" t="s">
        <v>255</v>
      </c>
      <c r="K129" s="116">
        <v>5.0999999999999997E-2</v>
      </c>
      <c r="L129" s="116">
        <v>2.5099999999999997E-2</v>
      </c>
      <c r="M129" s="111">
        <v>28426.44</v>
      </c>
      <c r="N129" s="60">
        <v>125.67</v>
      </c>
      <c r="O129" s="84">
        <v>35.723510000000005</v>
      </c>
      <c r="P129" s="24">
        <v>9.3249193143366178E-4</v>
      </c>
      <c r="Q129" s="24">
        <v>6.7145358290131323E-5</v>
      </c>
      <c r="R129" s="14"/>
    </row>
    <row r="130" spans="1:18" x14ac:dyDescent="0.25">
      <c r="A130" s="16" t="s">
        <v>2681</v>
      </c>
      <c r="B130" s="116" t="s">
        <v>2105</v>
      </c>
      <c r="C130" s="116" t="s">
        <v>2282</v>
      </c>
      <c r="D130" s="116"/>
      <c r="E130" s="116" t="s">
        <v>435</v>
      </c>
      <c r="F130" s="116" t="s">
        <v>2267</v>
      </c>
      <c r="G130" s="116" t="s">
        <v>254</v>
      </c>
      <c r="H130" s="117">
        <v>3.68</v>
      </c>
      <c r="I130" s="116" t="s">
        <v>211</v>
      </c>
      <c r="J130" s="117" t="s">
        <v>255</v>
      </c>
      <c r="K130" s="116">
        <v>5.0999999999999997E-2</v>
      </c>
      <c r="L130" s="116">
        <v>2.52E-2</v>
      </c>
      <c r="M130" s="111">
        <v>46830.38</v>
      </c>
      <c r="N130" s="60">
        <v>125.53</v>
      </c>
      <c r="O130" s="84">
        <v>58.786180000000002</v>
      </c>
      <c r="P130" s="24">
        <v>1.5344975488076869E-3</v>
      </c>
      <c r="Q130" s="24">
        <v>1.1049359703478611E-4</v>
      </c>
      <c r="R130" s="14"/>
    </row>
    <row r="131" spans="1:18" x14ac:dyDescent="0.25">
      <c r="A131" s="16" t="s">
        <v>2681</v>
      </c>
      <c r="B131" s="116" t="s">
        <v>2105</v>
      </c>
      <c r="C131" s="116" t="s">
        <v>2283</v>
      </c>
      <c r="D131" s="116"/>
      <c r="E131" s="116" t="s">
        <v>435</v>
      </c>
      <c r="F131" s="116" t="s">
        <v>2267</v>
      </c>
      <c r="G131" s="116" t="s">
        <v>254</v>
      </c>
      <c r="H131" s="117">
        <v>3.68</v>
      </c>
      <c r="I131" s="116" t="s">
        <v>211</v>
      </c>
      <c r="J131" s="117" t="s">
        <v>255</v>
      </c>
      <c r="K131" s="116">
        <v>5.0999999999999997E-2</v>
      </c>
      <c r="L131" s="116">
        <v>2.58E-2</v>
      </c>
      <c r="M131" s="111">
        <v>41125.910000000003</v>
      </c>
      <c r="N131" s="60">
        <v>124.28</v>
      </c>
      <c r="O131" s="84">
        <v>51.111280000000001</v>
      </c>
      <c r="P131" s="24">
        <v>1.3341593870604173E-3</v>
      </c>
      <c r="Q131" s="24">
        <v>9.6067973395313707E-5</v>
      </c>
      <c r="R131" s="14"/>
    </row>
    <row r="132" spans="1:18" x14ac:dyDescent="0.25">
      <c r="A132" s="16" t="s">
        <v>2681</v>
      </c>
      <c r="B132" s="116" t="s">
        <v>2105</v>
      </c>
      <c r="C132" s="116" t="s">
        <v>2284</v>
      </c>
      <c r="D132" s="116"/>
      <c r="E132" s="116" t="s">
        <v>435</v>
      </c>
      <c r="F132" s="116" t="s">
        <v>2267</v>
      </c>
      <c r="G132" s="116" t="s">
        <v>254</v>
      </c>
      <c r="H132" s="117">
        <v>3.63</v>
      </c>
      <c r="I132" s="116" t="s">
        <v>211</v>
      </c>
      <c r="J132" s="117" t="s">
        <v>255</v>
      </c>
      <c r="K132" s="116">
        <v>5.0999999999999997E-2</v>
      </c>
      <c r="L132" s="116">
        <v>3.5799999999999998E-2</v>
      </c>
      <c r="M132" s="111">
        <v>128218.08</v>
      </c>
      <c r="N132" s="60">
        <v>119.6</v>
      </c>
      <c r="O132" s="84">
        <v>153.34882000000002</v>
      </c>
      <c r="P132" s="24">
        <v>4.0028691846034428E-3</v>
      </c>
      <c r="Q132" s="24">
        <v>2.88232076362845E-4</v>
      </c>
      <c r="R132" s="14"/>
    </row>
    <row r="133" spans="1:18" x14ac:dyDescent="0.25">
      <c r="A133" s="16" t="s">
        <v>2681</v>
      </c>
      <c r="B133" s="116" t="s">
        <v>2105</v>
      </c>
      <c r="C133" s="116" t="s">
        <v>2285</v>
      </c>
      <c r="D133" s="116"/>
      <c r="E133" s="116" t="s">
        <v>435</v>
      </c>
      <c r="F133" s="116" t="s">
        <v>2267</v>
      </c>
      <c r="G133" s="116" t="s">
        <v>254</v>
      </c>
      <c r="H133" s="117">
        <v>3.63</v>
      </c>
      <c r="I133" s="116" t="s">
        <v>211</v>
      </c>
      <c r="J133" s="117" t="s">
        <v>255</v>
      </c>
      <c r="K133" s="116">
        <v>5.0999999999999997E-2</v>
      </c>
      <c r="L133" s="116">
        <v>3.5799999999999998E-2</v>
      </c>
      <c r="M133" s="111">
        <v>93818.13</v>
      </c>
      <c r="N133" s="60">
        <v>119.36</v>
      </c>
      <c r="O133" s="84">
        <v>111.98130999999999</v>
      </c>
      <c r="P133" s="24">
        <v>2.9230517394951282E-3</v>
      </c>
      <c r="Q133" s="24">
        <v>2.1047834274258786E-4</v>
      </c>
      <c r="R133" s="14"/>
    </row>
    <row r="134" spans="1:18" x14ac:dyDescent="0.25">
      <c r="A134" s="16" t="s">
        <v>2681</v>
      </c>
      <c r="B134" s="116" t="s">
        <v>2105</v>
      </c>
      <c r="C134" s="116" t="s">
        <v>2262</v>
      </c>
      <c r="D134" s="116"/>
      <c r="E134" s="116" t="s">
        <v>435</v>
      </c>
      <c r="F134" s="116" t="s">
        <v>2263</v>
      </c>
      <c r="G134" s="116" t="s">
        <v>254</v>
      </c>
      <c r="H134" s="117">
        <v>3.68</v>
      </c>
      <c r="I134" s="116" t="s">
        <v>211</v>
      </c>
      <c r="J134" s="117" t="s">
        <v>255</v>
      </c>
      <c r="K134" s="116">
        <v>5.0999999999999997E-2</v>
      </c>
      <c r="L134" s="116">
        <v>2.6499999999999999E-2</v>
      </c>
      <c r="M134" s="111">
        <v>45745.42</v>
      </c>
      <c r="N134" s="60">
        <v>123.37</v>
      </c>
      <c r="O134" s="84">
        <v>56.436129999999999</v>
      </c>
      <c r="P134" s="24">
        <v>1.4731541180119539E-3</v>
      </c>
      <c r="Q134" s="24">
        <v>1.0607647930896009E-4</v>
      </c>
      <c r="R134" s="14"/>
    </row>
    <row r="135" spans="1:18" x14ac:dyDescent="0.25">
      <c r="A135" s="16" t="s">
        <v>2681</v>
      </c>
      <c r="B135" s="116" t="s">
        <v>2105</v>
      </c>
      <c r="C135" s="116" t="s">
        <v>2286</v>
      </c>
      <c r="D135" s="116"/>
      <c r="E135" s="116" t="s">
        <v>435</v>
      </c>
      <c r="F135" s="116" t="s">
        <v>2287</v>
      </c>
      <c r="G135" s="116" t="s">
        <v>254</v>
      </c>
      <c r="H135" s="117">
        <v>3.68</v>
      </c>
      <c r="I135" s="116" t="s">
        <v>211</v>
      </c>
      <c r="J135" s="117" t="s">
        <v>255</v>
      </c>
      <c r="K135" s="116">
        <v>5.0999999999999997E-2</v>
      </c>
      <c r="L135" s="116">
        <v>2.6699999999999998E-2</v>
      </c>
      <c r="M135" s="111">
        <v>11814.01</v>
      </c>
      <c r="N135" s="60">
        <v>122.91</v>
      </c>
      <c r="O135" s="84">
        <v>14.5206</v>
      </c>
      <c r="P135" s="24">
        <v>3.7903168920343011E-4</v>
      </c>
      <c r="Q135" s="24">
        <v>2.7292695750996497E-5</v>
      </c>
      <c r="R135" s="14"/>
    </row>
    <row r="136" spans="1:18" x14ac:dyDescent="0.25">
      <c r="A136" s="16" t="s">
        <v>2681</v>
      </c>
      <c r="B136" s="116" t="s">
        <v>2105</v>
      </c>
      <c r="C136" s="116" t="s">
        <v>2288</v>
      </c>
      <c r="D136" s="116"/>
      <c r="E136" s="116" t="s">
        <v>435</v>
      </c>
      <c r="F136" s="116" t="s">
        <v>2289</v>
      </c>
      <c r="G136" s="116" t="s">
        <v>254</v>
      </c>
      <c r="H136" s="117">
        <v>3.67</v>
      </c>
      <c r="I136" s="116" t="s">
        <v>211</v>
      </c>
      <c r="J136" s="117" t="s">
        <v>255</v>
      </c>
      <c r="K136" s="116">
        <v>5.0999999999999997E-2</v>
      </c>
      <c r="L136" s="116">
        <v>2.8500000000000001E-2</v>
      </c>
      <c r="M136" s="111">
        <v>134407.39000000001</v>
      </c>
      <c r="N136" s="60">
        <v>122.58</v>
      </c>
      <c r="O136" s="84">
        <v>164.75657999999999</v>
      </c>
      <c r="P136" s="24">
        <v>4.3006463110877007E-3</v>
      </c>
      <c r="Q136" s="24">
        <v>3.0967392607156134E-4</v>
      </c>
      <c r="R136" s="14"/>
    </row>
    <row r="137" spans="1:18" x14ac:dyDescent="0.25">
      <c r="A137" s="16" t="s">
        <v>2681</v>
      </c>
      <c r="B137" s="116" t="s">
        <v>2105</v>
      </c>
      <c r="C137" s="116" t="s">
        <v>2290</v>
      </c>
      <c r="D137" s="116"/>
      <c r="E137" s="116" t="s">
        <v>435</v>
      </c>
      <c r="F137" s="116" t="s">
        <v>2291</v>
      </c>
      <c r="G137" s="116" t="s">
        <v>254</v>
      </c>
      <c r="H137" s="117">
        <v>3.67</v>
      </c>
      <c r="I137" s="116" t="s">
        <v>211</v>
      </c>
      <c r="J137" s="117" t="s">
        <v>255</v>
      </c>
      <c r="K137" s="116">
        <v>5.0999999999999997E-2</v>
      </c>
      <c r="L137" s="116">
        <v>2.8500000000000001E-2</v>
      </c>
      <c r="M137" s="111">
        <v>25996.99</v>
      </c>
      <c r="N137" s="60">
        <v>122.47</v>
      </c>
      <c r="O137" s="84">
        <v>31.838519999999999</v>
      </c>
      <c r="P137" s="24">
        <v>8.3108191240976233E-4</v>
      </c>
      <c r="Q137" s="24">
        <v>5.9843191019793736E-5</v>
      </c>
      <c r="R137" s="14"/>
    </row>
    <row r="138" spans="1:18" x14ac:dyDescent="0.25">
      <c r="A138" s="16" t="s">
        <v>2681</v>
      </c>
      <c r="B138" s="116" t="s">
        <v>2105</v>
      </c>
      <c r="C138" s="116" t="s">
        <v>2292</v>
      </c>
      <c r="D138" s="116"/>
      <c r="E138" s="116" t="s">
        <v>435</v>
      </c>
      <c r="F138" s="116" t="s">
        <v>2293</v>
      </c>
      <c r="G138" s="116" t="s">
        <v>254</v>
      </c>
      <c r="H138" s="117">
        <v>3.67</v>
      </c>
      <c r="I138" s="116" t="s">
        <v>211</v>
      </c>
      <c r="J138" s="117" t="s">
        <v>255</v>
      </c>
      <c r="K138" s="116">
        <v>5.0999999999999997E-2</v>
      </c>
      <c r="L138" s="116">
        <v>2.8500000000000001E-2</v>
      </c>
      <c r="M138" s="111">
        <v>25022.04</v>
      </c>
      <c r="N138" s="60">
        <v>123.2</v>
      </c>
      <c r="O138" s="84">
        <v>30.827150000000003</v>
      </c>
      <c r="P138" s="24">
        <v>8.0468208874478477E-4</v>
      </c>
      <c r="Q138" s="24">
        <v>5.7942235570178349E-5</v>
      </c>
      <c r="R138" s="14"/>
    </row>
    <row r="139" spans="1:18" x14ac:dyDescent="0.25">
      <c r="A139" s="16" t="s">
        <v>2681</v>
      </c>
      <c r="B139" s="116" t="s">
        <v>2105</v>
      </c>
      <c r="C139" s="116" t="s">
        <v>2294</v>
      </c>
      <c r="D139" s="116"/>
      <c r="E139" s="116" t="s">
        <v>435</v>
      </c>
      <c r="F139" s="116" t="s">
        <v>2295</v>
      </c>
      <c r="G139" s="116" t="s">
        <v>254</v>
      </c>
      <c r="H139" s="117">
        <v>3.67</v>
      </c>
      <c r="I139" s="116" t="s">
        <v>211</v>
      </c>
      <c r="J139" s="117" t="s">
        <v>255</v>
      </c>
      <c r="K139" s="116">
        <v>5.0999999999999997E-2</v>
      </c>
      <c r="L139" s="116">
        <v>2.8500000000000001E-2</v>
      </c>
      <c r="M139" s="111">
        <v>49832.47</v>
      </c>
      <c r="N139" s="60">
        <v>123.44</v>
      </c>
      <c r="O139" s="84">
        <v>61.513199999999998</v>
      </c>
      <c r="P139" s="24">
        <v>1.605681039647703E-3</v>
      </c>
      <c r="Q139" s="24">
        <v>1.1561926175710353E-4</v>
      </c>
      <c r="R139" s="14"/>
    </row>
    <row r="140" spans="1:18" x14ac:dyDescent="0.25">
      <c r="A140" s="16" t="s">
        <v>2681</v>
      </c>
      <c r="B140" s="116" t="s">
        <v>2105</v>
      </c>
      <c r="C140" s="116" t="s">
        <v>2266</v>
      </c>
      <c r="D140" s="116"/>
      <c r="E140" s="116" t="s">
        <v>435</v>
      </c>
      <c r="F140" s="116" t="s">
        <v>2267</v>
      </c>
      <c r="G140" s="116" t="s">
        <v>254</v>
      </c>
      <c r="H140" s="117">
        <v>3.66</v>
      </c>
      <c r="I140" s="116" t="s">
        <v>211</v>
      </c>
      <c r="J140" s="117" t="s">
        <v>255</v>
      </c>
      <c r="K140" s="116">
        <v>5.1900000000000002E-2</v>
      </c>
      <c r="L140" s="116">
        <v>2.8500000000000001E-2</v>
      </c>
      <c r="M140" s="111">
        <v>64527.33</v>
      </c>
      <c r="N140" s="60">
        <v>127.04</v>
      </c>
      <c r="O140" s="84">
        <v>81.975520000000003</v>
      </c>
      <c r="P140" s="24">
        <v>2.1398096372690916E-3</v>
      </c>
      <c r="Q140" s="24">
        <v>1.5407992275730538E-4</v>
      </c>
      <c r="R140" s="14"/>
    </row>
    <row r="141" spans="1:18" x14ac:dyDescent="0.25">
      <c r="A141" s="16" t="s">
        <v>2681</v>
      </c>
      <c r="B141" s="116" t="s">
        <v>2105</v>
      </c>
      <c r="C141" s="116" t="s">
        <v>2298</v>
      </c>
      <c r="D141" s="116"/>
      <c r="E141" s="116" t="s">
        <v>435</v>
      </c>
      <c r="F141" s="116" t="s">
        <v>2299</v>
      </c>
      <c r="G141" s="116" t="s">
        <v>254</v>
      </c>
      <c r="H141" s="117">
        <v>3.67</v>
      </c>
      <c r="I141" s="116" t="s">
        <v>211</v>
      </c>
      <c r="J141" s="117" t="s">
        <v>255</v>
      </c>
      <c r="K141" s="116">
        <v>5.0999999999999997E-2</v>
      </c>
      <c r="L141" s="116">
        <v>2.8500000000000001E-2</v>
      </c>
      <c r="M141" s="111">
        <v>31372.880000000001</v>
      </c>
      <c r="N141" s="60">
        <v>122.96</v>
      </c>
      <c r="O141" s="84">
        <v>38.576099999999997</v>
      </c>
      <c r="P141" s="24">
        <v>1.006953180025649E-3</v>
      </c>
      <c r="Q141" s="24">
        <v>7.2507042447282887E-5</v>
      </c>
      <c r="R141" s="14"/>
    </row>
    <row r="142" spans="1:18" x14ac:dyDescent="0.25">
      <c r="A142" s="16" t="s">
        <v>2681</v>
      </c>
      <c r="B142" s="116" t="s">
        <v>2105</v>
      </c>
      <c r="C142" s="116" t="s">
        <v>2300</v>
      </c>
      <c r="D142" s="116"/>
      <c r="E142" s="116" t="s">
        <v>435</v>
      </c>
      <c r="F142" s="116" t="s">
        <v>2301</v>
      </c>
      <c r="G142" s="116" t="s">
        <v>254</v>
      </c>
      <c r="H142" s="117">
        <v>3.67</v>
      </c>
      <c r="I142" s="116" t="s">
        <v>211</v>
      </c>
      <c r="J142" s="117" t="s">
        <v>255</v>
      </c>
      <c r="K142" s="116">
        <v>5.0999999999999997E-2</v>
      </c>
      <c r="L142" s="116">
        <v>2.8500000000000001E-2</v>
      </c>
      <c r="M142" s="111">
        <v>17639.400000000001</v>
      </c>
      <c r="N142" s="60">
        <v>122.84</v>
      </c>
      <c r="O142" s="84">
        <v>21.668230000000001</v>
      </c>
      <c r="P142" s="24">
        <v>5.6560650516841184E-4</v>
      </c>
      <c r="Q142" s="24">
        <v>4.0727270832652567E-5</v>
      </c>
      <c r="R142" s="14"/>
    </row>
    <row r="143" spans="1:18" x14ac:dyDescent="0.25">
      <c r="A143" s="16" t="s">
        <v>2681</v>
      </c>
      <c r="B143" s="116" t="s">
        <v>2105</v>
      </c>
      <c r="C143" s="116" t="s">
        <v>2305</v>
      </c>
      <c r="D143" s="116"/>
      <c r="E143" s="116" t="s">
        <v>435</v>
      </c>
      <c r="F143" s="116" t="s">
        <v>2306</v>
      </c>
      <c r="G143" s="116" t="s">
        <v>254</v>
      </c>
      <c r="H143" s="117">
        <v>3.67</v>
      </c>
      <c r="I143" s="116" t="s">
        <v>211</v>
      </c>
      <c r="J143" s="117" t="s">
        <v>255</v>
      </c>
      <c r="K143" s="116">
        <v>5.0999999999999997E-2</v>
      </c>
      <c r="L143" s="116">
        <v>2.8500000000000001E-2</v>
      </c>
      <c r="M143" s="111">
        <v>52440.11</v>
      </c>
      <c r="N143" s="60">
        <v>122.48</v>
      </c>
      <c r="O143" s="84">
        <v>64.228639999999999</v>
      </c>
      <c r="P143" s="24">
        <v>1.6765622573749707E-3</v>
      </c>
      <c r="Q143" s="24">
        <v>1.2072316089006539E-4</v>
      </c>
      <c r="R143" s="14"/>
    </row>
    <row r="144" spans="1:18" x14ac:dyDescent="0.25">
      <c r="A144" s="16" t="s">
        <v>2681</v>
      </c>
      <c r="B144" s="116" t="s">
        <v>2105</v>
      </c>
      <c r="C144" s="116" t="s">
        <v>2310</v>
      </c>
      <c r="D144" s="116"/>
      <c r="E144" s="116" t="s">
        <v>435</v>
      </c>
      <c r="F144" s="116" t="s">
        <v>2311</v>
      </c>
      <c r="G144" s="116" t="s">
        <v>254</v>
      </c>
      <c r="H144" s="117">
        <v>3.67</v>
      </c>
      <c r="I144" s="116" t="s">
        <v>211</v>
      </c>
      <c r="J144" s="117" t="s">
        <v>255</v>
      </c>
      <c r="K144" s="116">
        <v>5.0999999999999997E-2</v>
      </c>
      <c r="L144" s="116">
        <v>2.8500000000000001E-2</v>
      </c>
      <c r="M144" s="111">
        <v>20582.62</v>
      </c>
      <c r="N144" s="60">
        <v>122.48</v>
      </c>
      <c r="O144" s="84">
        <v>25.209599999999998</v>
      </c>
      <c r="P144" s="24">
        <v>6.5804700027153088E-4</v>
      </c>
      <c r="Q144" s="24">
        <v>4.7383575252008954E-5</v>
      </c>
      <c r="R144" s="14"/>
    </row>
    <row r="145" spans="1:18" x14ac:dyDescent="0.25">
      <c r="A145" s="16" t="s">
        <v>2681</v>
      </c>
      <c r="B145" s="116" t="s">
        <v>2105</v>
      </c>
      <c r="C145" s="116" t="s">
        <v>2268</v>
      </c>
      <c r="D145" s="116"/>
      <c r="E145" s="116" t="s">
        <v>435</v>
      </c>
      <c r="F145" s="116" t="s">
        <v>2267</v>
      </c>
      <c r="G145" s="116" t="s">
        <v>254</v>
      </c>
      <c r="H145" s="117">
        <v>3.62</v>
      </c>
      <c r="I145" s="116" t="s">
        <v>211</v>
      </c>
      <c r="J145" s="117" t="s">
        <v>255</v>
      </c>
      <c r="K145" s="116">
        <v>5.2600000000000001E-2</v>
      </c>
      <c r="L145" s="116">
        <v>3.56E-2</v>
      </c>
      <c r="M145" s="111">
        <v>66202.42</v>
      </c>
      <c r="N145" s="60">
        <v>124.35</v>
      </c>
      <c r="O145" s="84">
        <v>82.322710000000001</v>
      </c>
      <c r="P145" s="24">
        <v>2.1488723490147867E-3</v>
      </c>
      <c r="Q145" s="24">
        <v>1.5473249572521224E-4</v>
      </c>
      <c r="R145" s="14"/>
    </row>
    <row r="146" spans="1:18" x14ac:dyDescent="0.25">
      <c r="A146" s="16" t="s">
        <v>2682</v>
      </c>
      <c r="B146" s="116" t="s">
        <v>2105</v>
      </c>
      <c r="C146" s="116" t="s">
        <v>2258</v>
      </c>
      <c r="D146" s="116"/>
      <c r="E146" s="116" t="s">
        <v>426</v>
      </c>
      <c r="F146" s="116" t="s">
        <v>2259</v>
      </c>
      <c r="G146" s="116" t="s">
        <v>427</v>
      </c>
      <c r="H146" s="117">
        <v>2.2999999999999998</v>
      </c>
      <c r="I146" s="116" t="s">
        <v>204</v>
      </c>
      <c r="J146" s="117" t="s">
        <v>255</v>
      </c>
      <c r="K146" s="116">
        <v>5.5E-2</v>
      </c>
      <c r="L146" s="116">
        <v>4.4999999999999998E-2</v>
      </c>
      <c r="M146" s="111">
        <v>763193.62</v>
      </c>
      <c r="N146" s="60">
        <v>138.19999999999999</v>
      </c>
      <c r="O146" s="84">
        <v>1054.7335800000001</v>
      </c>
      <c r="P146" s="24">
        <v>2.7531744589547349E-2</v>
      </c>
      <c r="Q146" s="24">
        <v>1.9824609656143221E-3</v>
      </c>
      <c r="R146" s="14"/>
    </row>
    <row r="147" spans="1:18" x14ac:dyDescent="0.25">
      <c r="A147" s="16" t="s">
        <v>2682</v>
      </c>
      <c r="B147" s="116" t="s">
        <v>2105</v>
      </c>
      <c r="C147" s="116" t="s">
        <v>2336</v>
      </c>
      <c r="D147" s="116"/>
      <c r="E147" s="116" t="s">
        <v>426</v>
      </c>
      <c r="F147" s="116" t="s">
        <v>2337</v>
      </c>
      <c r="G147" s="116" t="s">
        <v>427</v>
      </c>
      <c r="H147" s="117">
        <v>2.4</v>
      </c>
      <c r="I147" s="116" t="s">
        <v>204</v>
      </c>
      <c r="J147" s="117" t="s">
        <v>255</v>
      </c>
      <c r="K147" s="116">
        <v>2.5600000000000001E-2</v>
      </c>
      <c r="L147" s="116">
        <v>2.9500000000000002E-2</v>
      </c>
      <c r="M147" s="111">
        <v>264570.84999999998</v>
      </c>
      <c r="N147" s="60">
        <v>110.8</v>
      </c>
      <c r="O147" s="84">
        <v>293.14449999999999</v>
      </c>
      <c r="P147" s="24">
        <v>7.6519603195250143E-3</v>
      </c>
      <c r="Q147" s="24">
        <v>5.5098987986570752E-4</v>
      </c>
      <c r="R147" s="14"/>
    </row>
    <row r="148" spans="1:18" x14ac:dyDescent="0.25">
      <c r="A148" s="16" t="s">
        <v>2683</v>
      </c>
      <c r="B148" s="217" t="s">
        <v>2105</v>
      </c>
      <c r="C148" s="116" t="s">
        <v>2415</v>
      </c>
      <c r="D148" s="116"/>
      <c r="E148" s="116" t="s">
        <v>435</v>
      </c>
      <c r="F148" s="116" t="s">
        <v>2414</v>
      </c>
      <c r="G148" s="116" t="s">
        <v>254</v>
      </c>
      <c r="H148" s="117">
        <v>8.06</v>
      </c>
      <c r="I148" s="116" t="s">
        <v>204</v>
      </c>
      <c r="J148" s="117" t="s">
        <v>255</v>
      </c>
      <c r="K148" s="116">
        <v>2.98E-2</v>
      </c>
      <c r="L148" s="116">
        <v>3.4599999999999999E-2</v>
      </c>
      <c r="M148" s="111">
        <v>2194829.2799999998</v>
      </c>
      <c r="N148" s="60">
        <v>106.45</v>
      </c>
      <c r="O148" s="84">
        <v>2336.3957599999999</v>
      </c>
      <c r="P148" s="24">
        <v>6.0987013729496845E-2</v>
      </c>
      <c r="Q148" s="24">
        <v>4.3914534269657059E-3</v>
      </c>
      <c r="R148" s="14"/>
    </row>
    <row r="149" spans="1:18" x14ac:dyDescent="0.25">
      <c r="A149" s="16" t="s">
        <v>2684</v>
      </c>
      <c r="B149" s="116" t="s">
        <v>2105</v>
      </c>
      <c r="C149" s="116" t="s">
        <v>2106</v>
      </c>
      <c r="D149" s="116"/>
      <c r="E149" s="116" t="s">
        <v>435</v>
      </c>
      <c r="F149" s="116" t="s">
        <v>2107</v>
      </c>
      <c r="G149" s="116" t="s">
        <v>254</v>
      </c>
      <c r="H149" s="117">
        <v>7.13</v>
      </c>
      <c r="I149" s="116" t="s">
        <v>211</v>
      </c>
      <c r="J149" s="117" t="s">
        <v>255</v>
      </c>
      <c r="K149" s="116">
        <v>7.1999999880790713E-2</v>
      </c>
      <c r="L149" s="116">
        <v>6.6100000000000006E-2</v>
      </c>
      <c r="M149" s="111">
        <v>1577.2853826757962</v>
      </c>
      <c r="N149" s="60">
        <v>99.69</v>
      </c>
      <c r="O149" s="84">
        <v>1.5724</v>
      </c>
      <c r="P149" s="24">
        <v>4.1044407813965922E-5</v>
      </c>
      <c r="Q149" s="24">
        <v>2.9554587826168955E-6</v>
      </c>
      <c r="R149" s="14"/>
    </row>
    <row r="150" spans="1:18" x14ac:dyDescent="0.25">
      <c r="A150" s="16" t="s">
        <v>2684</v>
      </c>
      <c r="B150" s="116" t="s">
        <v>2105</v>
      </c>
      <c r="C150" s="116" t="s">
        <v>2144</v>
      </c>
      <c r="D150" s="116"/>
      <c r="E150" s="116" t="s">
        <v>435</v>
      </c>
      <c r="F150" s="116" t="s">
        <v>2145</v>
      </c>
      <c r="G150" s="116" t="s">
        <v>254</v>
      </c>
      <c r="H150" s="117">
        <v>7.09</v>
      </c>
      <c r="I150" s="116" t="s">
        <v>211</v>
      </c>
      <c r="J150" s="117" t="s">
        <v>255</v>
      </c>
      <c r="K150" s="116">
        <v>7.1999999880790713E-2</v>
      </c>
      <c r="L150" s="116">
        <v>6.7900000000000002E-2</v>
      </c>
      <c r="M150" s="111">
        <v>2230.9232060404861</v>
      </c>
      <c r="N150" s="60">
        <v>98.56</v>
      </c>
      <c r="O150" s="84">
        <v>2.1988000000000003</v>
      </c>
      <c r="P150" s="24">
        <v>5.7395347177148482E-5</v>
      </c>
      <c r="Q150" s="24">
        <v>4.1328305591567223E-6</v>
      </c>
      <c r="R150" s="14"/>
    </row>
    <row r="151" spans="1:18" x14ac:dyDescent="0.25">
      <c r="A151" s="16" t="s">
        <v>2684</v>
      </c>
      <c r="B151" s="116" t="s">
        <v>2105</v>
      </c>
      <c r="C151" s="116" t="s">
        <v>2150</v>
      </c>
      <c r="D151" s="116"/>
      <c r="E151" s="116" t="s">
        <v>435</v>
      </c>
      <c r="F151" s="116" t="s">
        <v>834</v>
      </c>
      <c r="G151" s="116" t="s">
        <v>254</v>
      </c>
      <c r="H151" s="117">
        <v>7.05</v>
      </c>
      <c r="I151" s="116" t="s">
        <v>211</v>
      </c>
      <c r="J151" s="117" t="s">
        <v>255</v>
      </c>
      <c r="K151" s="116">
        <v>7.1999999880790713E-2</v>
      </c>
      <c r="L151" s="116">
        <v>6.9199999999999998E-2</v>
      </c>
      <c r="M151" s="111">
        <v>1803.0626273678729</v>
      </c>
      <c r="N151" s="60">
        <v>97.68</v>
      </c>
      <c r="O151" s="84">
        <v>1.7612300000000001</v>
      </c>
      <c r="P151" s="24">
        <v>4.5973443382212667E-5</v>
      </c>
      <c r="Q151" s="24">
        <v>3.3103807375402918E-6</v>
      </c>
      <c r="R151" s="14"/>
    </row>
    <row r="152" spans="1:18" x14ac:dyDescent="0.25">
      <c r="A152" s="16" t="s">
        <v>2684</v>
      </c>
      <c r="B152" s="116" t="s">
        <v>2105</v>
      </c>
      <c r="C152" s="116" t="s">
        <v>2155</v>
      </c>
      <c r="D152" s="116"/>
      <c r="E152" s="116" t="s">
        <v>435</v>
      </c>
      <c r="F152" s="116" t="s">
        <v>2156</v>
      </c>
      <c r="G152" s="116" t="s">
        <v>254</v>
      </c>
      <c r="H152" s="117">
        <v>7.05</v>
      </c>
      <c r="I152" s="116" t="s">
        <v>211</v>
      </c>
      <c r="J152" s="117" t="s">
        <v>255</v>
      </c>
      <c r="K152" s="116">
        <v>7.1999999880790713E-2</v>
      </c>
      <c r="L152" s="116">
        <v>6.9500000000000006E-2</v>
      </c>
      <c r="M152" s="111">
        <v>3120.751506569281</v>
      </c>
      <c r="N152" s="60">
        <v>97.49</v>
      </c>
      <c r="O152" s="84">
        <v>3.0424199999999999</v>
      </c>
      <c r="P152" s="24">
        <v>7.941638719242317E-5</v>
      </c>
      <c r="Q152" s="24">
        <v>5.7184856966479872E-6</v>
      </c>
      <c r="R152" s="14"/>
    </row>
    <row r="153" spans="1:18" x14ac:dyDescent="0.25">
      <c r="A153" s="16" t="s">
        <v>2684</v>
      </c>
      <c r="B153" s="116" t="s">
        <v>2105</v>
      </c>
      <c r="C153" s="116" t="s">
        <v>2164</v>
      </c>
      <c r="D153" s="116"/>
      <c r="E153" s="116" t="s">
        <v>435</v>
      </c>
      <c r="F153" s="116" t="s">
        <v>860</v>
      </c>
      <c r="G153" s="116" t="s">
        <v>254</v>
      </c>
      <c r="H153" s="117">
        <v>7.15</v>
      </c>
      <c r="I153" s="116" t="s">
        <v>211</v>
      </c>
      <c r="J153" s="117" t="s">
        <v>255</v>
      </c>
      <c r="K153" s="116">
        <v>7.1999999880790713E-2</v>
      </c>
      <c r="L153" s="116">
        <v>6.54E-2</v>
      </c>
      <c r="M153" s="111">
        <v>6236.0243904345216</v>
      </c>
      <c r="N153" s="60">
        <v>100.2</v>
      </c>
      <c r="O153" s="84">
        <v>6.2484999999999999</v>
      </c>
      <c r="P153" s="24">
        <v>1.6310479663289625E-4</v>
      </c>
      <c r="Q153" s="24">
        <v>1.1744584204516453E-5</v>
      </c>
      <c r="R153" s="14"/>
    </row>
    <row r="154" spans="1:18" x14ac:dyDescent="0.25">
      <c r="A154" s="16" t="s">
        <v>2684</v>
      </c>
      <c r="B154" s="116" t="s">
        <v>2105</v>
      </c>
      <c r="C154" s="116" t="s">
        <v>2173</v>
      </c>
      <c r="D154" s="116"/>
      <c r="E154" s="116" t="s">
        <v>435</v>
      </c>
      <c r="F154" s="116" t="s">
        <v>2174</v>
      </c>
      <c r="G154" s="116" t="s">
        <v>254</v>
      </c>
      <c r="H154" s="117">
        <v>7.16</v>
      </c>
      <c r="I154" s="116" t="s">
        <v>211</v>
      </c>
      <c r="J154" s="117" t="s">
        <v>255</v>
      </c>
      <c r="K154" s="116">
        <v>7.1999999880790713E-2</v>
      </c>
      <c r="L154" s="116">
        <v>6.4899999999999999E-2</v>
      </c>
      <c r="M154" s="111">
        <v>2569.2913059567518</v>
      </c>
      <c r="N154" s="60">
        <v>100.55</v>
      </c>
      <c r="O154" s="84">
        <v>2.5834200000000003</v>
      </c>
      <c r="P154" s="24">
        <v>6.7435095417677334E-5</v>
      </c>
      <c r="Q154" s="24">
        <v>4.8557563776317356E-6</v>
      </c>
      <c r="R154" s="14"/>
    </row>
    <row r="155" spans="1:18" x14ac:dyDescent="0.25">
      <c r="A155" s="16" t="s">
        <v>2684</v>
      </c>
      <c r="B155" s="116" t="s">
        <v>2105</v>
      </c>
      <c r="C155" s="116" t="s">
        <v>2183</v>
      </c>
      <c r="D155" s="116"/>
      <c r="E155" s="116" t="s">
        <v>435</v>
      </c>
      <c r="F155" s="116" t="s">
        <v>2184</v>
      </c>
      <c r="G155" s="116" t="s">
        <v>254</v>
      </c>
      <c r="H155" s="117">
        <v>7.17</v>
      </c>
      <c r="I155" s="116" t="s">
        <v>211</v>
      </c>
      <c r="J155" s="117" t="s">
        <v>255</v>
      </c>
      <c r="K155" s="116">
        <v>7.1999999880790713E-2</v>
      </c>
      <c r="L155" s="116">
        <v>6.4399999999999999E-2</v>
      </c>
      <c r="M155" s="111">
        <v>3218.7105910139026</v>
      </c>
      <c r="N155" s="60">
        <v>100.84</v>
      </c>
      <c r="O155" s="84">
        <v>3.2457500000000001</v>
      </c>
      <c r="P155" s="24">
        <v>8.4723916727410259E-5</v>
      </c>
      <c r="Q155" s="24">
        <v>6.1006616278801762E-6</v>
      </c>
      <c r="R155" s="14"/>
    </row>
    <row r="156" spans="1:18" x14ac:dyDescent="0.25">
      <c r="A156" s="16" t="s">
        <v>2684</v>
      </c>
      <c r="B156" s="116" t="s">
        <v>2105</v>
      </c>
      <c r="C156" s="116" t="s">
        <v>2210</v>
      </c>
      <c r="D156" s="116"/>
      <c r="E156" s="116" t="s">
        <v>435</v>
      </c>
      <c r="F156" s="116" t="s">
        <v>2211</v>
      </c>
      <c r="G156" s="116" t="s">
        <v>254</v>
      </c>
      <c r="H156" s="117">
        <v>7.16</v>
      </c>
      <c r="I156" s="116" t="s">
        <v>211</v>
      </c>
      <c r="J156" s="117" t="s">
        <v>255</v>
      </c>
      <c r="K156" s="116">
        <v>7.1999999880790713E-2</v>
      </c>
      <c r="L156" s="116">
        <v>6.4899999999999999E-2</v>
      </c>
      <c r="M156" s="111">
        <v>2211.1416063315728</v>
      </c>
      <c r="N156" s="60">
        <v>100.54</v>
      </c>
      <c r="O156" s="84">
        <v>2.2230799999999999</v>
      </c>
      <c r="P156" s="24">
        <v>5.802912879869712E-5</v>
      </c>
      <c r="Q156" s="24">
        <v>4.178466872589651E-6</v>
      </c>
      <c r="R156" s="14"/>
    </row>
    <row r="157" spans="1:18" x14ac:dyDescent="0.25">
      <c r="A157" s="16" t="s">
        <v>2684</v>
      </c>
      <c r="B157" s="116" t="s">
        <v>2105</v>
      </c>
      <c r="C157" s="116" t="s">
        <v>2218</v>
      </c>
      <c r="D157" s="116"/>
      <c r="E157" s="116" t="s">
        <v>435</v>
      </c>
      <c r="F157" s="116" t="s">
        <v>2219</v>
      </c>
      <c r="G157" s="116" t="s">
        <v>254</v>
      </c>
      <c r="H157" s="117">
        <v>7.14</v>
      </c>
      <c r="I157" s="116" t="s">
        <v>211</v>
      </c>
      <c r="J157" s="117" t="s">
        <v>255</v>
      </c>
      <c r="K157" s="116">
        <v>7.1999999880790713E-2</v>
      </c>
      <c r="L157" s="116">
        <v>6.5700000000000008E-2</v>
      </c>
      <c r="M157" s="111">
        <v>1801.8350900427688</v>
      </c>
      <c r="N157" s="60">
        <v>99.97</v>
      </c>
      <c r="O157" s="84">
        <v>1.8012900000000001</v>
      </c>
      <c r="P157" s="24">
        <v>4.7019130851703555E-5</v>
      </c>
      <c r="Q157" s="24">
        <v>3.3856768955354792E-6</v>
      </c>
      <c r="R157" s="14"/>
    </row>
    <row r="158" spans="1:18" x14ac:dyDescent="0.25">
      <c r="A158" s="16" t="s">
        <v>2684</v>
      </c>
      <c r="B158" s="116" t="s">
        <v>2105</v>
      </c>
      <c r="C158" s="116" t="s">
        <v>2229</v>
      </c>
      <c r="D158" s="116"/>
      <c r="E158" s="116" t="s">
        <v>435</v>
      </c>
      <c r="F158" s="116" t="s">
        <v>2230</v>
      </c>
      <c r="G158" s="116" t="s">
        <v>254</v>
      </c>
      <c r="H158" s="117">
        <v>7.17</v>
      </c>
      <c r="I158" s="116" t="s">
        <v>211</v>
      </c>
      <c r="J158" s="117" t="s">
        <v>255</v>
      </c>
      <c r="K158" s="116">
        <v>7.1999999880790713E-2</v>
      </c>
      <c r="L158" s="116">
        <v>6.4399999999999999E-2</v>
      </c>
      <c r="M158" s="111">
        <v>3958.9220516737882</v>
      </c>
      <c r="N158" s="60">
        <v>100.84</v>
      </c>
      <c r="O158" s="84">
        <v>3.9921799999999998</v>
      </c>
      <c r="P158" s="24">
        <v>1.0420800304423712E-4</v>
      </c>
      <c r="Q158" s="24">
        <v>7.5036399407196113E-6</v>
      </c>
      <c r="R158" s="14"/>
    </row>
    <row r="159" spans="1:18" x14ac:dyDescent="0.25">
      <c r="A159" s="16" t="s">
        <v>2684</v>
      </c>
      <c r="B159" s="116" t="s">
        <v>2105</v>
      </c>
      <c r="C159" s="116" t="s">
        <v>2236</v>
      </c>
      <c r="D159" s="116"/>
      <c r="E159" s="116" t="s">
        <v>435</v>
      </c>
      <c r="F159" s="116" t="s">
        <v>2237</v>
      </c>
      <c r="G159" s="116" t="s">
        <v>254</v>
      </c>
      <c r="H159" s="117">
        <v>7.17</v>
      </c>
      <c r="I159" s="116" t="s">
        <v>211</v>
      </c>
      <c r="J159" s="117" t="s">
        <v>255</v>
      </c>
      <c r="K159" s="116">
        <v>7.1999999880790713E-2</v>
      </c>
      <c r="L159" s="116">
        <v>6.4399999999999999E-2</v>
      </c>
      <c r="M159" s="111">
        <v>2736.6004147451285</v>
      </c>
      <c r="N159" s="60">
        <v>100.84</v>
      </c>
      <c r="O159" s="84">
        <v>2.7595900000000002</v>
      </c>
      <c r="P159" s="24">
        <v>7.2033666598411486E-5</v>
      </c>
      <c r="Q159" s="24">
        <v>5.1868827918606966E-6</v>
      </c>
      <c r="R159" s="14"/>
    </row>
    <row r="160" spans="1:18" x14ac:dyDescent="0.25">
      <c r="A160" s="16" t="s">
        <v>2684</v>
      </c>
      <c r="B160" s="116" t="s">
        <v>2105</v>
      </c>
      <c r="C160" s="116" t="s">
        <v>2112</v>
      </c>
      <c r="D160" s="116"/>
      <c r="E160" s="116" t="s">
        <v>435</v>
      </c>
      <c r="F160" s="116" t="s">
        <v>2113</v>
      </c>
      <c r="G160" s="116" t="s">
        <v>254</v>
      </c>
      <c r="H160" s="117">
        <v>7.17</v>
      </c>
      <c r="I160" s="116" t="s">
        <v>211</v>
      </c>
      <c r="J160" s="117" t="s">
        <v>255</v>
      </c>
      <c r="K160" s="116">
        <v>7.1999999880790713E-2</v>
      </c>
      <c r="L160" s="116">
        <v>6.4399999999999999E-2</v>
      </c>
      <c r="M160" s="111">
        <v>1497.4399335339028</v>
      </c>
      <c r="N160" s="60">
        <v>100.84</v>
      </c>
      <c r="O160" s="84">
        <v>1.5100199999999999</v>
      </c>
      <c r="P160" s="24">
        <v>3.9416100666016799E-5</v>
      </c>
      <c r="Q160" s="24">
        <v>2.838210296951898E-6</v>
      </c>
      <c r="R160" s="14"/>
    </row>
    <row r="161" spans="1:18" x14ac:dyDescent="0.25">
      <c r="A161" s="16" t="s">
        <v>2684</v>
      </c>
      <c r="B161" s="116" t="s">
        <v>2105</v>
      </c>
      <c r="C161" s="116" t="s">
        <v>2248</v>
      </c>
      <c r="D161" s="116"/>
      <c r="E161" s="116" t="s">
        <v>435</v>
      </c>
      <c r="F161" s="116" t="s">
        <v>1960</v>
      </c>
      <c r="G161" s="116" t="s">
        <v>254</v>
      </c>
      <c r="H161" s="117">
        <v>7.17</v>
      </c>
      <c r="I161" s="116" t="s">
        <v>211</v>
      </c>
      <c r="J161" s="117" t="s">
        <v>255</v>
      </c>
      <c r="K161" s="116">
        <v>7.1999999880790713E-2</v>
      </c>
      <c r="L161" s="116">
        <v>6.4500000000000002E-2</v>
      </c>
      <c r="M161" s="111">
        <v>1405.7169240874669</v>
      </c>
      <c r="N161" s="60">
        <v>100.81</v>
      </c>
      <c r="O161" s="84">
        <v>1.4170999999999998</v>
      </c>
      <c r="P161" s="24">
        <v>3.6990606915015962E-5</v>
      </c>
      <c r="Q161" s="24">
        <v>2.6635592984268645E-6</v>
      </c>
      <c r="R161" s="14"/>
    </row>
    <row r="162" spans="1:18" x14ac:dyDescent="0.25">
      <c r="A162" s="16" t="s">
        <v>2684</v>
      </c>
      <c r="B162" s="116" t="s">
        <v>2105</v>
      </c>
      <c r="C162" s="116" t="s">
        <v>2114</v>
      </c>
      <c r="D162" s="116"/>
      <c r="E162" s="116" t="s">
        <v>435</v>
      </c>
      <c r="F162" s="116" t="s">
        <v>2115</v>
      </c>
      <c r="G162" s="116" t="s">
        <v>254</v>
      </c>
      <c r="H162" s="117">
        <v>7.17</v>
      </c>
      <c r="I162" s="116" t="s">
        <v>211</v>
      </c>
      <c r="J162" s="117" t="s">
        <v>255</v>
      </c>
      <c r="K162" s="116">
        <v>7.1999999880790713E-2</v>
      </c>
      <c r="L162" s="116">
        <v>6.4399999999999999E-2</v>
      </c>
      <c r="M162" s="111">
        <v>5461.4377606179642</v>
      </c>
      <c r="N162" s="60">
        <v>100.84</v>
      </c>
      <c r="O162" s="84">
        <v>5.5073100000000004</v>
      </c>
      <c r="P162" s="24">
        <v>1.4375749020473967E-4</v>
      </c>
      <c r="Q162" s="24">
        <v>1.0351454914839644E-5</v>
      </c>
      <c r="R162" s="14"/>
    </row>
    <row r="163" spans="1:18" x14ac:dyDescent="0.25">
      <c r="A163" s="16" t="s">
        <v>2684</v>
      </c>
      <c r="B163" s="116" t="s">
        <v>2105</v>
      </c>
      <c r="C163" s="116" t="s">
        <v>2116</v>
      </c>
      <c r="D163" s="116"/>
      <c r="E163" s="116" t="s">
        <v>435</v>
      </c>
      <c r="F163" s="116" t="s">
        <v>2117</v>
      </c>
      <c r="G163" s="116" t="s">
        <v>254</v>
      </c>
      <c r="H163" s="117">
        <v>7.17</v>
      </c>
      <c r="I163" s="116" t="s">
        <v>211</v>
      </c>
      <c r="J163" s="117" t="s">
        <v>255</v>
      </c>
      <c r="K163" s="116">
        <v>7.1999999880790713E-2</v>
      </c>
      <c r="L163" s="116">
        <v>6.4500000000000002E-2</v>
      </c>
      <c r="M163" s="111">
        <v>3092.7784088371877</v>
      </c>
      <c r="N163" s="60">
        <v>100.82</v>
      </c>
      <c r="O163" s="84">
        <v>3.1181399999999999</v>
      </c>
      <c r="P163" s="24">
        <v>8.1392908789773398E-5</v>
      </c>
      <c r="Q163" s="24">
        <v>5.8608078405170733E-6</v>
      </c>
      <c r="R163" s="14"/>
    </row>
    <row r="164" spans="1:18" x14ac:dyDescent="0.25">
      <c r="A164" s="16" t="s">
        <v>2684</v>
      </c>
      <c r="B164" s="116" t="s">
        <v>2105</v>
      </c>
      <c r="C164" s="116" t="s">
        <v>2120</v>
      </c>
      <c r="D164" s="116"/>
      <c r="E164" s="116" t="s">
        <v>435</v>
      </c>
      <c r="F164" s="116" t="s">
        <v>2121</v>
      </c>
      <c r="G164" s="116" t="s">
        <v>254</v>
      </c>
      <c r="H164" s="117">
        <v>7.08</v>
      </c>
      <c r="I164" s="116" t="s">
        <v>211</v>
      </c>
      <c r="J164" s="117" t="s">
        <v>255</v>
      </c>
      <c r="K164" s="116">
        <v>7.1999999880790713E-2</v>
      </c>
      <c r="L164" s="116">
        <v>6.8199999999999997E-2</v>
      </c>
      <c r="M164" s="111">
        <v>4620.3098872341816</v>
      </c>
      <c r="N164" s="60">
        <v>98.32</v>
      </c>
      <c r="O164" s="84">
        <v>4.5426899999999995</v>
      </c>
      <c r="P164" s="24">
        <v>1.1857798329459732E-4</v>
      </c>
      <c r="Q164" s="24">
        <v>8.5383700440129372E-6</v>
      </c>
      <c r="R164" s="14"/>
    </row>
    <row r="165" spans="1:18" x14ac:dyDescent="0.25">
      <c r="A165" s="16" t="s">
        <v>2684</v>
      </c>
      <c r="B165" s="116" t="s">
        <v>2105</v>
      </c>
      <c r="C165" s="116" t="s">
        <v>2130</v>
      </c>
      <c r="D165" s="116"/>
      <c r="E165" s="116" t="s">
        <v>435</v>
      </c>
      <c r="F165" s="116" t="s">
        <v>2131</v>
      </c>
      <c r="G165" s="116" t="s">
        <v>254</v>
      </c>
      <c r="H165" s="117">
        <v>7.09</v>
      </c>
      <c r="I165" s="116" t="s">
        <v>211</v>
      </c>
      <c r="J165" s="117" t="s">
        <v>255</v>
      </c>
      <c r="K165" s="116">
        <v>7.1999999880790713E-2</v>
      </c>
      <c r="L165" s="116">
        <v>6.7500000000000004E-2</v>
      </c>
      <c r="M165" s="111">
        <v>3934.911769920684</v>
      </c>
      <c r="N165" s="60">
        <v>98.81</v>
      </c>
      <c r="O165" s="84">
        <v>3.88809</v>
      </c>
      <c r="P165" s="24">
        <v>1.014909384236853E-4</v>
      </c>
      <c r="Q165" s="24">
        <v>7.3079939825139437E-6</v>
      </c>
      <c r="R165" s="14"/>
    </row>
    <row r="166" spans="1:18" x14ac:dyDescent="0.25">
      <c r="A166" s="16" t="s">
        <v>2684</v>
      </c>
      <c r="B166" s="116" t="s">
        <v>2105</v>
      </c>
      <c r="C166" s="116" t="s">
        <v>2134</v>
      </c>
      <c r="D166" s="116"/>
      <c r="E166" s="116" t="s">
        <v>435</v>
      </c>
      <c r="F166" s="116" t="s">
        <v>2135</v>
      </c>
      <c r="G166" s="116" t="s">
        <v>254</v>
      </c>
      <c r="H166" s="117">
        <v>7.12</v>
      </c>
      <c r="I166" s="116" t="s">
        <v>211</v>
      </c>
      <c r="J166" s="117" t="s">
        <v>255</v>
      </c>
      <c r="K166" s="116">
        <v>7.1999999880790713E-2</v>
      </c>
      <c r="L166" s="116">
        <v>6.6400000000000001E-2</v>
      </c>
      <c r="M166" s="111">
        <v>4064.0469731630988</v>
      </c>
      <c r="N166" s="60">
        <v>99.49</v>
      </c>
      <c r="O166" s="84">
        <v>4.0433200000000005</v>
      </c>
      <c r="P166" s="24">
        <v>1.0554291211038203E-4</v>
      </c>
      <c r="Q166" s="24">
        <v>7.5997618957838638E-6</v>
      </c>
      <c r="R166" s="14"/>
    </row>
    <row r="167" spans="1:18" x14ac:dyDescent="0.25">
      <c r="A167" s="16" t="s">
        <v>2684</v>
      </c>
      <c r="B167" s="116" t="s">
        <v>2105</v>
      </c>
      <c r="C167" s="116" t="s">
        <v>2138</v>
      </c>
      <c r="D167" s="116"/>
      <c r="E167" s="116" t="s">
        <v>435</v>
      </c>
      <c r="F167" s="116" t="s">
        <v>2139</v>
      </c>
      <c r="G167" s="116" t="s">
        <v>254</v>
      </c>
      <c r="H167" s="117">
        <v>7.12</v>
      </c>
      <c r="I167" s="116" t="s">
        <v>211</v>
      </c>
      <c r="J167" s="117" t="s">
        <v>255</v>
      </c>
      <c r="K167" s="116">
        <v>7.1999999880790713E-2</v>
      </c>
      <c r="L167" s="116">
        <v>6.6500000000000004E-2</v>
      </c>
      <c r="M167" s="111">
        <v>3328.4875772797327</v>
      </c>
      <c r="N167" s="60">
        <v>99.44</v>
      </c>
      <c r="O167" s="84">
        <v>3.30985</v>
      </c>
      <c r="P167" s="24">
        <v>8.6397121090724436E-5</v>
      </c>
      <c r="Q167" s="24">
        <v>6.2211429990107677E-6</v>
      </c>
      <c r="R167" s="14"/>
    </row>
    <row r="168" spans="1:18" x14ac:dyDescent="0.25">
      <c r="A168" s="16" t="s">
        <v>2684</v>
      </c>
      <c r="B168" s="116" t="s">
        <v>2105</v>
      </c>
      <c r="C168" s="116" t="s">
        <v>2142</v>
      </c>
      <c r="D168" s="116"/>
      <c r="E168" s="116" t="s">
        <v>435</v>
      </c>
      <c r="F168" s="116" t="s">
        <v>2143</v>
      </c>
      <c r="G168" s="116" t="s">
        <v>254</v>
      </c>
      <c r="H168" s="117">
        <v>7.09</v>
      </c>
      <c r="I168" s="116" t="s">
        <v>211</v>
      </c>
      <c r="J168" s="117" t="s">
        <v>255</v>
      </c>
      <c r="K168" s="116">
        <v>7.1999999880790713E-2</v>
      </c>
      <c r="L168" s="116">
        <v>6.7599999999999993E-2</v>
      </c>
      <c r="M168" s="111">
        <v>1207.2481764028187</v>
      </c>
      <c r="N168" s="60">
        <v>98.7</v>
      </c>
      <c r="O168" s="84">
        <v>1.1915499999999999</v>
      </c>
      <c r="P168" s="24">
        <v>3.1103068004789547E-5</v>
      </c>
      <c r="Q168" s="24">
        <v>2.2396189979821681E-6</v>
      </c>
      <c r="R168" s="14"/>
    </row>
    <row r="169" spans="1:18" x14ac:dyDescent="0.25">
      <c r="A169" s="16" t="s">
        <v>2685</v>
      </c>
      <c r="B169" s="217" t="s">
        <v>2105</v>
      </c>
      <c r="C169" s="116" t="s">
        <v>2476</v>
      </c>
      <c r="D169" s="116"/>
      <c r="E169" s="116" t="s">
        <v>576</v>
      </c>
      <c r="F169" s="116" t="s">
        <v>2477</v>
      </c>
      <c r="G169" s="116" t="s">
        <v>427</v>
      </c>
      <c r="H169" s="117">
        <v>6.21</v>
      </c>
      <c r="I169" s="116" t="s">
        <v>211</v>
      </c>
      <c r="J169" s="117" t="s">
        <v>126</v>
      </c>
      <c r="K169" s="116">
        <v>2.35E-2</v>
      </c>
      <c r="L169" s="116">
        <v>6.1200000000000004E-2</v>
      </c>
      <c r="M169" s="111">
        <v>13723.969355206513</v>
      </c>
      <c r="N169" s="60">
        <v>79.19</v>
      </c>
      <c r="O169" s="84">
        <v>44.049140000000001</v>
      </c>
      <c r="P169" s="24">
        <v>1.1498161193172721E-3</v>
      </c>
      <c r="Q169" s="24">
        <v>8.2794083998805138E-5</v>
      </c>
      <c r="R169" s="14"/>
    </row>
    <row r="170" spans="1:18" x14ac:dyDescent="0.25">
      <c r="A170" s="16" t="s">
        <v>2686</v>
      </c>
      <c r="B170" s="116" t="s">
        <v>2105</v>
      </c>
      <c r="C170" s="116" t="s">
        <v>2197</v>
      </c>
      <c r="D170" s="116"/>
      <c r="E170" s="116" t="s">
        <v>2192</v>
      </c>
      <c r="F170" s="116" t="s">
        <v>2193</v>
      </c>
      <c r="G170" s="116" t="s">
        <v>2194</v>
      </c>
      <c r="H170" s="117">
        <v>4.55</v>
      </c>
      <c r="I170" s="116" t="s">
        <v>221</v>
      </c>
      <c r="J170" s="117" t="s">
        <v>255</v>
      </c>
      <c r="K170" s="116">
        <v>7.0000000000000007E-2</v>
      </c>
      <c r="L170" s="116">
        <v>6.6199999999999995E-2</v>
      </c>
      <c r="M170" s="111">
        <v>8776.781347243681</v>
      </c>
      <c r="N170" s="60">
        <v>100.33</v>
      </c>
      <c r="O170" s="84">
        <v>8.8057400000000001</v>
      </c>
      <c r="P170" s="24">
        <v>2.2985651466786585E-4</v>
      </c>
      <c r="Q170" s="24">
        <v>1.6551133058026519E-5</v>
      </c>
      <c r="R170" s="14"/>
    </row>
    <row r="171" spans="1:18" x14ac:dyDescent="0.25">
      <c r="A171" s="16" t="s">
        <v>2687</v>
      </c>
      <c r="B171" s="116" t="s">
        <v>2105</v>
      </c>
      <c r="C171" s="116" t="s">
        <v>2196</v>
      </c>
      <c r="D171" s="116"/>
      <c r="E171" s="116" t="s">
        <v>2192</v>
      </c>
      <c r="F171" s="116" t="s">
        <v>2193</v>
      </c>
      <c r="G171" s="116" t="s">
        <v>2194</v>
      </c>
      <c r="H171" s="117">
        <v>4.55</v>
      </c>
      <c r="I171" s="116" t="s">
        <v>221</v>
      </c>
      <c r="J171" s="117" t="s">
        <v>255</v>
      </c>
      <c r="K171" s="116">
        <v>7.0000000000000007E-2</v>
      </c>
      <c r="L171" s="116">
        <v>6.6199999999999995E-2</v>
      </c>
      <c r="M171" s="111">
        <v>1783.898643861379</v>
      </c>
      <c r="N171" s="60">
        <v>100.33</v>
      </c>
      <c r="O171" s="84">
        <v>1.78979</v>
      </c>
      <c r="P171" s="24">
        <v>4.6718945981530186E-5</v>
      </c>
      <c r="Q171" s="24">
        <v>3.3640616729457474E-6</v>
      </c>
      <c r="R171" s="14"/>
    </row>
    <row r="172" spans="1:18" x14ac:dyDescent="0.25">
      <c r="A172" s="16" t="s">
        <v>2688</v>
      </c>
      <c r="B172" s="116" t="s">
        <v>2105</v>
      </c>
      <c r="C172" s="116" t="s">
        <v>2198</v>
      </c>
      <c r="D172" s="116"/>
      <c r="E172" s="116" t="s">
        <v>2192</v>
      </c>
      <c r="F172" s="116" t="s">
        <v>2193</v>
      </c>
      <c r="G172" s="116" t="s">
        <v>2194</v>
      </c>
      <c r="H172" s="117">
        <v>4.55</v>
      </c>
      <c r="I172" s="116" t="s">
        <v>221</v>
      </c>
      <c r="J172" s="117" t="s">
        <v>255</v>
      </c>
      <c r="K172" s="116">
        <v>7.0000000000000007E-2</v>
      </c>
      <c r="L172" s="116">
        <v>6.6199999999999995E-2</v>
      </c>
      <c r="M172" s="111">
        <v>1962.2885124890279</v>
      </c>
      <c r="N172" s="60">
        <v>100.33</v>
      </c>
      <c r="O172" s="84">
        <v>1.9687600000000001</v>
      </c>
      <c r="P172" s="24">
        <v>5.13906056523935E-5</v>
      </c>
      <c r="Q172" s="24">
        <v>3.7004509239791649E-6</v>
      </c>
      <c r="R172" s="14"/>
    </row>
    <row r="173" spans="1:18" x14ac:dyDescent="0.25">
      <c r="A173" s="16" t="s">
        <v>2689</v>
      </c>
      <c r="B173" s="116" t="s">
        <v>2105</v>
      </c>
      <c r="C173" s="116" t="s">
        <v>2195</v>
      </c>
      <c r="D173" s="116"/>
      <c r="E173" s="116" t="s">
        <v>2192</v>
      </c>
      <c r="F173" s="116" t="s">
        <v>2193</v>
      </c>
      <c r="G173" s="116" t="s">
        <v>2194</v>
      </c>
      <c r="H173" s="117">
        <v>4.55</v>
      </c>
      <c r="I173" s="116" t="s">
        <v>221</v>
      </c>
      <c r="J173" s="117" t="s">
        <v>255</v>
      </c>
      <c r="K173" s="116">
        <v>7.0000000000000007E-2</v>
      </c>
      <c r="L173" s="116">
        <v>6.6199999999999995E-2</v>
      </c>
      <c r="M173" s="111">
        <v>17553.562691224663</v>
      </c>
      <c r="N173" s="60">
        <v>100.33</v>
      </c>
      <c r="O173" s="84">
        <v>17.61149</v>
      </c>
      <c r="P173" s="24">
        <v>4.5971329036605362E-4</v>
      </c>
      <c r="Q173" s="24">
        <v>3.310228491189877E-5</v>
      </c>
      <c r="R173" s="14"/>
    </row>
    <row r="174" spans="1:18" x14ac:dyDescent="0.25">
      <c r="A174" s="16" t="s">
        <v>2690</v>
      </c>
      <c r="B174" s="116" t="s">
        <v>2105</v>
      </c>
      <c r="C174" s="116" t="s">
        <v>2191</v>
      </c>
      <c r="D174" s="116"/>
      <c r="E174" s="116" t="s">
        <v>2192</v>
      </c>
      <c r="F174" s="116" t="s">
        <v>2193</v>
      </c>
      <c r="G174" s="116" t="s">
        <v>2194</v>
      </c>
      <c r="H174" s="117">
        <v>4.55</v>
      </c>
      <c r="I174" s="116" t="s">
        <v>221</v>
      </c>
      <c r="J174" s="117" t="s">
        <v>255</v>
      </c>
      <c r="K174" s="116">
        <v>7.0000000000000007E-2</v>
      </c>
      <c r="L174" s="116">
        <v>6.6199999999999995E-2</v>
      </c>
      <c r="M174" s="111">
        <v>7849.1540483247618</v>
      </c>
      <c r="N174" s="60">
        <v>100.33</v>
      </c>
      <c r="O174" s="84">
        <v>7.8750600000000004</v>
      </c>
      <c r="P174" s="24">
        <v>2.0556294467021779E-4</v>
      </c>
      <c r="Q174" s="24">
        <v>1.4801841287608121E-5</v>
      </c>
      <c r="R174" s="14"/>
    </row>
    <row r="175" spans="1:18" x14ac:dyDescent="0.25">
      <c r="A175" s="16" t="s">
        <v>2691</v>
      </c>
      <c r="B175" s="116" t="s">
        <v>2105</v>
      </c>
      <c r="C175" s="116" t="s">
        <v>2319</v>
      </c>
      <c r="D175" s="116"/>
      <c r="E175" s="116" t="s">
        <v>576</v>
      </c>
      <c r="F175" s="116" t="s">
        <v>2320</v>
      </c>
      <c r="G175" s="116" t="s">
        <v>427</v>
      </c>
      <c r="H175" s="117">
        <v>3.95</v>
      </c>
      <c r="I175" s="116" t="s">
        <v>211</v>
      </c>
      <c r="J175" s="117" t="s">
        <v>255</v>
      </c>
      <c r="K175" s="116">
        <v>4.7E-2</v>
      </c>
      <c r="L175" s="116">
        <v>2.53E-2</v>
      </c>
      <c r="M175" s="111">
        <v>61895.17</v>
      </c>
      <c r="N175" s="60">
        <v>124.46</v>
      </c>
      <c r="O175" s="84">
        <v>77.034720000000007</v>
      </c>
      <c r="P175" s="24">
        <v>2.0108397758297359E-3</v>
      </c>
      <c r="Q175" s="24">
        <v>1.4479327129892738E-4</v>
      </c>
      <c r="R175" s="14"/>
    </row>
    <row r="176" spans="1:18" x14ac:dyDescent="0.25">
      <c r="A176" s="16" t="s">
        <v>2691</v>
      </c>
      <c r="B176" s="116" t="s">
        <v>2105</v>
      </c>
      <c r="C176" s="116" t="s">
        <v>2321</v>
      </c>
      <c r="D176" s="116"/>
      <c r="E176" s="116" t="s">
        <v>576</v>
      </c>
      <c r="F176" s="116" t="s">
        <v>2322</v>
      </c>
      <c r="G176" s="116" t="s">
        <v>427</v>
      </c>
      <c r="H176" s="117">
        <v>3.95</v>
      </c>
      <c r="I176" s="116" t="s">
        <v>211</v>
      </c>
      <c r="J176" s="117" t="s">
        <v>255</v>
      </c>
      <c r="K176" s="116">
        <v>4.6100000000000002E-2</v>
      </c>
      <c r="L176" s="116">
        <v>2.53E-2</v>
      </c>
      <c r="M176" s="111">
        <v>92281.919999999998</v>
      </c>
      <c r="N176" s="60">
        <v>123.56</v>
      </c>
      <c r="O176" s="84">
        <v>114.02354</v>
      </c>
      <c r="P176" s="24">
        <v>2.9763601349224469E-3</v>
      </c>
      <c r="Q176" s="24">
        <v>2.1431688674514683E-4</v>
      </c>
      <c r="R176" s="14"/>
    </row>
    <row r="177" spans="1:18" x14ac:dyDescent="0.25">
      <c r="A177" s="16" t="s">
        <v>2691</v>
      </c>
      <c r="B177" s="116" t="s">
        <v>2105</v>
      </c>
      <c r="C177" s="116" t="s">
        <v>2323</v>
      </c>
      <c r="D177" s="116"/>
      <c r="E177" s="116" t="s">
        <v>576</v>
      </c>
      <c r="F177" s="116" t="s">
        <v>2324</v>
      </c>
      <c r="G177" s="116" t="s">
        <v>427</v>
      </c>
      <c r="H177" s="117">
        <v>3.94</v>
      </c>
      <c r="I177" s="116" t="s">
        <v>211</v>
      </c>
      <c r="J177" s="117" t="s">
        <v>255</v>
      </c>
      <c r="K177" s="116">
        <v>4.7699999999999992E-2</v>
      </c>
      <c r="L177" s="116">
        <v>2.53E-2</v>
      </c>
      <c r="M177" s="111">
        <v>104721.86</v>
      </c>
      <c r="N177" s="60">
        <v>123.24</v>
      </c>
      <c r="O177" s="84">
        <v>129.05922000000001</v>
      </c>
      <c r="P177" s="24">
        <v>3.3688369739457817E-3</v>
      </c>
      <c r="Q177" s="24">
        <v>2.4257771891801456E-4</v>
      </c>
      <c r="R177" s="14"/>
    </row>
    <row r="178" spans="1:18" x14ac:dyDescent="0.25">
      <c r="A178" s="16" t="s">
        <v>2691</v>
      </c>
      <c r="B178" s="116" t="s">
        <v>2105</v>
      </c>
      <c r="C178" s="116" t="s">
        <v>2325</v>
      </c>
      <c r="D178" s="116"/>
      <c r="E178" s="116" t="s">
        <v>576</v>
      </c>
      <c r="F178" s="116" t="s">
        <v>2326</v>
      </c>
      <c r="G178" s="116" t="s">
        <v>427</v>
      </c>
      <c r="H178" s="117">
        <v>3.94</v>
      </c>
      <c r="I178" s="116" t="s">
        <v>211</v>
      </c>
      <c r="J178" s="117" t="s">
        <v>255</v>
      </c>
      <c r="K178" s="116">
        <v>4.7800000000000002E-2</v>
      </c>
      <c r="L178" s="116">
        <v>2.53E-2</v>
      </c>
      <c r="M178" s="111">
        <v>111836.24</v>
      </c>
      <c r="N178" s="60">
        <v>123.28</v>
      </c>
      <c r="O178" s="84">
        <v>137.87170999999998</v>
      </c>
      <c r="P178" s="24">
        <v>3.5988696840809228E-3</v>
      </c>
      <c r="Q178" s="24">
        <v>2.5914153917190889E-4</v>
      </c>
      <c r="R178" s="14"/>
    </row>
    <row r="179" spans="1:18" x14ac:dyDescent="0.25">
      <c r="A179" s="16" t="s">
        <v>2691</v>
      </c>
      <c r="B179" s="116" t="s">
        <v>2105</v>
      </c>
      <c r="C179" s="116" t="s">
        <v>2327</v>
      </c>
      <c r="D179" s="116"/>
      <c r="E179" s="116" t="s">
        <v>576</v>
      </c>
      <c r="F179" s="116" t="s">
        <v>2328</v>
      </c>
      <c r="G179" s="116" t="s">
        <v>427</v>
      </c>
      <c r="H179" s="117">
        <v>3.95</v>
      </c>
      <c r="I179" s="116" t="s">
        <v>211</v>
      </c>
      <c r="J179" s="117" t="s">
        <v>255</v>
      </c>
      <c r="K179" s="116">
        <v>4.5899999999999996E-2</v>
      </c>
      <c r="L179" s="116">
        <v>2.53E-2</v>
      </c>
      <c r="M179" s="111">
        <v>51070.15</v>
      </c>
      <c r="N179" s="60">
        <v>121.73</v>
      </c>
      <c r="O179" s="84">
        <v>62.16769</v>
      </c>
      <c r="P179" s="24">
        <v>1.6227652131850744E-3</v>
      </c>
      <c r="Q179" s="24">
        <v>1.1684943106429951E-4</v>
      </c>
      <c r="R179" s="14"/>
    </row>
    <row r="180" spans="1:18" x14ac:dyDescent="0.25">
      <c r="A180" s="16" t="s">
        <v>2691</v>
      </c>
      <c r="B180" s="116" t="s">
        <v>2105</v>
      </c>
      <c r="C180" s="116" t="s">
        <v>2329</v>
      </c>
      <c r="D180" s="116"/>
      <c r="E180" s="116" t="s">
        <v>576</v>
      </c>
      <c r="F180" s="116" t="s">
        <v>2330</v>
      </c>
      <c r="G180" s="116" t="s">
        <v>427</v>
      </c>
      <c r="H180" s="117">
        <v>3.97</v>
      </c>
      <c r="I180" s="116" t="s">
        <v>211</v>
      </c>
      <c r="J180" s="117" t="s">
        <v>255</v>
      </c>
      <c r="K180" s="116">
        <v>4.2000000000000003E-2</v>
      </c>
      <c r="L180" s="116">
        <v>2.53E-2</v>
      </c>
      <c r="M180" s="111">
        <v>65626.25</v>
      </c>
      <c r="N180" s="60">
        <v>120.82</v>
      </c>
      <c r="O180" s="84">
        <v>79.289630000000002</v>
      </c>
      <c r="P180" s="24">
        <v>2.0696997641430088E-3</v>
      </c>
      <c r="Q180" s="24">
        <v>1.4903156534847628E-4</v>
      </c>
      <c r="R180" s="14"/>
    </row>
    <row r="181" spans="1:18" x14ac:dyDescent="0.25">
      <c r="A181" s="16" t="s">
        <v>2691</v>
      </c>
      <c r="B181" s="116" t="s">
        <v>2105</v>
      </c>
      <c r="C181" s="116" t="s">
        <v>2331</v>
      </c>
      <c r="D181" s="116"/>
      <c r="E181" s="116" t="s">
        <v>576</v>
      </c>
      <c r="F181" s="116" t="s">
        <v>2332</v>
      </c>
      <c r="G181" s="116" t="s">
        <v>427</v>
      </c>
      <c r="H181" s="117">
        <v>1.64</v>
      </c>
      <c r="I181" s="116" t="s">
        <v>211</v>
      </c>
      <c r="J181" s="117" t="s">
        <v>255</v>
      </c>
      <c r="K181" s="116">
        <v>4.5199999999999997E-2</v>
      </c>
      <c r="L181" s="116">
        <v>2.7000000000000003E-2</v>
      </c>
      <c r="M181" s="111">
        <v>44177.71</v>
      </c>
      <c r="N181" s="60">
        <v>115.97</v>
      </c>
      <c r="O181" s="84">
        <v>51.232889999999998</v>
      </c>
      <c r="P181" s="24">
        <v>1.3373337768049201E-3</v>
      </c>
      <c r="Q181" s="24">
        <v>9.629654967523869E-5</v>
      </c>
      <c r="R181" s="14"/>
    </row>
    <row r="182" spans="1:18" x14ac:dyDescent="0.25">
      <c r="A182" s="16" t="s">
        <v>2692</v>
      </c>
      <c r="B182" s="217" t="s">
        <v>2729</v>
      </c>
      <c r="C182" s="116" t="s">
        <v>2214</v>
      </c>
      <c r="D182" s="116"/>
      <c r="E182" s="116" t="s">
        <v>2192</v>
      </c>
      <c r="F182" s="116" t="s">
        <v>2215</v>
      </c>
      <c r="G182" s="116" t="s">
        <v>2194</v>
      </c>
      <c r="H182" s="117">
        <v>1.19</v>
      </c>
      <c r="I182" s="116" t="s">
        <v>204</v>
      </c>
      <c r="J182" s="117" t="s">
        <v>255</v>
      </c>
      <c r="K182" s="116">
        <v>6.8999999761581415E-2</v>
      </c>
      <c r="L182" s="116">
        <v>6.8499999999999991E-2</v>
      </c>
      <c r="M182" s="111">
        <v>42646.292271078535</v>
      </c>
      <c r="N182" s="60">
        <v>100.24</v>
      </c>
      <c r="O182" s="84">
        <v>42.748640000000002</v>
      </c>
      <c r="P182" s="24">
        <v>1.1158691259554921E-3</v>
      </c>
      <c r="Q182" s="24">
        <v>8.0349684261592428E-5</v>
      </c>
      <c r="R182" s="14"/>
    </row>
    <row r="183" spans="1:18" x14ac:dyDescent="0.25">
      <c r="A183" s="16" t="s">
        <v>2683</v>
      </c>
      <c r="B183" s="217" t="s">
        <v>2105</v>
      </c>
      <c r="C183" s="116" t="s">
        <v>2413</v>
      </c>
      <c r="D183" s="116"/>
      <c r="E183" s="116" t="s">
        <v>528</v>
      </c>
      <c r="F183" s="116" t="s">
        <v>2414</v>
      </c>
      <c r="G183" s="116" t="s">
        <v>254</v>
      </c>
      <c r="H183" s="117">
        <v>2.8</v>
      </c>
      <c r="I183" s="116" t="s">
        <v>204</v>
      </c>
      <c r="J183" s="117" t="s">
        <v>255</v>
      </c>
      <c r="K183" s="116">
        <v>2.1099999999999997E-2</v>
      </c>
      <c r="L183" s="116">
        <v>4.0199999999999993E-2</v>
      </c>
      <c r="M183" s="111">
        <v>271742.88</v>
      </c>
      <c r="N183" s="60">
        <v>104.73</v>
      </c>
      <c r="O183" s="84">
        <v>284.59631000000002</v>
      </c>
      <c r="P183" s="24">
        <v>7.4288266407974224E-3</v>
      </c>
      <c r="Q183" s="24">
        <v>5.3492283381446231E-4</v>
      </c>
      <c r="R183" s="14"/>
    </row>
    <row r="184" spans="1:18" x14ac:dyDescent="0.25">
      <c r="A184" s="16" t="s">
        <v>2693</v>
      </c>
      <c r="B184" s="217" t="s">
        <v>2729</v>
      </c>
      <c r="C184" s="116" t="s">
        <v>2437</v>
      </c>
      <c r="D184" s="116"/>
      <c r="E184" s="116" t="s">
        <v>576</v>
      </c>
      <c r="F184" s="116" t="s">
        <v>2438</v>
      </c>
      <c r="G184" s="116" t="s">
        <v>427</v>
      </c>
      <c r="H184" s="117">
        <v>12.22</v>
      </c>
      <c r="I184" s="116" t="s">
        <v>220</v>
      </c>
      <c r="J184" s="117" t="s">
        <v>255</v>
      </c>
      <c r="K184" s="116">
        <v>2.9700000000000001E-2</v>
      </c>
      <c r="L184" s="116">
        <v>2.9100000000000001E-2</v>
      </c>
      <c r="M184" s="111">
        <v>24129.193507020605</v>
      </c>
      <c r="N184" s="60">
        <v>96.89</v>
      </c>
      <c r="O184" s="84">
        <v>23.378779999999999</v>
      </c>
      <c r="P184" s="24">
        <v>6.1025704687928649E-4</v>
      </c>
      <c r="Q184" s="24">
        <v>4.394239422403219E-5</v>
      </c>
      <c r="R184" s="14"/>
    </row>
    <row r="185" spans="1:18" x14ac:dyDescent="0.25">
      <c r="A185" s="16" t="s">
        <v>2694</v>
      </c>
      <c r="B185" s="116" t="s">
        <v>2105</v>
      </c>
      <c r="C185" s="116" t="s">
        <v>2122</v>
      </c>
      <c r="D185" s="116"/>
      <c r="E185" s="116" t="s">
        <v>528</v>
      </c>
      <c r="F185" s="116" t="s">
        <v>2123</v>
      </c>
      <c r="G185" s="116" t="s">
        <v>254</v>
      </c>
      <c r="H185" s="117">
        <v>9.27</v>
      </c>
      <c r="I185" s="116" t="s">
        <v>204</v>
      </c>
      <c r="J185" s="117" t="s">
        <v>255</v>
      </c>
      <c r="K185" s="116">
        <v>7.399999976158142E-2</v>
      </c>
      <c r="L185" s="116">
        <v>7.17E-2</v>
      </c>
      <c r="M185" s="111">
        <v>34665.349861404167</v>
      </c>
      <c r="N185" s="60">
        <v>99.06</v>
      </c>
      <c r="O185" s="84">
        <v>34.339500000000001</v>
      </c>
      <c r="P185" s="24">
        <v>8.9636507385377942E-4</v>
      </c>
      <c r="Q185" s="24">
        <v>6.4543994445225692E-5</v>
      </c>
      <c r="R185" s="14"/>
    </row>
    <row r="186" spans="1:18" x14ac:dyDescent="0.25">
      <c r="A186" s="16" t="s">
        <v>2694</v>
      </c>
      <c r="B186" s="116" t="s">
        <v>2105</v>
      </c>
      <c r="C186" s="116" t="s">
        <v>2136</v>
      </c>
      <c r="D186" s="116"/>
      <c r="E186" s="116" t="s">
        <v>528</v>
      </c>
      <c r="F186" s="116" t="s">
        <v>2137</v>
      </c>
      <c r="G186" s="116" t="s">
        <v>254</v>
      </c>
      <c r="H186" s="117">
        <v>9.27</v>
      </c>
      <c r="I186" s="116" t="s">
        <v>204</v>
      </c>
      <c r="J186" s="117" t="s">
        <v>255</v>
      </c>
      <c r="K186" s="116">
        <v>7.399999976158142E-2</v>
      </c>
      <c r="L186" s="116">
        <v>7.1599999999999997E-2</v>
      </c>
      <c r="M186" s="111">
        <v>5983.5240180345081</v>
      </c>
      <c r="N186" s="60">
        <v>99.11</v>
      </c>
      <c r="O186" s="84">
        <v>5.9302700000000002</v>
      </c>
      <c r="P186" s="24">
        <v>1.5479802869939436E-4</v>
      </c>
      <c r="Q186" s="24">
        <v>1.1146444005844249E-5</v>
      </c>
      <c r="R186" s="14"/>
    </row>
    <row r="187" spans="1:18" x14ac:dyDescent="0.25">
      <c r="A187" s="16" t="s">
        <v>2694</v>
      </c>
      <c r="B187" s="116" t="s">
        <v>2105</v>
      </c>
      <c r="C187" s="116" t="s">
        <v>2204</v>
      </c>
      <c r="D187" s="116"/>
      <c r="E187" s="116" t="s">
        <v>528</v>
      </c>
      <c r="F187" s="116" t="s">
        <v>2205</v>
      </c>
      <c r="G187" s="116" t="s">
        <v>254</v>
      </c>
      <c r="H187" s="117">
        <v>9.26</v>
      </c>
      <c r="I187" s="116" t="s">
        <v>204</v>
      </c>
      <c r="J187" s="117" t="s">
        <v>255</v>
      </c>
      <c r="K187" s="116">
        <v>7.399999976158142E-2</v>
      </c>
      <c r="L187" s="116">
        <v>6.8699999999999997E-2</v>
      </c>
      <c r="M187" s="111">
        <v>18211.483424351467</v>
      </c>
      <c r="N187" s="60">
        <v>101.65</v>
      </c>
      <c r="O187" s="84">
        <v>18.511970000000002</v>
      </c>
      <c r="P187" s="24">
        <v>4.8321854879159419E-4</v>
      </c>
      <c r="Q187" s="24">
        <v>3.4794813228211963E-5</v>
      </c>
      <c r="R187" s="14"/>
    </row>
    <row r="188" spans="1:18" x14ac:dyDescent="0.25">
      <c r="A188" s="16" t="s">
        <v>2695</v>
      </c>
      <c r="B188" s="217" t="s">
        <v>2729</v>
      </c>
      <c r="C188" s="116" t="s">
        <v>2423</v>
      </c>
      <c r="D188" s="116"/>
      <c r="E188" s="116" t="s">
        <v>576</v>
      </c>
      <c r="F188" s="116" t="s">
        <v>2422</v>
      </c>
      <c r="G188" s="116" t="s">
        <v>427</v>
      </c>
      <c r="H188" s="117">
        <v>8.35</v>
      </c>
      <c r="I188" s="116" t="s">
        <v>211</v>
      </c>
      <c r="J188" s="117" t="s">
        <v>255</v>
      </c>
      <c r="K188" s="116">
        <v>1.7899999999999999E-2</v>
      </c>
      <c r="L188" s="116">
        <v>3.9E-2</v>
      </c>
      <c r="M188" s="111">
        <v>1913.7556250278672</v>
      </c>
      <c r="N188" s="60">
        <v>95.44</v>
      </c>
      <c r="O188" s="84">
        <v>1.8264899999999999</v>
      </c>
      <c r="P188" s="24">
        <v>4.7676927262866075E-5</v>
      </c>
      <c r="Q188" s="24">
        <v>3.4330424267755869E-6</v>
      </c>
      <c r="R188" s="14"/>
    </row>
    <row r="189" spans="1:18" x14ac:dyDescent="0.25">
      <c r="A189" s="16" t="s">
        <v>2696</v>
      </c>
      <c r="B189" s="217" t="s">
        <v>2729</v>
      </c>
      <c r="C189" s="116" t="s">
        <v>2421</v>
      </c>
      <c r="D189" s="116"/>
      <c r="E189" s="116" t="s">
        <v>576</v>
      </c>
      <c r="F189" s="116" t="s">
        <v>2422</v>
      </c>
      <c r="G189" s="116" t="s">
        <v>427</v>
      </c>
      <c r="H189" s="117">
        <v>8.3800000000000008</v>
      </c>
      <c r="I189" s="116" t="s">
        <v>211</v>
      </c>
      <c r="J189" s="117" t="s">
        <v>255</v>
      </c>
      <c r="K189" s="116">
        <v>1.7899999999999999E-2</v>
      </c>
      <c r="L189" s="116">
        <v>3.8399999999999997E-2</v>
      </c>
      <c r="M189" s="111">
        <v>2905.850579255718</v>
      </c>
      <c r="N189" s="60">
        <v>95.9</v>
      </c>
      <c r="O189" s="84">
        <v>2.7867100000000002</v>
      </c>
      <c r="P189" s="24">
        <v>7.2741580831376851E-5</v>
      </c>
      <c r="Q189" s="24">
        <v>5.2378571254810034E-6</v>
      </c>
      <c r="R189" s="14"/>
    </row>
    <row r="190" spans="1:18" x14ac:dyDescent="0.25">
      <c r="A190" s="16" t="s">
        <v>2697</v>
      </c>
      <c r="B190" s="116" t="s">
        <v>2105</v>
      </c>
      <c r="C190" s="116" t="s">
        <v>2157</v>
      </c>
      <c r="D190" s="116"/>
      <c r="E190" s="116" t="s">
        <v>576</v>
      </c>
      <c r="F190" s="116" t="s">
        <v>2158</v>
      </c>
      <c r="G190" s="116" t="s">
        <v>427</v>
      </c>
      <c r="H190" s="117">
        <v>7.96</v>
      </c>
      <c r="I190" s="116" t="s">
        <v>219</v>
      </c>
      <c r="J190" s="117" t="s">
        <v>255</v>
      </c>
      <c r="K190" s="116">
        <v>6.8499999046325685E-2</v>
      </c>
      <c r="L190" s="116">
        <v>6.5599999999999992E-2</v>
      </c>
      <c r="M190" s="111">
        <v>409.16812394216197</v>
      </c>
      <c r="N190" s="60">
        <v>99.11</v>
      </c>
      <c r="O190" s="84">
        <v>0.40552999999999995</v>
      </c>
      <c r="P190" s="24">
        <v>1.0585562643600609E-5</v>
      </c>
      <c r="Q190" s="24">
        <v>7.6222793189686429E-7</v>
      </c>
      <c r="R190" s="14"/>
    </row>
    <row r="191" spans="1:18" x14ac:dyDescent="0.25">
      <c r="A191" s="16" t="s">
        <v>2697</v>
      </c>
      <c r="B191" s="116" t="s">
        <v>2105</v>
      </c>
      <c r="C191" s="116" t="s">
        <v>2231</v>
      </c>
      <c r="D191" s="116"/>
      <c r="E191" s="116" t="s">
        <v>576</v>
      </c>
      <c r="F191" s="116" t="s">
        <v>2232</v>
      </c>
      <c r="G191" s="116" t="s">
        <v>427</v>
      </c>
      <c r="H191" s="117">
        <v>8.0299999999999994</v>
      </c>
      <c r="I191" s="116" t="s">
        <v>219</v>
      </c>
      <c r="J191" s="117" t="s">
        <v>255</v>
      </c>
      <c r="K191" s="116">
        <v>6.8499999046325685E-2</v>
      </c>
      <c r="L191" s="116">
        <v>6.3600000000000004E-2</v>
      </c>
      <c r="M191" s="111">
        <v>1571.5776873829866</v>
      </c>
      <c r="N191" s="60">
        <v>100.65</v>
      </c>
      <c r="O191" s="84">
        <v>1.58179</v>
      </c>
      <c r="P191" s="24">
        <v>4.1289515286220523E-5</v>
      </c>
      <c r="Q191" s="24">
        <v>2.9731080817575549E-6</v>
      </c>
      <c r="R191" s="14"/>
    </row>
    <row r="192" spans="1:18" x14ac:dyDescent="0.25">
      <c r="A192" s="16" t="s">
        <v>2697</v>
      </c>
      <c r="B192" s="116" t="s">
        <v>2105</v>
      </c>
      <c r="C192" s="116" t="s">
        <v>2233</v>
      </c>
      <c r="D192" s="116"/>
      <c r="E192" s="116" t="s">
        <v>576</v>
      </c>
      <c r="F192" s="116" t="s">
        <v>1322</v>
      </c>
      <c r="G192" s="116" t="s">
        <v>427</v>
      </c>
      <c r="H192" s="117">
        <v>8.0299999999999994</v>
      </c>
      <c r="I192" s="116" t="s">
        <v>219</v>
      </c>
      <c r="J192" s="117" t="s">
        <v>255</v>
      </c>
      <c r="K192" s="116">
        <v>6.8499999046325685E-2</v>
      </c>
      <c r="L192" s="116">
        <v>6.3600000000000004E-2</v>
      </c>
      <c r="M192" s="111">
        <v>1305.628095410478</v>
      </c>
      <c r="N192" s="60">
        <v>100.66</v>
      </c>
      <c r="O192" s="84">
        <v>1.3142499999999999</v>
      </c>
      <c r="P192" s="24">
        <v>3.4305910054378472E-5</v>
      </c>
      <c r="Q192" s="24">
        <v>2.4702440250917417E-6</v>
      </c>
      <c r="R192" s="14"/>
    </row>
    <row r="193" spans="1:18" x14ac:dyDescent="0.25">
      <c r="A193" s="16" t="s">
        <v>2697</v>
      </c>
      <c r="B193" s="116" t="s">
        <v>2105</v>
      </c>
      <c r="C193" s="116" t="s">
        <v>2234</v>
      </c>
      <c r="D193" s="116"/>
      <c r="E193" s="116" t="s">
        <v>576</v>
      </c>
      <c r="F193" s="116" t="s">
        <v>1611</v>
      </c>
      <c r="G193" s="116" t="s">
        <v>427</v>
      </c>
      <c r="H193" s="117">
        <v>8.0299999999999994</v>
      </c>
      <c r="I193" s="116" t="s">
        <v>219</v>
      </c>
      <c r="J193" s="117" t="s">
        <v>255</v>
      </c>
      <c r="K193" s="116">
        <v>6.8499999046325685E-2</v>
      </c>
      <c r="L193" s="116">
        <v>6.3600000000000004E-2</v>
      </c>
      <c r="M193" s="111">
        <v>1357.704403138624</v>
      </c>
      <c r="N193" s="60">
        <v>100.65</v>
      </c>
      <c r="O193" s="84">
        <v>1.36653</v>
      </c>
      <c r="P193" s="24">
        <v>3.5670576577218806E-5</v>
      </c>
      <c r="Q193" s="24">
        <v>2.5685087065692354E-6</v>
      </c>
      <c r="R193" s="14"/>
    </row>
    <row r="194" spans="1:18" x14ac:dyDescent="0.25">
      <c r="A194" s="16" t="s">
        <v>2697</v>
      </c>
      <c r="B194" s="116" t="s">
        <v>2105</v>
      </c>
      <c r="C194" s="116" t="s">
        <v>2240</v>
      </c>
      <c r="D194" s="116"/>
      <c r="E194" s="116" t="s">
        <v>576</v>
      </c>
      <c r="F194" s="116" t="s">
        <v>935</v>
      </c>
      <c r="G194" s="116" t="s">
        <v>427</v>
      </c>
      <c r="H194" s="117">
        <v>8.02</v>
      </c>
      <c r="I194" s="116" t="s">
        <v>219</v>
      </c>
      <c r="J194" s="117" t="s">
        <v>255</v>
      </c>
      <c r="K194" s="116">
        <v>6.8499999046325685E-2</v>
      </c>
      <c r="L194" s="116">
        <v>6.3700000000000007E-2</v>
      </c>
      <c r="M194" s="111">
        <v>1742.6972423936695</v>
      </c>
      <c r="N194" s="60">
        <v>100.54</v>
      </c>
      <c r="O194" s="84">
        <v>1.7521099999999998</v>
      </c>
      <c r="P194" s="24">
        <v>4.5735383728649084E-5</v>
      </c>
      <c r="Q194" s="24">
        <v>3.2932389262343474E-6</v>
      </c>
      <c r="R194" s="14"/>
    </row>
    <row r="195" spans="1:18" x14ac:dyDescent="0.25">
      <c r="A195" s="16" t="s">
        <v>2697</v>
      </c>
      <c r="B195" s="116" t="s">
        <v>2105</v>
      </c>
      <c r="C195" s="116" t="s">
        <v>2161</v>
      </c>
      <c r="D195" s="116"/>
      <c r="E195" s="116" t="s">
        <v>576</v>
      </c>
      <c r="F195" s="116" t="s">
        <v>1579</v>
      </c>
      <c r="G195" s="116" t="s">
        <v>427</v>
      </c>
      <c r="H195" s="117">
        <v>7.97</v>
      </c>
      <c r="I195" s="116" t="s">
        <v>219</v>
      </c>
      <c r="J195" s="117" t="s">
        <v>255</v>
      </c>
      <c r="K195" s="116">
        <v>6.8499999046325685E-2</v>
      </c>
      <c r="L195" s="116">
        <v>6.5299999999999997E-2</v>
      </c>
      <c r="M195" s="111">
        <v>623.3118991300488</v>
      </c>
      <c r="N195" s="60">
        <v>99.34</v>
      </c>
      <c r="O195" s="84">
        <v>0.61920000000000008</v>
      </c>
      <c r="P195" s="24">
        <v>1.616299753142184E-5</v>
      </c>
      <c r="Q195" s="24">
        <v>1.1638387676140816E-6</v>
      </c>
      <c r="R195" s="14"/>
    </row>
    <row r="196" spans="1:18" x14ac:dyDescent="0.25">
      <c r="A196" s="16" t="s">
        <v>2697</v>
      </c>
      <c r="B196" s="116" t="s">
        <v>2105</v>
      </c>
      <c r="C196" s="116" t="s">
        <v>2165</v>
      </c>
      <c r="D196" s="116"/>
      <c r="E196" s="116" t="s">
        <v>576</v>
      </c>
      <c r="F196" s="116" t="s">
        <v>2166</v>
      </c>
      <c r="G196" s="116" t="s">
        <v>427</v>
      </c>
      <c r="H196" s="117">
        <v>8</v>
      </c>
      <c r="I196" s="116" t="s">
        <v>219</v>
      </c>
      <c r="J196" s="117" t="s">
        <v>255</v>
      </c>
      <c r="K196" s="116">
        <v>6.8499999046325685E-2</v>
      </c>
      <c r="L196" s="116">
        <v>6.4199999999999993E-2</v>
      </c>
      <c r="M196" s="111">
        <v>591.43384452283374</v>
      </c>
      <c r="N196" s="60">
        <v>100.14</v>
      </c>
      <c r="O196" s="84">
        <v>0.59226000000000001</v>
      </c>
      <c r="P196" s="24">
        <v>1.545978184425048E-5</v>
      </c>
      <c r="Q196" s="24">
        <v>1.1132027592169183E-6</v>
      </c>
      <c r="R196" s="14"/>
    </row>
    <row r="197" spans="1:18" x14ac:dyDescent="0.25">
      <c r="A197" s="16" t="s">
        <v>2697</v>
      </c>
      <c r="B197" s="116" t="s">
        <v>2105</v>
      </c>
      <c r="C197" s="116" t="s">
        <v>2171</v>
      </c>
      <c r="D197" s="116"/>
      <c r="E197" s="116" t="s">
        <v>576</v>
      </c>
      <c r="F197" s="116" t="s">
        <v>2172</v>
      </c>
      <c r="G197" s="116" t="s">
        <v>427</v>
      </c>
      <c r="H197" s="117">
        <v>8</v>
      </c>
      <c r="I197" s="116" t="s">
        <v>219</v>
      </c>
      <c r="J197" s="117" t="s">
        <v>255</v>
      </c>
      <c r="K197" s="116">
        <v>6.8499999046325685E-2</v>
      </c>
      <c r="L197" s="116">
        <v>6.4299999999999996E-2</v>
      </c>
      <c r="M197" s="111">
        <v>684.42671667993852</v>
      </c>
      <c r="N197" s="60">
        <v>100.11</v>
      </c>
      <c r="O197" s="84">
        <v>0.6851799999999999</v>
      </c>
      <c r="P197" s="24">
        <v>1.7885275595251314E-5</v>
      </c>
      <c r="Q197" s="24">
        <v>1.2878537577419512E-6</v>
      </c>
      <c r="R197" s="14"/>
    </row>
    <row r="198" spans="1:18" x14ac:dyDescent="0.25">
      <c r="A198" s="16" t="s">
        <v>2697</v>
      </c>
      <c r="B198" s="116" t="s">
        <v>2105</v>
      </c>
      <c r="C198" s="116" t="s">
        <v>2206</v>
      </c>
      <c r="D198" s="116"/>
      <c r="E198" s="116" t="s">
        <v>576</v>
      </c>
      <c r="F198" s="116" t="s">
        <v>2205</v>
      </c>
      <c r="G198" s="116" t="s">
        <v>427</v>
      </c>
      <c r="H198" s="117">
        <v>8.01</v>
      </c>
      <c r="I198" s="116" t="s">
        <v>219</v>
      </c>
      <c r="J198" s="117" t="s">
        <v>255</v>
      </c>
      <c r="K198" s="116">
        <v>6.8499999046325685E-2</v>
      </c>
      <c r="L198" s="116">
        <v>6.4000000000000001E-2</v>
      </c>
      <c r="M198" s="111">
        <v>80.196983940861088</v>
      </c>
      <c r="N198" s="60">
        <v>100.32</v>
      </c>
      <c r="O198" s="84">
        <v>8.0450000000000008E-2</v>
      </c>
      <c r="P198" s="24">
        <v>2.0999889396041454E-6</v>
      </c>
      <c r="Q198" s="24">
        <v>1.5121257889947167E-7</v>
      </c>
      <c r="R198" s="14"/>
    </row>
    <row r="199" spans="1:18" x14ac:dyDescent="0.25">
      <c r="A199" s="16" t="s">
        <v>2697</v>
      </c>
      <c r="B199" s="116" t="s">
        <v>2105</v>
      </c>
      <c r="C199" s="116" t="s">
        <v>2209</v>
      </c>
      <c r="D199" s="116"/>
      <c r="E199" s="116" t="s">
        <v>576</v>
      </c>
      <c r="F199" s="116" t="s">
        <v>1622</v>
      </c>
      <c r="G199" s="116" t="s">
        <v>427</v>
      </c>
      <c r="H199" s="117">
        <v>8.01</v>
      </c>
      <c r="I199" s="116" t="s">
        <v>219</v>
      </c>
      <c r="J199" s="117" t="s">
        <v>255</v>
      </c>
      <c r="K199" s="116">
        <v>6.8499999046325685E-2</v>
      </c>
      <c r="L199" s="116">
        <v>6.3899999999999998E-2</v>
      </c>
      <c r="M199" s="111">
        <v>920.62829681471862</v>
      </c>
      <c r="N199" s="60">
        <v>100.36</v>
      </c>
      <c r="O199" s="84">
        <v>0.92394000000000009</v>
      </c>
      <c r="P199" s="24">
        <v>2.4117635560694273E-5</v>
      </c>
      <c r="Q199" s="24">
        <v>1.7366233703962444E-6</v>
      </c>
      <c r="R199" s="14"/>
    </row>
    <row r="200" spans="1:18" x14ac:dyDescent="0.25">
      <c r="A200" s="16" t="s">
        <v>2697</v>
      </c>
      <c r="B200" s="116" t="s">
        <v>2105</v>
      </c>
      <c r="C200" s="116" t="s">
        <v>2212</v>
      </c>
      <c r="D200" s="116"/>
      <c r="E200" s="116" t="s">
        <v>576</v>
      </c>
      <c r="F200" s="116" t="s">
        <v>2213</v>
      </c>
      <c r="G200" s="116" t="s">
        <v>427</v>
      </c>
      <c r="H200" s="117">
        <v>8.01</v>
      </c>
      <c r="I200" s="116" t="s">
        <v>219</v>
      </c>
      <c r="J200" s="117" t="s">
        <v>255</v>
      </c>
      <c r="K200" s="116">
        <v>6.8499999046325685E-2</v>
      </c>
      <c r="L200" s="116">
        <v>6.4000000000000001E-2</v>
      </c>
      <c r="M200" s="111">
        <v>743.94212569194087</v>
      </c>
      <c r="N200" s="60">
        <v>100.32</v>
      </c>
      <c r="O200" s="84">
        <v>0.74632000000000009</v>
      </c>
      <c r="P200" s="24">
        <v>1.9481214983286089E-5</v>
      </c>
      <c r="Q200" s="24">
        <v>1.402771558536404E-6</v>
      </c>
      <c r="R200" s="14"/>
    </row>
    <row r="201" spans="1:18" x14ac:dyDescent="0.25">
      <c r="A201" s="16" t="s">
        <v>2697</v>
      </c>
      <c r="B201" s="116" t="s">
        <v>2105</v>
      </c>
      <c r="C201" s="116" t="s">
        <v>2216</v>
      </c>
      <c r="D201" s="116"/>
      <c r="E201" s="116" t="s">
        <v>576</v>
      </c>
      <c r="F201" s="116" t="s">
        <v>2217</v>
      </c>
      <c r="G201" s="116" t="s">
        <v>427</v>
      </c>
      <c r="H201" s="117">
        <v>7.98</v>
      </c>
      <c r="I201" s="116" t="s">
        <v>219</v>
      </c>
      <c r="J201" s="117" t="s">
        <v>255</v>
      </c>
      <c r="K201" s="116">
        <v>6.8499999046325685E-2</v>
      </c>
      <c r="L201" s="116">
        <v>6.4899999999999999E-2</v>
      </c>
      <c r="M201" s="111">
        <v>1357.6943230246366</v>
      </c>
      <c r="N201" s="60">
        <v>99.62</v>
      </c>
      <c r="O201" s="84">
        <v>1.3525399999999999</v>
      </c>
      <c r="P201" s="24">
        <v>3.5305395156894851E-5</v>
      </c>
      <c r="Q201" s="24">
        <v>2.5422133183926834E-6</v>
      </c>
      <c r="R201" s="14"/>
    </row>
    <row r="202" spans="1:18" x14ac:dyDescent="0.25">
      <c r="A202" s="16" t="s">
        <v>2697</v>
      </c>
      <c r="B202" s="116" t="s">
        <v>2105</v>
      </c>
      <c r="C202" s="116" t="s">
        <v>2220</v>
      </c>
      <c r="D202" s="116"/>
      <c r="E202" s="116" t="s">
        <v>576</v>
      </c>
      <c r="F202" s="116" t="s">
        <v>1587</v>
      </c>
      <c r="G202" s="116" t="s">
        <v>427</v>
      </c>
      <c r="H202" s="117">
        <v>8</v>
      </c>
      <c r="I202" s="116" t="s">
        <v>219</v>
      </c>
      <c r="J202" s="117" t="s">
        <v>255</v>
      </c>
      <c r="K202" s="116">
        <v>6.8499999046325685E-2</v>
      </c>
      <c r="L202" s="116">
        <v>6.4500000000000002E-2</v>
      </c>
      <c r="M202" s="111">
        <v>1071.276631371072</v>
      </c>
      <c r="N202" s="60">
        <v>99.92</v>
      </c>
      <c r="O202" s="84">
        <v>1.0704200000000001</v>
      </c>
      <c r="P202" s="24">
        <v>2.7941207715737347E-5</v>
      </c>
      <c r="Q202" s="24">
        <v>2.0119449186522372E-6</v>
      </c>
      <c r="R202" s="14"/>
    </row>
    <row r="203" spans="1:18" x14ac:dyDescent="0.25">
      <c r="A203" s="16" t="s">
        <v>2697</v>
      </c>
      <c r="B203" s="217" t="s">
        <v>2729</v>
      </c>
      <c r="C203" s="116" t="s">
        <v>2103</v>
      </c>
      <c r="D203" s="116"/>
      <c r="E203" s="116" t="s">
        <v>576</v>
      </c>
      <c r="F203" s="116" t="s">
        <v>2104</v>
      </c>
      <c r="G203" s="116" t="s">
        <v>427</v>
      </c>
      <c r="H203" s="117">
        <v>0</v>
      </c>
      <c r="I203" s="116" t="s">
        <v>219</v>
      </c>
      <c r="J203" s="117" t="s">
        <v>255</v>
      </c>
      <c r="K203" s="116">
        <v>6.0000000000000001E-3</v>
      </c>
      <c r="L203" s="116">
        <v>0</v>
      </c>
      <c r="M203" s="111">
        <v>-108.24213678781294</v>
      </c>
      <c r="N203" s="60">
        <v>1.9230769999999999</v>
      </c>
      <c r="O203" s="84">
        <v>-2.0800000000000003E-3</v>
      </c>
      <c r="P203" s="24">
        <v>-5.4294306953096614E-8</v>
      </c>
      <c r="Q203" s="24">
        <v>-3.9095359118819276E-9</v>
      </c>
      <c r="R203" s="14"/>
    </row>
    <row r="204" spans="1:18" x14ac:dyDescent="0.25">
      <c r="A204" s="16" t="s">
        <v>2698</v>
      </c>
      <c r="B204" s="217" t="s">
        <v>2729</v>
      </c>
      <c r="C204" s="116" t="s">
        <v>2410</v>
      </c>
      <c r="D204" s="116"/>
      <c r="E204" s="116" t="s">
        <v>588</v>
      </c>
      <c r="F204" s="116" t="s">
        <v>1128</v>
      </c>
      <c r="G204" s="116" t="s">
        <v>427</v>
      </c>
      <c r="H204" s="117">
        <v>8.2100000000000009</v>
      </c>
      <c r="I204" s="116" t="s">
        <v>211</v>
      </c>
      <c r="J204" s="117" t="s">
        <v>255</v>
      </c>
      <c r="K204" s="116">
        <v>2.4300000000000002E-2</v>
      </c>
      <c r="L204" s="116">
        <v>2.8500000000000001E-2</v>
      </c>
      <c r="M204" s="111">
        <v>923.58078161472156</v>
      </c>
      <c r="N204" s="60">
        <v>104.49</v>
      </c>
      <c r="O204" s="84">
        <v>0.96504999999999996</v>
      </c>
      <c r="P204" s="24">
        <v>2.5190731213983596E-5</v>
      </c>
      <c r="Q204" s="24">
        <v>1.8138930921931028E-6</v>
      </c>
      <c r="R204" s="14"/>
    </row>
    <row r="205" spans="1:18" x14ac:dyDescent="0.25">
      <c r="A205" s="16" t="s">
        <v>2699</v>
      </c>
      <c r="B205" s="217" t="s">
        <v>2729</v>
      </c>
      <c r="C205" s="116" t="s">
        <v>2407</v>
      </c>
      <c r="D205" s="116"/>
      <c r="E205" s="116" t="s">
        <v>588</v>
      </c>
      <c r="F205" s="116" t="s">
        <v>2408</v>
      </c>
      <c r="G205" s="116" t="s">
        <v>427</v>
      </c>
      <c r="H205" s="117">
        <v>5.12</v>
      </c>
      <c r="I205" s="116" t="s">
        <v>211</v>
      </c>
      <c r="J205" s="117" t="s">
        <v>255</v>
      </c>
      <c r="K205" s="116">
        <v>2.2099999999999998E-2</v>
      </c>
      <c r="L205" s="116">
        <v>2.8399999999999998E-2</v>
      </c>
      <c r="M205" s="111">
        <v>209.35434418411367</v>
      </c>
      <c r="N205" s="60">
        <v>107.73</v>
      </c>
      <c r="O205" s="84">
        <v>0.22553999999999999</v>
      </c>
      <c r="P205" s="24">
        <v>5.8872778799045239E-6</v>
      </c>
      <c r="Q205" s="24">
        <v>4.2392150459896628E-7</v>
      </c>
      <c r="R205" s="14"/>
    </row>
    <row r="206" spans="1:18" x14ac:dyDescent="0.25">
      <c r="A206" s="16" t="s">
        <v>2700</v>
      </c>
      <c r="B206" s="217" t="s">
        <v>2729</v>
      </c>
      <c r="C206" s="116" t="s">
        <v>2296</v>
      </c>
      <c r="D206" s="116"/>
      <c r="E206" s="116" t="s">
        <v>588</v>
      </c>
      <c r="F206" s="116" t="s">
        <v>2297</v>
      </c>
      <c r="G206" s="116" t="s">
        <v>427</v>
      </c>
      <c r="H206" s="117">
        <v>0.36</v>
      </c>
      <c r="I206" s="116" t="s">
        <v>220</v>
      </c>
      <c r="J206" s="117" t="s">
        <v>255</v>
      </c>
      <c r="K206" s="116">
        <v>0.03</v>
      </c>
      <c r="L206" s="116">
        <v>2.7099999999999999E-2</v>
      </c>
      <c r="M206" s="111">
        <v>2098080</v>
      </c>
      <c r="N206" s="60">
        <v>112.55</v>
      </c>
      <c r="O206" s="84">
        <v>2361.38904</v>
      </c>
      <c r="P206" s="24">
        <v>6.163941412184526E-2</v>
      </c>
      <c r="Q206" s="24">
        <v>4.4384304104828796E-3</v>
      </c>
      <c r="R206" s="14"/>
    </row>
    <row r="207" spans="1:18" x14ac:dyDescent="0.25">
      <c r="A207" s="16" t="s">
        <v>2700</v>
      </c>
      <c r="B207" s="217" t="s">
        <v>2729</v>
      </c>
      <c r="C207" s="116" t="s">
        <v>2307</v>
      </c>
      <c r="D207" s="116"/>
      <c r="E207" s="116" t="s">
        <v>588</v>
      </c>
      <c r="F207" s="116" t="s">
        <v>2308</v>
      </c>
      <c r="G207" s="116" t="s">
        <v>427</v>
      </c>
      <c r="H207" s="117">
        <v>0.59</v>
      </c>
      <c r="I207" s="116" t="s">
        <v>220</v>
      </c>
      <c r="J207" s="117" t="s">
        <v>255</v>
      </c>
      <c r="K207" s="116">
        <v>0.03</v>
      </c>
      <c r="L207" s="116">
        <v>2.98E-2</v>
      </c>
      <c r="M207" s="111">
        <v>740250</v>
      </c>
      <c r="N207" s="60">
        <v>111.58</v>
      </c>
      <c r="O207" s="84">
        <v>825.9709499999999</v>
      </c>
      <c r="P207" s="24">
        <v>2.1560346295019621E-2</v>
      </c>
      <c r="Q207" s="24">
        <v>1.5524822553828034E-3</v>
      </c>
      <c r="R207" s="14"/>
    </row>
    <row r="208" spans="1:18" x14ac:dyDescent="0.25">
      <c r="A208" s="16" t="s">
        <v>2701</v>
      </c>
      <c r="B208" s="217" t="s">
        <v>2729</v>
      </c>
      <c r="C208" s="116" t="s">
        <v>2425</v>
      </c>
      <c r="D208" s="116"/>
      <c r="E208" s="116" t="s">
        <v>588</v>
      </c>
      <c r="F208" s="116" t="s">
        <v>2426</v>
      </c>
      <c r="G208" s="116" t="s">
        <v>427</v>
      </c>
      <c r="H208" s="117">
        <v>8.3699999999999992</v>
      </c>
      <c r="I208" s="116" t="s">
        <v>211</v>
      </c>
      <c r="J208" s="117" t="s">
        <v>255</v>
      </c>
      <c r="K208" s="116">
        <v>1.6500000000000001E-2</v>
      </c>
      <c r="L208" s="116">
        <v>3.15E-2</v>
      </c>
      <c r="M208" s="111">
        <v>1195.441803334734</v>
      </c>
      <c r="N208" s="60">
        <v>97.75</v>
      </c>
      <c r="O208" s="84">
        <v>1.1685399999999999</v>
      </c>
      <c r="P208" s="24">
        <v>3.0502437234120919E-5</v>
      </c>
      <c r="Q208" s="24">
        <v>2.1963697569569747E-6</v>
      </c>
      <c r="R208" s="14"/>
    </row>
    <row r="209" spans="1:18" x14ac:dyDescent="0.25">
      <c r="A209" s="16" t="s">
        <v>2702</v>
      </c>
      <c r="B209" s="116" t="s">
        <v>2105</v>
      </c>
      <c r="C209" s="116" t="s">
        <v>2404</v>
      </c>
      <c r="D209" s="116"/>
      <c r="E209" s="116" t="s">
        <v>588</v>
      </c>
      <c r="F209" s="116" t="s">
        <v>2403</v>
      </c>
      <c r="G209" s="116" t="s">
        <v>427</v>
      </c>
      <c r="H209" s="117">
        <v>7.82</v>
      </c>
      <c r="I209" s="116" t="s">
        <v>211</v>
      </c>
      <c r="J209" s="117" t="s">
        <v>255</v>
      </c>
      <c r="K209" s="116">
        <v>2.81E-2</v>
      </c>
      <c r="L209" s="116">
        <v>3.1099999999999999E-2</v>
      </c>
      <c r="M209" s="111">
        <v>3170.9260578058279</v>
      </c>
      <c r="N209" s="60">
        <v>110.48</v>
      </c>
      <c r="O209" s="84">
        <v>3.5032399999999999</v>
      </c>
      <c r="P209" s="24">
        <v>9.1445186485752963E-5</v>
      </c>
      <c r="Q209" s="24">
        <v>6.5846358595871355E-6</v>
      </c>
      <c r="R209" s="14"/>
    </row>
    <row r="210" spans="1:18" x14ac:dyDescent="0.25">
      <c r="A210" s="16" t="s">
        <v>2703</v>
      </c>
      <c r="B210" s="217" t="s">
        <v>2729</v>
      </c>
      <c r="C210" s="116" t="s">
        <v>2405</v>
      </c>
      <c r="D210" s="116"/>
      <c r="E210" s="116" t="s">
        <v>588</v>
      </c>
      <c r="F210" s="116" t="s">
        <v>2406</v>
      </c>
      <c r="G210" s="116" t="s">
        <v>427</v>
      </c>
      <c r="H210" s="117">
        <v>5.4</v>
      </c>
      <c r="I210" s="116" t="s">
        <v>211</v>
      </c>
      <c r="J210" s="117" t="s">
        <v>255</v>
      </c>
      <c r="K210" s="116">
        <v>2.2700000000000001E-2</v>
      </c>
      <c r="L210" s="116">
        <v>2.8399999999999998E-2</v>
      </c>
      <c r="M210" s="111">
        <v>910.86485729997071</v>
      </c>
      <c r="N210" s="60">
        <v>107.9</v>
      </c>
      <c r="O210" s="84">
        <v>0.98282000000000003</v>
      </c>
      <c r="P210" s="24">
        <v>2.5654582095981929E-5</v>
      </c>
      <c r="Q210" s="24">
        <v>1.847293310055671E-6</v>
      </c>
      <c r="R210" s="14"/>
    </row>
    <row r="211" spans="1:18" x14ac:dyDescent="0.25">
      <c r="A211" s="16" t="s">
        <v>2704</v>
      </c>
      <c r="B211" s="217" t="s">
        <v>2729</v>
      </c>
      <c r="C211" s="116" t="s">
        <v>2409</v>
      </c>
      <c r="D211" s="116"/>
      <c r="E211" s="116" t="s">
        <v>588</v>
      </c>
      <c r="F211" s="116" t="s">
        <v>2408</v>
      </c>
      <c r="G211" s="116" t="s">
        <v>427</v>
      </c>
      <c r="H211" s="117">
        <v>5.24</v>
      </c>
      <c r="I211" s="116" t="s">
        <v>211</v>
      </c>
      <c r="J211" s="117" t="s">
        <v>255</v>
      </c>
      <c r="K211" s="116">
        <v>2.23E-2</v>
      </c>
      <c r="L211" s="116">
        <v>2.8399999999999998E-2</v>
      </c>
      <c r="M211" s="111">
        <v>256.22365883430803</v>
      </c>
      <c r="N211" s="60">
        <v>107.76</v>
      </c>
      <c r="O211" s="84">
        <v>0.27611000000000002</v>
      </c>
      <c r="P211" s="24">
        <v>7.2073082177016855E-6</v>
      </c>
      <c r="Q211" s="24">
        <v>5.1897209645659568E-7</v>
      </c>
      <c r="R211" s="14"/>
    </row>
    <row r="212" spans="1:18" x14ac:dyDescent="0.25">
      <c r="A212" s="16" t="s">
        <v>2705</v>
      </c>
      <c r="B212" s="116" t="s">
        <v>2105</v>
      </c>
      <c r="C212" s="116" t="s">
        <v>2402</v>
      </c>
      <c r="D212" s="116"/>
      <c r="E212" s="116" t="s">
        <v>588</v>
      </c>
      <c r="F212" s="116" t="s">
        <v>2403</v>
      </c>
      <c r="G212" s="116" t="s">
        <v>427</v>
      </c>
      <c r="H212" s="117">
        <v>7.79</v>
      </c>
      <c r="I212" s="116" t="s">
        <v>211</v>
      </c>
      <c r="J212" s="117" t="s">
        <v>255</v>
      </c>
      <c r="K212" s="116">
        <v>2.81E-2</v>
      </c>
      <c r="L212" s="116">
        <v>3.1899999999999998E-2</v>
      </c>
      <c r="M212" s="111">
        <v>3564.0919135156173</v>
      </c>
      <c r="N212" s="60">
        <v>109.81</v>
      </c>
      <c r="O212" s="84">
        <v>3.9137300000000002</v>
      </c>
      <c r="P212" s="24">
        <v>1.0216022016901096E-4</v>
      </c>
      <c r="Q212" s="24">
        <v>7.3561865309661809E-6</v>
      </c>
      <c r="R212" s="14"/>
    </row>
    <row r="213" spans="1:18" x14ac:dyDescent="0.25">
      <c r="A213" s="16" t="s">
        <v>2706</v>
      </c>
      <c r="B213" s="217" t="s">
        <v>2729</v>
      </c>
      <c r="C213" s="116" t="s">
        <v>2419</v>
      </c>
      <c r="D213" s="116"/>
      <c r="E213" s="116" t="s">
        <v>472</v>
      </c>
      <c r="F213" s="116" t="s">
        <v>2420</v>
      </c>
      <c r="G213" s="116" t="s">
        <v>427</v>
      </c>
      <c r="H213" s="117">
        <v>6.07</v>
      </c>
      <c r="I213" s="116" t="s">
        <v>221</v>
      </c>
      <c r="J213" s="117" t="s">
        <v>255</v>
      </c>
      <c r="K213" s="116">
        <v>1.24E-2</v>
      </c>
      <c r="L213" s="116">
        <v>3.6600000000000001E-2</v>
      </c>
      <c r="M213" s="111">
        <v>54788.225999272916</v>
      </c>
      <c r="N213" s="60">
        <v>95.77</v>
      </c>
      <c r="O213" s="84">
        <v>52.470680000000002</v>
      </c>
      <c r="P213" s="24">
        <v>1.3696438490181286E-3</v>
      </c>
      <c r="Q213" s="24">
        <v>9.8623080663877305E-5</v>
      </c>
      <c r="R213" s="14"/>
    </row>
    <row r="214" spans="1:18" x14ac:dyDescent="0.25">
      <c r="A214" s="16" t="s">
        <v>2706</v>
      </c>
      <c r="B214" s="217" t="s">
        <v>2729</v>
      </c>
      <c r="C214" s="116" t="s">
        <v>2424</v>
      </c>
      <c r="D214" s="116"/>
      <c r="E214" s="116" t="s">
        <v>472</v>
      </c>
      <c r="F214" s="116" t="s">
        <v>2111</v>
      </c>
      <c r="G214" s="116" t="s">
        <v>427</v>
      </c>
      <c r="H214" s="117">
        <v>5.55</v>
      </c>
      <c r="I214" s="116" t="s">
        <v>221</v>
      </c>
      <c r="J214" s="117" t="s">
        <v>255</v>
      </c>
      <c r="K214" s="116">
        <v>9.4999999999999998E-3</v>
      </c>
      <c r="L214" s="116">
        <v>1.8600000000000002E-2</v>
      </c>
      <c r="M214" s="111">
        <v>59532.884149817772</v>
      </c>
      <c r="N214" s="60">
        <v>105.62</v>
      </c>
      <c r="O214" s="84">
        <v>62.878629999999994</v>
      </c>
      <c r="P214" s="24">
        <v>1.641322902889514E-3</v>
      </c>
      <c r="Q214" s="24">
        <v>1.1818570292064245E-4</v>
      </c>
      <c r="R214" s="14"/>
    </row>
    <row r="215" spans="1:18" x14ac:dyDescent="0.25">
      <c r="A215" s="16" t="s">
        <v>2706</v>
      </c>
      <c r="B215" s="217" t="s">
        <v>2729</v>
      </c>
      <c r="C215" s="116" t="s">
        <v>2453</v>
      </c>
      <c r="D215" s="116"/>
      <c r="E215" s="116" t="s">
        <v>472</v>
      </c>
      <c r="F215" s="116" t="s">
        <v>1904</v>
      </c>
      <c r="G215" s="116" t="s">
        <v>427</v>
      </c>
      <c r="H215" s="117">
        <v>3.12</v>
      </c>
      <c r="I215" s="116" t="s">
        <v>221</v>
      </c>
      <c r="J215" s="117" t="s">
        <v>255</v>
      </c>
      <c r="K215" s="116">
        <v>2.6000000000000002E-2</v>
      </c>
      <c r="L215" s="116">
        <v>2.7200000000000002E-2</v>
      </c>
      <c r="M215" s="111">
        <v>15358.596609061038</v>
      </c>
      <c r="N215" s="60">
        <v>102.79</v>
      </c>
      <c r="O215" s="84">
        <v>15.787100000000001</v>
      </c>
      <c r="P215" s="24">
        <v>4.1209117947078438E-4</v>
      </c>
      <c r="Q215" s="24">
        <v>2.9673189612726526E-5</v>
      </c>
      <c r="R215" s="14"/>
    </row>
    <row r="216" spans="1:18" x14ac:dyDescent="0.25">
      <c r="A216" s="16" t="s">
        <v>2707</v>
      </c>
      <c r="B216" s="217" t="s">
        <v>2729</v>
      </c>
      <c r="C216" s="116" t="s">
        <v>2431</v>
      </c>
      <c r="D216" s="116"/>
      <c r="E216" s="116" t="s">
        <v>472</v>
      </c>
      <c r="F216" s="116" t="s">
        <v>2432</v>
      </c>
      <c r="G216" s="116" t="s">
        <v>427</v>
      </c>
      <c r="H216" s="117">
        <v>13.98</v>
      </c>
      <c r="I216" s="116" t="s">
        <v>223</v>
      </c>
      <c r="J216" s="117" t="s">
        <v>255</v>
      </c>
      <c r="K216" s="116">
        <v>2.7200000000000002E-2</v>
      </c>
      <c r="L216" s="116">
        <v>4.2099999999999999E-2</v>
      </c>
      <c r="M216" s="111">
        <v>33224.079407892081</v>
      </c>
      <c r="N216" s="60">
        <v>88.1</v>
      </c>
      <c r="O216" s="84">
        <v>29.270409999999998</v>
      </c>
      <c r="P216" s="24">
        <v>7.6404645441489839E-4</v>
      </c>
      <c r="Q216" s="24">
        <v>5.5016211081974941E-5</v>
      </c>
      <c r="R216" s="14"/>
    </row>
    <row r="217" spans="1:18" x14ac:dyDescent="0.25">
      <c r="A217" s="16" t="s">
        <v>2707</v>
      </c>
      <c r="B217" s="217" t="s">
        <v>2729</v>
      </c>
      <c r="C217" s="116" t="s">
        <v>2445</v>
      </c>
      <c r="D217" s="116"/>
      <c r="E217" s="116" t="s">
        <v>472</v>
      </c>
      <c r="F217" s="116" t="s">
        <v>2446</v>
      </c>
      <c r="G217" s="116" t="s">
        <v>427</v>
      </c>
      <c r="H217" s="117">
        <v>13.46</v>
      </c>
      <c r="I217" s="116" t="s">
        <v>223</v>
      </c>
      <c r="J217" s="117" t="s">
        <v>255</v>
      </c>
      <c r="K217" s="116">
        <v>3.4300000000000004E-2</v>
      </c>
      <c r="L217" s="116">
        <v>3.9199999999999999E-2</v>
      </c>
      <c r="M217" s="111">
        <v>8114.4727775297788</v>
      </c>
      <c r="N217" s="60">
        <v>95.9</v>
      </c>
      <c r="O217" s="84">
        <v>7.7817799999999995</v>
      </c>
      <c r="P217" s="24">
        <v>2.0312805382762892E-4</v>
      </c>
      <c r="Q217" s="24">
        <v>1.46265136386368E-5</v>
      </c>
      <c r="R217" s="14"/>
    </row>
    <row r="218" spans="1:18" x14ac:dyDescent="0.25">
      <c r="A218" s="16" t="s">
        <v>2707</v>
      </c>
      <c r="B218" s="217" t="s">
        <v>2729</v>
      </c>
      <c r="C218" s="116" t="s">
        <v>2433</v>
      </c>
      <c r="D218" s="116"/>
      <c r="E218" s="116" t="s">
        <v>472</v>
      </c>
      <c r="F218" s="116" t="s">
        <v>2432</v>
      </c>
      <c r="G218" s="116" t="s">
        <v>427</v>
      </c>
      <c r="H218" s="117">
        <v>0</v>
      </c>
      <c r="I218" s="116" t="s">
        <v>223</v>
      </c>
      <c r="J218" s="117" t="s">
        <v>255</v>
      </c>
      <c r="K218" s="116">
        <v>2.7000000000000003E-2</v>
      </c>
      <c r="L218" s="116">
        <v>0</v>
      </c>
      <c r="M218" s="111">
        <v>-260.4208819178038</v>
      </c>
      <c r="N218" s="60">
        <v>87.812241999999998</v>
      </c>
      <c r="O218" s="84">
        <v>-0.22867999999999999</v>
      </c>
      <c r="P218" s="24">
        <v>-5.9692414009779485E-6</v>
      </c>
      <c r="Q218" s="24">
        <v>-4.2982340015824954E-7</v>
      </c>
      <c r="R218" s="14"/>
    </row>
    <row r="219" spans="1:18" x14ac:dyDescent="0.25">
      <c r="A219" s="16" t="s">
        <v>2707</v>
      </c>
      <c r="B219" s="217" t="s">
        <v>2729</v>
      </c>
      <c r="C219" s="116" t="s">
        <v>2447</v>
      </c>
      <c r="D219" s="116"/>
      <c r="E219" s="116" t="s">
        <v>472</v>
      </c>
      <c r="F219" s="116" t="s">
        <v>2446</v>
      </c>
      <c r="G219" s="116" t="s">
        <v>427</v>
      </c>
      <c r="H219" s="117">
        <v>0</v>
      </c>
      <c r="I219" s="116" t="s">
        <v>223</v>
      </c>
      <c r="J219" s="117" t="s">
        <v>255</v>
      </c>
      <c r="K219" s="116">
        <v>2.7000000000000003E-2</v>
      </c>
      <c r="L219" s="116">
        <v>0</v>
      </c>
      <c r="M219" s="111">
        <v>-48.638186234028709</v>
      </c>
      <c r="N219" s="60">
        <v>94.435423999999998</v>
      </c>
      <c r="O219" s="84">
        <v>-4.5929999999999999E-2</v>
      </c>
      <c r="P219" s="24">
        <v>-1.1989122684402535E-6</v>
      </c>
      <c r="Q219" s="24">
        <v>-8.6329319438815818E-8</v>
      </c>
      <c r="R219" s="14"/>
    </row>
    <row r="220" spans="1:18" x14ac:dyDescent="0.25">
      <c r="A220" s="16" t="s">
        <v>2683</v>
      </c>
      <c r="B220" s="217" t="s">
        <v>2729</v>
      </c>
      <c r="C220" s="116" t="s">
        <v>2416</v>
      </c>
      <c r="D220" s="116"/>
      <c r="E220" s="116" t="s">
        <v>695</v>
      </c>
      <c r="F220" s="116" t="s">
        <v>2414</v>
      </c>
      <c r="G220" s="116" t="s">
        <v>254</v>
      </c>
      <c r="H220" s="117">
        <v>6.74</v>
      </c>
      <c r="I220" s="116" t="s">
        <v>204</v>
      </c>
      <c r="J220" s="117" t="s">
        <v>255</v>
      </c>
      <c r="K220" s="116">
        <v>4.4500000000000005E-2</v>
      </c>
      <c r="L220" s="116">
        <v>7.85E-2</v>
      </c>
      <c r="M220" s="111">
        <v>18042.297021170416</v>
      </c>
      <c r="N220" s="60">
        <v>88.82</v>
      </c>
      <c r="O220" s="84">
        <v>16.025169999999999</v>
      </c>
      <c r="P220" s="24">
        <v>4.1830552834401692E-4</v>
      </c>
      <c r="Q220" s="24">
        <v>3.0120662312025434E-5</v>
      </c>
      <c r="R220" s="14"/>
    </row>
    <row r="221" spans="1:18" x14ac:dyDescent="0.25">
      <c r="A221" s="16" t="s">
        <v>2708</v>
      </c>
      <c r="B221" s="217" t="s">
        <v>2729</v>
      </c>
      <c r="C221" s="116" t="s">
        <v>2417</v>
      </c>
      <c r="D221" s="116"/>
      <c r="E221" s="116" t="s">
        <v>1510</v>
      </c>
      <c r="F221" s="116" t="s">
        <v>2418</v>
      </c>
      <c r="G221" s="116" t="s">
        <v>2194</v>
      </c>
      <c r="H221" s="117">
        <v>4.96</v>
      </c>
      <c r="I221" s="116" t="s">
        <v>220</v>
      </c>
      <c r="J221" s="117" t="s">
        <v>255</v>
      </c>
      <c r="K221" s="116">
        <v>1.8200000000000001E-2</v>
      </c>
      <c r="L221" s="116">
        <v>3.6400000000000002E-2</v>
      </c>
      <c r="M221" s="111">
        <v>12267.787856780895</v>
      </c>
      <c r="N221" s="60">
        <v>101.12</v>
      </c>
      <c r="O221" s="84">
        <v>12.405190000000001</v>
      </c>
      <c r="P221" s="24">
        <v>3.2381307388052144E-4</v>
      </c>
      <c r="Q221" s="24">
        <v>2.3316603749383927E-5</v>
      </c>
      <c r="R221" s="14"/>
    </row>
    <row r="222" spans="1:18" x14ac:dyDescent="0.25">
      <c r="A222" s="16" t="s">
        <v>2709</v>
      </c>
      <c r="B222" s="217" t="s">
        <v>2729</v>
      </c>
      <c r="C222" s="116" t="s">
        <v>2202</v>
      </c>
      <c r="D222" s="116"/>
      <c r="E222" s="116" t="s">
        <v>960</v>
      </c>
      <c r="F222" s="116" t="s">
        <v>2203</v>
      </c>
      <c r="G222" s="116" t="s">
        <v>254</v>
      </c>
      <c r="H222" s="117">
        <v>1.8</v>
      </c>
      <c r="I222" s="116" t="s">
        <v>221</v>
      </c>
      <c r="J222" s="117" t="s">
        <v>255</v>
      </c>
      <c r="K222" s="116">
        <v>0.09</v>
      </c>
      <c r="L222" s="116">
        <v>0.11269999999999999</v>
      </c>
      <c r="M222" s="111">
        <v>30325.503869906726</v>
      </c>
      <c r="N222" s="60">
        <v>99.46</v>
      </c>
      <c r="O222" s="84">
        <v>30.161750000000001</v>
      </c>
      <c r="P222" s="24">
        <v>7.8731313112623161E-4</v>
      </c>
      <c r="Q222" s="24">
        <v>5.6691559995290736E-5</v>
      </c>
      <c r="R222" s="14"/>
    </row>
    <row r="223" spans="1:18" x14ac:dyDescent="0.25">
      <c r="A223" s="16" t="s">
        <v>2710</v>
      </c>
      <c r="B223" s="217" t="s">
        <v>2729</v>
      </c>
      <c r="C223" s="116" t="s">
        <v>2436</v>
      </c>
      <c r="D223" s="116"/>
      <c r="E223" s="116" t="s">
        <v>960</v>
      </c>
      <c r="F223" s="116" t="s">
        <v>1861</v>
      </c>
      <c r="G223" s="116" t="s">
        <v>254</v>
      </c>
      <c r="H223" s="117">
        <v>4.49</v>
      </c>
      <c r="I223" s="116" t="s">
        <v>223</v>
      </c>
      <c r="J223" s="117" t="s">
        <v>255</v>
      </c>
      <c r="K223" s="116">
        <v>1.37E-2</v>
      </c>
      <c r="L223" s="116">
        <v>5.8299999999999998E-2</v>
      </c>
      <c r="M223" s="111">
        <v>3543.7161939437838</v>
      </c>
      <c r="N223" s="60">
        <v>89.71</v>
      </c>
      <c r="O223" s="84">
        <v>3.1790700000000003</v>
      </c>
      <c r="P223" s="24">
        <v>8.2983366541048491E-5</v>
      </c>
      <c r="Q223" s="24">
        <v>5.975330928551192E-6</v>
      </c>
      <c r="R223" s="14"/>
    </row>
    <row r="224" spans="1:18" x14ac:dyDescent="0.25">
      <c r="A224" s="16" t="s">
        <v>2710</v>
      </c>
      <c r="B224" s="217" t="s">
        <v>2729</v>
      </c>
      <c r="C224" s="116" t="s">
        <v>2448</v>
      </c>
      <c r="D224" s="116"/>
      <c r="E224" s="116" t="s">
        <v>960</v>
      </c>
      <c r="F224" s="116" t="s">
        <v>2449</v>
      </c>
      <c r="G224" s="116" t="s">
        <v>254</v>
      </c>
      <c r="H224" s="117">
        <v>4.2699999999999996</v>
      </c>
      <c r="I224" s="116" t="s">
        <v>221</v>
      </c>
      <c r="J224" s="117" t="s">
        <v>255</v>
      </c>
      <c r="K224" s="116">
        <v>3.6400000000000002E-2</v>
      </c>
      <c r="L224" s="116">
        <v>4.0999999999999995E-2</v>
      </c>
      <c r="M224" s="111">
        <v>723.70505622010864</v>
      </c>
      <c r="N224" s="60">
        <v>102.39</v>
      </c>
      <c r="O224" s="84">
        <v>0.74099999999999999</v>
      </c>
      <c r="P224" s="24">
        <v>1.9342346852040669E-5</v>
      </c>
      <c r="Q224" s="24">
        <v>1.3927721686079366E-6</v>
      </c>
      <c r="R224" s="14"/>
    </row>
    <row r="225" spans="1:18" x14ac:dyDescent="0.25">
      <c r="A225" s="16" t="s">
        <v>2710</v>
      </c>
      <c r="B225" s="217" t="s">
        <v>2729</v>
      </c>
      <c r="C225" s="116" t="s">
        <v>2454</v>
      </c>
      <c r="D225" s="116"/>
      <c r="E225" s="116" t="s">
        <v>960</v>
      </c>
      <c r="F225" s="116" t="s">
        <v>2455</v>
      </c>
      <c r="G225" s="116" t="s">
        <v>254</v>
      </c>
      <c r="H225" s="117">
        <v>4.26</v>
      </c>
      <c r="I225" s="116" t="s">
        <v>221</v>
      </c>
      <c r="J225" s="117" t="s">
        <v>255</v>
      </c>
      <c r="K225" s="116">
        <v>3.9100000000000003E-2</v>
      </c>
      <c r="L225" s="116">
        <v>3.6499999999999998E-2</v>
      </c>
      <c r="M225" s="111">
        <v>722.56380591056359</v>
      </c>
      <c r="N225" s="60">
        <v>104.32</v>
      </c>
      <c r="O225" s="84">
        <v>0.75378000000000001</v>
      </c>
      <c r="P225" s="24">
        <v>1.9675943603415945E-5</v>
      </c>
      <c r="Q225" s="24">
        <v>1.4167932594511341E-6</v>
      </c>
      <c r="R225" s="14"/>
    </row>
    <row r="226" spans="1:18" x14ac:dyDescent="0.25">
      <c r="A226" s="16" t="s">
        <v>2710</v>
      </c>
      <c r="B226" s="217" t="s">
        <v>2729</v>
      </c>
      <c r="C226" s="116" t="s">
        <v>2462</v>
      </c>
      <c r="D226" s="116"/>
      <c r="E226" s="116" t="s">
        <v>960</v>
      </c>
      <c r="F226" s="116" t="s">
        <v>1949</v>
      </c>
      <c r="G226" s="116" t="s">
        <v>254</v>
      </c>
      <c r="H226" s="117">
        <v>4.24</v>
      </c>
      <c r="I226" s="116" t="s">
        <v>221</v>
      </c>
      <c r="J226" s="117" t="s">
        <v>255</v>
      </c>
      <c r="K226" s="116">
        <v>3.9900000000000005E-2</v>
      </c>
      <c r="L226" s="116">
        <v>4.1100000000000005E-2</v>
      </c>
      <c r="M226" s="111">
        <v>731.64615664237363</v>
      </c>
      <c r="N226" s="60">
        <v>101.72</v>
      </c>
      <c r="O226" s="84">
        <v>0.74423000000000006</v>
      </c>
      <c r="P226" s="24">
        <v>1.9426659646011103E-5</v>
      </c>
      <c r="Q226" s="24">
        <v>1.3988432267787919E-6</v>
      </c>
      <c r="R226" s="14"/>
    </row>
    <row r="227" spans="1:18" x14ac:dyDescent="0.25">
      <c r="A227" s="16" t="s">
        <v>2710</v>
      </c>
      <c r="B227" s="217" t="s">
        <v>2729</v>
      </c>
      <c r="C227" s="116" t="s">
        <v>2467</v>
      </c>
      <c r="D227" s="116"/>
      <c r="E227" s="116" t="s">
        <v>960</v>
      </c>
      <c r="F227" s="116" t="s">
        <v>1392</v>
      </c>
      <c r="G227" s="116" t="s">
        <v>254</v>
      </c>
      <c r="H227" s="117">
        <v>4.26</v>
      </c>
      <c r="I227" s="116" t="s">
        <v>221</v>
      </c>
      <c r="J227" s="117" t="s">
        <v>255</v>
      </c>
      <c r="K227" s="116">
        <v>4.0899999999999999E-2</v>
      </c>
      <c r="L227" s="116">
        <v>4.3899999999999995E-2</v>
      </c>
      <c r="M227" s="111">
        <v>735.61945731024389</v>
      </c>
      <c r="N227" s="60">
        <v>99.72</v>
      </c>
      <c r="O227" s="84">
        <v>0.73355999999999999</v>
      </c>
      <c r="P227" s="24">
        <v>1.9148140292554589E-5</v>
      </c>
      <c r="Q227" s="24">
        <v>1.3787880593846667E-6</v>
      </c>
      <c r="R227" s="14"/>
    </row>
    <row r="228" spans="1:18" x14ac:dyDescent="0.25">
      <c r="A228" s="16" t="s">
        <v>2711</v>
      </c>
      <c r="B228" s="217" t="s">
        <v>2729</v>
      </c>
      <c r="C228" s="116" t="s">
        <v>2439</v>
      </c>
      <c r="D228" s="116"/>
      <c r="E228" s="116" t="s">
        <v>960</v>
      </c>
      <c r="F228" s="116" t="s">
        <v>2440</v>
      </c>
      <c r="G228" s="116" t="s">
        <v>254</v>
      </c>
      <c r="H228" s="117">
        <v>4.34</v>
      </c>
      <c r="I228" s="116" t="s">
        <v>223</v>
      </c>
      <c r="J228" s="117" t="s">
        <v>255</v>
      </c>
      <c r="K228" s="116">
        <v>3.0699999999999998E-2</v>
      </c>
      <c r="L228" s="116">
        <v>4.1100000000000005E-2</v>
      </c>
      <c r="M228" s="111">
        <v>6340.718305891186</v>
      </c>
      <c r="N228" s="60">
        <v>101.55</v>
      </c>
      <c r="O228" s="84">
        <v>6.4390000000000001</v>
      </c>
      <c r="P228" s="24">
        <v>1.6807742426489859E-4</v>
      </c>
      <c r="Q228" s="24">
        <v>1.2102645065676793E-5</v>
      </c>
      <c r="R228" s="14"/>
    </row>
    <row r="229" spans="1:18" x14ac:dyDescent="0.25">
      <c r="A229" s="16" t="s">
        <v>2711</v>
      </c>
      <c r="B229" s="217" t="s">
        <v>2729</v>
      </c>
      <c r="C229" s="116" t="s">
        <v>2441</v>
      </c>
      <c r="D229" s="116"/>
      <c r="E229" s="116" t="s">
        <v>960</v>
      </c>
      <c r="F229" s="116" t="s">
        <v>2442</v>
      </c>
      <c r="G229" s="116" t="s">
        <v>254</v>
      </c>
      <c r="H229" s="117">
        <v>4.37</v>
      </c>
      <c r="I229" s="116" t="s">
        <v>223</v>
      </c>
      <c r="J229" s="117" t="s">
        <v>255</v>
      </c>
      <c r="K229" s="116">
        <v>2.6000000000000002E-2</v>
      </c>
      <c r="L229" s="116">
        <v>5.3200000000000004E-2</v>
      </c>
      <c r="M229" s="111">
        <v>15.242690288683624</v>
      </c>
      <c r="N229" s="60">
        <v>94.36</v>
      </c>
      <c r="O229" s="84">
        <v>1.438E-2</v>
      </c>
      <c r="P229" s="24">
        <v>3.7536160287765831E-7</v>
      </c>
      <c r="Q229" s="24">
        <v>2.7028426160029864E-8</v>
      </c>
      <c r="R229" s="14"/>
    </row>
    <row r="230" spans="1:18" x14ac:dyDescent="0.25">
      <c r="A230" s="16" t="s">
        <v>2711</v>
      </c>
      <c r="B230" s="217" t="s">
        <v>2729</v>
      </c>
      <c r="C230" s="116" t="s">
        <v>2450</v>
      </c>
      <c r="D230" s="116"/>
      <c r="E230" s="116" t="s">
        <v>960</v>
      </c>
      <c r="F230" s="116" t="s">
        <v>2449</v>
      </c>
      <c r="G230" s="116" t="s">
        <v>254</v>
      </c>
      <c r="H230" s="117">
        <v>4.38</v>
      </c>
      <c r="I230" s="116" t="s">
        <v>221</v>
      </c>
      <c r="J230" s="117" t="s">
        <v>255</v>
      </c>
      <c r="K230" s="116">
        <v>3.6400000000000002E-2</v>
      </c>
      <c r="L230" s="116">
        <v>3.3099999999999997E-2</v>
      </c>
      <c r="M230" s="111">
        <v>1676.2856145080502</v>
      </c>
      <c r="N230" s="60">
        <v>100.93</v>
      </c>
      <c r="O230" s="84">
        <v>1.6918800000000001</v>
      </c>
      <c r="P230" s="24">
        <v>4.4163198099906302E-5</v>
      </c>
      <c r="Q230" s="24">
        <v>3.1800315474013439E-6</v>
      </c>
      <c r="R230" s="14"/>
    </row>
    <row r="231" spans="1:18" x14ac:dyDescent="0.25">
      <c r="A231" s="16" t="s">
        <v>2711</v>
      </c>
      <c r="B231" s="217" t="s">
        <v>2729</v>
      </c>
      <c r="C231" s="116" t="s">
        <v>2460</v>
      </c>
      <c r="D231" s="116"/>
      <c r="E231" s="116" t="s">
        <v>960</v>
      </c>
      <c r="F231" s="116" t="s">
        <v>2461</v>
      </c>
      <c r="G231" s="116" t="s">
        <v>254</v>
      </c>
      <c r="H231" s="117">
        <v>4.26</v>
      </c>
      <c r="I231" s="116" t="s">
        <v>221</v>
      </c>
      <c r="J231" s="117" t="s">
        <v>255</v>
      </c>
      <c r="K231" s="116">
        <v>3.9399999999999998E-2</v>
      </c>
      <c r="L231" s="116">
        <v>4.2099999999999999E-2</v>
      </c>
      <c r="M231" s="111">
        <v>2062.9561556996887</v>
      </c>
      <c r="N231" s="60">
        <v>101.54</v>
      </c>
      <c r="O231" s="84">
        <v>2.0947300000000002</v>
      </c>
      <c r="P231" s="24">
        <v>5.4678804617240417E-5</v>
      </c>
      <c r="Q231" s="24">
        <v>3.9372221926425145E-6</v>
      </c>
      <c r="R231" s="14"/>
    </row>
    <row r="232" spans="1:18" x14ac:dyDescent="0.25">
      <c r="A232" s="16" t="s">
        <v>2712</v>
      </c>
      <c r="B232" s="217" t="s">
        <v>2729</v>
      </c>
      <c r="C232" s="116" t="s">
        <v>2443</v>
      </c>
      <c r="D232" s="116"/>
      <c r="E232" s="116" t="s">
        <v>1440</v>
      </c>
      <c r="F232" s="116" t="s">
        <v>2444</v>
      </c>
      <c r="G232" s="116" t="s">
        <v>2194</v>
      </c>
      <c r="H232" s="117">
        <v>2.67</v>
      </c>
      <c r="I232" s="116" t="s">
        <v>221</v>
      </c>
      <c r="J232" s="117" t="s">
        <v>255</v>
      </c>
      <c r="K232" s="116">
        <v>3.73E-2</v>
      </c>
      <c r="L232" s="116">
        <v>5.8499999999999996E-2</v>
      </c>
      <c r="M232" s="111">
        <v>13918.323207535856</v>
      </c>
      <c r="N232" s="60">
        <v>95.28</v>
      </c>
      <c r="O232" s="84">
        <v>13.261379999999999</v>
      </c>
      <c r="P232" s="24">
        <v>3.4616222901041166E-4</v>
      </c>
      <c r="Q232" s="24">
        <v>2.4925885264958052E-5</v>
      </c>
      <c r="R232" s="14"/>
    </row>
    <row r="233" spans="1:18" x14ac:dyDescent="0.25">
      <c r="A233" s="16" t="s">
        <v>2712</v>
      </c>
      <c r="B233" s="217" t="s">
        <v>2729</v>
      </c>
      <c r="C233" s="116" t="s">
        <v>2459</v>
      </c>
      <c r="D233" s="116"/>
      <c r="E233" s="116" t="s">
        <v>1440</v>
      </c>
      <c r="F233" s="116" t="s">
        <v>1993</v>
      </c>
      <c r="G233" s="116" t="s">
        <v>2194</v>
      </c>
      <c r="H233" s="117">
        <v>2.99</v>
      </c>
      <c r="I233" s="116" t="s">
        <v>221</v>
      </c>
      <c r="J233" s="117" t="s">
        <v>255</v>
      </c>
      <c r="K233" s="116">
        <v>4.7899999999999998E-2</v>
      </c>
      <c r="L233" s="116">
        <v>6.88E-2</v>
      </c>
      <c r="M233" s="111">
        <v>6465.669619076747</v>
      </c>
      <c r="N233" s="60">
        <v>98.07</v>
      </c>
      <c r="O233" s="84">
        <v>6.3408800000000003</v>
      </c>
      <c r="P233" s="24">
        <v>1.6551619474651502E-4</v>
      </c>
      <c r="Q233" s="24">
        <v>1.1918220227372056E-5</v>
      </c>
      <c r="R233" s="14"/>
    </row>
    <row r="234" spans="1:18" x14ac:dyDescent="0.25">
      <c r="A234" s="16" t="s">
        <v>2713</v>
      </c>
      <c r="B234" s="217" t="s">
        <v>2729</v>
      </c>
      <c r="C234" s="116" t="s">
        <v>2472</v>
      </c>
      <c r="D234" s="116"/>
      <c r="E234" s="116" t="s">
        <v>431</v>
      </c>
      <c r="F234" s="116" t="s">
        <v>2473</v>
      </c>
      <c r="G234" s="116" t="s">
        <v>431</v>
      </c>
      <c r="H234" s="117">
        <v>2.5</v>
      </c>
      <c r="I234" s="116" t="s">
        <v>221</v>
      </c>
      <c r="J234" s="117" t="s">
        <v>125</v>
      </c>
      <c r="K234" s="116">
        <v>0.10059999999999998</v>
      </c>
      <c r="L234" s="116">
        <v>0.10880000000000001</v>
      </c>
      <c r="M234" s="111">
        <v>2897.6159613793388</v>
      </c>
      <c r="N234" s="60">
        <v>100.46</v>
      </c>
      <c r="O234" s="84">
        <v>11.131450000000001</v>
      </c>
      <c r="P234" s="24">
        <v>2.9056459766011892E-4</v>
      </c>
      <c r="Q234" s="24">
        <v>2.0922501695345231E-5</v>
      </c>
      <c r="R234" s="14"/>
    </row>
    <row r="235" spans="1:18" x14ac:dyDescent="0.25">
      <c r="A235" s="16" t="s">
        <v>2714</v>
      </c>
      <c r="B235" s="217" t="s">
        <v>2729</v>
      </c>
      <c r="C235" s="116" t="s">
        <v>2246</v>
      </c>
      <c r="D235" s="116"/>
      <c r="E235" s="116" t="s">
        <v>431</v>
      </c>
      <c r="F235" s="116" t="s">
        <v>2007</v>
      </c>
      <c r="G235" s="116" t="s">
        <v>431</v>
      </c>
      <c r="H235" s="117">
        <v>5.56</v>
      </c>
      <c r="I235" s="116" t="s">
        <v>221</v>
      </c>
      <c r="J235" s="117" t="s">
        <v>255</v>
      </c>
      <c r="K235" s="116">
        <v>7.4999999999999997E-2</v>
      </c>
      <c r="L235" s="116">
        <v>8.6899999999999991E-2</v>
      </c>
      <c r="M235" s="111">
        <v>6026.8675016374964</v>
      </c>
      <c r="N235" s="60">
        <v>102.79</v>
      </c>
      <c r="O235" s="84">
        <v>6.1950200000000004</v>
      </c>
      <c r="P235" s="24">
        <v>1.6170880647142912E-4</v>
      </c>
      <c r="Q235" s="24">
        <v>1.1644064021551336E-5</v>
      </c>
      <c r="R235" s="14"/>
    </row>
    <row r="236" spans="1:18" x14ac:dyDescent="0.25">
      <c r="A236" s="16" t="s">
        <v>2714</v>
      </c>
      <c r="B236" s="217" t="s">
        <v>2729</v>
      </c>
      <c r="C236" s="116" t="s">
        <v>2257</v>
      </c>
      <c r="D236" s="116"/>
      <c r="E236" s="116" t="s">
        <v>431</v>
      </c>
      <c r="F236" s="116" t="s">
        <v>1043</v>
      </c>
      <c r="G236" s="116" t="s">
        <v>431</v>
      </c>
      <c r="H236" s="117">
        <v>5.23</v>
      </c>
      <c r="I236" s="116" t="s">
        <v>221</v>
      </c>
      <c r="J236" s="117" t="s">
        <v>255</v>
      </c>
      <c r="K236" s="116">
        <v>7.4999999999999997E-2</v>
      </c>
      <c r="L236" s="116">
        <v>8.7899999999999992E-2</v>
      </c>
      <c r="M236" s="111">
        <v>75.073631828154888</v>
      </c>
      <c r="N236" s="60">
        <v>100.01</v>
      </c>
      <c r="O236" s="84">
        <v>7.5079999999999994E-2</v>
      </c>
      <c r="P236" s="24">
        <v>1.9598156567492759E-6</v>
      </c>
      <c r="Q236" s="24">
        <v>1.4111920974235341E-7</v>
      </c>
      <c r="R236" s="14"/>
    </row>
    <row r="237" spans="1:18" x14ac:dyDescent="0.25">
      <c r="A237" s="16" t="s">
        <v>2714</v>
      </c>
      <c r="B237" s="217" t="s">
        <v>2729</v>
      </c>
      <c r="C237" s="116" t="s">
        <v>2241</v>
      </c>
      <c r="D237" s="116"/>
      <c r="E237" s="116" t="s">
        <v>431</v>
      </c>
      <c r="F237" s="116" t="s">
        <v>2242</v>
      </c>
      <c r="G237" s="116" t="s">
        <v>431</v>
      </c>
      <c r="H237" s="117">
        <v>7.45</v>
      </c>
      <c r="I237" s="116" t="s">
        <v>221</v>
      </c>
      <c r="J237" s="117" t="s">
        <v>255</v>
      </c>
      <c r="K237" s="116">
        <v>7.4999999999999997E-2</v>
      </c>
      <c r="L237" s="116">
        <v>8.5699999999999998E-2</v>
      </c>
      <c r="M237" s="111">
        <v>439.64883722609693</v>
      </c>
      <c r="N237" s="60">
        <v>103.75</v>
      </c>
      <c r="O237" s="84">
        <v>0.45613999999999999</v>
      </c>
      <c r="P237" s="24">
        <v>1.190663710268533E-5</v>
      </c>
      <c r="Q237" s="24">
        <v>8.5735370713741451E-7</v>
      </c>
      <c r="R237" s="14"/>
    </row>
    <row r="238" spans="1:18" x14ac:dyDescent="0.25">
      <c r="A238" s="16" t="s">
        <v>2714</v>
      </c>
      <c r="B238" s="217" t="s">
        <v>2729</v>
      </c>
      <c r="C238" s="116" t="s">
        <v>2154</v>
      </c>
      <c r="D238" s="116"/>
      <c r="E238" s="116" t="s">
        <v>431</v>
      </c>
      <c r="F238" s="116" t="s">
        <v>840</v>
      </c>
      <c r="G238" s="116" t="s">
        <v>431</v>
      </c>
      <c r="H238" s="117">
        <v>5.55</v>
      </c>
      <c r="I238" s="116" t="s">
        <v>221</v>
      </c>
      <c r="J238" s="117" t="s">
        <v>255</v>
      </c>
      <c r="K238" s="116">
        <v>7.4999999999999997E-2</v>
      </c>
      <c r="L238" s="116">
        <v>9.0200000000000002E-2</v>
      </c>
      <c r="M238" s="111">
        <v>2325.8997252154795</v>
      </c>
      <c r="N238" s="60">
        <v>92.43</v>
      </c>
      <c r="O238" s="84">
        <v>2.1498300000000001</v>
      </c>
      <c r="P238" s="24">
        <v>5.6117081690853692E-5</v>
      </c>
      <c r="Q238" s="24">
        <v>4.0407873026159253E-6</v>
      </c>
      <c r="R238" s="14"/>
    </row>
    <row r="239" spans="1:18" x14ac:dyDescent="0.25">
      <c r="A239" s="16" t="s">
        <v>2714</v>
      </c>
      <c r="B239" s="217" t="s">
        <v>2729</v>
      </c>
      <c r="C239" s="116" t="s">
        <v>2148</v>
      </c>
      <c r="D239" s="116"/>
      <c r="E239" s="116" t="s">
        <v>431</v>
      </c>
      <c r="F239" s="116" t="s">
        <v>2149</v>
      </c>
      <c r="G239" s="116" t="s">
        <v>431</v>
      </c>
      <c r="H239" s="117">
        <v>5.48</v>
      </c>
      <c r="I239" s="116" t="s">
        <v>221</v>
      </c>
      <c r="J239" s="117" t="s">
        <v>255</v>
      </c>
      <c r="K239" s="116">
        <v>7.4999999999999997E-2</v>
      </c>
      <c r="L239" s="116">
        <v>8.929999999999999E-2</v>
      </c>
      <c r="M239" s="111">
        <v>2036.7997215921125</v>
      </c>
      <c r="N239" s="60">
        <v>92.95</v>
      </c>
      <c r="O239" s="84">
        <v>1.8932100000000001</v>
      </c>
      <c r="P239" s="24">
        <v>4.9418521570515401E-5</v>
      </c>
      <c r="Q239" s="24">
        <v>3.5584483094874923E-6</v>
      </c>
      <c r="R239" s="14"/>
    </row>
    <row r="240" spans="1:18" x14ac:dyDescent="0.25">
      <c r="A240" s="16" t="s">
        <v>2714</v>
      </c>
      <c r="B240" s="217" t="s">
        <v>2729</v>
      </c>
      <c r="C240" s="116" t="s">
        <v>2162</v>
      </c>
      <c r="D240" s="116"/>
      <c r="E240" s="116" t="s">
        <v>431</v>
      </c>
      <c r="F240" s="116" t="s">
        <v>2163</v>
      </c>
      <c r="G240" s="116" t="s">
        <v>431</v>
      </c>
      <c r="H240" s="117">
        <v>6.28</v>
      </c>
      <c r="I240" s="116" t="s">
        <v>221</v>
      </c>
      <c r="J240" s="117" t="s">
        <v>255</v>
      </c>
      <c r="K240" s="116">
        <v>7.4999999999999997E-2</v>
      </c>
      <c r="L240" s="116">
        <v>8.9200000000000002E-2</v>
      </c>
      <c r="M240" s="111">
        <v>1924.5052664181558</v>
      </c>
      <c r="N240" s="60">
        <v>91.79</v>
      </c>
      <c r="O240" s="84">
        <v>1.7665</v>
      </c>
      <c r="P240" s="24">
        <v>4.6111006361848636E-5</v>
      </c>
      <c r="Q240" s="24">
        <v>3.3202861482401079E-6</v>
      </c>
      <c r="R240" s="14"/>
    </row>
    <row r="241" spans="1:18" x14ac:dyDescent="0.25">
      <c r="A241" s="16" t="s">
        <v>2714</v>
      </c>
      <c r="B241" s="217" t="s">
        <v>2729</v>
      </c>
      <c r="C241" s="116" t="s">
        <v>2167</v>
      </c>
      <c r="D241" s="116"/>
      <c r="E241" s="116" t="s">
        <v>431</v>
      </c>
      <c r="F241" s="116" t="s">
        <v>2168</v>
      </c>
      <c r="G241" s="116" t="s">
        <v>431</v>
      </c>
      <c r="H241" s="117">
        <v>6.37</v>
      </c>
      <c r="I241" s="116" t="s">
        <v>221</v>
      </c>
      <c r="J241" s="117" t="s">
        <v>255</v>
      </c>
      <c r="K241" s="116">
        <v>7.4999999999999997E-2</v>
      </c>
      <c r="L241" s="116">
        <v>8.8900000000000007E-2</v>
      </c>
      <c r="M241" s="111">
        <v>2048.4102624667353</v>
      </c>
      <c r="N241" s="60">
        <v>91.81</v>
      </c>
      <c r="O241" s="84">
        <v>1.8806500000000002</v>
      </c>
      <c r="P241" s="24">
        <v>4.9090667486221703E-5</v>
      </c>
      <c r="Q241" s="24">
        <v>3.5348407272503593E-6</v>
      </c>
      <c r="R241" s="14"/>
    </row>
    <row r="242" spans="1:18" x14ac:dyDescent="0.25">
      <c r="A242" s="16" t="s">
        <v>2714</v>
      </c>
      <c r="B242" s="217" t="s">
        <v>2729</v>
      </c>
      <c r="C242" s="116" t="s">
        <v>2128</v>
      </c>
      <c r="D242" s="116"/>
      <c r="E242" s="116" t="s">
        <v>431</v>
      </c>
      <c r="F242" s="116" t="s">
        <v>2129</v>
      </c>
      <c r="G242" s="116" t="s">
        <v>431</v>
      </c>
      <c r="H242" s="117">
        <v>5.65</v>
      </c>
      <c r="I242" s="116" t="s">
        <v>221</v>
      </c>
      <c r="J242" s="117" t="s">
        <v>255</v>
      </c>
      <c r="K242" s="116">
        <v>7.4999999999999997E-2</v>
      </c>
      <c r="L242" s="116">
        <v>9.5600000000000004E-2</v>
      </c>
      <c r="M242" s="111">
        <v>2414.7411091969439</v>
      </c>
      <c r="N242" s="60">
        <v>89.69</v>
      </c>
      <c r="O242" s="84">
        <v>2.1657800000000003</v>
      </c>
      <c r="P242" s="24">
        <v>5.6533425054268071E-5</v>
      </c>
      <c r="Q242" s="24">
        <v>4.0707666765555967E-6</v>
      </c>
      <c r="R242" s="14"/>
    </row>
    <row r="243" spans="1:18" x14ac:dyDescent="0.25">
      <c r="A243" s="16" t="s">
        <v>2714</v>
      </c>
      <c r="B243" s="217" t="s">
        <v>2729</v>
      </c>
      <c r="C243" s="116" t="s">
        <v>2132</v>
      </c>
      <c r="D243" s="116"/>
      <c r="E243" s="116" t="s">
        <v>431</v>
      </c>
      <c r="F243" s="116" t="s">
        <v>2133</v>
      </c>
      <c r="G243" s="116" t="s">
        <v>431</v>
      </c>
      <c r="H243" s="117">
        <v>5.35</v>
      </c>
      <c r="I243" s="116" t="s">
        <v>221</v>
      </c>
      <c r="J243" s="117" t="s">
        <v>255</v>
      </c>
      <c r="K243" s="116">
        <v>7.4999999999999997E-2</v>
      </c>
      <c r="L243" s="116">
        <v>7.6100000000000001E-2</v>
      </c>
      <c r="M243" s="111">
        <v>1637.4893422673667</v>
      </c>
      <c r="N243" s="60">
        <v>99.49</v>
      </c>
      <c r="O243" s="84">
        <v>1.62914</v>
      </c>
      <c r="P243" s="24">
        <v>4.2525493860369141E-5</v>
      </c>
      <c r="Q243" s="24">
        <v>3.0621064112900592E-6</v>
      </c>
      <c r="R243" s="14"/>
    </row>
    <row r="244" spans="1:18" x14ac:dyDescent="0.25">
      <c r="A244" s="16" t="s">
        <v>2714</v>
      </c>
      <c r="B244" s="217" t="s">
        <v>2729</v>
      </c>
      <c r="C244" s="116" t="s">
        <v>2180</v>
      </c>
      <c r="D244" s="116"/>
      <c r="E244" s="116" t="s">
        <v>431</v>
      </c>
      <c r="F244" s="116" t="s">
        <v>2181</v>
      </c>
      <c r="G244" s="116" t="s">
        <v>431</v>
      </c>
      <c r="H244" s="117">
        <v>5.88</v>
      </c>
      <c r="I244" s="116" t="s">
        <v>221</v>
      </c>
      <c r="J244" s="117" t="s">
        <v>255</v>
      </c>
      <c r="K244" s="116">
        <v>7.4999999999999997E-2</v>
      </c>
      <c r="L244" s="116">
        <v>6.9900000000000004E-2</v>
      </c>
      <c r="M244" s="111">
        <v>1827.1417667890944</v>
      </c>
      <c r="N244" s="60">
        <v>102.7</v>
      </c>
      <c r="O244" s="84">
        <v>1.8764700000000001</v>
      </c>
      <c r="P244" s="24">
        <v>4.8981556811671732E-5</v>
      </c>
      <c r="Q244" s="24">
        <v>3.526984063735135E-6</v>
      </c>
      <c r="R244" s="14"/>
    </row>
    <row r="245" spans="1:18" x14ac:dyDescent="0.25">
      <c r="A245" s="16" t="s">
        <v>2714</v>
      </c>
      <c r="B245" s="217" t="s">
        <v>2729</v>
      </c>
      <c r="C245" s="116" t="s">
        <v>2126</v>
      </c>
      <c r="D245" s="116"/>
      <c r="E245" s="116" t="s">
        <v>431</v>
      </c>
      <c r="F245" s="116" t="s">
        <v>2127</v>
      </c>
      <c r="G245" s="116" t="s">
        <v>431</v>
      </c>
      <c r="H245" s="117">
        <v>5.67</v>
      </c>
      <c r="I245" s="116" t="s">
        <v>221</v>
      </c>
      <c r="J245" s="117" t="s">
        <v>255</v>
      </c>
      <c r="K245" s="116">
        <v>7.4999999999999997E-2</v>
      </c>
      <c r="L245" s="116">
        <v>8.6999999999999994E-2</v>
      </c>
      <c r="M245" s="111">
        <v>1357.2384242165679</v>
      </c>
      <c r="N245" s="60">
        <v>93.79</v>
      </c>
      <c r="O245" s="84">
        <v>1.27295</v>
      </c>
      <c r="P245" s="24">
        <v>3.3227854824973236E-5</v>
      </c>
      <c r="Q245" s="24">
        <v>2.3926171822260092E-6</v>
      </c>
      <c r="R245" s="14"/>
    </row>
    <row r="246" spans="1:18" x14ac:dyDescent="0.25">
      <c r="A246" s="16" t="s">
        <v>2714</v>
      </c>
      <c r="B246" s="217" t="s">
        <v>2729</v>
      </c>
      <c r="C246" s="116" t="s">
        <v>2244</v>
      </c>
      <c r="D246" s="116"/>
      <c r="E246" s="116" t="s">
        <v>431</v>
      </c>
      <c r="F246" s="116" t="s">
        <v>2245</v>
      </c>
      <c r="G246" s="116" t="s">
        <v>431</v>
      </c>
      <c r="H246" s="117">
        <v>7.45</v>
      </c>
      <c r="I246" s="116" t="s">
        <v>221</v>
      </c>
      <c r="J246" s="117" t="s">
        <v>255</v>
      </c>
      <c r="K246" s="116">
        <v>7.4999999999999997E-2</v>
      </c>
      <c r="L246" s="116">
        <v>8.5699999999999998E-2</v>
      </c>
      <c r="M246" s="111">
        <v>3009.6648134911425</v>
      </c>
      <c r="N246" s="60">
        <v>103.76</v>
      </c>
      <c r="O246" s="84">
        <v>3.12283</v>
      </c>
      <c r="P246" s="24">
        <v>8.151533201073975E-5</v>
      </c>
      <c r="Q246" s="24">
        <v>5.8696230921645378E-6</v>
      </c>
      <c r="R246" s="14"/>
    </row>
    <row r="247" spans="1:18" x14ac:dyDescent="0.25">
      <c r="A247" s="16" t="s">
        <v>2714</v>
      </c>
      <c r="B247" s="217" t="s">
        <v>2729</v>
      </c>
      <c r="C247" s="116" t="s">
        <v>2187</v>
      </c>
      <c r="D247" s="116"/>
      <c r="E247" s="116" t="s">
        <v>431</v>
      </c>
      <c r="F247" s="116" t="s">
        <v>2188</v>
      </c>
      <c r="G247" s="116" t="s">
        <v>431</v>
      </c>
      <c r="H247" s="117">
        <v>5.65</v>
      </c>
      <c r="I247" s="116" t="s">
        <v>221</v>
      </c>
      <c r="J247" s="117" t="s">
        <v>255</v>
      </c>
      <c r="K247" s="116">
        <v>7.4999999999999997E-2</v>
      </c>
      <c r="L247" s="116">
        <v>7.0999999999999994E-2</v>
      </c>
      <c r="M247" s="111">
        <v>3820.7072758892577</v>
      </c>
      <c r="N247" s="60">
        <v>102.11</v>
      </c>
      <c r="O247" s="84">
        <v>3.9013200000000001</v>
      </c>
      <c r="P247" s="24">
        <v>1.0183628153954562E-4</v>
      </c>
      <c r="Q247" s="24">
        <v>7.3328608864150007E-6</v>
      </c>
      <c r="R247" s="14"/>
    </row>
    <row r="248" spans="1:18" x14ac:dyDescent="0.25">
      <c r="A248" s="16" t="s">
        <v>2714</v>
      </c>
      <c r="B248" s="217" t="s">
        <v>2729</v>
      </c>
      <c r="C248" s="116" t="s">
        <v>2176</v>
      </c>
      <c r="D248" s="116"/>
      <c r="E248" s="116" t="s">
        <v>431</v>
      </c>
      <c r="F248" s="116" t="s">
        <v>2177</v>
      </c>
      <c r="G248" s="116" t="s">
        <v>431</v>
      </c>
      <c r="H248" s="117">
        <v>6.15</v>
      </c>
      <c r="I248" s="116" t="s">
        <v>221</v>
      </c>
      <c r="J248" s="117" t="s">
        <v>255</v>
      </c>
      <c r="K248" s="116">
        <v>7.4999999999999997E-2</v>
      </c>
      <c r="L248" s="116">
        <v>7.2900000000000006E-2</v>
      </c>
      <c r="M248" s="111">
        <v>2041.345130312249</v>
      </c>
      <c r="N248" s="60">
        <v>100.94</v>
      </c>
      <c r="O248" s="84">
        <v>2.0605300000000004</v>
      </c>
      <c r="P248" s="24">
        <v>5.3786080916377002E-5</v>
      </c>
      <c r="Q248" s="24">
        <v>3.8729404002452252E-6</v>
      </c>
      <c r="R248" s="14"/>
    </row>
    <row r="249" spans="1:18" x14ac:dyDescent="0.25">
      <c r="A249" s="16" t="s">
        <v>2714</v>
      </c>
      <c r="B249" s="217" t="s">
        <v>2729</v>
      </c>
      <c r="C249" s="116" t="s">
        <v>2178</v>
      </c>
      <c r="D249" s="116"/>
      <c r="E249" s="116" t="s">
        <v>431</v>
      </c>
      <c r="F249" s="116" t="s">
        <v>2179</v>
      </c>
      <c r="G249" s="116" t="s">
        <v>431</v>
      </c>
      <c r="H249" s="117">
        <v>5.61</v>
      </c>
      <c r="I249" s="116" t="s">
        <v>221</v>
      </c>
      <c r="J249" s="117" t="s">
        <v>255</v>
      </c>
      <c r="K249" s="116">
        <v>7.4999999999999997E-2</v>
      </c>
      <c r="L249" s="116">
        <v>9.2799999999999994E-2</v>
      </c>
      <c r="M249" s="111">
        <v>1274.6180627633489</v>
      </c>
      <c r="N249" s="60">
        <v>91.05</v>
      </c>
      <c r="O249" s="84">
        <v>1.1605399999999999</v>
      </c>
      <c r="P249" s="24">
        <v>3.0293612976609009E-5</v>
      </c>
      <c r="Q249" s="24">
        <v>2.1813330803728134E-6</v>
      </c>
      <c r="R249" s="14"/>
    </row>
    <row r="250" spans="1:18" x14ac:dyDescent="0.25">
      <c r="A250" s="16" t="s">
        <v>2714</v>
      </c>
      <c r="B250" s="217" t="s">
        <v>2729</v>
      </c>
      <c r="C250" s="116" t="s">
        <v>2247</v>
      </c>
      <c r="D250" s="116"/>
      <c r="E250" s="116" t="s">
        <v>431</v>
      </c>
      <c r="F250" s="116" t="s">
        <v>2007</v>
      </c>
      <c r="G250" s="116" t="s">
        <v>431</v>
      </c>
      <c r="H250" s="117">
        <v>5.48</v>
      </c>
      <c r="I250" s="116" t="s">
        <v>221</v>
      </c>
      <c r="J250" s="117" t="s">
        <v>255</v>
      </c>
      <c r="K250" s="116">
        <v>7.4999999999999997E-2</v>
      </c>
      <c r="L250" s="116">
        <v>8.6300000000000002E-2</v>
      </c>
      <c r="M250" s="111">
        <v>473.15189136458372</v>
      </c>
      <c r="N250" s="60">
        <v>103.1</v>
      </c>
      <c r="O250" s="84">
        <v>0.48781999999999998</v>
      </c>
      <c r="P250" s="24">
        <v>1.2733581162432494E-5</v>
      </c>
      <c r="Q250" s="24">
        <v>9.1689894641069308E-7</v>
      </c>
      <c r="R250" s="14"/>
    </row>
    <row r="251" spans="1:18" x14ac:dyDescent="0.25">
      <c r="A251" s="16" t="s">
        <v>2714</v>
      </c>
      <c r="B251" s="217" t="s">
        <v>2729</v>
      </c>
      <c r="C251" s="116" t="s">
        <v>2140</v>
      </c>
      <c r="D251" s="116"/>
      <c r="E251" s="116" t="s">
        <v>431</v>
      </c>
      <c r="F251" s="116" t="s">
        <v>2141</v>
      </c>
      <c r="G251" s="116" t="s">
        <v>431</v>
      </c>
      <c r="H251" s="117">
        <v>5.66</v>
      </c>
      <c r="I251" s="116" t="s">
        <v>221</v>
      </c>
      <c r="J251" s="117" t="s">
        <v>255</v>
      </c>
      <c r="K251" s="116">
        <v>7.4999999999999997E-2</v>
      </c>
      <c r="L251" s="116">
        <v>9.2799999999999994E-2</v>
      </c>
      <c r="M251" s="111">
        <v>1706.0428320559633</v>
      </c>
      <c r="N251" s="60">
        <v>91.04</v>
      </c>
      <c r="O251" s="84">
        <v>1.55318</v>
      </c>
      <c r="P251" s="24">
        <v>4.0542707535293557E-5</v>
      </c>
      <c r="Q251" s="24">
        <v>2.9193331671234481E-6</v>
      </c>
      <c r="R251" s="14"/>
    </row>
    <row r="252" spans="1:18" x14ac:dyDescent="0.25">
      <c r="A252" s="16" t="s">
        <v>2714</v>
      </c>
      <c r="B252" s="217" t="s">
        <v>2729</v>
      </c>
      <c r="C252" s="116" t="s">
        <v>2151</v>
      </c>
      <c r="D252" s="116"/>
      <c r="E252" s="116" t="s">
        <v>431</v>
      </c>
      <c r="F252" s="116" t="s">
        <v>2152</v>
      </c>
      <c r="G252" s="116" t="s">
        <v>431</v>
      </c>
      <c r="H252" s="117">
        <v>5.29</v>
      </c>
      <c r="I252" s="116" t="s">
        <v>221</v>
      </c>
      <c r="J252" s="117" t="s">
        <v>255</v>
      </c>
      <c r="K252" s="116">
        <v>7.4999999999999997E-2</v>
      </c>
      <c r="L252" s="116">
        <v>8.900000000000001E-2</v>
      </c>
      <c r="M252" s="111">
        <v>2694.9549466536441</v>
      </c>
      <c r="N252" s="60">
        <v>93.39</v>
      </c>
      <c r="O252" s="84">
        <v>2.5168200000000001</v>
      </c>
      <c r="P252" s="24">
        <v>6.5696633473890682E-5</v>
      </c>
      <c r="Q252" s="24">
        <v>4.7305760450685922E-6</v>
      </c>
      <c r="R252" s="14"/>
    </row>
    <row r="253" spans="1:18" x14ac:dyDescent="0.25">
      <c r="A253" s="16" t="s">
        <v>2714</v>
      </c>
      <c r="B253" s="217" t="s">
        <v>2729</v>
      </c>
      <c r="C253" s="116" t="s">
        <v>2226</v>
      </c>
      <c r="D253" s="116"/>
      <c r="E253" s="116" t="s">
        <v>431</v>
      </c>
      <c r="F253" s="116" t="s">
        <v>2227</v>
      </c>
      <c r="G253" s="116" t="s">
        <v>431</v>
      </c>
      <c r="H253" s="117">
        <v>5.9</v>
      </c>
      <c r="I253" s="116" t="s">
        <v>221</v>
      </c>
      <c r="J253" s="117" t="s">
        <v>255</v>
      </c>
      <c r="K253" s="116">
        <v>7.4999999999999997E-2</v>
      </c>
      <c r="L253" s="116">
        <v>6.7299999999999999E-2</v>
      </c>
      <c r="M253" s="111">
        <v>3267.8542430058942</v>
      </c>
      <c r="N253" s="60">
        <v>104.19</v>
      </c>
      <c r="O253" s="84">
        <v>3.4047800000000001</v>
      </c>
      <c r="P253" s="24">
        <v>8.8875081936425139E-5</v>
      </c>
      <c r="Q253" s="24">
        <v>6.3995719625275713E-6</v>
      </c>
      <c r="R253" s="14"/>
    </row>
    <row r="254" spans="1:18" x14ac:dyDescent="0.25">
      <c r="A254" s="16" t="s">
        <v>2714</v>
      </c>
      <c r="B254" s="217" t="s">
        <v>2729</v>
      </c>
      <c r="C254" s="116" t="s">
        <v>2146</v>
      </c>
      <c r="D254" s="116"/>
      <c r="E254" s="116" t="s">
        <v>431</v>
      </c>
      <c r="F254" s="116" t="s">
        <v>2147</v>
      </c>
      <c r="G254" s="116" t="s">
        <v>431</v>
      </c>
      <c r="H254" s="117">
        <v>5.65</v>
      </c>
      <c r="I254" s="116" t="s">
        <v>221</v>
      </c>
      <c r="J254" s="117" t="s">
        <v>255</v>
      </c>
      <c r="K254" s="116">
        <v>7.4999999999999997E-2</v>
      </c>
      <c r="L254" s="116">
        <v>9.3000000000000013E-2</v>
      </c>
      <c r="M254" s="111">
        <v>1170.7160455640681</v>
      </c>
      <c r="N254" s="60">
        <v>90.9</v>
      </c>
      <c r="O254" s="84">
        <v>1.0641800000000001</v>
      </c>
      <c r="P254" s="24">
        <v>2.7778324794878056E-5</v>
      </c>
      <c r="Q254" s="24">
        <v>2.0002163109165913E-6</v>
      </c>
      <c r="R254" s="14"/>
    </row>
    <row r="255" spans="1:18" x14ac:dyDescent="0.25">
      <c r="A255" s="16" t="s">
        <v>2714</v>
      </c>
      <c r="B255" s="217" t="s">
        <v>2729</v>
      </c>
      <c r="C255" s="116" t="s">
        <v>2228</v>
      </c>
      <c r="D255" s="116"/>
      <c r="E255" s="116" t="s">
        <v>431</v>
      </c>
      <c r="F255" s="116" t="s">
        <v>2227</v>
      </c>
      <c r="G255" s="116" t="s">
        <v>431</v>
      </c>
      <c r="H255" s="117">
        <v>5.67</v>
      </c>
      <c r="I255" s="116" t="s">
        <v>221</v>
      </c>
      <c r="J255" s="117" t="s">
        <v>255</v>
      </c>
      <c r="K255" s="116">
        <v>7.4999999999999997E-2</v>
      </c>
      <c r="L255" s="116">
        <v>6.7299999999999999E-2</v>
      </c>
      <c r="M255" s="111">
        <v>3689.1168430183488</v>
      </c>
      <c r="N255" s="60">
        <v>104.11</v>
      </c>
      <c r="O255" s="84">
        <v>3.8407399999999998</v>
      </c>
      <c r="P255" s="24">
        <v>1.0025495984953666E-4</v>
      </c>
      <c r="Q255" s="24">
        <v>7.218995652981439E-6</v>
      </c>
      <c r="R255" s="14"/>
    </row>
    <row r="256" spans="1:18" x14ac:dyDescent="0.25">
      <c r="A256" s="16" t="s">
        <v>2714</v>
      </c>
      <c r="B256" s="217" t="s">
        <v>2729</v>
      </c>
      <c r="C256" s="116" t="s">
        <v>2223</v>
      </c>
      <c r="D256" s="116"/>
      <c r="E256" s="116" t="s">
        <v>431</v>
      </c>
      <c r="F256" s="116" t="s">
        <v>2224</v>
      </c>
      <c r="G256" s="116" t="s">
        <v>431</v>
      </c>
      <c r="H256" s="117">
        <v>5.58</v>
      </c>
      <c r="I256" s="116" t="s">
        <v>221</v>
      </c>
      <c r="J256" s="117" t="s">
        <v>255</v>
      </c>
      <c r="K256" s="116">
        <v>7.4999999999999997E-2</v>
      </c>
      <c r="L256" s="116">
        <v>7.0699999999999999E-2</v>
      </c>
      <c r="M256" s="111">
        <v>1932.365570950235</v>
      </c>
      <c r="N256" s="60">
        <v>102.23</v>
      </c>
      <c r="O256" s="84">
        <v>1.97546</v>
      </c>
      <c r="P256" s="24">
        <v>5.1565495968059724E-5</v>
      </c>
      <c r="Q256" s="24">
        <v>3.7130441406184E-6</v>
      </c>
      <c r="R256" s="14"/>
    </row>
    <row r="257" spans="1:18" x14ac:dyDescent="0.25">
      <c r="A257" s="16" t="s">
        <v>2714</v>
      </c>
      <c r="B257" s="217" t="s">
        <v>2729</v>
      </c>
      <c r="C257" s="116" t="s">
        <v>2169</v>
      </c>
      <c r="D257" s="116"/>
      <c r="E257" s="116" t="s">
        <v>431</v>
      </c>
      <c r="F257" s="116" t="s">
        <v>2170</v>
      </c>
      <c r="G257" s="116" t="s">
        <v>431</v>
      </c>
      <c r="H257" s="117">
        <v>5.77</v>
      </c>
      <c r="I257" s="116" t="s">
        <v>221</v>
      </c>
      <c r="J257" s="117" t="s">
        <v>255</v>
      </c>
      <c r="K257" s="116">
        <v>7.4999999999999997E-2</v>
      </c>
      <c r="L257" s="116">
        <v>8.929999999999999E-2</v>
      </c>
      <c r="M257" s="111">
        <v>1683.4973773285888</v>
      </c>
      <c r="N257" s="60">
        <v>92.54</v>
      </c>
      <c r="O257" s="84">
        <v>1.5579100000000001</v>
      </c>
      <c r="P257" s="24">
        <v>4.0666174877547474E-5</v>
      </c>
      <c r="Q257" s="24">
        <v>2.9282236021538335E-6</v>
      </c>
      <c r="R257" s="14"/>
    </row>
    <row r="258" spans="1:18" x14ac:dyDescent="0.25">
      <c r="A258" s="16" t="s">
        <v>2714</v>
      </c>
      <c r="B258" s="217" t="s">
        <v>2729</v>
      </c>
      <c r="C258" s="116" t="s">
        <v>2153</v>
      </c>
      <c r="D258" s="116"/>
      <c r="E258" s="116" t="s">
        <v>431</v>
      </c>
      <c r="F258" s="116" t="s">
        <v>840</v>
      </c>
      <c r="G258" s="116" t="s">
        <v>431</v>
      </c>
      <c r="H258" s="117">
        <v>5.53</v>
      </c>
      <c r="I258" s="116" t="s">
        <v>221</v>
      </c>
      <c r="J258" s="117" t="s">
        <v>255</v>
      </c>
      <c r="K258" s="116">
        <v>7.4999999999999997E-2</v>
      </c>
      <c r="L258" s="116">
        <v>9.3100000000000002E-2</v>
      </c>
      <c r="M258" s="111">
        <v>1307.3562289126655</v>
      </c>
      <c r="N258" s="60">
        <v>91.06</v>
      </c>
      <c r="O258" s="84">
        <v>1.19048</v>
      </c>
      <c r="P258" s="24">
        <v>3.1075137760347336E-5</v>
      </c>
      <c r="Q258" s="24">
        <v>2.2376078424890368E-6</v>
      </c>
      <c r="R258" s="14"/>
    </row>
    <row r="259" spans="1:18" x14ac:dyDescent="0.25">
      <c r="A259" s="16" t="s">
        <v>2714</v>
      </c>
      <c r="B259" s="217" t="s">
        <v>2729</v>
      </c>
      <c r="C259" s="116" t="s">
        <v>2255</v>
      </c>
      <c r="D259" s="116"/>
      <c r="E259" s="116" t="s">
        <v>431</v>
      </c>
      <c r="F259" s="116" t="s">
        <v>2256</v>
      </c>
      <c r="G259" s="116" t="s">
        <v>431</v>
      </c>
      <c r="H259" s="117">
        <v>7.16</v>
      </c>
      <c r="I259" s="116" t="s">
        <v>221</v>
      </c>
      <c r="J259" s="117" t="s">
        <v>255</v>
      </c>
      <c r="K259" s="116">
        <v>7.4999999999999997E-2</v>
      </c>
      <c r="L259" s="116">
        <v>8.6099999999999996E-2</v>
      </c>
      <c r="M259" s="111">
        <v>3769.9675253692963</v>
      </c>
      <c r="N259" s="60">
        <v>99.74</v>
      </c>
      <c r="O259" s="84">
        <v>3.76017</v>
      </c>
      <c r="P259" s="24">
        <v>9.8151838546069851E-5</v>
      </c>
      <c r="Q259" s="24">
        <v>7.0675575239332051E-6</v>
      </c>
      <c r="R259" s="14"/>
    </row>
    <row r="260" spans="1:18" x14ac:dyDescent="0.25">
      <c r="A260" s="16" t="s">
        <v>2714</v>
      </c>
      <c r="B260" s="217" t="s">
        <v>2729</v>
      </c>
      <c r="C260" s="116" t="s">
        <v>2225</v>
      </c>
      <c r="D260" s="116"/>
      <c r="E260" s="116" t="s">
        <v>431</v>
      </c>
      <c r="F260" s="116" t="s">
        <v>2224</v>
      </c>
      <c r="G260" s="116" t="s">
        <v>431</v>
      </c>
      <c r="H260" s="117">
        <v>5.72</v>
      </c>
      <c r="I260" s="116" t="s">
        <v>221</v>
      </c>
      <c r="J260" s="117" t="s">
        <v>255</v>
      </c>
      <c r="K260" s="116">
        <v>7.4999999999999997E-2</v>
      </c>
      <c r="L260" s="116">
        <v>6.9599999999999995E-2</v>
      </c>
      <c r="M260" s="111">
        <v>1692.2267054698862</v>
      </c>
      <c r="N260" s="60">
        <v>103.25</v>
      </c>
      <c r="O260" s="84">
        <v>1.74722</v>
      </c>
      <c r="P260" s="24">
        <v>4.5607739901244933E-5</v>
      </c>
      <c r="Q260" s="24">
        <v>3.2840477576722792E-6</v>
      </c>
      <c r="R260" s="14"/>
    </row>
    <row r="261" spans="1:18" x14ac:dyDescent="0.25">
      <c r="A261" s="16" t="s">
        <v>2714</v>
      </c>
      <c r="B261" s="217" t="s">
        <v>2729</v>
      </c>
      <c r="C261" s="116" t="s">
        <v>2175</v>
      </c>
      <c r="D261" s="116"/>
      <c r="E261" s="116" t="s">
        <v>431</v>
      </c>
      <c r="F261" s="116" t="s">
        <v>880</v>
      </c>
      <c r="G261" s="116" t="s">
        <v>431</v>
      </c>
      <c r="H261" s="117">
        <v>5.69</v>
      </c>
      <c r="I261" s="116" t="s">
        <v>221</v>
      </c>
      <c r="J261" s="117" t="s">
        <v>255</v>
      </c>
      <c r="K261" s="116">
        <v>7.4999999999999997E-2</v>
      </c>
      <c r="L261" s="116">
        <v>7.8899999999999998E-2</v>
      </c>
      <c r="M261" s="111">
        <v>1154.1038692598138</v>
      </c>
      <c r="N261" s="60">
        <v>97.9</v>
      </c>
      <c r="O261" s="84">
        <v>1.1298699999999999</v>
      </c>
      <c r="P261" s="24">
        <v>2.9493032979372722E-5</v>
      </c>
      <c r="Q261" s="24">
        <v>2.123686221518285E-6</v>
      </c>
      <c r="R261" s="14"/>
    </row>
    <row r="262" spans="1:18" x14ac:dyDescent="0.25">
      <c r="A262" s="16" t="s">
        <v>2714</v>
      </c>
      <c r="B262" s="217" t="s">
        <v>2729</v>
      </c>
      <c r="C262" s="116" t="s">
        <v>2235</v>
      </c>
      <c r="D262" s="116"/>
      <c r="E262" s="116" t="s">
        <v>431</v>
      </c>
      <c r="F262" s="116" t="s">
        <v>1611</v>
      </c>
      <c r="G262" s="116" t="s">
        <v>431</v>
      </c>
      <c r="H262" s="117">
        <v>5.72</v>
      </c>
      <c r="I262" s="116" t="s">
        <v>221</v>
      </c>
      <c r="J262" s="117" t="s">
        <v>255</v>
      </c>
      <c r="K262" s="116">
        <v>7.4999999999999997E-2</v>
      </c>
      <c r="L262" s="116">
        <v>6.9699999999999998E-2</v>
      </c>
      <c r="M262" s="111">
        <v>765.40709791136192</v>
      </c>
      <c r="N262" s="60">
        <v>103.5</v>
      </c>
      <c r="O262" s="84">
        <v>0.79220000000000002</v>
      </c>
      <c r="P262" s="24">
        <v>2.0678822100116892E-5</v>
      </c>
      <c r="Q262" s="24">
        <v>1.4890068987465686E-6</v>
      </c>
      <c r="R262" s="14"/>
    </row>
    <row r="263" spans="1:18" x14ac:dyDescent="0.25">
      <c r="A263" s="16" t="s">
        <v>2714</v>
      </c>
      <c r="B263" s="217" t="s">
        <v>2729</v>
      </c>
      <c r="C263" s="116" t="s">
        <v>2182</v>
      </c>
      <c r="D263" s="116"/>
      <c r="E263" s="116" t="s">
        <v>431</v>
      </c>
      <c r="F263" s="116" t="s">
        <v>2069</v>
      </c>
      <c r="G263" s="116" t="s">
        <v>431</v>
      </c>
      <c r="H263" s="117">
        <v>6.2</v>
      </c>
      <c r="I263" s="116" t="s">
        <v>221</v>
      </c>
      <c r="J263" s="117" t="s">
        <v>255</v>
      </c>
      <c r="K263" s="116">
        <v>7.4999999999999997E-2</v>
      </c>
      <c r="L263" s="116">
        <v>8.5900000000000004E-2</v>
      </c>
      <c r="M263" s="111">
        <v>1378.9229403071993</v>
      </c>
      <c r="N263" s="60">
        <v>93.64</v>
      </c>
      <c r="O263" s="84">
        <v>1.29122</v>
      </c>
      <c r="P263" s="24">
        <v>3.3704757223066064E-5</v>
      </c>
      <c r="Q263" s="24">
        <v>2.4269571923750877E-6</v>
      </c>
      <c r="R263" s="14"/>
    </row>
    <row r="264" spans="1:18" x14ac:dyDescent="0.25">
      <c r="A264" s="16" t="s">
        <v>2714</v>
      </c>
      <c r="B264" s="217" t="s">
        <v>2729</v>
      </c>
      <c r="C264" s="116" t="s">
        <v>2243</v>
      </c>
      <c r="D264" s="116"/>
      <c r="E264" s="116" t="s">
        <v>431</v>
      </c>
      <c r="F264" s="116" t="s">
        <v>2242</v>
      </c>
      <c r="G264" s="116" t="s">
        <v>431</v>
      </c>
      <c r="H264" s="117">
        <v>5.53</v>
      </c>
      <c r="I264" s="116" t="s">
        <v>221</v>
      </c>
      <c r="J264" s="117" t="s">
        <v>255</v>
      </c>
      <c r="K264" s="116">
        <v>7.4999999999999997E-2</v>
      </c>
      <c r="L264" s="116">
        <v>8.5699999999999998E-2</v>
      </c>
      <c r="M264" s="111">
        <v>758.94916415577904</v>
      </c>
      <c r="N264" s="60">
        <v>103.43</v>
      </c>
      <c r="O264" s="84">
        <v>0.78498000000000001</v>
      </c>
      <c r="P264" s="24">
        <v>2.0490358207712395E-5</v>
      </c>
      <c r="Q264" s="24">
        <v>1.4754362981293632E-6</v>
      </c>
      <c r="R264" s="14"/>
    </row>
    <row r="265" spans="1:18" x14ac:dyDescent="0.25">
      <c r="A265" s="16" t="s">
        <v>2714</v>
      </c>
      <c r="B265" s="217" t="s">
        <v>2729</v>
      </c>
      <c r="C265" s="116" t="s">
        <v>2189</v>
      </c>
      <c r="D265" s="116"/>
      <c r="E265" s="116" t="s">
        <v>431</v>
      </c>
      <c r="F265" s="116" t="s">
        <v>2190</v>
      </c>
      <c r="G265" s="116" t="s">
        <v>431</v>
      </c>
      <c r="H265" s="117">
        <v>6.2</v>
      </c>
      <c r="I265" s="116" t="s">
        <v>221</v>
      </c>
      <c r="J265" s="117" t="s">
        <v>255</v>
      </c>
      <c r="K265" s="116">
        <v>7.4999999999999997E-2</v>
      </c>
      <c r="L265" s="116">
        <v>8.5699999999999998E-2</v>
      </c>
      <c r="M265" s="111">
        <v>1374.0516628235966</v>
      </c>
      <c r="N265" s="60">
        <v>93.77</v>
      </c>
      <c r="O265" s="84">
        <v>1.2884500000000001</v>
      </c>
      <c r="P265" s="24">
        <v>3.3632451823902564E-5</v>
      </c>
      <c r="Q265" s="24">
        <v>2.4217507431078218E-6</v>
      </c>
      <c r="R265" s="14"/>
    </row>
    <row r="266" spans="1:18" x14ac:dyDescent="0.25">
      <c r="A266" s="16" t="s">
        <v>2714</v>
      </c>
      <c r="B266" s="217" t="s">
        <v>2729</v>
      </c>
      <c r="C266" s="116" t="s">
        <v>2238</v>
      </c>
      <c r="D266" s="116"/>
      <c r="E266" s="116" t="s">
        <v>431</v>
      </c>
      <c r="F266" s="116" t="s">
        <v>2239</v>
      </c>
      <c r="G266" s="116" t="s">
        <v>431</v>
      </c>
      <c r="H266" s="117">
        <v>4.28</v>
      </c>
      <c r="I266" s="116" t="s">
        <v>221</v>
      </c>
      <c r="J266" s="117" t="s">
        <v>255</v>
      </c>
      <c r="K266" s="116">
        <v>7.4999999999999997E-2</v>
      </c>
      <c r="L266" s="116">
        <v>9.8900000000000002E-2</v>
      </c>
      <c r="M266" s="111">
        <v>12784.188285525101</v>
      </c>
      <c r="N266" s="60">
        <v>91.41</v>
      </c>
      <c r="O266" s="84">
        <v>11.686030000000001</v>
      </c>
      <c r="P266" s="24">
        <v>3.0504081725148829E-4</v>
      </c>
      <c r="Q266" s="24">
        <v>2.1964881707850752E-5</v>
      </c>
      <c r="R266" s="14"/>
    </row>
    <row r="267" spans="1:18" x14ac:dyDescent="0.25">
      <c r="A267" s="16" t="s">
        <v>2715</v>
      </c>
      <c r="B267" s="217" t="s">
        <v>2729</v>
      </c>
      <c r="C267" s="116" t="s">
        <v>2512</v>
      </c>
      <c r="D267" s="116"/>
      <c r="E267" s="116" t="s">
        <v>431</v>
      </c>
      <c r="F267" s="116" t="s">
        <v>2513</v>
      </c>
      <c r="G267" s="116" t="s">
        <v>431</v>
      </c>
      <c r="H267" s="117">
        <v>4.9400000000000004</v>
      </c>
      <c r="I267" s="116" t="s">
        <v>221</v>
      </c>
      <c r="J267" s="117" t="s">
        <v>255</v>
      </c>
      <c r="K267" s="116">
        <v>0.05</v>
      </c>
      <c r="L267" s="116">
        <v>7.0999999999999994E-2</v>
      </c>
      <c r="M267" s="111">
        <v>10709.531380168919</v>
      </c>
      <c r="N267" s="60">
        <v>95.35</v>
      </c>
      <c r="O267" s="84">
        <v>10.211540000000001</v>
      </c>
      <c r="P267" s="24">
        <v>2.6655215731914624E-4</v>
      </c>
      <c r="Q267" s="24">
        <v>1.919345305077826E-5</v>
      </c>
      <c r="R267" s="14"/>
    </row>
    <row r="268" spans="1:18" x14ac:dyDescent="0.25">
      <c r="A268" s="16" t="s">
        <v>2715</v>
      </c>
      <c r="B268" s="217" t="s">
        <v>2729</v>
      </c>
      <c r="C268" s="116" t="s">
        <v>2514</v>
      </c>
      <c r="D268" s="116"/>
      <c r="E268" s="116" t="s">
        <v>431</v>
      </c>
      <c r="F268" s="116" t="s">
        <v>2457</v>
      </c>
      <c r="G268" s="116" t="s">
        <v>431</v>
      </c>
      <c r="H268" s="117">
        <v>4.9400000000000004</v>
      </c>
      <c r="I268" s="116" t="s">
        <v>221</v>
      </c>
      <c r="J268" s="117" t="s">
        <v>255</v>
      </c>
      <c r="K268" s="116">
        <v>0.05</v>
      </c>
      <c r="L268" s="116">
        <v>6.7400000000000002E-2</v>
      </c>
      <c r="M268" s="111">
        <v>7789.4245147875063</v>
      </c>
      <c r="N268" s="60">
        <v>96.06</v>
      </c>
      <c r="O268" s="84">
        <v>7.4825200000000001</v>
      </c>
      <c r="P268" s="24">
        <v>1.9531646041475215E-4</v>
      </c>
      <c r="Q268" s="24">
        <v>1.4064029159314787E-5</v>
      </c>
      <c r="R268" s="14"/>
    </row>
    <row r="269" spans="1:18" x14ac:dyDescent="0.25">
      <c r="A269" s="16" t="s">
        <v>2715</v>
      </c>
      <c r="B269" s="217" t="s">
        <v>2729</v>
      </c>
      <c r="C269" s="116" t="s">
        <v>2515</v>
      </c>
      <c r="D269" s="116"/>
      <c r="E269" s="116" t="s">
        <v>431</v>
      </c>
      <c r="F269" s="116" t="s">
        <v>2239</v>
      </c>
      <c r="G269" s="116" t="s">
        <v>431</v>
      </c>
      <c r="H269" s="117">
        <v>4.9400000000000004</v>
      </c>
      <c r="I269" s="116" t="s">
        <v>202</v>
      </c>
      <c r="J269" s="117" t="s">
        <v>255</v>
      </c>
      <c r="K269" s="116">
        <v>0.05</v>
      </c>
      <c r="L269" s="116">
        <v>4.3899999999999995E-2</v>
      </c>
      <c r="M269" s="111">
        <v>3685.1547986680889</v>
      </c>
      <c r="N269" s="60">
        <v>106.41</v>
      </c>
      <c r="O269" s="84">
        <v>3.92137</v>
      </c>
      <c r="P269" s="24">
        <v>1.0235964733493483E-4</v>
      </c>
      <c r="Q269" s="24">
        <v>7.3705465571040548E-6</v>
      </c>
      <c r="R269" s="14"/>
    </row>
    <row r="270" spans="1:18" x14ac:dyDescent="0.25">
      <c r="A270" s="16" t="s">
        <v>2715</v>
      </c>
      <c r="B270" s="217" t="s">
        <v>2729</v>
      </c>
      <c r="C270" s="116" t="s">
        <v>2516</v>
      </c>
      <c r="D270" s="116"/>
      <c r="E270" s="116" t="s">
        <v>431</v>
      </c>
      <c r="F270" s="116" t="s">
        <v>956</v>
      </c>
      <c r="G270" s="116" t="s">
        <v>431</v>
      </c>
      <c r="H270" s="117">
        <v>4.9400000000000004</v>
      </c>
      <c r="I270" s="116" t="s">
        <v>221</v>
      </c>
      <c r="J270" s="117" t="s">
        <v>255</v>
      </c>
      <c r="K270" s="116">
        <v>0.05</v>
      </c>
      <c r="L270" s="116">
        <v>5.3200000000000004E-2</v>
      </c>
      <c r="M270" s="111">
        <v>3326.5025795037304</v>
      </c>
      <c r="N270" s="60">
        <v>100.45</v>
      </c>
      <c r="O270" s="84">
        <v>3.3414699999999997</v>
      </c>
      <c r="P270" s="24">
        <v>8.7222498968540245E-5</v>
      </c>
      <c r="Q270" s="24">
        <v>6.2805754632096645E-6</v>
      </c>
      <c r="R270" s="14"/>
    </row>
    <row r="271" spans="1:18" x14ac:dyDescent="0.25">
      <c r="A271" s="16" t="s">
        <v>2715</v>
      </c>
      <c r="B271" s="217" t="s">
        <v>2729</v>
      </c>
      <c r="C271" s="116" t="s">
        <v>2456</v>
      </c>
      <c r="D271" s="116"/>
      <c r="E271" s="116" t="s">
        <v>431</v>
      </c>
      <c r="F271" s="116" t="s">
        <v>2457</v>
      </c>
      <c r="G271" s="116" t="s">
        <v>431</v>
      </c>
      <c r="H271" s="117">
        <v>4.96</v>
      </c>
      <c r="I271" s="116" t="s">
        <v>221</v>
      </c>
      <c r="J271" s="117" t="s">
        <v>255</v>
      </c>
      <c r="K271" s="116">
        <v>0.04</v>
      </c>
      <c r="L271" s="116">
        <v>4.7E-2</v>
      </c>
      <c r="M271" s="111">
        <v>1546.176203078076</v>
      </c>
      <c r="N271" s="60">
        <v>100.4</v>
      </c>
      <c r="O271" s="84">
        <v>1.55236</v>
      </c>
      <c r="P271" s="24">
        <v>4.0521303048898585E-5</v>
      </c>
      <c r="Q271" s="24">
        <v>2.9177919077735713E-6</v>
      </c>
      <c r="R271" s="14"/>
    </row>
    <row r="272" spans="1:18" x14ac:dyDescent="0.25">
      <c r="A272" s="16" t="s">
        <v>2715</v>
      </c>
      <c r="B272" s="217" t="s">
        <v>2729</v>
      </c>
      <c r="C272" s="116" t="s">
        <v>2458</v>
      </c>
      <c r="D272" s="116"/>
      <c r="E272" s="116" t="s">
        <v>431</v>
      </c>
      <c r="F272" s="116" t="s">
        <v>2239</v>
      </c>
      <c r="G272" s="116" t="s">
        <v>431</v>
      </c>
      <c r="H272" s="117">
        <v>4.9400000000000004</v>
      </c>
      <c r="I272" s="116" t="s">
        <v>202</v>
      </c>
      <c r="J272" s="117" t="s">
        <v>255</v>
      </c>
      <c r="K272" s="116">
        <v>0.04</v>
      </c>
      <c r="L272" s="116">
        <v>3.4200000000000001E-2</v>
      </c>
      <c r="M272" s="111">
        <v>1633.2746196883631</v>
      </c>
      <c r="N272" s="60">
        <v>106.33</v>
      </c>
      <c r="O272" s="84">
        <v>1.7366600000000001</v>
      </c>
      <c r="P272" s="24">
        <v>4.5332091881329211E-5</v>
      </c>
      <c r="Q272" s="24">
        <v>3.2641993445811868E-6</v>
      </c>
      <c r="R272" s="14"/>
    </row>
    <row r="273" spans="1:18" x14ac:dyDescent="0.25">
      <c r="A273" s="16" t="s">
        <v>2715</v>
      </c>
      <c r="B273" s="217" t="s">
        <v>2729</v>
      </c>
      <c r="C273" s="116" t="s">
        <v>2463</v>
      </c>
      <c r="D273" s="116"/>
      <c r="E273" s="116" t="s">
        <v>431</v>
      </c>
      <c r="F273" s="116" t="s">
        <v>956</v>
      </c>
      <c r="G273" s="116" t="s">
        <v>431</v>
      </c>
      <c r="H273" s="117">
        <v>4.46</v>
      </c>
      <c r="I273" s="116" t="s">
        <v>221</v>
      </c>
      <c r="J273" s="117" t="s">
        <v>255</v>
      </c>
      <c r="K273" s="116">
        <v>0.04</v>
      </c>
      <c r="L273" s="116">
        <v>4.1700000000000001E-2</v>
      </c>
      <c r="M273" s="111">
        <v>1478.0832190310164</v>
      </c>
      <c r="N273" s="60">
        <v>101.27</v>
      </c>
      <c r="O273" s="84">
        <v>1.49685</v>
      </c>
      <c r="P273" s="24">
        <v>3.9072323732087817E-5</v>
      </c>
      <c r="Q273" s="24">
        <v>2.8134561681252225E-6</v>
      </c>
      <c r="R273" s="14"/>
    </row>
    <row r="274" spans="1:18" x14ac:dyDescent="0.25">
      <c r="A274" s="16" t="s">
        <v>2715</v>
      </c>
      <c r="B274" s="217" t="s">
        <v>2729</v>
      </c>
      <c r="C274" s="116" t="s">
        <v>2508</v>
      </c>
      <c r="D274" s="116"/>
      <c r="E274" s="116" t="s">
        <v>431</v>
      </c>
      <c r="F274" s="116" t="s">
        <v>2186</v>
      </c>
      <c r="G274" s="116" t="s">
        <v>431</v>
      </c>
      <c r="H274" s="117">
        <v>1.0900000000000001</v>
      </c>
      <c r="I274" s="116" t="s">
        <v>221</v>
      </c>
      <c r="J274" s="117" t="s">
        <v>255</v>
      </c>
      <c r="K274" s="116">
        <v>6.5000000000000002E-2</v>
      </c>
      <c r="L274" s="116">
        <v>7.1099999999999997E-2</v>
      </c>
      <c r="M274" s="111">
        <v>259.90637521604464</v>
      </c>
      <c r="N274" s="60">
        <v>105.35</v>
      </c>
      <c r="O274" s="84">
        <v>0.27381</v>
      </c>
      <c r="P274" s="24">
        <v>7.1472712436670115E-6</v>
      </c>
      <c r="Q274" s="24">
        <v>5.1464905193864927E-7</v>
      </c>
      <c r="R274" s="14"/>
    </row>
    <row r="275" spans="1:18" x14ac:dyDescent="0.25">
      <c r="A275" s="16" t="s">
        <v>2715</v>
      </c>
      <c r="B275" s="217" t="s">
        <v>2729</v>
      </c>
      <c r="C275" s="116" t="s">
        <v>2511</v>
      </c>
      <c r="D275" s="116"/>
      <c r="E275" s="116" t="s">
        <v>431</v>
      </c>
      <c r="F275" s="116" t="s">
        <v>2510</v>
      </c>
      <c r="G275" s="116" t="s">
        <v>431</v>
      </c>
      <c r="H275" s="117">
        <v>1.0900000000000001</v>
      </c>
      <c r="I275" s="116" t="s">
        <v>221</v>
      </c>
      <c r="J275" s="117" t="s">
        <v>255</v>
      </c>
      <c r="K275" s="116">
        <v>6.5000000000000002E-2</v>
      </c>
      <c r="L275" s="116">
        <v>6.1399999999999996E-2</v>
      </c>
      <c r="M275" s="111">
        <v>496.68696238384086</v>
      </c>
      <c r="N275" s="60">
        <v>105.11</v>
      </c>
      <c r="O275" s="84">
        <v>0.52207000000000003</v>
      </c>
      <c r="P275" s="24">
        <v>1.3627610014905361E-5</v>
      </c>
      <c r="Q275" s="24">
        <v>9.8127471803663355E-7</v>
      </c>
      <c r="R275" s="14"/>
    </row>
    <row r="276" spans="1:18" x14ac:dyDescent="0.25">
      <c r="A276" s="16" t="s">
        <v>2715</v>
      </c>
      <c r="B276" s="217" t="s">
        <v>2729</v>
      </c>
      <c r="C276" s="116" t="s">
        <v>2489</v>
      </c>
      <c r="D276" s="116"/>
      <c r="E276" s="116" t="s">
        <v>431</v>
      </c>
      <c r="F276" s="116" t="s">
        <v>2486</v>
      </c>
      <c r="G276" s="116" t="s">
        <v>431</v>
      </c>
      <c r="H276" s="117">
        <v>1.1399999999999999</v>
      </c>
      <c r="I276" s="116" t="s">
        <v>221</v>
      </c>
      <c r="J276" s="117" t="s">
        <v>255</v>
      </c>
      <c r="K276" s="116">
        <v>6.5000000000000002E-2</v>
      </c>
      <c r="L276" s="116">
        <v>7.0999999999999994E-2</v>
      </c>
      <c r="M276" s="111">
        <v>85.459896447079998</v>
      </c>
      <c r="N276" s="60">
        <v>111.23</v>
      </c>
      <c r="O276" s="84">
        <v>9.5060000000000006E-2</v>
      </c>
      <c r="P276" s="24">
        <v>2.4813542398852712E-6</v>
      </c>
      <c r="Q276" s="24">
        <v>1.7867330951129618E-7</v>
      </c>
      <c r="R276" s="14"/>
    </row>
    <row r="277" spans="1:18" x14ac:dyDescent="0.25">
      <c r="A277" s="16" t="s">
        <v>2715</v>
      </c>
      <c r="B277" s="217" t="s">
        <v>2729</v>
      </c>
      <c r="C277" s="116" t="s">
        <v>2490</v>
      </c>
      <c r="D277" s="116"/>
      <c r="E277" s="116" t="s">
        <v>431</v>
      </c>
      <c r="F277" s="116" t="s">
        <v>2491</v>
      </c>
      <c r="G277" s="116" t="s">
        <v>431</v>
      </c>
      <c r="H277" s="117">
        <v>1.1399999999999999</v>
      </c>
      <c r="I277" s="116" t="s">
        <v>221</v>
      </c>
      <c r="J277" s="117" t="s">
        <v>255</v>
      </c>
      <c r="K277" s="116">
        <v>6.5000000000000002E-2</v>
      </c>
      <c r="L277" s="116">
        <v>7.0999999999999994E-2</v>
      </c>
      <c r="M277" s="111">
        <v>270.28071140100366</v>
      </c>
      <c r="N277" s="60">
        <v>111.34</v>
      </c>
      <c r="O277" s="84">
        <v>0.30093000000000003</v>
      </c>
      <c r="P277" s="24">
        <v>7.8551854766323864E-6</v>
      </c>
      <c r="Q277" s="24">
        <v>5.6562338555895604E-7</v>
      </c>
      <c r="R277" s="14"/>
    </row>
    <row r="278" spans="1:18" x14ac:dyDescent="0.25">
      <c r="A278" s="16" t="s">
        <v>2715</v>
      </c>
      <c r="B278" s="217" t="s">
        <v>2729</v>
      </c>
      <c r="C278" s="116" t="s">
        <v>2495</v>
      </c>
      <c r="D278" s="116"/>
      <c r="E278" s="116" t="s">
        <v>431</v>
      </c>
      <c r="F278" s="116" t="s">
        <v>2494</v>
      </c>
      <c r="G278" s="116" t="s">
        <v>431</v>
      </c>
      <c r="H278" s="117">
        <v>1.1399999999999999</v>
      </c>
      <c r="I278" s="116" t="s">
        <v>221</v>
      </c>
      <c r="J278" s="117" t="s">
        <v>255</v>
      </c>
      <c r="K278" s="116">
        <v>6.5000000000000002E-2</v>
      </c>
      <c r="L278" s="116">
        <v>7.1099999999999997E-2</v>
      </c>
      <c r="M278" s="111">
        <v>299.84414736288079</v>
      </c>
      <c r="N278" s="60">
        <v>111.34</v>
      </c>
      <c r="O278" s="84">
        <v>0.33385000000000004</v>
      </c>
      <c r="P278" s="24">
        <v>8.7144972962938964E-6</v>
      </c>
      <c r="Q278" s="24">
        <v>6.2749930970277959E-7</v>
      </c>
      <c r="R278" s="14"/>
    </row>
    <row r="279" spans="1:18" x14ac:dyDescent="0.25">
      <c r="A279" s="16" t="s">
        <v>2715</v>
      </c>
      <c r="B279" s="217" t="s">
        <v>2729</v>
      </c>
      <c r="C279" s="116" t="s">
        <v>2497</v>
      </c>
      <c r="D279" s="116"/>
      <c r="E279" s="116" t="s">
        <v>431</v>
      </c>
      <c r="F279" s="116" t="s">
        <v>2125</v>
      </c>
      <c r="G279" s="116" t="s">
        <v>431</v>
      </c>
      <c r="H279" s="117">
        <v>1.1399999999999999</v>
      </c>
      <c r="I279" s="116" t="s">
        <v>221</v>
      </c>
      <c r="J279" s="117" t="s">
        <v>255</v>
      </c>
      <c r="K279" s="116">
        <v>6.5000000000000002E-2</v>
      </c>
      <c r="L279" s="116">
        <v>7.0999999999999994E-2</v>
      </c>
      <c r="M279" s="111">
        <v>644.53269571889791</v>
      </c>
      <c r="N279" s="60">
        <v>110.04</v>
      </c>
      <c r="O279" s="84">
        <v>0.70923999999999998</v>
      </c>
      <c r="P279" s="24">
        <v>1.8513314549718385E-5</v>
      </c>
      <c r="Q279" s="24">
        <v>1.3330765625688164E-6</v>
      </c>
      <c r="R279" s="14"/>
    </row>
    <row r="280" spans="1:18" x14ac:dyDescent="0.25">
      <c r="A280" s="16" t="s">
        <v>2715</v>
      </c>
      <c r="B280" s="217" t="s">
        <v>2729</v>
      </c>
      <c r="C280" s="116" t="s">
        <v>2500</v>
      </c>
      <c r="D280" s="116"/>
      <c r="E280" s="116" t="s">
        <v>431</v>
      </c>
      <c r="F280" s="116" t="s">
        <v>2499</v>
      </c>
      <c r="G280" s="116" t="s">
        <v>431</v>
      </c>
      <c r="H280" s="117">
        <v>1.1399999999999999</v>
      </c>
      <c r="I280" s="116" t="s">
        <v>221</v>
      </c>
      <c r="J280" s="117" t="s">
        <v>255</v>
      </c>
      <c r="K280" s="116">
        <v>6.5000000000000002E-2</v>
      </c>
      <c r="L280" s="116">
        <v>7.0999999999999994E-2</v>
      </c>
      <c r="M280" s="111">
        <v>395.08501707857465</v>
      </c>
      <c r="N280" s="60">
        <v>109.19</v>
      </c>
      <c r="O280" s="84">
        <v>0.43139</v>
      </c>
      <c r="P280" s="24">
        <v>1.1260587056007859E-5</v>
      </c>
      <c r="Q280" s="24">
        <v>8.1083398895516568E-7</v>
      </c>
      <c r="R280" s="14"/>
    </row>
    <row r="281" spans="1:18" x14ac:dyDescent="0.25">
      <c r="A281" s="16" t="s">
        <v>2715</v>
      </c>
      <c r="B281" s="217" t="s">
        <v>2729</v>
      </c>
      <c r="C281" s="116" t="s">
        <v>2503</v>
      </c>
      <c r="D281" s="116"/>
      <c r="E281" s="116" t="s">
        <v>431</v>
      </c>
      <c r="F281" s="116" t="s">
        <v>2502</v>
      </c>
      <c r="G281" s="116" t="s">
        <v>431</v>
      </c>
      <c r="H281" s="117">
        <v>1.1399999999999999</v>
      </c>
      <c r="I281" s="116" t="s">
        <v>221</v>
      </c>
      <c r="J281" s="117" t="s">
        <v>255</v>
      </c>
      <c r="K281" s="116">
        <v>6.5000000000000002E-2</v>
      </c>
      <c r="L281" s="116">
        <v>7.0999999999999994E-2</v>
      </c>
      <c r="M281" s="111">
        <v>214.05578014848157</v>
      </c>
      <c r="N281" s="60">
        <v>109.1</v>
      </c>
      <c r="O281" s="84">
        <v>0.23352999999999999</v>
      </c>
      <c r="P281" s="24">
        <v>6.0958411070945444E-6</v>
      </c>
      <c r="Q281" s="24">
        <v>4.3893938533739734E-7</v>
      </c>
      <c r="R281" s="14"/>
    </row>
    <row r="282" spans="1:18" x14ac:dyDescent="0.25">
      <c r="A282" s="16" t="s">
        <v>2715</v>
      </c>
      <c r="B282" s="217" t="s">
        <v>2729</v>
      </c>
      <c r="C282" s="116" t="s">
        <v>2506</v>
      </c>
      <c r="D282" s="116"/>
      <c r="E282" s="116" t="s">
        <v>431</v>
      </c>
      <c r="F282" s="116" t="s">
        <v>2505</v>
      </c>
      <c r="G282" s="116" t="s">
        <v>431</v>
      </c>
      <c r="H282" s="117">
        <v>1.1399999999999999</v>
      </c>
      <c r="I282" s="116" t="s">
        <v>221</v>
      </c>
      <c r="J282" s="117" t="s">
        <v>255</v>
      </c>
      <c r="K282" s="116">
        <v>6.5000000000000002E-2</v>
      </c>
      <c r="L282" s="116">
        <v>7.0999999999999994E-2</v>
      </c>
      <c r="M282" s="111">
        <v>411.18103086043578</v>
      </c>
      <c r="N282" s="60">
        <v>107.96</v>
      </c>
      <c r="O282" s="84">
        <v>0.44391000000000003</v>
      </c>
      <c r="P282" s="24">
        <v>1.1587397019013999E-5</v>
      </c>
      <c r="Q282" s="24">
        <v>8.3436638780937804E-7</v>
      </c>
      <c r="R282" s="14"/>
    </row>
    <row r="283" spans="1:18" x14ac:dyDescent="0.25">
      <c r="A283" s="16" t="s">
        <v>2715</v>
      </c>
      <c r="B283" s="217" t="s">
        <v>2729</v>
      </c>
      <c r="C283" s="116" t="s">
        <v>2485</v>
      </c>
      <c r="D283" s="116"/>
      <c r="E283" s="116" t="s">
        <v>431</v>
      </c>
      <c r="F283" s="116" t="s">
        <v>2486</v>
      </c>
      <c r="G283" s="116" t="s">
        <v>431</v>
      </c>
      <c r="H283" s="117">
        <v>1.0900000000000001</v>
      </c>
      <c r="I283" s="116" t="s">
        <v>221</v>
      </c>
      <c r="J283" s="117" t="s">
        <v>255</v>
      </c>
      <c r="K283" s="116">
        <v>6.5000000000000002E-2</v>
      </c>
      <c r="L283" s="116">
        <v>7.0499999999999993E-2</v>
      </c>
      <c r="M283" s="111">
        <v>292.07662262086632</v>
      </c>
      <c r="N283" s="60">
        <v>112.41</v>
      </c>
      <c r="O283" s="84">
        <v>0.32832</v>
      </c>
      <c r="P283" s="24">
        <v>8.5701475282887874E-6</v>
      </c>
      <c r="Q283" s="24">
        <v>6.1710520701397808E-7</v>
      </c>
      <c r="R283" s="14"/>
    </row>
    <row r="284" spans="1:18" x14ac:dyDescent="0.25">
      <c r="A284" s="16" t="s">
        <v>2715</v>
      </c>
      <c r="B284" s="217" t="s">
        <v>2729</v>
      </c>
      <c r="C284" s="116" t="s">
        <v>2507</v>
      </c>
      <c r="D284" s="116"/>
      <c r="E284" s="116" t="s">
        <v>431</v>
      </c>
      <c r="F284" s="116" t="s">
        <v>2186</v>
      </c>
      <c r="G284" s="116" t="s">
        <v>431</v>
      </c>
      <c r="H284" s="117">
        <v>1.0900000000000001</v>
      </c>
      <c r="I284" s="116" t="s">
        <v>221</v>
      </c>
      <c r="J284" s="117" t="s">
        <v>255</v>
      </c>
      <c r="K284" s="116">
        <v>6.5000000000000002E-2</v>
      </c>
      <c r="L284" s="116">
        <v>7.0599999999999996E-2</v>
      </c>
      <c r="M284" s="111">
        <v>325.9389963623259</v>
      </c>
      <c r="N284" s="60">
        <v>106.64</v>
      </c>
      <c r="O284" s="84">
        <v>0.34758</v>
      </c>
      <c r="P284" s="24">
        <v>9.0728919282487104E-6</v>
      </c>
      <c r="Q284" s="24">
        <v>6.5330600589034633E-7</v>
      </c>
      <c r="R284" s="14"/>
    </row>
    <row r="285" spans="1:18" x14ac:dyDescent="0.25">
      <c r="A285" s="16" t="s">
        <v>2715</v>
      </c>
      <c r="B285" s="217" t="s">
        <v>2729</v>
      </c>
      <c r="C285" s="116" t="s">
        <v>2509</v>
      </c>
      <c r="D285" s="116"/>
      <c r="E285" s="116" t="s">
        <v>431</v>
      </c>
      <c r="F285" s="116" t="s">
        <v>2510</v>
      </c>
      <c r="G285" s="116" t="s">
        <v>431</v>
      </c>
      <c r="H285" s="117">
        <v>1.0900000000000001</v>
      </c>
      <c r="I285" s="116" t="s">
        <v>221</v>
      </c>
      <c r="J285" s="117" t="s">
        <v>255</v>
      </c>
      <c r="K285" s="116">
        <v>6.5000000000000002E-2</v>
      </c>
      <c r="L285" s="116">
        <v>7.0599999999999996E-2</v>
      </c>
      <c r="M285" s="111">
        <v>405.00672694432399</v>
      </c>
      <c r="N285" s="60">
        <v>105.34</v>
      </c>
      <c r="O285" s="84">
        <v>0.42663000000000001</v>
      </c>
      <c r="P285" s="24">
        <v>1.1136336622788273E-5</v>
      </c>
      <c r="Q285" s="24">
        <v>8.0188716638758971E-7</v>
      </c>
      <c r="R285" s="14"/>
    </row>
    <row r="286" spans="1:18" x14ac:dyDescent="0.25">
      <c r="A286" s="16" t="s">
        <v>2715</v>
      </c>
      <c r="B286" s="217" t="s">
        <v>2729</v>
      </c>
      <c r="C286" s="116" t="s">
        <v>2487</v>
      </c>
      <c r="D286" s="116"/>
      <c r="E286" s="116" t="s">
        <v>431</v>
      </c>
      <c r="F286" s="116" t="s">
        <v>2486</v>
      </c>
      <c r="G286" s="116" t="s">
        <v>431</v>
      </c>
      <c r="H286" s="117">
        <v>1.0900000000000001</v>
      </c>
      <c r="I286" s="116" t="s">
        <v>221</v>
      </c>
      <c r="J286" s="117" t="s">
        <v>255</v>
      </c>
      <c r="K286" s="116">
        <v>6.5000000000000002E-2</v>
      </c>
      <c r="L286" s="116">
        <v>7.0400000000000004E-2</v>
      </c>
      <c r="M286" s="111">
        <v>90.367071795756885</v>
      </c>
      <c r="N286" s="60">
        <v>112.75</v>
      </c>
      <c r="O286" s="84">
        <v>0.10188999999999999</v>
      </c>
      <c r="P286" s="24">
        <v>2.6596379497360643E-6</v>
      </c>
      <c r="Q286" s="24">
        <v>1.9151087214502383E-7</v>
      </c>
      <c r="R286" s="14"/>
    </row>
    <row r="287" spans="1:18" x14ac:dyDescent="0.25">
      <c r="A287" s="16" t="s">
        <v>2715</v>
      </c>
      <c r="B287" s="217" t="s">
        <v>2729</v>
      </c>
      <c r="C287" s="116" t="s">
        <v>2488</v>
      </c>
      <c r="D287" s="116"/>
      <c r="E287" s="116" t="s">
        <v>431</v>
      </c>
      <c r="F287" s="116" t="s">
        <v>2486</v>
      </c>
      <c r="G287" s="116" t="s">
        <v>431</v>
      </c>
      <c r="H287" s="117">
        <v>1.0900000000000001</v>
      </c>
      <c r="I287" s="116" t="s">
        <v>221</v>
      </c>
      <c r="J287" s="117" t="s">
        <v>255</v>
      </c>
      <c r="K287" s="116">
        <v>6.5000000000000002E-2</v>
      </c>
      <c r="L287" s="116">
        <v>7.0499999999999993E-2</v>
      </c>
      <c r="M287" s="111">
        <v>227.38597476602578</v>
      </c>
      <c r="N287" s="60">
        <v>112.63</v>
      </c>
      <c r="O287" s="84">
        <v>0.25610000000000005</v>
      </c>
      <c r="P287" s="24">
        <v>6.6849865436000207E-6</v>
      </c>
      <c r="Q287" s="24">
        <v>4.8136160915046241E-7</v>
      </c>
      <c r="R287" s="14"/>
    </row>
    <row r="288" spans="1:18" x14ac:dyDescent="0.25">
      <c r="A288" s="16" t="s">
        <v>2715</v>
      </c>
      <c r="B288" s="217" t="s">
        <v>2729</v>
      </c>
      <c r="C288" s="116" t="s">
        <v>2492</v>
      </c>
      <c r="D288" s="116"/>
      <c r="E288" s="116" t="s">
        <v>431</v>
      </c>
      <c r="F288" s="116" t="s">
        <v>2491</v>
      </c>
      <c r="G288" s="116" t="s">
        <v>431</v>
      </c>
      <c r="H288" s="117">
        <v>1.0900000000000001</v>
      </c>
      <c r="I288" s="116" t="s">
        <v>221</v>
      </c>
      <c r="J288" s="117" t="s">
        <v>255</v>
      </c>
      <c r="K288" s="116">
        <v>6.5000000000000002E-2</v>
      </c>
      <c r="L288" s="116">
        <v>7.0499999999999993E-2</v>
      </c>
      <c r="M288" s="111">
        <v>262.89362735530972</v>
      </c>
      <c r="N288" s="60">
        <v>112.63</v>
      </c>
      <c r="O288" s="84">
        <v>0.29610000000000003</v>
      </c>
      <c r="P288" s="24">
        <v>7.7291078311595712E-6</v>
      </c>
      <c r="Q288" s="24">
        <v>5.5654499207126865E-7</v>
      </c>
      <c r="R288" s="14"/>
    </row>
    <row r="289" spans="1:18" x14ac:dyDescent="0.25">
      <c r="A289" s="16" t="s">
        <v>2715</v>
      </c>
      <c r="B289" s="217" t="s">
        <v>2729</v>
      </c>
      <c r="C289" s="116" t="s">
        <v>2493</v>
      </c>
      <c r="D289" s="116"/>
      <c r="E289" s="116" t="s">
        <v>431</v>
      </c>
      <c r="F289" s="116" t="s">
        <v>2494</v>
      </c>
      <c r="G289" s="116" t="s">
        <v>431</v>
      </c>
      <c r="H289" s="117">
        <v>1.0900000000000001</v>
      </c>
      <c r="I289" s="116" t="s">
        <v>221</v>
      </c>
      <c r="J289" s="117" t="s">
        <v>255</v>
      </c>
      <c r="K289" s="116">
        <v>6.5000000000000002E-2</v>
      </c>
      <c r="L289" s="116">
        <v>7.0499999999999993E-2</v>
      </c>
      <c r="M289" s="111">
        <v>345.00496670674147</v>
      </c>
      <c r="N289" s="60">
        <v>112.52</v>
      </c>
      <c r="O289" s="84">
        <v>0.38819999999999999</v>
      </c>
      <c r="P289" s="24">
        <v>1.0133197095765435E-5</v>
      </c>
      <c r="Q289" s="24">
        <v>7.2965473124642505E-7</v>
      </c>
      <c r="R289" s="14"/>
    </row>
    <row r="290" spans="1:18" x14ac:dyDescent="0.25">
      <c r="A290" s="16" t="s">
        <v>2715</v>
      </c>
      <c r="B290" s="217" t="s">
        <v>2729</v>
      </c>
      <c r="C290" s="116" t="s">
        <v>2496</v>
      </c>
      <c r="D290" s="116"/>
      <c r="E290" s="116" t="s">
        <v>431</v>
      </c>
      <c r="F290" s="116" t="s">
        <v>2125</v>
      </c>
      <c r="G290" s="116" t="s">
        <v>431</v>
      </c>
      <c r="H290" s="117">
        <v>1.0900000000000001</v>
      </c>
      <c r="I290" s="116" t="s">
        <v>221</v>
      </c>
      <c r="J290" s="117" t="s">
        <v>255</v>
      </c>
      <c r="K290" s="116">
        <v>6.5000000000000002E-2</v>
      </c>
      <c r="L290" s="116">
        <v>7.0499999999999993E-2</v>
      </c>
      <c r="M290" s="111">
        <v>184.80903660419236</v>
      </c>
      <c r="N290" s="60">
        <v>111.08</v>
      </c>
      <c r="O290" s="84">
        <v>0.20529</v>
      </c>
      <c r="P290" s="24">
        <v>5.3586914780775017E-6</v>
      </c>
      <c r="Q290" s="24">
        <v>3.8585991699530808E-7</v>
      </c>
      <c r="R290" s="14"/>
    </row>
    <row r="291" spans="1:18" x14ac:dyDescent="0.25">
      <c r="A291" s="16" t="s">
        <v>2715</v>
      </c>
      <c r="B291" s="217" t="s">
        <v>2729</v>
      </c>
      <c r="C291" s="116" t="s">
        <v>2498</v>
      </c>
      <c r="D291" s="116"/>
      <c r="E291" s="116" t="s">
        <v>431</v>
      </c>
      <c r="F291" s="116" t="s">
        <v>2499</v>
      </c>
      <c r="G291" s="116" t="s">
        <v>431</v>
      </c>
      <c r="H291" s="117">
        <v>1.0900000000000001</v>
      </c>
      <c r="I291" s="116" t="s">
        <v>221</v>
      </c>
      <c r="J291" s="117" t="s">
        <v>255</v>
      </c>
      <c r="K291" s="116">
        <v>6.5000000000000002E-2</v>
      </c>
      <c r="L291" s="116">
        <v>7.0599999999999996E-2</v>
      </c>
      <c r="M291" s="111">
        <v>420.18819754736131</v>
      </c>
      <c r="N291" s="60">
        <v>110.19</v>
      </c>
      <c r="O291" s="84">
        <v>0.46300999999999998</v>
      </c>
      <c r="P291" s="24">
        <v>1.2085964933823684E-5</v>
      </c>
      <c r="Q291" s="24">
        <v>8.7026645315406303E-7</v>
      </c>
      <c r="R291" s="14"/>
    </row>
    <row r="292" spans="1:18" x14ac:dyDescent="0.25">
      <c r="A292" s="16" t="s">
        <v>2715</v>
      </c>
      <c r="B292" s="217" t="s">
        <v>2729</v>
      </c>
      <c r="C292" s="116" t="s">
        <v>2501</v>
      </c>
      <c r="D292" s="116"/>
      <c r="E292" s="116" t="s">
        <v>431</v>
      </c>
      <c r="F292" s="116" t="s">
        <v>2502</v>
      </c>
      <c r="G292" s="116" t="s">
        <v>431</v>
      </c>
      <c r="H292" s="117">
        <v>1.0900000000000001</v>
      </c>
      <c r="I292" s="116" t="s">
        <v>221</v>
      </c>
      <c r="J292" s="117" t="s">
        <v>255</v>
      </c>
      <c r="K292" s="116">
        <v>6.5000000000000002E-2</v>
      </c>
      <c r="L292" s="116">
        <v>7.0699999999999999E-2</v>
      </c>
      <c r="M292" s="111">
        <v>271.31258129903438</v>
      </c>
      <c r="N292" s="60">
        <v>109.97</v>
      </c>
      <c r="O292" s="84">
        <v>0.29836000000000001</v>
      </c>
      <c r="P292" s="24">
        <v>7.7881006839066862E-6</v>
      </c>
      <c r="Q292" s="24">
        <v>5.6079285320629414E-7</v>
      </c>
      <c r="R292" s="14"/>
    </row>
    <row r="293" spans="1:18" x14ac:dyDescent="0.25">
      <c r="A293" s="16" t="s">
        <v>2715</v>
      </c>
      <c r="B293" s="217" t="s">
        <v>2729</v>
      </c>
      <c r="C293" s="116" t="s">
        <v>2504</v>
      </c>
      <c r="D293" s="116"/>
      <c r="E293" s="116" t="s">
        <v>431</v>
      </c>
      <c r="F293" s="116" t="s">
        <v>2505</v>
      </c>
      <c r="G293" s="116" t="s">
        <v>431</v>
      </c>
      <c r="H293" s="117">
        <v>1.0900000000000001</v>
      </c>
      <c r="I293" s="116" t="s">
        <v>221</v>
      </c>
      <c r="J293" s="117" t="s">
        <v>255</v>
      </c>
      <c r="K293" s="116">
        <v>6.5000000000000002E-2</v>
      </c>
      <c r="L293" s="116">
        <v>7.0599999999999996E-2</v>
      </c>
      <c r="M293" s="111">
        <v>503.32455838793572</v>
      </c>
      <c r="N293" s="60">
        <v>108.7</v>
      </c>
      <c r="O293" s="84">
        <v>0.54710999999999999</v>
      </c>
      <c r="P293" s="24">
        <v>1.4281229940917638E-5</v>
      </c>
      <c r="Q293" s="24">
        <v>1.0283395157450583E-6</v>
      </c>
      <c r="R293" s="14"/>
    </row>
    <row r="294" spans="1:18" x14ac:dyDescent="0.25">
      <c r="A294" s="16" t="s">
        <v>2716</v>
      </c>
      <c r="B294" s="116" t="s">
        <v>2105</v>
      </c>
      <c r="C294" s="116" t="s">
        <v>2469</v>
      </c>
      <c r="D294" s="116"/>
      <c r="E294" s="116" t="s">
        <v>431</v>
      </c>
      <c r="F294" s="116" t="s">
        <v>1925</v>
      </c>
      <c r="G294" s="116" t="s">
        <v>431</v>
      </c>
      <c r="H294" s="117">
        <v>8.86</v>
      </c>
      <c r="I294" s="116" t="s">
        <v>225</v>
      </c>
      <c r="J294" s="117" t="s">
        <v>255</v>
      </c>
      <c r="K294" s="116">
        <v>3.9399999999999998E-2</v>
      </c>
      <c r="L294" s="116">
        <v>4.0300000000000002E-2</v>
      </c>
      <c r="M294" s="111">
        <v>2787.704785125442</v>
      </c>
      <c r="N294" s="60">
        <v>100</v>
      </c>
      <c r="O294" s="84">
        <v>2.7876999999999996</v>
      </c>
      <c r="P294" s="24">
        <v>7.2767422833243953E-5</v>
      </c>
      <c r="Q294" s="24">
        <v>5.2397179142082917E-6</v>
      </c>
      <c r="R294" s="14"/>
    </row>
    <row r="295" spans="1:18" x14ac:dyDescent="0.25">
      <c r="A295" s="16" t="s">
        <v>2716</v>
      </c>
      <c r="B295" s="116" t="s">
        <v>2105</v>
      </c>
      <c r="C295" s="116" t="s">
        <v>2470</v>
      </c>
      <c r="D295" s="116"/>
      <c r="E295" s="116" t="s">
        <v>431</v>
      </c>
      <c r="F295" s="116" t="s">
        <v>1925</v>
      </c>
      <c r="G295" s="116" t="s">
        <v>431</v>
      </c>
      <c r="H295" s="117">
        <v>8.2899999999999991</v>
      </c>
      <c r="I295" s="116" t="s">
        <v>225</v>
      </c>
      <c r="J295" s="117" t="s">
        <v>255</v>
      </c>
      <c r="K295" s="116">
        <v>3.9399999999999998E-2</v>
      </c>
      <c r="L295" s="116">
        <v>4.0399999999999998E-2</v>
      </c>
      <c r="M295" s="111">
        <v>1269.5732128621967</v>
      </c>
      <c r="N295" s="60">
        <v>100</v>
      </c>
      <c r="O295" s="84">
        <v>1.2695699999999999</v>
      </c>
      <c r="P295" s="24">
        <v>3.3139626576174452E-5</v>
      </c>
      <c r="Q295" s="24">
        <v>2.3862641863692007E-6</v>
      </c>
      <c r="R295" s="14"/>
    </row>
    <row r="296" spans="1:18" x14ac:dyDescent="0.25">
      <c r="A296" s="16" t="s">
        <v>2716</v>
      </c>
      <c r="B296" s="116" t="s">
        <v>2105</v>
      </c>
      <c r="C296" s="116" t="s">
        <v>2471</v>
      </c>
      <c r="D296" s="116"/>
      <c r="E296" s="116" t="s">
        <v>431</v>
      </c>
      <c r="F296" s="116" t="s">
        <v>1925</v>
      </c>
      <c r="G296" s="116" t="s">
        <v>431</v>
      </c>
      <c r="H296" s="117">
        <v>8.7100000000000009</v>
      </c>
      <c r="I296" s="116" t="s">
        <v>225</v>
      </c>
      <c r="J296" s="117" t="s">
        <v>255</v>
      </c>
      <c r="K296" s="116">
        <v>3.9300000000000002E-2</v>
      </c>
      <c r="L296" s="116">
        <v>4.0099999999999997E-2</v>
      </c>
      <c r="M296" s="111">
        <v>3766.6371986141257</v>
      </c>
      <c r="N296" s="60">
        <v>100</v>
      </c>
      <c r="O296" s="84">
        <v>3.7666399999999998</v>
      </c>
      <c r="P296" s="24">
        <v>9.8320725164332602E-5</v>
      </c>
      <c r="Q296" s="24">
        <v>7.0797184361206451E-6</v>
      </c>
      <c r="R296" s="14"/>
    </row>
    <row r="297" spans="1:18" x14ac:dyDescent="0.25">
      <c r="A297" s="16" t="s">
        <v>2717</v>
      </c>
      <c r="B297" s="217" t="s">
        <v>2729</v>
      </c>
      <c r="C297" s="116" t="s">
        <v>2481</v>
      </c>
      <c r="D297" s="116"/>
      <c r="E297" s="116" t="s">
        <v>431</v>
      </c>
      <c r="F297" s="116" t="s">
        <v>2482</v>
      </c>
      <c r="G297" s="116" t="s">
        <v>431</v>
      </c>
      <c r="H297" s="117">
        <v>0.69</v>
      </c>
      <c r="I297" s="116" t="s">
        <v>202</v>
      </c>
      <c r="J297" s="117" t="s">
        <v>255</v>
      </c>
      <c r="K297" s="116">
        <v>0.05</v>
      </c>
      <c r="L297" s="116">
        <v>9.8900000000000002E-2</v>
      </c>
      <c r="M297" s="111">
        <v>2423.7399999999998</v>
      </c>
      <c r="N297" s="60">
        <v>12340.18</v>
      </c>
      <c r="O297" s="84">
        <v>299.09497999999996</v>
      </c>
      <c r="P297" s="24">
        <v>7.8072858905049473E-3</v>
      </c>
      <c r="Q297" s="24">
        <v>5.6217431027577244E-4</v>
      </c>
      <c r="R297" s="14"/>
    </row>
    <row r="298" spans="1:18" x14ac:dyDescent="0.25">
      <c r="A298" s="16" t="s">
        <v>2717</v>
      </c>
      <c r="B298" s="217" t="s">
        <v>2729</v>
      </c>
      <c r="C298" s="116" t="s">
        <v>2478</v>
      </c>
      <c r="D298" s="116"/>
      <c r="E298" s="116" t="s">
        <v>431</v>
      </c>
      <c r="F298" s="116" t="s">
        <v>2479</v>
      </c>
      <c r="G298" s="116" t="s">
        <v>431</v>
      </c>
      <c r="H298" s="117">
        <v>0</v>
      </c>
      <c r="I298" s="116" t="s">
        <v>202</v>
      </c>
      <c r="J298" s="117" t="s">
        <v>255</v>
      </c>
      <c r="K298" s="116">
        <v>0</v>
      </c>
      <c r="L298" s="116">
        <v>0</v>
      </c>
      <c r="M298" s="111">
        <v>13560.26</v>
      </c>
      <c r="N298" s="60">
        <v>22.357655000000001</v>
      </c>
      <c r="O298" s="84">
        <v>303.17561000000001</v>
      </c>
      <c r="P298" s="24">
        <v>7.9138027067463014E-3</v>
      </c>
      <c r="Q298" s="24">
        <v>5.6984419947197574E-4</v>
      </c>
      <c r="R298" s="14"/>
    </row>
    <row r="299" spans="1:18" x14ac:dyDescent="0.25">
      <c r="A299" s="16" t="s">
        <v>2718</v>
      </c>
      <c r="B299" s="217" t="s">
        <v>2729</v>
      </c>
      <c r="C299" s="116" t="s">
        <v>2199</v>
      </c>
      <c r="D299" s="116"/>
      <c r="E299" s="116" t="s">
        <v>431</v>
      </c>
      <c r="F299" s="116" t="s">
        <v>2200</v>
      </c>
      <c r="G299" s="116" t="s">
        <v>431</v>
      </c>
      <c r="H299" s="117">
        <v>3.33</v>
      </c>
      <c r="I299" s="116" t="s">
        <v>202</v>
      </c>
      <c r="J299" s="117" t="s">
        <v>255</v>
      </c>
      <c r="K299" s="116">
        <v>8.7499999999999994E-2</v>
      </c>
      <c r="L299" s="116">
        <v>0.1041</v>
      </c>
      <c r="M299" s="111">
        <v>6562.1908215098374</v>
      </c>
      <c r="N299" s="60">
        <v>91.67</v>
      </c>
      <c r="O299" s="84">
        <v>6.0155600000000007</v>
      </c>
      <c r="P299" s="24">
        <v>1.570243563147932E-4</v>
      </c>
      <c r="Q299" s="24">
        <v>1.1306753774077139E-5</v>
      </c>
      <c r="R299" s="14"/>
    </row>
    <row r="300" spans="1:18" x14ac:dyDescent="0.25">
      <c r="A300" s="16" t="s">
        <v>2718</v>
      </c>
      <c r="B300" s="217" t="s">
        <v>2729</v>
      </c>
      <c r="C300" s="116" t="s">
        <v>2207</v>
      </c>
      <c r="D300" s="116"/>
      <c r="E300" s="116" t="s">
        <v>431</v>
      </c>
      <c r="F300" s="116" t="s">
        <v>1584</v>
      </c>
      <c r="G300" s="116" t="s">
        <v>431</v>
      </c>
      <c r="H300" s="117">
        <v>3.29</v>
      </c>
      <c r="I300" s="116" t="s">
        <v>202</v>
      </c>
      <c r="J300" s="117" t="s">
        <v>255</v>
      </c>
      <c r="K300" s="116">
        <v>8.7499999999999994E-2</v>
      </c>
      <c r="L300" s="116">
        <v>0.12179999999999999</v>
      </c>
      <c r="M300" s="111">
        <v>2476.7166337318235</v>
      </c>
      <c r="N300" s="60">
        <v>90.19</v>
      </c>
      <c r="O300" s="84">
        <v>2.2337500000000001</v>
      </c>
      <c r="P300" s="24">
        <v>5.8307648152153635E-5</v>
      </c>
      <c r="Q300" s="24">
        <v>4.1985220399837768E-6</v>
      </c>
      <c r="R300" s="14"/>
    </row>
    <row r="301" spans="1:18" x14ac:dyDescent="0.25">
      <c r="A301" s="16" t="s">
        <v>2718</v>
      </c>
      <c r="B301" s="217" t="s">
        <v>2729</v>
      </c>
      <c r="C301" s="116" t="s">
        <v>2221</v>
      </c>
      <c r="D301" s="116"/>
      <c r="E301" s="116" t="s">
        <v>431</v>
      </c>
      <c r="F301" s="116" t="s">
        <v>921</v>
      </c>
      <c r="G301" s="116" t="s">
        <v>431</v>
      </c>
      <c r="H301" s="117">
        <v>3.51</v>
      </c>
      <c r="I301" s="116" t="s">
        <v>202</v>
      </c>
      <c r="J301" s="117" t="s">
        <v>255</v>
      </c>
      <c r="K301" s="116">
        <v>8.7499999999999994E-2</v>
      </c>
      <c r="L301" s="116">
        <v>9.1700000000000004E-2</v>
      </c>
      <c r="M301" s="111">
        <v>2476.7166337318235</v>
      </c>
      <c r="N301" s="60">
        <v>99.98</v>
      </c>
      <c r="O301" s="84">
        <v>2.4762199999999996</v>
      </c>
      <c r="P301" s="24">
        <v>6.4636850367017737E-5</v>
      </c>
      <c r="Q301" s="24">
        <v>4.6542649114039737E-6</v>
      </c>
      <c r="R301" s="14"/>
    </row>
    <row r="302" spans="1:18" x14ac:dyDescent="0.25">
      <c r="A302" s="16" t="s">
        <v>2718</v>
      </c>
      <c r="B302" s="217" t="s">
        <v>2729</v>
      </c>
      <c r="C302" s="116" t="s">
        <v>2249</v>
      </c>
      <c r="D302" s="116"/>
      <c r="E302" s="116" t="s">
        <v>431</v>
      </c>
      <c r="F302" s="116" t="s">
        <v>961</v>
      </c>
      <c r="G302" s="116" t="s">
        <v>431</v>
      </c>
      <c r="H302" s="117">
        <v>3.87</v>
      </c>
      <c r="I302" s="116" t="s">
        <v>202</v>
      </c>
      <c r="J302" s="117" t="s">
        <v>255</v>
      </c>
      <c r="K302" s="116">
        <v>8.7499999999999994E-2</v>
      </c>
      <c r="L302" s="116">
        <v>8.1000000000000003E-2</v>
      </c>
      <c r="M302" s="111">
        <v>743.01499011954706</v>
      </c>
      <c r="N302" s="60">
        <v>102.06</v>
      </c>
      <c r="O302" s="84">
        <v>0.75832000000000011</v>
      </c>
      <c r="P302" s="24">
        <v>1.9794451369553954E-5</v>
      </c>
      <c r="Q302" s="24">
        <v>1.4253265734126459E-6</v>
      </c>
      <c r="R302" s="14"/>
    </row>
    <row r="303" spans="1:18" x14ac:dyDescent="0.25">
      <c r="A303" s="16" t="s">
        <v>2718</v>
      </c>
      <c r="B303" s="217" t="s">
        <v>2729</v>
      </c>
      <c r="C303" s="116" t="s">
        <v>2251</v>
      </c>
      <c r="D303" s="116"/>
      <c r="E303" s="116" t="s">
        <v>431</v>
      </c>
      <c r="F303" s="116" t="s">
        <v>2252</v>
      </c>
      <c r="G303" s="116" t="s">
        <v>431</v>
      </c>
      <c r="H303" s="117">
        <v>3.83</v>
      </c>
      <c r="I303" s="116" t="s">
        <v>202</v>
      </c>
      <c r="J303" s="117" t="s">
        <v>255</v>
      </c>
      <c r="K303" s="116">
        <v>8.7499999999999994E-2</v>
      </c>
      <c r="L303" s="116">
        <v>8.3599999999999994E-2</v>
      </c>
      <c r="M303" s="111">
        <v>1428.2834379168748</v>
      </c>
      <c r="N303" s="60">
        <v>102.06</v>
      </c>
      <c r="O303" s="84">
        <v>1.4577100000000001</v>
      </c>
      <c r="P303" s="24">
        <v>3.8050651052210797E-5</v>
      </c>
      <c r="Q303" s="24">
        <v>2.7398892279372138E-6</v>
      </c>
      <c r="R303" s="14"/>
    </row>
    <row r="304" spans="1:18" x14ac:dyDescent="0.25">
      <c r="A304" s="16" t="s">
        <v>2718</v>
      </c>
      <c r="B304" s="217" t="s">
        <v>2729</v>
      </c>
      <c r="C304" s="116" t="s">
        <v>2201</v>
      </c>
      <c r="D304" s="116"/>
      <c r="E304" s="116" t="s">
        <v>431</v>
      </c>
      <c r="F304" s="116" t="s">
        <v>2200</v>
      </c>
      <c r="G304" s="116" t="s">
        <v>431</v>
      </c>
      <c r="H304" s="117">
        <v>2.97</v>
      </c>
      <c r="I304" s="116" t="s">
        <v>202</v>
      </c>
      <c r="J304" s="117" t="s">
        <v>255</v>
      </c>
      <c r="K304" s="116">
        <v>0.13349999904632567</v>
      </c>
      <c r="L304" s="116">
        <v>0.1943</v>
      </c>
      <c r="M304" s="111">
        <v>772.02244066494643</v>
      </c>
      <c r="N304" s="60">
        <v>85.15</v>
      </c>
      <c r="O304" s="84">
        <v>0.65737999999999996</v>
      </c>
      <c r="P304" s="24">
        <v>1.7159611300397427E-5</v>
      </c>
      <c r="Q304" s="24">
        <v>1.235601306611991E-6</v>
      </c>
      <c r="R304" s="14"/>
    </row>
    <row r="305" spans="1:18" x14ac:dyDescent="0.25">
      <c r="A305" s="16" t="s">
        <v>2718</v>
      </c>
      <c r="B305" s="217" t="s">
        <v>2729</v>
      </c>
      <c r="C305" s="116" t="s">
        <v>2208</v>
      </c>
      <c r="D305" s="116"/>
      <c r="E305" s="116" t="s">
        <v>431</v>
      </c>
      <c r="F305" s="116" t="s">
        <v>1584</v>
      </c>
      <c r="G305" s="116" t="s">
        <v>431</v>
      </c>
      <c r="H305" s="117">
        <v>2.97</v>
      </c>
      <c r="I305" s="116" t="s">
        <v>202</v>
      </c>
      <c r="J305" s="117" t="s">
        <v>255</v>
      </c>
      <c r="K305" s="116">
        <v>0.13349999904632567</v>
      </c>
      <c r="L305" s="116">
        <v>0.2104</v>
      </c>
      <c r="M305" s="111">
        <v>291.37842749786159</v>
      </c>
      <c r="N305" s="60">
        <v>83.83</v>
      </c>
      <c r="O305" s="84">
        <v>0.24425999999999998</v>
      </c>
      <c r="P305" s="24">
        <v>6.375926642482393E-6</v>
      </c>
      <c r="Q305" s="24">
        <v>4.591073278059036E-7</v>
      </c>
      <c r="R305" s="14"/>
    </row>
    <row r="306" spans="1:18" x14ac:dyDescent="0.25">
      <c r="A306" s="16" t="s">
        <v>2718</v>
      </c>
      <c r="B306" s="217" t="s">
        <v>2729</v>
      </c>
      <c r="C306" s="116" t="s">
        <v>2222</v>
      </c>
      <c r="D306" s="116"/>
      <c r="E306" s="116" t="s">
        <v>431</v>
      </c>
      <c r="F306" s="116" t="s">
        <v>921</v>
      </c>
      <c r="G306" s="116" t="s">
        <v>431</v>
      </c>
      <c r="H306" s="117">
        <v>3.16</v>
      </c>
      <c r="I306" s="116" t="s">
        <v>202</v>
      </c>
      <c r="J306" s="117" t="s">
        <v>255</v>
      </c>
      <c r="K306" s="116">
        <v>0.13349999904632567</v>
      </c>
      <c r="L306" s="116">
        <v>0.1555</v>
      </c>
      <c r="M306" s="111">
        <v>291.37842749786159</v>
      </c>
      <c r="N306" s="60">
        <v>98.35</v>
      </c>
      <c r="O306" s="84">
        <v>0.28656999999999999</v>
      </c>
      <c r="P306" s="24">
        <v>7.4803459343985071E-6</v>
      </c>
      <c r="Q306" s="24">
        <v>5.386325510903865E-7</v>
      </c>
      <c r="R306" s="14"/>
    </row>
    <row r="307" spans="1:18" x14ac:dyDescent="0.25">
      <c r="A307" s="16" t="s">
        <v>2718</v>
      </c>
      <c r="B307" s="217" t="s">
        <v>2729</v>
      </c>
      <c r="C307" s="116" t="s">
        <v>2250</v>
      </c>
      <c r="D307" s="116"/>
      <c r="E307" s="116" t="s">
        <v>431</v>
      </c>
      <c r="F307" s="116" t="s">
        <v>961</v>
      </c>
      <c r="G307" s="116" t="s">
        <v>431</v>
      </c>
      <c r="H307" s="117">
        <v>3.51</v>
      </c>
      <c r="I307" s="116" t="s">
        <v>202</v>
      </c>
      <c r="J307" s="117" t="s">
        <v>255</v>
      </c>
      <c r="K307" s="116">
        <v>0.13349999904632567</v>
      </c>
      <c r="L307" s="116">
        <v>0.13400000000000001</v>
      </c>
      <c r="M307" s="111">
        <v>87.413528249358478</v>
      </c>
      <c r="N307" s="60">
        <v>102.16</v>
      </c>
      <c r="O307" s="84">
        <v>8.929999999999999E-2</v>
      </c>
      <c r="P307" s="24">
        <v>2.3310007744766956E-6</v>
      </c>
      <c r="Q307" s="24">
        <v>1.6784690237070002E-7</v>
      </c>
      <c r="R307" s="14"/>
    </row>
    <row r="308" spans="1:18" x14ac:dyDescent="0.25">
      <c r="A308" s="16" t="s">
        <v>2718</v>
      </c>
      <c r="B308" s="217" t="s">
        <v>2729</v>
      </c>
      <c r="C308" s="116" t="s">
        <v>2253</v>
      </c>
      <c r="D308" s="116"/>
      <c r="E308" s="116" t="s">
        <v>431</v>
      </c>
      <c r="F308" s="116" t="s">
        <v>2252</v>
      </c>
      <c r="G308" s="116" t="s">
        <v>431</v>
      </c>
      <c r="H308" s="117">
        <v>3.45</v>
      </c>
      <c r="I308" s="116" t="s">
        <v>202</v>
      </c>
      <c r="J308" s="117" t="s">
        <v>255</v>
      </c>
      <c r="K308" s="116">
        <v>0.13349999904632567</v>
      </c>
      <c r="L308" s="116">
        <v>0.13880000000000001</v>
      </c>
      <c r="M308" s="111">
        <v>168.03327664075459</v>
      </c>
      <c r="N308" s="60">
        <v>102.1</v>
      </c>
      <c r="O308" s="84">
        <v>0.17155999999999999</v>
      </c>
      <c r="P308" s="24">
        <v>4.4782362023429107E-6</v>
      </c>
      <c r="Q308" s="24">
        <v>3.2246152934733817E-7</v>
      </c>
      <c r="R308" s="14"/>
    </row>
    <row r="309" spans="1:18" x14ac:dyDescent="0.25">
      <c r="A309" s="16" t="s">
        <v>2692</v>
      </c>
      <c r="B309" s="217" t="s">
        <v>2729</v>
      </c>
      <c r="C309" s="116" t="s">
        <v>2108</v>
      </c>
      <c r="D309" s="116"/>
      <c r="E309" s="116" t="s">
        <v>431</v>
      </c>
      <c r="F309" s="116" t="s">
        <v>2109</v>
      </c>
      <c r="G309" s="116" t="s">
        <v>431</v>
      </c>
      <c r="H309" s="117">
        <v>0</v>
      </c>
      <c r="I309" s="116" t="s">
        <v>204</v>
      </c>
      <c r="J309" s="117" t="s">
        <v>255</v>
      </c>
      <c r="K309" s="116">
        <v>6.0000000000000001E-3</v>
      </c>
      <c r="L309" s="116">
        <v>0</v>
      </c>
      <c r="M309" s="111">
        <v>-54.177366295461418</v>
      </c>
      <c r="N309" s="60">
        <v>23.422929</v>
      </c>
      <c r="O309" s="84">
        <v>-1.269E-2</v>
      </c>
      <c r="P309" s="24">
        <v>-3.3124747847826727E-7</v>
      </c>
      <c r="Q309" s="24">
        <v>-2.3851928231625796E-8</v>
      </c>
      <c r="R309" s="14"/>
    </row>
    <row r="310" spans="1:18" x14ac:dyDescent="0.25">
      <c r="A310" s="16" t="s">
        <v>2711</v>
      </c>
      <c r="B310" s="217" t="s">
        <v>2729</v>
      </c>
      <c r="C310" s="116" t="s">
        <v>2464</v>
      </c>
      <c r="D310" s="116"/>
      <c r="E310" s="116" t="s">
        <v>431</v>
      </c>
      <c r="F310" s="116" t="s">
        <v>2465</v>
      </c>
      <c r="G310" s="116" t="s">
        <v>431</v>
      </c>
      <c r="H310" s="117">
        <v>4.26</v>
      </c>
      <c r="I310" s="116" t="s">
        <v>221</v>
      </c>
      <c r="J310" s="117" t="s">
        <v>255</v>
      </c>
      <c r="K310" s="116">
        <v>3.9399999999999998E-2</v>
      </c>
      <c r="L310" s="116">
        <v>4.0500000000000001E-2</v>
      </c>
      <c r="M310" s="111">
        <v>11140.073414352386</v>
      </c>
      <c r="N310" s="60">
        <v>100.57</v>
      </c>
      <c r="O310" s="84">
        <v>11.203569999999999</v>
      </c>
      <c r="P310" s="24">
        <v>2.9244714834158873E-4</v>
      </c>
      <c r="Q310" s="24">
        <v>2.1058057334751442E-5</v>
      </c>
      <c r="R310" s="14"/>
    </row>
    <row r="311" spans="1:18" x14ac:dyDescent="0.25">
      <c r="A311" s="16" t="s">
        <v>2711</v>
      </c>
      <c r="B311" s="217" t="s">
        <v>2729</v>
      </c>
      <c r="C311" s="116" t="s">
        <v>2451</v>
      </c>
      <c r="D311" s="116"/>
      <c r="E311" s="116" t="s">
        <v>431</v>
      </c>
      <c r="F311" s="116" t="s">
        <v>2452</v>
      </c>
      <c r="G311" s="116" t="s">
        <v>431</v>
      </c>
      <c r="H311" s="117">
        <v>4.2699999999999996</v>
      </c>
      <c r="I311" s="116" t="s">
        <v>221</v>
      </c>
      <c r="J311" s="117" t="s">
        <v>255</v>
      </c>
      <c r="K311" s="116">
        <v>3.7400000000000003E-2</v>
      </c>
      <c r="L311" s="116">
        <v>4.0399999999999998E-2</v>
      </c>
      <c r="M311" s="111">
        <v>4142.3851034959598</v>
      </c>
      <c r="N311" s="60">
        <v>102.52</v>
      </c>
      <c r="O311" s="84">
        <v>4.2467700000000006</v>
      </c>
      <c r="P311" s="24">
        <v>1.1085357400923179E-4</v>
      </c>
      <c r="Q311" s="24">
        <v>7.9821633771648148E-6</v>
      </c>
      <c r="R311" s="14"/>
    </row>
    <row r="312" spans="1:18" x14ac:dyDescent="0.25">
      <c r="A312" s="16" t="s">
        <v>2711</v>
      </c>
      <c r="B312" s="217" t="s">
        <v>2729</v>
      </c>
      <c r="C312" s="116" t="s">
        <v>2466</v>
      </c>
      <c r="D312" s="116"/>
      <c r="E312" s="116" t="s">
        <v>431</v>
      </c>
      <c r="F312" s="116" t="s">
        <v>970</v>
      </c>
      <c r="G312" s="116" t="s">
        <v>431</v>
      </c>
      <c r="H312" s="117">
        <v>4.29</v>
      </c>
      <c r="I312" s="116" t="s">
        <v>221</v>
      </c>
      <c r="J312" s="117" t="s">
        <v>255</v>
      </c>
      <c r="K312" s="116">
        <v>4.0300000000000002E-2</v>
      </c>
      <c r="L312" s="116">
        <v>4.0599999999999997E-2</v>
      </c>
      <c r="M312" s="111">
        <v>1537.2636057725801</v>
      </c>
      <c r="N312" s="60">
        <v>99.76</v>
      </c>
      <c r="O312" s="84">
        <v>1.5335699999999999</v>
      </c>
      <c r="P312" s="24">
        <v>4.0030827074067485E-5</v>
      </c>
      <c r="Q312" s="24">
        <v>2.8824745136465226E-6</v>
      </c>
      <c r="R312" s="14"/>
    </row>
    <row r="313" spans="1:18" x14ac:dyDescent="0.25">
      <c r="A313" s="16" t="s">
        <v>2719</v>
      </c>
      <c r="B313" s="217" t="s">
        <v>2729</v>
      </c>
      <c r="C313" s="116" t="s">
        <v>2411</v>
      </c>
      <c r="D313" s="116"/>
      <c r="E313" s="116" t="s">
        <v>431</v>
      </c>
      <c r="F313" s="116" t="s">
        <v>2412</v>
      </c>
      <c r="G313" s="116" t="s">
        <v>431</v>
      </c>
      <c r="H313" s="117">
        <v>1.02</v>
      </c>
      <c r="I313" s="116" t="s">
        <v>202</v>
      </c>
      <c r="J313" s="117" t="s">
        <v>255</v>
      </c>
      <c r="K313" s="116">
        <v>3.5000000000000003E-2</v>
      </c>
      <c r="L313" s="116">
        <v>4.0199999999999993E-2</v>
      </c>
      <c r="M313" s="111">
        <v>2346.4555246615218</v>
      </c>
      <c r="N313" s="60">
        <v>109.91</v>
      </c>
      <c r="O313" s="84">
        <v>2.5789899999999997</v>
      </c>
      <c r="P313" s="24">
        <v>6.731945898508011E-5</v>
      </c>
      <c r="Q313" s="24">
        <v>4.8474298179732548E-6</v>
      </c>
      <c r="R313" s="14"/>
    </row>
    <row r="314" spans="1:18" x14ac:dyDescent="0.25">
      <c r="A314" s="16" t="s">
        <v>2719</v>
      </c>
      <c r="B314" s="217" t="s">
        <v>2729</v>
      </c>
      <c r="C314" s="116" t="s">
        <v>2468</v>
      </c>
      <c r="D314" s="116"/>
      <c r="E314" s="116" t="s">
        <v>431</v>
      </c>
      <c r="F314" s="116" t="s">
        <v>982</v>
      </c>
      <c r="G314" s="116" t="s">
        <v>431</v>
      </c>
      <c r="H314" s="117">
        <v>1.05</v>
      </c>
      <c r="I314" s="116" t="s">
        <v>202</v>
      </c>
      <c r="J314" s="117" t="s">
        <v>255</v>
      </c>
      <c r="K314" s="116">
        <v>6.8400000000000002E-2</v>
      </c>
      <c r="L314" s="116">
        <v>0.14449999999999999</v>
      </c>
      <c r="M314" s="111">
        <v>56867.55291915383</v>
      </c>
      <c r="N314" s="60">
        <v>100</v>
      </c>
      <c r="O314" s="84">
        <v>56.867550000000001</v>
      </c>
      <c r="P314" s="24">
        <v>1.4844154881589276E-3</v>
      </c>
      <c r="Q314" s="24">
        <v>1.0688736968545245E-4</v>
      </c>
      <c r="R314" s="14"/>
    </row>
    <row r="315" spans="1:18" x14ac:dyDescent="0.25">
      <c r="A315" s="16" t="s">
        <v>2717</v>
      </c>
      <c r="B315" s="217" t="s">
        <v>2729</v>
      </c>
      <c r="C315" s="116" t="s">
        <v>2480</v>
      </c>
      <c r="D315" s="116"/>
      <c r="E315" s="116" t="s">
        <v>431</v>
      </c>
      <c r="F315" s="116" t="s">
        <v>2479</v>
      </c>
      <c r="G315" s="116" t="s">
        <v>431</v>
      </c>
      <c r="H315" s="117">
        <v>0</v>
      </c>
      <c r="I315" s="116" t="s">
        <v>202</v>
      </c>
      <c r="J315" s="117" t="s">
        <v>255</v>
      </c>
      <c r="K315" s="116">
        <v>0</v>
      </c>
      <c r="L315" s="116">
        <v>0</v>
      </c>
      <c r="M315" s="111">
        <v>-13560.26</v>
      </c>
      <c r="N315" s="60">
        <v>22.475085</v>
      </c>
      <c r="O315" s="84">
        <v>-304.76799</v>
      </c>
      <c r="P315" s="24">
        <v>-7.9553686531434031E-3</v>
      </c>
      <c r="Q315" s="24">
        <v>-5.7283721235436161E-4</v>
      </c>
      <c r="R315" s="14"/>
    </row>
    <row r="316" spans="1:18" x14ac:dyDescent="0.25">
      <c r="A316" s="16" t="s">
        <v>2713</v>
      </c>
      <c r="B316" s="116" t="s">
        <v>2105</v>
      </c>
      <c r="C316" s="116" t="s">
        <v>2254</v>
      </c>
      <c r="D316" s="116"/>
      <c r="E316" s="116" t="s">
        <v>431</v>
      </c>
      <c r="F316" s="116" t="s">
        <v>1376</v>
      </c>
      <c r="G316" s="116" t="s">
        <v>431</v>
      </c>
      <c r="H316" s="117">
        <v>2.25</v>
      </c>
      <c r="I316" s="116" t="s">
        <v>218</v>
      </c>
      <c r="J316" s="117" t="s">
        <v>255</v>
      </c>
      <c r="K316" s="116">
        <v>6.8499999046325685E-2</v>
      </c>
      <c r="L316" s="116">
        <v>6.7299999999999999E-2</v>
      </c>
      <c r="M316" s="111">
        <v>1433.8011738775849</v>
      </c>
      <c r="N316" s="60">
        <v>99.95</v>
      </c>
      <c r="O316" s="84">
        <v>1.4330799999999999</v>
      </c>
      <c r="P316" s="24">
        <v>3.7407733369396003E-5</v>
      </c>
      <c r="Q316" s="24">
        <v>2.6935950599037269E-6</v>
      </c>
      <c r="R316" s="14"/>
    </row>
    <row r="317" spans="1:18" x14ac:dyDescent="0.25">
      <c r="A317" s="16" t="s">
        <v>2717</v>
      </c>
      <c r="B317" s="217" t="s">
        <v>2729</v>
      </c>
      <c r="C317" s="116" t="s">
        <v>2483</v>
      </c>
      <c r="D317" s="116"/>
      <c r="E317" s="116" t="s">
        <v>431</v>
      </c>
      <c r="F317" s="116" t="s">
        <v>2484</v>
      </c>
      <c r="G317" s="116" t="s">
        <v>431</v>
      </c>
      <c r="H317" s="117">
        <v>1.81</v>
      </c>
      <c r="I317" s="116" t="s">
        <v>202</v>
      </c>
      <c r="J317" s="117" t="s">
        <v>255</v>
      </c>
      <c r="K317" s="116">
        <v>0</v>
      </c>
      <c r="L317" s="116">
        <v>0</v>
      </c>
      <c r="M317" s="111">
        <v>-11052.08</v>
      </c>
      <c r="N317" s="60">
        <v>16.088113</v>
      </c>
      <c r="O317" s="84">
        <v>-177.80710999999999</v>
      </c>
      <c r="P317" s="24">
        <v>-4.6413047157610639E-3</v>
      </c>
      <c r="Q317" s="24">
        <v>-3.3420350092929814E-4</v>
      </c>
      <c r="R317" s="14"/>
    </row>
    <row r="318" spans="1:18" x14ac:dyDescent="0.25">
      <c r="A318" s="16" t="s">
        <v>2720</v>
      </c>
      <c r="B318" s="116" t="s">
        <v>2105</v>
      </c>
      <c r="C318" s="116" t="s">
        <v>2339</v>
      </c>
      <c r="D318" s="116"/>
      <c r="E318" s="116" t="s">
        <v>2303</v>
      </c>
      <c r="F318" s="116" t="s">
        <v>2304</v>
      </c>
      <c r="G318" s="116" t="s">
        <v>427</v>
      </c>
      <c r="H318" s="117">
        <v>5.67</v>
      </c>
      <c r="I318" s="116" t="s">
        <v>211</v>
      </c>
      <c r="J318" s="117" t="s">
        <v>255</v>
      </c>
      <c r="K318" s="116">
        <v>4.4999999999999998E-2</v>
      </c>
      <c r="L318" s="116">
        <v>8.7300000000000003E-2</v>
      </c>
      <c r="M318" s="111">
        <v>560333.96</v>
      </c>
      <c r="N318" s="60">
        <v>89.61</v>
      </c>
      <c r="O318" s="84">
        <v>502.11526000000003</v>
      </c>
      <c r="P318" s="24">
        <v>1.3106730794362458E-2</v>
      </c>
      <c r="Q318" s="24">
        <v>9.437680965740053E-4</v>
      </c>
      <c r="R318" s="14"/>
    </row>
    <row r="319" spans="1:18" x14ac:dyDescent="0.25">
      <c r="A319" s="16" t="s">
        <v>2721</v>
      </c>
      <c r="B319" s="116" t="s">
        <v>2105</v>
      </c>
      <c r="C319" s="116" t="s">
        <v>2398</v>
      </c>
      <c r="D319" s="116"/>
      <c r="E319" s="116" t="s">
        <v>2303</v>
      </c>
      <c r="F319" s="116" t="s">
        <v>2399</v>
      </c>
      <c r="G319" s="116" t="s">
        <v>427</v>
      </c>
      <c r="H319" s="117">
        <v>5.67</v>
      </c>
      <c r="I319" s="116" t="s">
        <v>211</v>
      </c>
      <c r="J319" s="117" t="s">
        <v>255</v>
      </c>
      <c r="K319" s="116">
        <v>4.4999999999999998E-2</v>
      </c>
      <c r="L319" s="116">
        <v>8.7300000000000003E-2</v>
      </c>
      <c r="M319" s="111">
        <v>145355.39000000001</v>
      </c>
      <c r="N319" s="60">
        <v>88.1</v>
      </c>
      <c r="O319" s="84">
        <v>128.05808999999999</v>
      </c>
      <c r="P319" s="24">
        <v>3.342704445330419E-3</v>
      </c>
      <c r="Q319" s="24">
        <v>2.4069601041442688E-4</v>
      </c>
      <c r="R319" s="14"/>
    </row>
    <row r="320" spans="1:18" x14ac:dyDescent="0.25">
      <c r="A320" s="16" t="s">
        <v>2720</v>
      </c>
      <c r="B320" s="116" t="s">
        <v>2105</v>
      </c>
      <c r="C320" s="116" t="s">
        <v>2386</v>
      </c>
      <c r="D320" s="116"/>
      <c r="E320" s="116" t="s">
        <v>2303</v>
      </c>
      <c r="F320" s="116" t="s">
        <v>2387</v>
      </c>
      <c r="G320" s="116" t="s">
        <v>427</v>
      </c>
      <c r="H320" s="117">
        <v>5.67</v>
      </c>
      <c r="I320" s="116" t="s">
        <v>211</v>
      </c>
      <c r="J320" s="117" t="s">
        <v>255</v>
      </c>
      <c r="K320" s="116">
        <v>4.4999999999999998E-2</v>
      </c>
      <c r="L320" s="116">
        <v>8.7300000000000003E-2</v>
      </c>
      <c r="M320" s="111">
        <v>1023936.32</v>
      </c>
      <c r="N320" s="60">
        <v>89.52</v>
      </c>
      <c r="O320" s="84">
        <v>916.62779</v>
      </c>
      <c r="P320" s="24">
        <v>2.3926764707691627E-2</v>
      </c>
      <c r="Q320" s="24">
        <v>1.7228794532855604E-3</v>
      </c>
      <c r="R320" s="14"/>
    </row>
    <row r="321" spans="1:18" x14ac:dyDescent="0.25">
      <c r="A321" s="16" t="s">
        <v>2720</v>
      </c>
      <c r="B321" s="116" t="s">
        <v>2105</v>
      </c>
      <c r="C321" s="116" t="s">
        <v>2396</v>
      </c>
      <c r="D321" s="116"/>
      <c r="E321" s="116" t="s">
        <v>2303</v>
      </c>
      <c r="F321" s="116" t="s">
        <v>2397</v>
      </c>
      <c r="G321" s="116" t="s">
        <v>427</v>
      </c>
      <c r="H321" s="117">
        <v>5.67</v>
      </c>
      <c r="I321" s="116" t="s">
        <v>211</v>
      </c>
      <c r="J321" s="117" t="s">
        <v>255</v>
      </c>
      <c r="K321" s="116">
        <v>4.4999999999999998E-2</v>
      </c>
      <c r="L321" s="116">
        <v>8.7300000000000003E-2</v>
      </c>
      <c r="M321" s="111">
        <v>56178.98</v>
      </c>
      <c r="N321" s="60">
        <v>89.42</v>
      </c>
      <c r="O321" s="84">
        <v>50.235239999999997</v>
      </c>
      <c r="P321" s="24">
        <v>1.3112920867415754E-3</v>
      </c>
      <c r="Q321" s="24">
        <v>9.442138212596513E-5</v>
      </c>
      <c r="R321" s="14"/>
    </row>
    <row r="322" spans="1:18" x14ac:dyDescent="0.25">
      <c r="A322" s="16" t="s">
        <v>2720</v>
      </c>
      <c r="B322" s="116" t="s">
        <v>2105</v>
      </c>
      <c r="C322" s="116" t="s">
        <v>2333</v>
      </c>
      <c r="D322" s="116"/>
      <c r="E322" s="116" t="s">
        <v>2303</v>
      </c>
      <c r="F322" s="116" t="s">
        <v>2304</v>
      </c>
      <c r="G322" s="116" t="s">
        <v>427</v>
      </c>
      <c r="H322" s="117">
        <v>5.67</v>
      </c>
      <c r="I322" s="116" t="s">
        <v>211</v>
      </c>
      <c r="J322" s="117" t="s">
        <v>255</v>
      </c>
      <c r="K322" s="116">
        <v>4.4999999999999998E-2</v>
      </c>
      <c r="L322" s="116">
        <v>8.7300000000000003E-2</v>
      </c>
      <c r="M322" s="111">
        <v>544893.03</v>
      </c>
      <c r="N322" s="60">
        <v>88.89</v>
      </c>
      <c r="O322" s="84">
        <v>484.35540999999995</v>
      </c>
      <c r="P322" s="24">
        <v>1.2643144858140845E-2</v>
      </c>
      <c r="Q322" s="24">
        <v>9.1038695649485316E-4</v>
      </c>
      <c r="R322" s="14"/>
    </row>
    <row r="323" spans="1:18" x14ac:dyDescent="0.25">
      <c r="A323" s="16" t="s">
        <v>2720</v>
      </c>
      <c r="B323" s="116" t="s">
        <v>2105</v>
      </c>
      <c r="C323" s="116" t="s">
        <v>2302</v>
      </c>
      <c r="D323" s="116"/>
      <c r="E323" s="116" t="s">
        <v>2303</v>
      </c>
      <c r="F323" s="116" t="s">
        <v>2304</v>
      </c>
      <c r="G323" s="116" t="s">
        <v>427</v>
      </c>
      <c r="H323" s="117">
        <v>5.67</v>
      </c>
      <c r="I323" s="116" t="s">
        <v>211</v>
      </c>
      <c r="J323" s="117" t="s">
        <v>255</v>
      </c>
      <c r="K323" s="116">
        <v>4.4999999999999998E-2</v>
      </c>
      <c r="L323" s="116">
        <v>8.7300000000000003E-2</v>
      </c>
      <c r="M323" s="111">
        <v>756141.77</v>
      </c>
      <c r="N323" s="60">
        <v>88.35</v>
      </c>
      <c r="O323" s="84">
        <v>668.05124999999998</v>
      </c>
      <c r="P323" s="24">
        <v>1.7438163282644175E-2</v>
      </c>
      <c r="Q323" s="24">
        <v>1.2556588234868323E-3</v>
      </c>
      <c r="R323" s="14"/>
    </row>
    <row r="324" spans="1:18" x14ac:dyDescent="0.25">
      <c r="A324" s="16" t="s">
        <v>2720</v>
      </c>
      <c r="B324" s="116" t="s">
        <v>2105</v>
      </c>
      <c r="C324" s="116" t="s">
        <v>2334</v>
      </c>
      <c r="D324" s="116"/>
      <c r="E324" s="116" t="s">
        <v>2303</v>
      </c>
      <c r="F324" s="116" t="s">
        <v>2304</v>
      </c>
      <c r="G324" s="116" t="s">
        <v>427</v>
      </c>
      <c r="H324" s="117">
        <v>5.67</v>
      </c>
      <c r="I324" s="116" t="s">
        <v>211</v>
      </c>
      <c r="J324" s="117" t="s">
        <v>255</v>
      </c>
      <c r="K324" s="116">
        <v>4.4999999999999998E-2</v>
      </c>
      <c r="L324" s="116">
        <v>8.7300000000000003E-2</v>
      </c>
      <c r="M324" s="111">
        <v>512683.7</v>
      </c>
      <c r="N324" s="60">
        <v>88.89</v>
      </c>
      <c r="O324" s="84">
        <v>455.72453999999999</v>
      </c>
      <c r="P324" s="24">
        <v>1.1895792336932094E-2</v>
      </c>
      <c r="Q324" s="24">
        <v>8.5657281493070755E-4</v>
      </c>
      <c r="R324" s="14"/>
    </row>
    <row r="325" spans="1:18" x14ac:dyDescent="0.25">
      <c r="A325" s="16" t="s">
        <v>2720</v>
      </c>
      <c r="B325" s="116" t="s">
        <v>2105</v>
      </c>
      <c r="C325" s="116" t="s">
        <v>2340</v>
      </c>
      <c r="D325" s="116"/>
      <c r="E325" s="116" t="s">
        <v>2303</v>
      </c>
      <c r="F325" s="116" t="s">
        <v>2304</v>
      </c>
      <c r="G325" s="116" t="s">
        <v>427</v>
      </c>
      <c r="H325" s="117">
        <v>5.69</v>
      </c>
      <c r="I325" s="116" t="s">
        <v>211</v>
      </c>
      <c r="J325" s="117" t="s">
        <v>255</v>
      </c>
      <c r="K325" s="116">
        <v>4.4999999999999998E-2</v>
      </c>
      <c r="L325" s="116">
        <v>8.6099999999999996E-2</v>
      </c>
      <c r="M325" s="111">
        <v>394131.44</v>
      </c>
      <c r="N325" s="60">
        <v>89.99</v>
      </c>
      <c r="O325" s="84">
        <v>354.67887999999999</v>
      </c>
      <c r="P325" s="24">
        <v>9.25819422139448E-3</v>
      </c>
      <c r="Q325" s="24">
        <v>6.6664895122406766E-4</v>
      </c>
      <c r="R325" s="14"/>
    </row>
    <row r="326" spans="1:18" x14ac:dyDescent="0.25">
      <c r="A326" s="16" t="s">
        <v>2720</v>
      </c>
      <c r="B326" s="116" t="s">
        <v>2105</v>
      </c>
      <c r="C326" s="116" t="s">
        <v>2388</v>
      </c>
      <c r="D326" s="116"/>
      <c r="E326" s="116" t="s">
        <v>2303</v>
      </c>
      <c r="F326" s="116" t="s">
        <v>553</v>
      </c>
      <c r="G326" s="116" t="s">
        <v>427</v>
      </c>
      <c r="H326" s="117">
        <v>5.67</v>
      </c>
      <c r="I326" s="116" t="s">
        <v>211</v>
      </c>
      <c r="J326" s="117" t="s">
        <v>255</v>
      </c>
      <c r="K326" s="116">
        <v>4.4999999999999998E-2</v>
      </c>
      <c r="L326" s="116">
        <v>8.7300000000000003E-2</v>
      </c>
      <c r="M326" s="111">
        <v>192575.95</v>
      </c>
      <c r="N326" s="60">
        <v>89.07</v>
      </c>
      <c r="O326" s="84">
        <v>171.52739000000003</v>
      </c>
      <c r="P326" s="24">
        <v>4.477384982463228E-3</v>
      </c>
      <c r="Q326" s="24">
        <v>3.2240023609441206E-4</v>
      </c>
      <c r="R326" s="14"/>
    </row>
    <row r="327" spans="1:18" x14ac:dyDescent="0.25">
      <c r="A327" s="16" t="s">
        <v>2720</v>
      </c>
      <c r="B327" s="116" t="s">
        <v>2105</v>
      </c>
      <c r="C327" s="116" t="s">
        <v>2343</v>
      </c>
      <c r="D327" s="116"/>
      <c r="E327" s="116" t="s">
        <v>2303</v>
      </c>
      <c r="F327" s="116" t="s">
        <v>2304</v>
      </c>
      <c r="G327" s="116" t="s">
        <v>427</v>
      </c>
      <c r="H327" s="117">
        <v>5.67</v>
      </c>
      <c r="I327" s="116" t="s">
        <v>211</v>
      </c>
      <c r="J327" s="117" t="s">
        <v>255</v>
      </c>
      <c r="K327" s="116">
        <v>4.4999999999999998E-2</v>
      </c>
      <c r="L327" s="116">
        <v>8.7300000000000003E-2</v>
      </c>
      <c r="M327" s="111">
        <v>515395.27</v>
      </c>
      <c r="N327" s="60">
        <v>88.8</v>
      </c>
      <c r="O327" s="84">
        <v>457.67099000000002</v>
      </c>
      <c r="P327" s="24">
        <v>1.1946600583936351E-2</v>
      </c>
      <c r="Q327" s="24">
        <v>8.6023133232286273E-4</v>
      </c>
      <c r="R327" s="14"/>
    </row>
    <row r="328" spans="1:18" x14ac:dyDescent="0.25">
      <c r="A328" s="16" t="s">
        <v>2720</v>
      </c>
      <c r="B328" s="116" t="s">
        <v>2105</v>
      </c>
      <c r="C328" s="116" t="s">
        <v>2400</v>
      </c>
      <c r="D328" s="116"/>
      <c r="E328" s="116" t="s">
        <v>2303</v>
      </c>
      <c r="F328" s="116" t="s">
        <v>2401</v>
      </c>
      <c r="G328" s="116" t="s">
        <v>427</v>
      </c>
      <c r="H328" s="117">
        <v>5.67</v>
      </c>
      <c r="I328" s="116" t="s">
        <v>211</v>
      </c>
      <c r="J328" s="117" t="s">
        <v>255</v>
      </c>
      <c r="K328" s="116">
        <v>4.4999999999999998E-2</v>
      </c>
      <c r="L328" s="116">
        <v>8.7300000000000003E-2</v>
      </c>
      <c r="M328" s="111">
        <v>140939.63</v>
      </c>
      <c r="N328" s="60">
        <v>89.42</v>
      </c>
      <c r="O328" s="84">
        <v>126.02821</v>
      </c>
      <c r="P328" s="24">
        <v>3.2897184223506346E-3</v>
      </c>
      <c r="Q328" s="24">
        <v>2.3688067928134474E-4</v>
      </c>
      <c r="R328" s="14"/>
    </row>
    <row r="329" spans="1:18" x14ac:dyDescent="0.25">
      <c r="A329" s="16" t="s">
        <v>2720</v>
      </c>
      <c r="B329" s="116" t="s">
        <v>2105</v>
      </c>
      <c r="C329" s="116" t="s">
        <v>2309</v>
      </c>
      <c r="D329" s="116"/>
      <c r="E329" s="116" t="s">
        <v>2303</v>
      </c>
      <c r="F329" s="116" t="s">
        <v>2304</v>
      </c>
      <c r="G329" s="116" t="s">
        <v>427</v>
      </c>
      <c r="H329" s="117">
        <v>5.67</v>
      </c>
      <c r="I329" s="116" t="s">
        <v>211</v>
      </c>
      <c r="J329" s="117" t="s">
        <v>255</v>
      </c>
      <c r="K329" s="116">
        <v>4.4999999999999998E-2</v>
      </c>
      <c r="L329" s="116">
        <v>8.7300000000000003E-2</v>
      </c>
      <c r="M329" s="111">
        <v>148347.79</v>
      </c>
      <c r="N329" s="60">
        <v>88.01</v>
      </c>
      <c r="O329" s="84">
        <v>130.56088</v>
      </c>
      <c r="P329" s="24">
        <v>3.4080348532626982E-3</v>
      </c>
      <c r="Q329" s="24">
        <v>2.45400215887936E-4</v>
      </c>
      <c r="R329" s="14"/>
    </row>
    <row r="330" spans="1:18" x14ac:dyDescent="0.25">
      <c r="A330" s="16" t="s">
        <v>2720</v>
      </c>
      <c r="B330" s="116" t="s">
        <v>2105</v>
      </c>
      <c r="C330" s="116" t="s">
        <v>2335</v>
      </c>
      <c r="D330" s="116"/>
      <c r="E330" s="116" t="s">
        <v>2303</v>
      </c>
      <c r="F330" s="116" t="s">
        <v>2304</v>
      </c>
      <c r="G330" s="116" t="s">
        <v>427</v>
      </c>
      <c r="H330" s="117">
        <v>5.67</v>
      </c>
      <c r="I330" s="116" t="s">
        <v>211</v>
      </c>
      <c r="J330" s="117" t="s">
        <v>255</v>
      </c>
      <c r="K330" s="116">
        <v>4.4999999999999998E-2</v>
      </c>
      <c r="L330" s="116">
        <v>8.7300000000000003E-2</v>
      </c>
      <c r="M330" s="111">
        <v>272442.53999999998</v>
      </c>
      <c r="N330" s="60">
        <v>88.26</v>
      </c>
      <c r="O330" s="84">
        <v>240.45777999999999</v>
      </c>
      <c r="P330" s="24">
        <v>6.2766771714327764E-3</v>
      </c>
      <c r="Q330" s="24">
        <v>4.5196073375067491E-4</v>
      </c>
      <c r="R330" s="14"/>
    </row>
    <row r="331" spans="1:18" x14ac:dyDescent="0.25">
      <c r="A331" s="16" t="s">
        <v>2720</v>
      </c>
      <c r="B331" s="116" t="s">
        <v>2105</v>
      </c>
      <c r="C331" s="116" t="s">
        <v>2344</v>
      </c>
      <c r="D331" s="116"/>
      <c r="E331" s="116" t="s">
        <v>2303</v>
      </c>
      <c r="F331" s="116" t="s">
        <v>2304</v>
      </c>
      <c r="G331" s="116" t="s">
        <v>427</v>
      </c>
      <c r="H331" s="117">
        <v>5.67</v>
      </c>
      <c r="I331" s="116" t="s">
        <v>211</v>
      </c>
      <c r="J331" s="117" t="s">
        <v>255</v>
      </c>
      <c r="K331" s="116">
        <v>4.4999999999999998E-2</v>
      </c>
      <c r="L331" s="116">
        <v>8.7300000000000003E-2</v>
      </c>
      <c r="M331" s="111">
        <v>211181.76</v>
      </c>
      <c r="N331" s="60">
        <v>88.8</v>
      </c>
      <c r="O331" s="84">
        <v>187.52939999999998</v>
      </c>
      <c r="P331" s="24">
        <v>4.8950859645817473E-3</v>
      </c>
      <c r="Q331" s="24">
        <v>3.5247736722772628E-4</v>
      </c>
      <c r="R331" s="14"/>
    </row>
    <row r="332" spans="1:18" x14ac:dyDescent="0.25">
      <c r="A332" s="16" t="s">
        <v>2720</v>
      </c>
      <c r="B332" s="116" t="s">
        <v>2105</v>
      </c>
      <c r="C332" s="116" t="s">
        <v>2392</v>
      </c>
      <c r="D332" s="116"/>
      <c r="E332" s="116" t="s">
        <v>2303</v>
      </c>
      <c r="F332" s="116" t="s">
        <v>2393</v>
      </c>
      <c r="G332" s="116" t="s">
        <v>427</v>
      </c>
      <c r="H332" s="117">
        <v>5.67</v>
      </c>
      <c r="I332" s="116" t="s">
        <v>211</v>
      </c>
      <c r="J332" s="117" t="s">
        <v>255</v>
      </c>
      <c r="K332" s="116">
        <v>4.4999999999999998E-2</v>
      </c>
      <c r="L332" s="116">
        <v>8.7300000000000003E-2</v>
      </c>
      <c r="M332" s="111">
        <v>242669.93</v>
      </c>
      <c r="N332" s="60">
        <v>89.42</v>
      </c>
      <c r="O332" s="84">
        <v>216.99545000000001</v>
      </c>
      <c r="P332" s="24">
        <v>5.6642392162141002E-3</v>
      </c>
      <c r="Q332" s="24">
        <v>4.0786130023556691E-4</v>
      </c>
      <c r="R332" s="14"/>
    </row>
    <row r="333" spans="1:18" x14ac:dyDescent="0.25">
      <c r="A333" s="16" t="s">
        <v>2720</v>
      </c>
      <c r="B333" s="116" t="s">
        <v>2105</v>
      </c>
      <c r="C333" s="116" t="s">
        <v>2338</v>
      </c>
      <c r="D333" s="116"/>
      <c r="E333" s="116" t="s">
        <v>2303</v>
      </c>
      <c r="F333" s="116" t="s">
        <v>2304</v>
      </c>
      <c r="G333" s="116" t="s">
        <v>427</v>
      </c>
      <c r="H333" s="117">
        <v>5.67</v>
      </c>
      <c r="I333" s="116" t="s">
        <v>211</v>
      </c>
      <c r="J333" s="117" t="s">
        <v>255</v>
      </c>
      <c r="K333" s="116">
        <v>4.4999999999999998E-2</v>
      </c>
      <c r="L333" s="116">
        <v>8.7300000000000003E-2</v>
      </c>
      <c r="M333" s="111">
        <v>471786.83</v>
      </c>
      <c r="N333" s="60">
        <v>88.71</v>
      </c>
      <c r="O333" s="84">
        <v>418.52209000000005</v>
      </c>
      <c r="P333" s="24">
        <v>1.092469558707285E-2</v>
      </c>
      <c r="Q333" s="24">
        <v>7.8664766383215398E-4</v>
      </c>
      <c r="R333" s="14"/>
    </row>
    <row r="334" spans="1:18" x14ac:dyDescent="0.25">
      <c r="A334" s="16" t="s">
        <v>2720</v>
      </c>
      <c r="B334" s="116" t="s">
        <v>2105</v>
      </c>
      <c r="C334" s="116" t="s">
        <v>2385</v>
      </c>
      <c r="D334" s="116"/>
      <c r="E334" s="116" t="s">
        <v>2303</v>
      </c>
      <c r="F334" s="116" t="s">
        <v>2304</v>
      </c>
      <c r="G334" s="116" t="s">
        <v>427</v>
      </c>
      <c r="H334" s="117">
        <v>5.67</v>
      </c>
      <c r="I334" s="116" t="s">
        <v>211</v>
      </c>
      <c r="J334" s="117" t="s">
        <v>255</v>
      </c>
      <c r="K334" s="116">
        <v>4.4999999999999998E-2</v>
      </c>
      <c r="L334" s="116">
        <v>8.7300000000000003E-2</v>
      </c>
      <c r="M334" s="111">
        <v>159771.6</v>
      </c>
      <c r="N334" s="60">
        <v>88.98</v>
      </c>
      <c r="O334" s="84">
        <v>142.16476</v>
      </c>
      <c r="P334" s="24">
        <v>3.7109313064198615E-3</v>
      </c>
      <c r="Q334" s="24">
        <v>2.6721068972311313E-4</v>
      </c>
      <c r="R334" s="14"/>
    </row>
    <row r="335" spans="1:18" x14ac:dyDescent="0.25">
      <c r="A335" s="16" t="s">
        <v>2720</v>
      </c>
      <c r="B335" s="116" t="s">
        <v>2105</v>
      </c>
      <c r="C335" s="116" t="s">
        <v>2394</v>
      </c>
      <c r="D335" s="116"/>
      <c r="E335" s="116" t="s">
        <v>2303</v>
      </c>
      <c r="F335" s="116" t="s">
        <v>2395</v>
      </c>
      <c r="G335" s="116" t="s">
        <v>427</v>
      </c>
      <c r="H335" s="117">
        <v>5.67</v>
      </c>
      <c r="I335" s="116" t="s">
        <v>211</v>
      </c>
      <c r="J335" s="117" t="s">
        <v>255</v>
      </c>
      <c r="K335" s="116">
        <v>4.4999999999999998E-2</v>
      </c>
      <c r="L335" s="116">
        <v>8.7300000000000003E-2</v>
      </c>
      <c r="M335" s="111">
        <v>75187.539999999994</v>
      </c>
      <c r="N335" s="60">
        <v>88.81</v>
      </c>
      <c r="O335" s="84">
        <v>66.774050000000003</v>
      </c>
      <c r="P335" s="24">
        <v>1.7430051765391446E-3</v>
      </c>
      <c r="Q335" s="24">
        <v>1.2550747425807665E-4</v>
      </c>
      <c r="R335" s="14"/>
    </row>
    <row r="336" spans="1:18" s="118" customFormat="1" x14ac:dyDescent="0.25">
      <c r="A336" s="92" t="s">
        <v>2517</v>
      </c>
      <c r="B336" s="130" t="s">
        <v>249</v>
      </c>
      <c r="C336" s="130" t="s">
        <v>249</v>
      </c>
      <c r="D336" s="130"/>
      <c r="E336" s="130" t="s">
        <v>249</v>
      </c>
      <c r="F336" s="130" t="s">
        <v>249</v>
      </c>
      <c r="G336" s="130" t="s">
        <v>249</v>
      </c>
      <c r="H336" s="131" t="s">
        <v>249</v>
      </c>
      <c r="I336" s="130" t="s">
        <v>249</v>
      </c>
      <c r="J336" s="131" t="s">
        <v>249</v>
      </c>
      <c r="K336" s="130" t="s">
        <v>249</v>
      </c>
      <c r="L336" s="130" t="s">
        <v>249</v>
      </c>
      <c r="M336" s="160" t="s">
        <v>249</v>
      </c>
      <c r="N336" s="135" t="s">
        <v>249</v>
      </c>
      <c r="O336" s="123">
        <v>0</v>
      </c>
      <c r="P336" s="136">
        <v>0</v>
      </c>
      <c r="Q336" s="136">
        <v>0</v>
      </c>
      <c r="R336" s="14"/>
    </row>
    <row r="337" spans="1:18" s="118" customFormat="1" x14ac:dyDescent="0.25">
      <c r="A337" s="92" t="s">
        <v>2518</v>
      </c>
      <c r="B337" s="130" t="s">
        <v>249</v>
      </c>
      <c r="C337" s="130" t="s">
        <v>249</v>
      </c>
      <c r="D337" s="130"/>
      <c r="E337" s="130" t="s">
        <v>249</v>
      </c>
      <c r="F337" s="130" t="s">
        <v>249</v>
      </c>
      <c r="G337" s="130" t="s">
        <v>249</v>
      </c>
      <c r="H337" s="131" t="s">
        <v>249</v>
      </c>
      <c r="I337" s="130" t="s">
        <v>249</v>
      </c>
      <c r="J337" s="131" t="s">
        <v>249</v>
      </c>
      <c r="K337" s="130" t="s">
        <v>249</v>
      </c>
      <c r="L337" s="130" t="s">
        <v>249</v>
      </c>
      <c r="M337" s="160">
        <v>0</v>
      </c>
      <c r="N337" s="135" t="s">
        <v>249</v>
      </c>
      <c r="O337" s="123">
        <v>0</v>
      </c>
      <c r="P337" s="136">
        <v>0</v>
      </c>
      <c r="Q337" s="136">
        <v>0</v>
      </c>
      <c r="R337" s="14"/>
    </row>
    <row r="338" spans="1:18" s="118" customFormat="1" x14ac:dyDescent="0.25">
      <c r="A338" s="92" t="s">
        <v>2519</v>
      </c>
      <c r="B338" s="130" t="s">
        <v>249</v>
      </c>
      <c r="C338" s="130" t="s">
        <v>249</v>
      </c>
      <c r="D338" s="130"/>
      <c r="E338" s="130" t="s">
        <v>249</v>
      </c>
      <c r="F338" s="130" t="s">
        <v>249</v>
      </c>
      <c r="G338" s="130" t="s">
        <v>249</v>
      </c>
      <c r="H338" s="131" t="s">
        <v>249</v>
      </c>
      <c r="I338" s="130" t="s">
        <v>249</v>
      </c>
      <c r="J338" s="131" t="s">
        <v>249</v>
      </c>
      <c r="K338" s="130" t="s">
        <v>249</v>
      </c>
      <c r="L338" s="130" t="s">
        <v>249</v>
      </c>
      <c r="M338" s="160" t="s">
        <v>249</v>
      </c>
      <c r="N338" s="135" t="s">
        <v>249</v>
      </c>
      <c r="O338" s="123">
        <v>0</v>
      </c>
      <c r="P338" s="136">
        <v>0</v>
      </c>
      <c r="Q338" s="136">
        <v>0</v>
      </c>
      <c r="R338" s="14"/>
    </row>
    <row r="339" spans="1:18" s="118" customFormat="1" x14ac:dyDescent="0.25">
      <c r="A339" s="92" t="s">
        <v>2520</v>
      </c>
      <c r="B339" s="130" t="s">
        <v>249</v>
      </c>
      <c r="C339" s="130" t="s">
        <v>249</v>
      </c>
      <c r="D339" s="130"/>
      <c r="E339" s="130" t="s">
        <v>249</v>
      </c>
      <c r="F339" s="130" t="s">
        <v>249</v>
      </c>
      <c r="G339" s="130" t="s">
        <v>249</v>
      </c>
      <c r="H339" s="131" t="s">
        <v>249</v>
      </c>
      <c r="I339" s="130" t="s">
        <v>249</v>
      </c>
      <c r="J339" s="131" t="s">
        <v>249</v>
      </c>
      <c r="K339" s="130" t="s">
        <v>249</v>
      </c>
      <c r="L339" s="130" t="s">
        <v>249</v>
      </c>
      <c r="M339" s="160" t="s">
        <v>249</v>
      </c>
      <c r="N339" s="135" t="s">
        <v>249</v>
      </c>
      <c r="O339" s="123">
        <v>0</v>
      </c>
      <c r="P339" s="136">
        <v>0</v>
      </c>
      <c r="Q339" s="136">
        <v>0</v>
      </c>
      <c r="R339" s="14"/>
    </row>
    <row r="340" spans="1:18" s="118" customFormat="1" x14ac:dyDescent="0.25">
      <c r="A340" s="92" t="s">
        <v>2521</v>
      </c>
      <c r="B340" s="130" t="s">
        <v>249</v>
      </c>
      <c r="C340" s="130" t="s">
        <v>249</v>
      </c>
      <c r="D340" s="130"/>
      <c r="E340" s="130" t="s">
        <v>249</v>
      </c>
      <c r="F340" s="130" t="s">
        <v>249</v>
      </c>
      <c r="G340" s="130" t="s">
        <v>249</v>
      </c>
      <c r="H340" s="131" t="s">
        <v>249</v>
      </c>
      <c r="I340" s="130" t="s">
        <v>249</v>
      </c>
      <c r="J340" s="131" t="s">
        <v>249</v>
      </c>
      <c r="K340" s="130" t="s">
        <v>249</v>
      </c>
      <c r="L340" s="130" t="s">
        <v>249</v>
      </c>
      <c r="M340" s="160" t="s">
        <v>249</v>
      </c>
      <c r="N340" s="135" t="s">
        <v>249</v>
      </c>
      <c r="O340" s="123">
        <v>0</v>
      </c>
      <c r="P340" s="136">
        <v>0</v>
      </c>
      <c r="Q340" s="136">
        <v>0</v>
      </c>
      <c r="R340" s="14"/>
    </row>
    <row r="341" spans="1:18" s="118" customFormat="1" x14ac:dyDescent="0.25">
      <c r="A341" s="92" t="s">
        <v>2522</v>
      </c>
      <c r="B341" s="130" t="s">
        <v>249</v>
      </c>
      <c r="C341" s="130" t="s">
        <v>249</v>
      </c>
      <c r="D341" s="130"/>
      <c r="E341" s="130" t="s">
        <v>249</v>
      </c>
      <c r="F341" s="130" t="s">
        <v>249</v>
      </c>
      <c r="G341" s="130" t="s">
        <v>249</v>
      </c>
      <c r="H341" s="131" t="s">
        <v>249</v>
      </c>
      <c r="I341" s="130" t="s">
        <v>249</v>
      </c>
      <c r="J341" s="131" t="s">
        <v>249</v>
      </c>
      <c r="K341" s="130" t="s">
        <v>249</v>
      </c>
      <c r="L341" s="130" t="s">
        <v>249</v>
      </c>
      <c r="M341" s="160" t="s">
        <v>249</v>
      </c>
      <c r="N341" s="135" t="s">
        <v>249</v>
      </c>
      <c r="O341" s="123">
        <v>0</v>
      </c>
      <c r="P341" s="136">
        <v>0</v>
      </c>
      <c r="Q341" s="136">
        <v>0</v>
      </c>
      <c r="R341" s="14"/>
    </row>
    <row r="342" spans="1:18" s="118" customFormat="1" x14ac:dyDescent="0.25">
      <c r="A342" s="92" t="s">
        <v>2523</v>
      </c>
      <c r="B342" s="130" t="s">
        <v>249</v>
      </c>
      <c r="C342" s="130" t="s">
        <v>249</v>
      </c>
      <c r="D342" s="130"/>
      <c r="E342" s="130" t="s">
        <v>249</v>
      </c>
      <c r="F342" s="130" t="s">
        <v>249</v>
      </c>
      <c r="G342" s="130" t="s">
        <v>249</v>
      </c>
      <c r="H342" s="131" t="s">
        <v>249</v>
      </c>
      <c r="I342" s="130" t="s">
        <v>249</v>
      </c>
      <c r="J342" s="131" t="s">
        <v>249</v>
      </c>
      <c r="K342" s="130" t="s">
        <v>249</v>
      </c>
      <c r="L342" s="130" t="s">
        <v>249</v>
      </c>
      <c r="M342" s="160" t="s">
        <v>249</v>
      </c>
      <c r="N342" s="135" t="s">
        <v>249</v>
      </c>
      <c r="O342" s="123">
        <v>0</v>
      </c>
      <c r="P342" s="136">
        <v>0</v>
      </c>
      <c r="Q342" s="136">
        <v>0</v>
      </c>
      <c r="R342" s="14"/>
    </row>
    <row r="343" spans="1:18" s="118" customFormat="1" x14ac:dyDescent="0.25">
      <c r="A343" s="92" t="s">
        <v>411</v>
      </c>
      <c r="B343" s="130" t="s">
        <v>249</v>
      </c>
      <c r="C343" s="130" t="s">
        <v>249</v>
      </c>
      <c r="D343" s="130"/>
      <c r="E343" s="130" t="s">
        <v>249</v>
      </c>
      <c r="F343" s="130" t="s">
        <v>249</v>
      </c>
      <c r="G343" s="130" t="s">
        <v>249</v>
      </c>
      <c r="H343" s="131" t="s">
        <v>249</v>
      </c>
      <c r="I343" s="130" t="s">
        <v>249</v>
      </c>
      <c r="J343" s="131" t="s">
        <v>249</v>
      </c>
      <c r="K343" s="130" t="s">
        <v>249</v>
      </c>
      <c r="L343" s="130" t="s">
        <v>249</v>
      </c>
      <c r="M343" s="160" t="s">
        <v>249</v>
      </c>
      <c r="N343" s="135" t="s">
        <v>249</v>
      </c>
      <c r="O343" s="123">
        <v>84.108740400000002</v>
      </c>
      <c r="P343" s="136">
        <v>2.195493158036499E-3</v>
      </c>
      <c r="Q343" s="136">
        <v>1.5808949091199726E-4</v>
      </c>
      <c r="R343" s="14"/>
    </row>
    <row r="344" spans="1:18" s="118" customFormat="1" x14ac:dyDescent="0.25">
      <c r="A344" s="92" t="s">
        <v>2053</v>
      </c>
      <c r="B344" s="130" t="s">
        <v>249</v>
      </c>
      <c r="C344" s="130" t="s">
        <v>249</v>
      </c>
      <c r="D344" s="130"/>
      <c r="E344" s="130" t="s">
        <v>249</v>
      </c>
      <c r="F344" s="130" t="s">
        <v>249</v>
      </c>
      <c r="G344" s="130" t="s">
        <v>249</v>
      </c>
      <c r="H344" s="131" t="s">
        <v>249</v>
      </c>
      <c r="I344" s="130" t="s">
        <v>249</v>
      </c>
      <c r="J344" s="131" t="s">
        <v>249</v>
      </c>
      <c r="K344" s="130" t="s">
        <v>249</v>
      </c>
      <c r="L344" s="130" t="s">
        <v>249</v>
      </c>
      <c r="M344" s="160" t="s">
        <v>249</v>
      </c>
      <c r="N344" s="135" t="s">
        <v>249</v>
      </c>
      <c r="O344" s="123">
        <v>0</v>
      </c>
      <c r="P344" s="136">
        <v>0</v>
      </c>
      <c r="Q344" s="136">
        <v>0</v>
      </c>
      <c r="R344" s="14"/>
    </row>
    <row r="345" spans="1:18" s="118" customFormat="1" x14ac:dyDescent="0.25">
      <c r="A345" s="92" t="s">
        <v>2522</v>
      </c>
      <c r="B345" s="130" t="s">
        <v>249</v>
      </c>
      <c r="C345" s="130" t="s">
        <v>249</v>
      </c>
      <c r="D345" s="130"/>
      <c r="E345" s="130" t="s">
        <v>249</v>
      </c>
      <c r="F345" s="130" t="s">
        <v>249</v>
      </c>
      <c r="G345" s="130" t="s">
        <v>249</v>
      </c>
      <c r="H345" s="131" t="s">
        <v>249</v>
      </c>
      <c r="I345" s="130" t="s">
        <v>249</v>
      </c>
      <c r="J345" s="131" t="s">
        <v>249</v>
      </c>
      <c r="K345" s="130" t="s">
        <v>249</v>
      </c>
      <c r="L345" s="130" t="s">
        <v>249</v>
      </c>
      <c r="M345" s="160" t="s">
        <v>249</v>
      </c>
      <c r="N345" s="135" t="s">
        <v>249</v>
      </c>
      <c r="O345" s="123">
        <v>0</v>
      </c>
      <c r="P345" s="136">
        <v>0</v>
      </c>
      <c r="Q345" s="136">
        <v>0</v>
      </c>
      <c r="R345" s="14"/>
    </row>
    <row r="346" spans="1:18" s="118" customFormat="1" x14ac:dyDescent="0.25">
      <c r="A346" s="92" t="s">
        <v>2102</v>
      </c>
      <c r="B346" s="130" t="s">
        <v>249</v>
      </c>
      <c r="C346" s="130" t="s">
        <v>249</v>
      </c>
      <c r="D346" s="130"/>
      <c r="E346" s="130" t="s">
        <v>249</v>
      </c>
      <c r="F346" s="130" t="s">
        <v>249</v>
      </c>
      <c r="G346" s="130" t="s">
        <v>249</v>
      </c>
      <c r="H346" s="131" t="s">
        <v>249</v>
      </c>
      <c r="I346" s="130" t="s">
        <v>249</v>
      </c>
      <c r="J346" s="131" t="s">
        <v>249</v>
      </c>
      <c r="K346" s="130" t="s">
        <v>249</v>
      </c>
      <c r="L346" s="130" t="s">
        <v>249</v>
      </c>
      <c r="M346" s="160" t="s">
        <v>249</v>
      </c>
      <c r="N346" s="135" t="s">
        <v>249</v>
      </c>
      <c r="O346" s="123">
        <v>84.108740099999991</v>
      </c>
      <c r="P346" s="136">
        <v>2.195493150205589E-3</v>
      </c>
      <c r="Q346" s="136">
        <v>1.5808949034812187E-4</v>
      </c>
      <c r="R346" s="14"/>
    </row>
    <row r="347" spans="1:18" x14ac:dyDescent="0.25">
      <c r="A347" s="16" t="s">
        <v>2722</v>
      </c>
      <c r="B347" s="116" t="s">
        <v>2105</v>
      </c>
      <c r="C347" s="116" t="s">
        <v>2530</v>
      </c>
      <c r="D347" s="116"/>
      <c r="E347" s="116" t="s">
        <v>431</v>
      </c>
      <c r="F347" s="116" t="s">
        <v>2531</v>
      </c>
      <c r="G347" s="116" t="s">
        <v>431</v>
      </c>
      <c r="H347" s="117">
        <v>2.14</v>
      </c>
      <c r="I347" s="116" t="s">
        <v>164</v>
      </c>
      <c r="J347" s="117" t="s">
        <v>125</v>
      </c>
      <c r="K347" s="116">
        <v>9.1564300000000001E-2</v>
      </c>
      <c r="L347" s="116">
        <v>9.9000000000000005E-2</v>
      </c>
      <c r="M347" s="111">
        <v>2977.8759317583058</v>
      </c>
      <c r="N347" s="60">
        <v>98.4</v>
      </c>
      <c r="O347" s="84">
        <v>11.205200000000001</v>
      </c>
      <c r="P347" s="24">
        <v>2.9248969628405683E-4</v>
      </c>
      <c r="Q347" s="24">
        <v>2.1061121057605469E-5</v>
      </c>
      <c r="R347" s="14"/>
    </row>
    <row r="348" spans="1:18" x14ac:dyDescent="0.25">
      <c r="A348" s="16" t="s">
        <v>2722</v>
      </c>
      <c r="B348" s="217" t="s">
        <v>2729</v>
      </c>
      <c r="C348" s="116" t="s">
        <v>2532</v>
      </c>
      <c r="D348" s="116"/>
      <c r="E348" s="116" t="s">
        <v>431</v>
      </c>
      <c r="F348" s="116" t="s">
        <v>2533</v>
      </c>
      <c r="G348" s="116" t="s">
        <v>431</v>
      </c>
      <c r="H348" s="117">
        <v>5.32</v>
      </c>
      <c r="I348" s="116" t="s">
        <v>164</v>
      </c>
      <c r="J348" s="117" t="s">
        <v>125</v>
      </c>
      <c r="K348" s="116">
        <v>3.7499999999999999E-2</v>
      </c>
      <c r="L348" s="116">
        <v>0</v>
      </c>
      <c r="M348" s="111">
        <v>-38.052123608872357</v>
      </c>
      <c r="N348" s="60">
        <v>35.676119999999997</v>
      </c>
      <c r="O348" s="84">
        <v>-5.1909999999999998E-2</v>
      </c>
      <c r="P348" s="24">
        <v>-1.3550084009304061E-6</v>
      </c>
      <c r="Q348" s="24">
        <v>-9.7569235185476363E-8</v>
      </c>
      <c r="R348" s="14"/>
    </row>
    <row r="349" spans="1:18" x14ac:dyDescent="0.25">
      <c r="A349" s="16" t="s">
        <v>2723</v>
      </c>
      <c r="B349" s="217" t="s">
        <v>2729</v>
      </c>
      <c r="C349" s="116" t="s">
        <v>2538</v>
      </c>
      <c r="D349" s="116"/>
      <c r="E349" s="116" t="s">
        <v>431</v>
      </c>
      <c r="F349" s="116" t="s">
        <v>2539</v>
      </c>
      <c r="G349" s="116" t="s">
        <v>431</v>
      </c>
      <c r="H349" s="117">
        <v>2.19</v>
      </c>
      <c r="I349" s="116" t="s">
        <v>164</v>
      </c>
      <c r="J349" s="117" t="s">
        <v>131</v>
      </c>
      <c r="K349" s="116">
        <v>8.8849999999999998E-2</v>
      </c>
      <c r="L349" s="116">
        <v>9.3800000000000008E-2</v>
      </c>
      <c r="M349" s="111">
        <v>6471.2536710616851</v>
      </c>
      <c r="N349" s="60">
        <v>99.27</v>
      </c>
      <c r="O349" s="84">
        <v>18.260259999999999</v>
      </c>
      <c r="P349" s="24">
        <v>4.7664815455930376E-4</v>
      </c>
      <c r="Q349" s="24">
        <v>3.4321702995337058E-5</v>
      </c>
      <c r="R349" s="14"/>
    </row>
    <row r="350" spans="1:18" x14ac:dyDescent="0.25">
      <c r="A350" s="16" t="s">
        <v>2723</v>
      </c>
      <c r="B350" s="217" t="s">
        <v>2729</v>
      </c>
      <c r="C350" s="116" t="s">
        <v>2534</v>
      </c>
      <c r="D350" s="116"/>
      <c r="E350" s="116" t="s">
        <v>431</v>
      </c>
      <c r="F350" s="116" t="s">
        <v>2535</v>
      </c>
      <c r="G350" s="116" t="s">
        <v>431</v>
      </c>
      <c r="H350" s="117">
        <v>0</v>
      </c>
      <c r="I350" s="116" t="s">
        <v>164</v>
      </c>
      <c r="J350" s="117" t="s">
        <v>131</v>
      </c>
      <c r="K350" s="116">
        <v>8.8849999999999998E-2</v>
      </c>
      <c r="L350" s="116">
        <v>0</v>
      </c>
      <c r="M350" s="111">
        <v>-113.24694029987886</v>
      </c>
      <c r="N350" s="60">
        <v>66.186753999999993</v>
      </c>
      <c r="O350" s="84">
        <v>-0.21306</v>
      </c>
      <c r="P350" s="24">
        <v>-5.5615120381859439E-6</v>
      </c>
      <c r="Q350" s="24">
        <v>-4.0046428912767473E-7</v>
      </c>
      <c r="R350" s="14"/>
    </row>
    <row r="351" spans="1:18" x14ac:dyDescent="0.25">
      <c r="A351" s="16" t="s">
        <v>2724</v>
      </c>
      <c r="B351" s="116" t="s">
        <v>2105</v>
      </c>
      <c r="C351" s="116" t="s">
        <v>2526</v>
      </c>
      <c r="D351" s="116"/>
      <c r="E351" s="116" t="s">
        <v>431</v>
      </c>
      <c r="F351" s="116" t="s">
        <v>2527</v>
      </c>
      <c r="G351" s="116" t="s">
        <v>431</v>
      </c>
      <c r="H351" s="117">
        <v>2.0099999999999998</v>
      </c>
      <c r="I351" s="116" t="s">
        <v>164</v>
      </c>
      <c r="J351" s="117" t="s">
        <v>125</v>
      </c>
      <c r="K351" s="116">
        <v>9.0599999999999986E-2</v>
      </c>
      <c r="L351" s="116">
        <v>0.09</v>
      </c>
      <c r="M351" s="111">
        <v>5466.5313356922161</v>
      </c>
      <c r="N351" s="60">
        <v>100.89</v>
      </c>
      <c r="O351" s="84">
        <v>21.090060000000001</v>
      </c>
      <c r="P351" s="24">
        <v>5.5051451504770424E-4</v>
      </c>
      <c r="Q351" s="24">
        <v>3.9640551420069504E-5</v>
      </c>
      <c r="R351" s="14"/>
    </row>
    <row r="352" spans="1:18" x14ac:dyDescent="0.25">
      <c r="A352" s="16" t="s">
        <v>2724</v>
      </c>
      <c r="B352" s="217" t="s">
        <v>2729</v>
      </c>
      <c r="C352" s="116" t="s">
        <v>2528</v>
      </c>
      <c r="D352" s="116"/>
      <c r="E352" s="116" t="s">
        <v>431</v>
      </c>
      <c r="F352" s="116" t="s">
        <v>2529</v>
      </c>
      <c r="G352" s="116" t="s">
        <v>431</v>
      </c>
      <c r="H352" s="117">
        <v>3.95</v>
      </c>
      <c r="I352" s="116" t="s">
        <v>164</v>
      </c>
      <c r="J352" s="117" t="s">
        <v>125</v>
      </c>
      <c r="K352" s="116">
        <v>9.4064300000000003E-2</v>
      </c>
      <c r="L352" s="116">
        <v>0</v>
      </c>
      <c r="M352" s="111">
        <v>-63.093678185768589</v>
      </c>
      <c r="N352" s="60">
        <v>33.025311000000002</v>
      </c>
      <c r="O352" s="84">
        <v>-7.9680000000000001E-2</v>
      </c>
      <c r="P352" s="24">
        <v>-2.0798896048186241E-6</v>
      </c>
      <c r="Q352" s="24">
        <v>-1.4976529877824613E-7</v>
      </c>
      <c r="R352" s="14"/>
    </row>
    <row r="353" spans="1:18" x14ac:dyDescent="0.25">
      <c r="A353" s="16" t="s">
        <v>2725</v>
      </c>
      <c r="B353" s="217" t="s">
        <v>2729</v>
      </c>
      <c r="C353" s="116" t="s">
        <v>2540</v>
      </c>
      <c r="D353" s="116"/>
      <c r="E353" s="116" t="s">
        <v>431</v>
      </c>
      <c r="F353" s="116" t="s">
        <v>2541</v>
      </c>
      <c r="G353" s="116" t="s">
        <v>431</v>
      </c>
      <c r="H353" s="117">
        <v>6</v>
      </c>
      <c r="I353" s="116" t="s">
        <v>182</v>
      </c>
      <c r="J353" s="117" t="s">
        <v>125</v>
      </c>
      <c r="K353" s="116">
        <v>0.14429069999999999</v>
      </c>
      <c r="L353" s="116">
        <v>0</v>
      </c>
      <c r="M353" s="111">
        <v>543.27831124307761</v>
      </c>
      <c r="N353" s="60">
        <v>106.4</v>
      </c>
      <c r="O353" s="84">
        <v>2.2104599999999999</v>
      </c>
      <c r="P353" s="24">
        <v>5.7699708532472085E-5</v>
      </c>
      <c r="Q353" s="24">
        <v>4.1547465152781365E-6</v>
      </c>
      <c r="R353" s="14"/>
    </row>
    <row r="354" spans="1:18" x14ac:dyDescent="0.25">
      <c r="A354" s="16" t="s">
        <v>2726</v>
      </c>
      <c r="B354" s="217" t="s">
        <v>2729</v>
      </c>
      <c r="C354" s="116" t="s">
        <v>2542</v>
      </c>
      <c r="D354" s="116"/>
      <c r="E354" s="116" t="s">
        <v>431</v>
      </c>
      <c r="F354" s="116" t="s">
        <v>2119</v>
      </c>
      <c r="G354" s="116" t="s">
        <v>431</v>
      </c>
      <c r="H354" s="117">
        <v>6</v>
      </c>
      <c r="I354" s="116" t="s">
        <v>182</v>
      </c>
      <c r="J354" s="117" t="s">
        <v>125</v>
      </c>
      <c r="K354" s="116">
        <v>0.14429069999999999</v>
      </c>
      <c r="L354" s="116">
        <v>0</v>
      </c>
      <c r="M354" s="111">
        <v>512.00804232090229</v>
      </c>
      <c r="N354" s="60">
        <v>105.58</v>
      </c>
      <c r="O354" s="84">
        <v>2.06717</v>
      </c>
      <c r="P354" s="24">
        <v>5.395940505011189E-5</v>
      </c>
      <c r="Q354" s="24">
        <v>3.8854208418100784E-6</v>
      </c>
      <c r="R354" s="14"/>
    </row>
    <row r="355" spans="1:18" x14ac:dyDescent="0.25">
      <c r="A355" s="16" t="s">
        <v>2726</v>
      </c>
      <c r="B355" s="217" t="s">
        <v>2729</v>
      </c>
      <c r="C355" s="116" t="s">
        <v>2543</v>
      </c>
      <c r="D355" s="116"/>
      <c r="E355" s="116" t="s">
        <v>431</v>
      </c>
      <c r="F355" s="116" t="s">
        <v>2119</v>
      </c>
      <c r="G355" s="116" t="s">
        <v>431</v>
      </c>
      <c r="H355" s="117">
        <v>6</v>
      </c>
      <c r="I355" s="116" t="s">
        <v>182</v>
      </c>
      <c r="J355" s="117" t="s">
        <v>125</v>
      </c>
      <c r="K355" s="116">
        <v>0.14429069999999999</v>
      </c>
      <c r="L355" s="116">
        <v>0</v>
      </c>
      <c r="M355" s="111">
        <v>639.50773361020742</v>
      </c>
      <c r="N355" s="60">
        <v>105.58</v>
      </c>
      <c r="O355" s="84">
        <v>2.5819399999999999</v>
      </c>
      <c r="P355" s="24">
        <v>6.7396462930037623E-5</v>
      </c>
      <c r="Q355" s="24">
        <v>4.8529745924636651E-6</v>
      </c>
      <c r="R355" s="14"/>
    </row>
    <row r="356" spans="1:18" x14ac:dyDescent="0.25">
      <c r="A356" s="16" t="s">
        <v>2727</v>
      </c>
      <c r="B356" s="217" t="s">
        <v>2729</v>
      </c>
      <c r="C356" s="116" t="s">
        <v>2536</v>
      </c>
      <c r="D356" s="116"/>
      <c r="E356" s="116" t="s">
        <v>431</v>
      </c>
      <c r="F356" s="116" t="s">
        <v>2537</v>
      </c>
      <c r="G356" s="116" t="s">
        <v>431</v>
      </c>
      <c r="H356" s="117">
        <v>2.46</v>
      </c>
      <c r="I356" s="116" t="s">
        <v>164</v>
      </c>
      <c r="J356" s="117" t="s">
        <v>125</v>
      </c>
      <c r="K356" s="116">
        <v>9.1564300000000001E-2</v>
      </c>
      <c r="L356" s="116">
        <v>8.900000000000001E-2</v>
      </c>
      <c r="M356" s="111">
        <v>7108.4774032104542</v>
      </c>
      <c r="N356" s="60">
        <v>100.14</v>
      </c>
      <c r="O356" s="84">
        <v>27.220869999999998</v>
      </c>
      <c r="P356" s="24">
        <v>7.1054724582227829E-4</v>
      </c>
      <c r="Q356" s="24">
        <v>5.1163927316187208E-5</v>
      </c>
      <c r="R356" s="14"/>
    </row>
    <row r="357" spans="1:18" x14ac:dyDescent="0.25">
      <c r="A357" s="16" t="s">
        <v>2727</v>
      </c>
      <c r="B357" s="217" t="s">
        <v>2729</v>
      </c>
      <c r="C357" s="116" t="s">
        <v>2524</v>
      </c>
      <c r="D357" s="116"/>
      <c r="E357" s="116" t="s">
        <v>431</v>
      </c>
      <c r="F357" s="116" t="s">
        <v>2525</v>
      </c>
      <c r="G357" s="116" t="s">
        <v>431</v>
      </c>
      <c r="H357" s="117">
        <v>3.91</v>
      </c>
      <c r="I357" s="116" t="s">
        <v>164</v>
      </c>
      <c r="J357" s="117" t="s">
        <v>255</v>
      </c>
      <c r="K357" s="116">
        <v>0</v>
      </c>
      <c r="L357" s="116">
        <v>0</v>
      </c>
      <c r="M357" s="111">
        <v>-493.08442034779597</v>
      </c>
      <c r="N357" s="60">
        <v>37.027026999999997</v>
      </c>
      <c r="O357" s="84">
        <v>-0.18256999999999998</v>
      </c>
      <c r="P357" s="24">
        <v>-4.7656305867436767E-6</v>
      </c>
      <c r="Q357" s="24">
        <v>-3.4315575549629007E-7</v>
      </c>
      <c r="R357" s="14"/>
    </row>
    <row r="358" spans="1:18" s="118" customFormat="1" x14ac:dyDescent="0.25">
      <c r="A358" s="92" t="s">
        <v>2523</v>
      </c>
      <c r="B358" s="130" t="s">
        <v>249</v>
      </c>
      <c r="C358" s="130" t="s">
        <v>249</v>
      </c>
      <c r="D358" s="130"/>
      <c r="E358" s="130" t="s">
        <v>249</v>
      </c>
      <c r="F358" s="130" t="s">
        <v>249</v>
      </c>
      <c r="G358" s="130" t="s">
        <v>249</v>
      </c>
      <c r="H358" s="131" t="s">
        <v>249</v>
      </c>
      <c r="I358" s="130" t="s">
        <v>249</v>
      </c>
      <c r="J358" s="131" t="s">
        <v>249</v>
      </c>
      <c r="K358" s="130" t="s">
        <v>249</v>
      </c>
      <c r="L358" s="130" t="s">
        <v>249</v>
      </c>
      <c r="M358" s="160" t="s">
        <v>249</v>
      </c>
      <c r="N358" s="135" t="s">
        <v>249</v>
      </c>
      <c r="O358" s="123">
        <v>0</v>
      </c>
      <c r="P358" s="136">
        <v>0</v>
      </c>
      <c r="Q358" s="136">
        <v>0</v>
      </c>
    </row>
    <row r="359" spans="1:18" s="118" customFormat="1" x14ac:dyDescent="0.25">
      <c r="A359" s="78" t="s">
        <v>241</v>
      </c>
      <c r="B359" s="78"/>
      <c r="C359" s="124"/>
      <c r="D359" s="124"/>
      <c r="E359" s="124"/>
      <c r="F359" s="125"/>
      <c r="G359" s="125"/>
      <c r="H359" s="125"/>
      <c r="I359" s="125"/>
      <c r="J359" s="125"/>
      <c r="K359" s="126"/>
      <c r="L359" s="127"/>
      <c r="M359" s="128"/>
      <c r="N359" s="128"/>
      <c r="O359" s="128"/>
      <c r="P359" s="128"/>
      <c r="Q359" s="127"/>
      <c r="R359" s="129"/>
    </row>
    <row r="360" spans="1:18" s="118" customFormat="1" x14ac:dyDescent="0.25">
      <c r="A360" s="78" t="s">
        <v>242</v>
      </c>
      <c r="B360" s="78"/>
      <c r="C360" s="124"/>
      <c r="D360" s="124"/>
      <c r="E360" s="124"/>
      <c r="F360" s="125"/>
      <c r="G360" s="125"/>
      <c r="H360" s="125"/>
      <c r="I360" s="125"/>
      <c r="J360" s="125"/>
      <c r="K360" s="126"/>
      <c r="L360" s="127"/>
      <c r="M360" s="128"/>
      <c r="N360" s="128"/>
      <c r="O360" s="128"/>
      <c r="P360" s="128"/>
      <c r="Q360" s="127"/>
      <c r="R360" s="129"/>
    </row>
    <row r="361" spans="1:18" s="118" customFormat="1" x14ac:dyDescent="0.25">
      <c r="A361" s="78" t="s">
        <v>243</v>
      </c>
      <c r="B361" s="78"/>
      <c r="C361" s="124"/>
      <c r="D361" s="124"/>
      <c r="E361" s="124"/>
      <c r="F361" s="125"/>
      <c r="G361" s="125"/>
      <c r="H361" s="125"/>
      <c r="I361" s="125"/>
      <c r="J361" s="125"/>
      <c r="K361" s="126"/>
      <c r="L361" s="127"/>
      <c r="M361" s="128"/>
      <c r="N361" s="128"/>
      <c r="O361" s="128"/>
      <c r="P361" s="128"/>
      <c r="Q361" s="127"/>
      <c r="R361" s="129"/>
    </row>
    <row r="362" spans="1:18" s="118" customFormat="1" x14ac:dyDescent="0.25">
      <c r="A362" s="78" t="s">
        <v>244</v>
      </c>
      <c r="B362" s="78"/>
      <c r="C362" s="124"/>
      <c r="D362" s="124"/>
      <c r="E362" s="124"/>
      <c r="F362" s="125"/>
      <c r="G362" s="125"/>
      <c r="H362" s="125"/>
      <c r="I362" s="125"/>
      <c r="J362" s="125"/>
      <c r="K362" s="126"/>
      <c r="L362" s="127"/>
      <c r="M362" s="128"/>
      <c r="N362" s="128"/>
      <c r="O362" s="128"/>
      <c r="P362" s="128"/>
      <c r="Q362" s="127"/>
      <c r="R362" s="129"/>
    </row>
    <row r="363" spans="1:18" s="118" customFormat="1" x14ac:dyDescent="0.25">
      <c r="A363" s="78" t="s">
        <v>245</v>
      </c>
      <c r="B363" s="78"/>
      <c r="C363" s="124"/>
      <c r="D363" s="124"/>
      <c r="E363" s="124"/>
      <c r="F363" s="125"/>
      <c r="G363" s="125"/>
      <c r="H363" s="125"/>
      <c r="I363" s="125"/>
      <c r="J363" s="125"/>
      <c r="K363" s="126"/>
      <c r="L363" s="127"/>
      <c r="M363" s="128"/>
      <c r="N363" s="128"/>
      <c r="O363" s="128"/>
      <c r="P363" s="128"/>
      <c r="Q363" s="127"/>
      <c r="R363" s="129"/>
    </row>
  </sheetData>
  <sortState xmlns:xlrd2="http://schemas.microsoft.com/office/spreadsheetml/2017/richdata2" ref="A347:Z357">
    <sortCondition ref="A347:A357" customList="א,ב,ג,ד,ה,ו,ז,ח,ט,י,כ,ל,מ,נ,ס,ע,פ,צ,ק,ר,ש,ת"/>
  </sortState>
  <mergeCells count="1">
    <mergeCell ref="A4:Q4"/>
  </mergeCells>
  <phoneticPr fontId="3" type="noConversion"/>
  <conditionalFormatting sqref="B9:L18 C19:L19 B19:B59 C20:D20 F20:L20 C21:L59 B60:L358">
    <cfRule type="expression" dxfId="40" priority="374" stopIfTrue="1">
      <formula>LEFT(#REF!,3)="TIR"</formula>
    </cfRule>
  </conditionalFormatting>
  <conditionalFormatting sqref="O9:P358 A9:A358">
    <cfRule type="expression" dxfId="39" priority="372" stopIfTrue="1">
      <formula>#REF!&gt;0</formula>
    </cfRule>
  </conditionalFormatting>
  <conditionalFormatting sqref="P9:Q358">
    <cfRule type="expression" dxfId="38" priority="371" stopIfTrue="1">
      <formula>OR(LEFT(#REF!,3)="TIR",LEFT(#REF!,2)="IR")</formula>
    </cfRule>
  </conditionalFormatting>
  <conditionalFormatting sqref="Q11:Q16">
    <cfRule type="expression" dxfId="37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5" t="s">
        <v>38</v>
      </c>
      <c r="B4" s="236"/>
      <c r="C4" s="236"/>
      <c r="D4" s="236"/>
      <c r="E4" s="236"/>
      <c r="F4" s="236"/>
      <c r="G4" s="236"/>
      <c r="H4" s="236"/>
      <c r="I4" s="237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8" customFormat="1" ht="12.75" customHeight="1" thickBot="1" x14ac:dyDescent="0.3">
      <c r="A8" s="148" t="s">
        <v>73</v>
      </c>
      <c r="B8" s="70"/>
      <c r="C8" s="70" t="s">
        <v>249</v>
      </c>
      <c r="D8" s="161"/>
      <c r="E8" s="149"/>
      <c r="F8" s="152">
        <v>4.0000000000000003E-7</v>
      </c>
      <c r="G8" s="70">
        <v>1</v>
      </c>
      <c r="H8" s="70">
        <v>0</v>
      </c>
      <c r="I8" s="82"/>
    </row>
    <row r="9" spans="1:17" s="118" customFormat="1" x14ac:dyDescent="0.25">
      <c r="A9" s="91" t="s">
        <v>2552</v>
      </c>
      <c r="B9" s="120" t="s">
        <v>249</v>
      </c>
      <c r="C9" s="120" t="s">
        <v>249</v>
      </c>
      <c r="D9" s="120" t="s">
        <v>249</v>
      </c>
      <c r="E9" s="121" t="s">
        <v>249</v>
      </c>
      <c r="F9" s="122">
        <v>0</v>
      </c>
      <c r="G9" s="120">
        <v>0</v>
      </c>
      <c r="H9" s="120">
        <v>0</v>
      </c>
      <c r="I9" s="120" t="s">
        <v>249</v>
      </c>
    </row>
    <row r="10" spans="1:17" s="118" customFormat="1" x14ac:dyDescent="0.25">
      <c r="A10" s="92" t="s">
        <v>2553</v>
      </c>
      <c r="B10" s="120" t="s">
        <v>249</v>
      </c>
      <c r="C10" s="120" t="s">
        <v>249</v>
      </c>
      <c r="D10" s="120" t="s">
        <v>249</v>
      </c>
      <c r="E10" s="121" t="s">
        <v>249</v>
      </c>
      <c r="F10" s="122">
        <v>0</v>
      </c>
      <c r="G10" s="120">
        <v>0</v>
      </c>
      <c r="H10" s="120">
        <v>0</v>
      </c>
      <c r="I10" s="120" t="s">
        <v>249</v>
      </c>
    </row>
    <row r="11" spans="1:17" s="118" customFormat="1" x14ac:dyDescent="0.25">
      <c r="A11" s="92" t="s">
        <v>2554</v>
      </c>
      <c r="B11" s="120" t="s">
        <v>249</v>
      </c>
      <c r="C11" s="120" t="s">
        <v>249</v>
      </c>
      <c r="D11" s="120" t="s">
        <v>249</v>
      </c>
      <c r="E11" s="121" t="s">
        <v>249</v>
      </c>
      <c r="F11" s="122">
        <v>0</v>
      </c>
      <c r="G11" s="120">
        <v>0</v>
      </c>
      <c r="H11" s="120">
        <v>0</v>
      </c>
      <c r="I11" s="120" t="s">
        <v>249</v>
      </c>
    </row>
    <row r="12" spans="1:17" s="118" customFormat="1" x14ac:dyDescent="0.25">
      <c r="A12" s="92" t="s">
        <v>2555</v>
      </c>
      <c r="B12" s="120" t="s">
        <v>249</v>
      </c>
      <c r="C12" s="120" t="s">
        <v>249</v>
      </c>
      <c r="D12" s="120" t="s">
        <v>249</v>
      </c>
      <c r="E12" s="121" t="s">
        <v>249</v>
      </c>
      <c r="F12" s="122">
        <v>0</v>
      </c>
      <c r="G12" s="120">
        <v>0</v>
      </c>
      <c r="H12" s="120">
        <v>0</v>
      </c>
      <c r="I12" s="120" t="s">
        <v>249</v>
      </c>
    </row>
    <row r="13" spans="1:17" s="118" customFormat="1" x14ac:dyDescent="0.25">
      <c r="A13" s="92" t="s">
        <v>2553</v>
      </c>
      <c r="B13" s="120" t="s">
        <v>249</v>
      </c>
      <c r="C13" s="120" t="s">
        <v>249</v>
      </c>
      <c r="D13" s="120" t="s">
        <v>249</v>
      </c>
      <c r="E13" s="121" t="s">
        <v>249</v>
      </c>
      <c r="F13" s="122">
        <v>0</v>
      </c>
      <c r="G13" s="120">
        <v>0</v>
      </c>
      <c r="H13" s="120">
        <v>0</v>
      </c>
      <c r="I13" s="120" t="s">
        <v>249</v>
      </c>
    </row>
    <row r="14" spans="1:17" s="118" customFormat="1" x14ac:dyDescent="0.25">
      <c r="A14" s="92" t="s">
        <v>2554</v>
      </c>
      <c r="B14" s="120" t="s">
        <v>249</v>
      </c>
      <c r="C14" s="120" t="s">
        <v>249</v>
      </c>
      <c r="D14" s="120" t="s">
        <v>249</v>
      </c>
      <c r="E14" s="121" t="s">
        <v>249</v>
      </c>
      <c r="F14" s="122">
        <v>0</v>
      </c>
      <c r="G14" s="120">
        <v>0</v>
      </c>
      <c r="H14" s="120">
        <v>0</v>
      </c>
      <c r="I14" s="120" t="s">
        <v>249</v>
      </c>
    </row>
    <row r="15" spans="1:17" s="118" customFormat="1" x14ac:dyDescent="0.25">
      <c r="A15" s="78" t="s">
        <v>241</v>
      </c>
      <c r="B15" s="124"/>
      <c r="C15" s="78"/>
      <c r="D15" s="145"/>
      <c r="E15" s="125"/>
      <c r="F15" s="125"/>
      <c r="G15" s="125"/>
      <c r="H15" s="125"/>
      <c r="I15" s="125"/>
      <c r="J15" s="146"/>
      <c r="K15" s="129"/>
      <c r="L15" s="147"/>
      <c r="M15" s="147"/>
      <c r="N15" s="147"/>
      <c r="O15" s="129"/>
      <c r="P15" s="129"/>
    </row>
    <row r="16" spans="1:17" s="118" customFormat="1" x14ac:dyDescent="0.25">
      <c r="A16" s="78" t="s">
        <v>242</v>
      </c>
      <c r="B16" s="124"/>
      <c r="C16" s="78"/>
      <c r="D16" s="145"/>
      <c r="E16" s="125"/>
      <c r="F16" s="125"/>
      <c r="G16" s="125"/>
      <c r="H16" s="125"/>
      <c r="I16" s="125"/>
      <c r="J16" s="146"/>
      <c r="K16" s="129"/>
      <c r="L16" s="147"/>
      <c r="M16" s="147"/>
      <c r="N16" s="147"/>
      <c r="O16" s="129"/>
      <c r="P16" s="129"/>
    </row>
    <row r="17" spans="1:16" s="118" customFormat="1" x14ac:dyDescent="0.25">
      <c r="A17" s="78" t="s">
        <v>243</v>
      </c>
      <c r="B17" s="124"/>
      <c r="C17" s="78"/>
      <c r="D17" s="145"/>
      <c r="E17" s="125"/>
      <c r="F17" s="125"/>
      <c r="G17" s="125"/>
      <c r="H17" s="125"/>
      <c r="I17" s="125"/>
      <c r="J17" s="146"/>
      <c r="K17" s="129"/>
      <c r="L17" s="147"/>
      <c r="M17" s="147"/>
      <c r="N17" s="147"/>
      <c r="O17" s="129"/>
      <c r="P17" s="129"/>
    </row>
    <row r="18" spans="1:16" s="118" customFormat="1" x14ac:dyDescent="0.25">
      <c r="A18" s="78" t="s">
        <v>244</v>
      </c>
      <c r="B18" s="124"/>
      <c r="C18" s="78"/>
      <c r="D18" s="145"/>
      <c r="E18" s="125"/>
      <c r="F18" s="125"/>
      <c r="G18" s="125"/>
      <c r="H18" s="125"/>
      <c r="I18" s="125"/>
      <c r="J18" s="146"/>
      <c r="K18" s="129"/>
      <c r="L18" s="147"/>
      <c r="M18" s="147"/>
      <c r="N18" s="147"/>
      <c r="O18" s="129"/>
      <c r="P18" s="129"/>
    </row>
    <row r="19" spans="1:16" s="118" customFormat="1" x14ac:dyDescent="0.25">
      <c r="A19" s="78" t="s">
        <v>245</v>
      </c>
      <c r="B19" s="124"/>
      <c r="C19" s="78"/>
      <c r="D19" s="145"/>
      <c r="E19" s="125"/>
      <c r="F19" s="125"/>
      <c r="G19" s="125"/>
      <c r="H19" s="125"/>
      <c r="I19" s="125"/>
      <c r="J19" s="146"/>
      <c r="K19" s="129"/>
      <c r="L19" s="147"/>
      <c r="M19" s="147"/>
      <c r="N19" s="147"/>
      <c r="O19" s="129"/>
      <c r="P19" s="12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2" t="s">
        <v>86</v>
      </c>
      <c r="B4" s="223"/>
      <c r="C4" s="223"/>
      <c r="D4" s="223"/>
      <c r="E4" s="223"/>
      <c r="F4" s="223"/>
      <c r="G4" s="223"/>
      <c r="H4" s="223"/>
      <c r="I4" s="223"/>
      <c r="J4" s="224"/>
      <c r="K4" s="11"/>
      <c r="L4" s="11"/>
      <c r="M4" s="11"/>
    </row>
    <row r="5" spans="1:18" s="7" customFormat="1" ht="33" customHeight="1" x14ac:dyDescent="0.25">
      <c r="A5" s="86" t="s">
        <v>157</v>
      </c>
      <c r="B5" s="204" t="s">
        <v>74</v>
      </c>
      <c r="C5" s="204" t="s">
        <v>70</v>
      </c>
      <c r="D5" s="204" t="s">
        <v>83</v>
      </c>
      <c r="E5" s="204" t="s">
        <v>84</v>
      </c>
      <c r="F5" s="205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8" customFormat="1" ht="12.75" customHeight="1" thickBot="1" x14ac:dyDescent="0.3">
      <c r="A8" s="99" t="s">
        <v>123</v>
      </c>
      <c r="B8" s="70"/>
      <c r="C8" s="70"/>
      <c r="D8" s="161"/>
      <c r="E8" s="149"/>
      <c r="F8" s="106"/>
      <c r="G8" s="106"/>
      <c r="H8" s="152">
        <v>2.0000000000000002E-7</v>
      </c>
      <c r="I8" s="70">
        <v>1</v>
      </c>
      <c r="J8" s="81">
        <v>3.7591691460403149E-13</v>
      </c>
    </row>
    <row r="9" spans="1:18" s="118" customFormat="1" x14ac:dyDescent="0.25">
      <c r="A9" s="91" t="s">
        <v>137</v>
      </c>
      <c r="B9" s="120" t="s">
        <v>249</v>
      </c>
      <c r="C9" s="120" t="s">
        <v>249</v>
      </c>
      <c r="D9" s="120" t="s">
        <v>249</v>
      </c>
      <c r="E9" s="120" t="s">
        <v>249</v>
      </c>
      <c r="F9" s="133" t="s">
        <v>249</v>
      </c>
      <c r="G9" s="162" t="s">
        <v>249</v>
      </c>
      <c r="H9" s="122">
        <v>0</v>
      </c>
      <c r="I9" s="120">
        <v>0</v>
      </c>
      <c r="J9" s="120">
        <v>0</v>
      </c>
    </row>
    <row r="10" spans="1:18" s="118" customFormat="1" x14ac:dyDescent="0.25">
      <c r="A10" s="91" t="s">
        <v>411</v>
      </c>
      <c r="B10" s="120" t="s">
        <v>249</v>
      </c>
      <c r="C10" s="120" t="s">
        <v>249</v>
      </c>
      <c r="D10" s="120" t="s">
        <v>249</v>
      </c>
      <c r="E10" s="120" t="s">
        <v>249</v>
      </c>
      <c r="F10" s="133" t="s">
        <v>249</v>
      </c>
      <c r="G10" s="162" t="s">
        <v>249</v>
      </c>
      <c r="H10" s="122">
        <v>0</v>
      </c>
      <c r="I10" s="120">
        <v>0</v>
      </c>
      <c r="J10" s="120">
        <v>0</v>
      </c>
    </row>
    <row r="11" spans="1:18" s="118" customFormat="1" x14ac:dyDescent="0.25">
      <c r="A11" s="78" t="s">
        <v>241</v>
      </c>
      <c r="B11" s="124"/>
      <c r="C11" s="78"/>
      <c r="D11" s="145"/>
      <c r="E11" s="125"/>
      <c r="F11" s="125"/>
      <c r="G11" s="125"/>
      <c r="H11" s="125"/>
      <c r="I11" s="125"/>
      <c r="J11" s="125"/>
      <c r="K11" s="146"/>
      <c r="L11" s="129"/>
      <c r="M11" s="147"/>
      <c r="N11" s="147"/>
      <c r="O11" s="147"/>
      <c r="P11" s="129"/>
      <c r="Q11" s="129"/>
    </row>
    <row r="12" spans="1:18" s="118" customFormat="1" x14ac:dyDescent="0.25">
      <c r="A12" s="78" t="s">
        <v>242</v>
      </c>
      <c r="B12" s="124"/>
      <c r="C12" s="78"/>
      <c r="D12" s="145"/>
      <c r="E12" s="125"/>
      <c r="F12" s="125"/>
      <c r="G12" s="125"/>
      <c r="H12" s="125"/>
      <c r="I12" s="125"/>
      <c r="J12" s="125"/>
      <c r="K12" s="146"/>
      <c r="L12" s="129"/>
      <c r="M12" s="147"/>
      <c r="N12" s="147"/>
      <c r="O12" s="147"/>
      <c r="P12" s="129"/>
      <c r="Q12" s="129"/>
    </row>
    <row r="13" spans="1:18" s="118" customFormat="1" x14ac:dyDescent="0.25">
      <c r="A13" s="78" t="s">
        <v>243</v>
      </c>
      <c r="B13" s="124"/>
      <c r="C13" s="78"/>
      <c r="D13" s="145"/>
      <c r="E13" s="125"/>
      <c r="F13" s="125"/>
      <c r="G13" s="125"/>
      <c r="H13" s="125"/>
      <c r="I13" s="125"/>
      <c r="J13" s="125"/>
      <c r="K13" s="146"/>
      <c r="L13" s="129"/>
      <c r="M13" s="147"/>
      <c r="N13" s="147"/>
      <c r="O13" s="147"/>
      <c r="P13" s="129"/>
      <c r="Q13" s="129"/>
    </row>
    <row r="14" spans="1:18" s="118" customFormat="1" x14ac:dyDescent="0.25">
      <c r="A14" s="78" t="s">
        <v>244</v>
      </c>
      <c r="B14" s="124"/>
      <c r="C14" s="78"/>
      <c r="D14" s="145"/>
      <c r="E14" s="125"/>
      <c r="F14" s="125"/>
      <c r="G14" s="125"/>
      <c r="H14" s="125"/>
      <c r="I14" s="125"/>
      <c r="J14" s="125"/>
      <c r="K14" s="146"/>
      <c r="L14" s="129"/>
      <c r="M14" s="147"/>
      <c r="N14" s="147"/>
      <c r="O14" s="147"/>
      <c r="P14" s="129"/>
      <c r="Q14" s="129"/>
    </row>
    <row r="15" spans="1:18" s="118" customFormat="1" x14ac:dyDescent="0.25">
      <c r="A15" s="78" t="s">
        <v>245</v>
      </c>
      <c r="B15" s="124"/>
      <c r="C15" s="78"/>
      <c r="D15" s="145"/>
      <c r="E15" s="125"/>
      <c r="F15" s="125"/>
      <c r="G15" s="125"/>
      <c r="H15" s="125"/>
      <c r="I15" s="125"/>
      <c r="J15" s="125"/>
      <c r="K15" s="146"/>
      <c r="L15" s="129"/>
      <c r="M15" s="147"/>
      <c r="N15" s="147"/>
      <c r="O15" s="147"/>
      <c r="P15" s="129"/>
      <c r="Q15" s="12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4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2" t="s">
        <v>87</v>
      </c>
      <c r="B4" s="223"/>
      <c r="C4" s="223"/>
      <c r="D4" s="223"/>
      <c r="E4" s="223"/>
      <c r="F4" s="223"/>
      <c r="G4" s="223"/>
      <c r="H4" s="223"/>
      <c r="I4" s="223"/>
      <c r="J4" s="224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4" t="s">
        <v>81</v>
      </c>
      <c r="C5" s="204" t="s">
        <v>70</v>
      </c>
      <c r="D5" s="204" t="s">
        <v>5</v>
      </c>
      <c r="E5" s="205" t="s">
        <v>66</v>
      </c>
      <c r="F5" s="205" t="s">
        <v>6</v>
      </c>
      <c r="G5" s="205" t="s">
        <v>71</v>
      </c>
      <c r="H5" s="205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8" customFormat="1" ht="12.75" customHeight="1" thickBot="1" x14ac:dyDescent="0.3">
      <c r="A8" s="72" t="s">
        <v>124</v>
      </c>
      <c r="B8" s="119"/>
      <c r="C8" s="119"/>
      <c r="D8" s="119" t="s">
        <v>249</v>
      </c>
      <c r="E8" s="119" t="s">
        <v>249</v>
      </c>
      <c r="F8" s="119" t="s">
        <v>249</v>
      </c>
      <c r="G8" s="119" t="s">
        <v>249</v>
      </c>
      <c r="H8" s="93">
        <v>-227.97611979999999</v>
      </c>
      <c r="I8" s="77">
        <v>1</v>
      </c>
      <c r="J8" s="58">
        <v>-4.2850039779307523E-4</v>
      </c>
    </row>
    <row r="9" spans="1:20" s="118" customFormat="1" x14ac:dyDescent="0.25">
      <c r="A9" s="91" t="s">
        <v>137</v>
      </c>
      <c r="B9" s="163"/>
      <c r="C9" s="121" t="s">
        <v>249</v>
      </c>
      <c r="D9" s="142" t="s">
        <v>249</v>
      </c>
      <c r="E9" s="156" t="s">
        <v>249</v>
      </c>
      <c r="F9" s="133" t="s">
        <v>249</v>
      </c>
      <c r="G9" s="156" t="s">
        <v>249</v>
      </c>
      <c r="H9" s="122">
        <v>-227.97611989999999</v>
      </c>
      <c r="I9" s="120">
        <v>1.0000000004386425</v>
      </c>
      <c r="J9" s="120">
        <v>-4.2850039798103366E-4</v>
      </c>
    </row>
    <row r="10" spans="1:20" x14ac:dyDescent="0.25">
      <c r="A10" s="16" t="s">
        <v>2570</v>
      </c>
      <c r="B10" s="23" t="s">
        <v>2571</v>
      </c>
      <c r="C10" s="66" t="s">
        <v>431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-355.09684999999996</v>
      </c>
      <c r="I10" s="76">
        <v>1.5576054646053328</v>
      </c>
      <c r="J10" s="32">
        <v>-6.6743456118805279E-4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2572</v>
      </c>
      <c r="B11" s="23" t="s">
        <v>2573</v>
      </c>
      <c r="C11" s="66" t="s">
        <v>431</v>
      </c>
      <c r="D11" s="25" t="s">
        <v>431</v>
      </c>
      <c r="E11" s="17">
        <v>0</v>
      </c>
      <c r="F11" s="68" t="s">
        <v>125</v>
      </c>
      <c r="G11" s="17">
        <v>0</v>
      </c>
      <c r="H11" s="85">
        <v>14.740690000000001</v>
      </c>
      <c r="I11" s="76">
        <v>-6.4658921350761581E-2</v>
      </c>
      <c r="J11" s="32">
        <v>2.7706373519672503E-5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2556</v>
      </c>
      <c r="B12" s="23" t="s">
        <v>2557</v>
      </c>
      <c r="C12" s="66" t="s">
        <v>431</v>
      </c>
      <c r="D12" s="25" t="s">
        <v>431</v>
      </c>
      <c r="E12" s="17">
        <v>7.5999999999999998E-2</v>
      </c>
      <c r="F12" s="68" t="s">
        <v>255</v>
      </c>
      <c r="G12" s="17">
        <v>0</v>
      </c>
      <c r="H12" s="85">
        <v>0.39888999999999997</v>
      </c>
      <c r="I12" s="76">
        <v>-1.7497008035312653E-3</v>
      </c>
      <c r="J12" s="32">
        <v>7.4974749033201045E-7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2558</v>
      </c>
      <c r="B13" s="23" t="s">
        <v>2559</v>
      </c>
      <c r="C13" s="66" t="s">
        <v>431</v>
      </c>
      <c r="D13" s="25" t="s">
        <v>431</v>
      </c>
      <c r="E13" s="17">
        <v>4.4500000000000005E-2</v>
      </c>
      <c r="F13" s="68" t="s">
        <v>255</v>
      </c>
      <c r="G13" s="17">
        <v>0</v>
      </c>
      <c r="H13" s="85">
        <v>3.6544699999999999</v>
      </c>
      <c r="I13" s="76">
        <v>-1.6030056144503254E-2</v>
      </c>
      <c r="J13" s="32">
        <v>6.8688854345649743E-6</v>
      </c>
      <c r="K13" s="14"/>
      <c r="L13" s="14"/>
      <c r="M13" s="14"/>
      <c r="N13" s="14"/>
      <c r="O13" s="14"/>
      <c r="P13" s="14"/>
    </row>
    <row r="14" spans="1:20" x14ac:dyDescent="0.25">
      <c r="A14" s="16" t="s">
        <v>2560</v>
      </c>
      <c r="B14" s="23" t="s">
        <v>2561</v>
      </c>
      <c r="C14" s="66" t="s">
        <v>431</v>
      </c>
      <c r="D14" s="25" t="s">
        <v>431</v>
      </c>
      <c r="E14" s="17">
        <v>6.8499999999999991E-2</v>
      </c>
      <c r="F14" s="68" t="s">
        <v>255</v>
      </c>
      <c r="G14" s="17">
        <v>0</v>
      </c>
      <c r="H14" s="85">
        <v>0.1</v>
      </c>
      <c r="I14" s="76">
        <v>-4.3864243363615671E-4</v>
      </c>
      <c r="J14" s="32">
        <v>1.8795845730201575E-7</v>
      </c>
      <c r="K14" s="14"/>
      <c r="L14" s="14"/>
      <c r="M14" s="14"/>
      <c r="N14" s="14"/>
      <c r="O14" s="14"/>
      <c r="P14" s="14"/>
    </row>
    <row r="15" spans="1:20" x14ac:dyDescent="0.25">
      <c r="A15" s="16" t="s">
        <v>2562</v>
      </c>
      <c r="B15" s="23" t="s">
        <v>2563</v>
      </c>
      <c r="C15" s="66" t="s">
        <v>431</v>
      </c>
      <c r="D15" s="25" t="s">
        <v>431</v>
      </c>
      <c r="E15" s="17">
        <v>3.5000000000000003E-2</v>
      </c>
      <c r="F15" s="68" t="s">
        <v>255</v>
      </c>
      <c r="G15" s="17">
        <v>0</v>
      </c>
      <c r="H15" s="85">
        <v>1.5699999999999999E-2</v>
      </c>
      <c r="I15" s="76">
        <v>-6.8866862080876602E-5</v>
      </c>
      <c r="J15" s="32">
        <v>2.9509477796416468E-8</v>
      </c>
      <c r="K15" s="14"/>
      <c r="L15" s="14"/>
      <c r="M15" s="14"/>
      <c r="N15" s="14"/>
      <c r="O15" s="14"/>
      <c r="P15" s="14"/>
    </row>
    <row r="16" spans="1:20" x14ac:dyDescent="0.25">
      <c r="A16" s="16" t="s">
        <v>2564</v>
      </c>
      <c r="B16" s="23" t="s">
        <v>2565</v>
      </c>
      <c r="C16" s="66" t="s">
        <v>431</v>
      </c>
      <c r="D16" s="25" t="s">
        <v>431</v>
      </c>
      <c r="E16" s="17">
        <v>5.3499999999999999E-2</v>
      </c>
      <c r="F16" s="68" t="s">
        <v>255</v>
      </c>
      <c r="G16" s="17">
        <v>0</v>
      </c>
      <c r="H16" s="85">
        <v>77.313149999999993</v>
      </c>
      <c r="I16" s="76">
        <v>-0.33912828268077222</v>
      </c>
      <c r="J16" s="32">
        <v>1.4531660403159337E-4</v>
      </c>
      <c r="K16" s="14"/>
      <c r="L16" s="14"/>
      <c r="M16" s="14"/>
      <c r="N16" s="14"/>
      <c r="O16" s="14"/>
      <c r="P16" s="14"/>
    </row>
    <row r="17" spans="1:16" x14ac:dyDescent="0.25">
      <c r="A17" s="16" t="s">
        <v>2566</v>
      </c>
      <c r="B17" s="23" t="s">
        <v>2567</v>
      </c>
      <c r="C17" s="66" t="s">
        <v>431</v>
      </c>
      <c r="D17" s="25" t="s">
        <v>431</v>
      </c>
      <c r="E17" s="17">
        <v>5.5E-2</v>
      </c>
      <c r="F17" s="68" t="s">
        <v>255</v>
      </c>
      <c r="G17" s="17">
        <v>0</v>
      </c>
      <c r="H17" s="85">
        <v>28.668509999999998</v>
      </c>
      <c r="I17" s="76">
        <v>-0.12575224995122494</v>
      </c>
      <c r="J17" s="32">
        <v>5.3884889127474108E-5</v>
      </c>
      <c r="K17" s="14"/>
      <c r="L17" s="14"/>
      <c r="M17" s="14"/>
      <c r="N17" s="14"/>
      <c r="O17" s="14"/>
      <c r="P17" s="14"/>
    </row>
    <row r="18" spans="1:16" x14ac:dyDescent="0.25">
      <c r="A18" s="16" t="s">
        <v>2568</v>
      </c>
      <c r="B18" s="23" t="s">
        <v>2569</v>
      </c>
      <c r="C18" s="66" t="s">
        <v>431</v>
      </c>
      <c r="D18" s="25" t="s">
        <v>431</v>
      </c>
      <c r="E18" s="17">
        <v>0.11099999904632568</v>
      </c>
      <c r="F18" s="68" t="s">
        <v>255</v>
      </c>
      <c r="G18" s="17">
        <v>0</v>
      </c>
      <c r="H18" s="85">
        <v>2.22932</v>
      </c>
      <c r="I18" s="76">
        <v>-9.7787435015375696E-3</v>
      </c>
      <c r="J18" s="32">
        <v>4.1901954803252969E-6</v>
      </c>
      <c r="K18" s="14"/>
      <c r="L18" s="14"/>
      <c r="M18" s="14"/>
      <c r="N18" s="14"/>
      <c r="O18" s="14"/>
      <c r="P18" s="14"/>
    </row>
    <row r="19" spans="1:16" s="118" customFormat="1" x14ac:dyDescent="0.25">
      <c r="A19" s="92" t="s">
        <v>411</v>
      </c>
      <c r="B19" s="164" t="s">
        <v>249</v>
      </c>
      <c r="C19" s="121" t="s">
        <v>249</v>
      </c>
      <c r="D19" s="144" t="s">
        <v>249</v>
      </c>
      <c r="E19" s="157" t="s">
        <v>249</v>
      </c>
      <c r="F19" s="133" t="s">
        <v>249</v>
      </c>
      <c r="G19" s="157" t="s">
        <v>249</v>
      </c>
      <c r="H19" s="122">
        <v>0</v>
      </c>
      <c r="I19" s="120">
        <v>0</v>
      </c>
      <c r="J19" s="120">
        <v>0</v>
      </c>
    </row>
    <row r="20" spans="1:16" s="118" customFormat="1" x14ac:dyDescent="0.25">
      <c r="A20" s="78" t="s">
        <v>241</v>
      </c>
      <c r="B20" s="78"/>
      <c r="C20" s="124"/>
      <c r="D20" s="78"/>
      <c r="E20" s="145"/>
      <c r="F20" s="145"/>
      <c r="G20" s="145"/>
      <c r="H20" s="145"/>
      <c r="I20" s="145"/>
      <c r="J20" s="126"/>
      <c r="K20" s="129"/>
      <c r="L20" s="147"/>
      <c r="M20" s="147"/>
      <c r="N20" s="147"/>
      <c r="O20" s="129"/>
      <c r="P20" s="129"/>
    </row>
    <row r="21" spans="1:16" s="118" customFormat="1" x14ac:dyDescent="0.25">
      <c r="A21" s="78" t="s">
        <v>242</v>
      </c>
      <c r="B21" s="78"/>
      <c r="C21" s="124"/>
      <c r="D21" s="78"/>
      <c r="E21" s="145"/>
      <c r="F21" s="145"/>
      <c r="G21" s="145"/>
      <c r="H21" s="145"/>
      <c r="I21" s="145"/>
      <c r="J21" s="126"/>
      <c r="K21" s="129"/>
      <c r="L21" s="147"/>
      <c r="M21" s="147"/>
      <c r="N21" s="147"/>
      <c r="O21" s="129"/>
      <c r="P21" s="129"/>
    </row>
    <row r="22" spans="1:16" s="118" customFormat="1" x14ac:dyDescent="0.25">
      <c r="A22" s="78" t="s">
        <v>243</v>
      </c>
      <c r="B22" s="78"/>
      <c r="C22" s="124"/>
      <c r="D22" s="78"/>
      <c r="E22" s="145"/>
      <c r="F22" s="145"/>
      <c r="G22" s="145"/>
      <c r="H22" s="145"/>
      <c r="I22" s="145"/>
      <c r="J22" s="126"/>
      <c r="K22" s="129"/>
      <c r="L22" s="147"/>
      <c r="M22" s="147"/>
      <c r="N22" s="147"/>
      <c r="O22" s="129"/>
      <c r="P22" s="129"/>
    </row>
    <row r="23" spans="1:16" s="118" customFormat="1" x14ac:dyDescent="0.25">
      <c r="A23" s="78" t="s">
        <v>244</v>
      </c>
      <c r="B23" s="78"/>
      <c r="C23" s="124"/>
      <c r="D23" s="78"/>
      <c r="E23" s="145"/>
      <c r="F23" s="145"/>
      <c r="G23" s="145"/>
      <c r="H23" s="145"/>
      <c r="I23" s="145"/>
      <c r="J23" s="126"/>
      <c r="K23" s="129"/>
      <c r="L23" s="147"/>
      <c r="M23" s="147"/>
      <c r="N23" s="147"/>
      <c r="O23" s="129"/>
      <c r="P23" s="129"/>
    </row>
    <row r="24" spans="1:16" s="118" customFormat="1" x14ac:dyDescent="0.25">
      <c r="A24" s="78" t="s">
        <v>245</v>
      </c>
      <c r="B24" s="78"/>
      <c r="C24" s="124"/>
      <c r="D24" s="78"/>
      <c r="E24" s="145"/>
      <c r="F24" s="145"/>
      <c r="G24" s="145"/>
      <c r="H24" s="145"/>
      <c r="I24" s="145"/>
      <c r="J24" s="126"/>
      <c r="K24" s="129"/>
      <c r="L24" s="147"/>
      <c r="M24" s="147"/>
      <c r="N24" s="147"/>
      <c r="O24" s="129"/>
      <c r="P24" s="129"/>
    </row>
  </sheetData>
  <mergeCells count="1">
    <mergeCell ref="A4:J4"/>
  </mergeCells>
  <phoneticPr fontId="3" type="noConversion"/>
  <conditionalFormatting sqref="A9:A19 F9:F19 H9:J19">
    <cfRule type="expression" dxfId="28" priority="423" stopIfTrue="1">
      <formula>LEFT(#REF!,3)="TIR"</formula>
    </cfRule>
  </conditionalFormatting>
  <conditionalFormatting sqref="B9:D19 J9:J19">
    <cfRule type="expression" dxfId="27" priority="420" stopIfTrue="1">
      <formula>LEFT(#REF!,3)="TIR"</formula>
    </cfRule>
  </conditionalFormatting>
  <conditionalFormatting sqref="H9:J19 F9:F19 A9:A19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9 K20:K55554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48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2" t="s">
        <v>128</v>
      </c>
      <c r="B4" s="223"/>
      <c r="C4" s="224"/>
    </row>
    <row r="5" spans="1:3" x14ac:dyDescent="0.25">
      <c r="A5" s="86" t="s">
        <v>157</v>
      </c>
      <c r="B5" s="204" t="s">
        <v>63</v>
      </c>
      <c r="C5" s="94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2" customFormat="1" x14ac:dyDescent="0.25">
      <c r="A7" s="165"/>
      <c r="B7" s="166">
        <v>1</v>
      </c>
      <c r="C7" s="167">
        <v>2</v>
      </c>
    </row>
    <row r="8" spans="1:3" s="112" customFormat="1" ht="13.8" thickBot="1" x14ac:dyDescent="0.3">
      <c r="A8" s="72" t="s">
        <v>2614</v>
      </c>
      <c r="B8" s="168">
        <v>15984.375144919868</v>
      </c>
      <c r="C8" s="115" t="s">
        <v>249</v>
      </c>
    </row>
    <row r="9" spans="1:3" s="112" customFormat="1" x14ac:dyDescent="0.25">
      <c r="A9" s="114" t="s">
        <v>137</v>
      </c>
      <c r="B9" s="169">
        <v>5896.8837048198657</v>
      </c>
      <c r="C9" s="170" t="s">
        <v>249</v>
      </c>
    </row>
    <row r="10" spans="1:3" x14ac:dyDescent="0.25">
      <c r="A10" s="45" t="s">
        <v>2615</v>
      </c>
      <c r="B10" s="113">
        <v>779.45454000000007</v>
      </c>
      <c r="C10" s="40" t="s">
        <v>2616</v>
      </c>
    </row>
    <row r="11" spans="1:3" x14ac:dyDescent="0.25">
      <c r="A11" s="45" t="s">
        <v>2617</v>
      </c>
      <c r="B11" s="113">
        <v>604.03418999999997</v>
      </c>
      <c r="C11" s="40" t="s">
        <v>2616</v>
      </c>
    </row>
    <row r="12" spans="1:3" x14ac:dyDescent="0.25">
      <c r="A12" s="45" t="s">
        <v>2618</v>
      </c>
      <c r="B12" s="113">
        <v>1033.71253</v>
      </c>
      <c r="C12" s="40" t="s">
        <v>2616</v>
      </c>
    </row>
    <row r="13" spans="1:3" x14ac:dyDescent="0.25">
      <c r="A13" s="45" t="s">
        <v>2619</v>
      </c>
      <c r="B13" s="113">
        <v>1384.15398</v>
      </c>
      <c r="C13" s="40" t="s">
        <v>246</v>
      </c>
    </row>
    <row r="14" spans="1:3" x14ac:dyDescent="0.25">
      <c r="A14" s="45" t="s">
        <v>2620</v>
      </c>
      <c r="B14" s="113">
        <v>597.33681999999999</v>
      </c>
      <c r="C14" s="40" t="s">
        <v>2621</v>
      </c>
    </row>
    <row r="15" spans="1:3" x14ac:dyDescent="0.25">
      <c r="A15" s="45" t="s">
        <v>2622</v>
      </c>
      <c r="B15" s="113">
        <v>117.89391000000001</v>
      </c>
      <c r="C15" s="40" t="s">
        <v>2623</v>
      </c>
    </row>
    <row r="16" spans="1:3" x14ac:dyDescent="0.25">
      <c r="A16" s="45" t="s">
        <v>2624</v>
      </c>
      <c r="B16" s="113">
        <v>737.50357999999994</v>
      </c>
      <c r="C16" s="40" t="s">
        <v>2625</v>
      </c>
    </row>
    <row r="17" spans="1:3" x14ac:dyDescent="0.25">
      <c r="A17" s="45" t="s">
        <v>2626</v>
      </c>
      <c r="B17" s="113">
        <v>1.82848276E-4</v>
      </c>
      <c r="C17" s="40" t="s">
        <v>2625</v>
      </c>
    </row>
    <row r="18" spans="1:3" x14ac:dyDescent="0.25">
      <c r="A18" s="45" t="s">
        <v>2627</v>
      </c>
      <c r="B18" s="113">
        <v>3.5987588999999997E-5</v>
      </c>
      <c r="C18" s="40" t="s">
        <v>2625</v>
      </c>
    </row>
    <row r="19" spans="1:3" x14ac:dyDescent="0.25">
      <c r="A19" s="45" t="s">
        <v>2628</v>
      </c>
      <c r="B19" s="113">
        <v>2.5342099999999999</v>
      </c>
      <c r="C19" s="40" t="s">
        <v>246</v>
      </c>
    </row>
    <row r="20" spans="1:3" x14ac:dyDescent="0.25">
      <c r="A20" s="45" t="s">
        <v>2629</v>
      </c>
      <c r="B20" s="113">
        <v>100.15949000000001</v>
      </c>
      <c r="C20" s="40" t="s">
        <v>2625</v>
      </c>
    </row>
    <row r="21" spans="1:3" x14ac:dyDescent="0.25">
      <c r="A21" s="45" t="s">
        <v>2630</v>
      </c>
      <c r="B21" s="113">
        <v>9.3574099999999998</v>
      </c>
      <c r="C21" s="40" t="s">
        <v>2631</v>
      </c>
    </row>
    <row r="22" spans="1:3" x14ac:dyDescent="0.25">
      <c r="A22" s="45" t="s">
        <v>2632</v>
      </c>
      <c r="B22" s="113">
        <v>3.0204899999999997</v>
      </c>
      <c r="C22" s="40" t="s">
        <v>2631</v>
      </c>
    </row>
    <row r="23" spans="1:3" x14ac:dyDescent="0.25">
      <c r="A23" s="45" t="s">
        <v>2633</v>
      </c>
      <c r="B23" s="113">
        <v>13.911793060000001</v>
      </c>
      <c r="C23" s="40" t="s">
        <v>2634</v>
      </c>
    </row>
    <row r="24" spans="1:3" x14ac:dyDescent="0.25">
      <c r="A24" s="45" t="s">
        <v>2635</v>
      </c>
      <c r="B24" s="113">
        <v>81.059669999999997</v>
      </c>
      <c r="C24" s="40" t="s">
        <v>2625</v>
      </c>
    </row>
    <row r="25" spans="1:3" x14ac:dyDescent="0.25">
      <c r="A25" s="45" t="s">
        <v>2636</v>
      </c>
      <c r="B25" s="113">
        <v>74.096706670000003</v>
      </c>
      <c r="C25" s="40" t="s">
        <v>2637</v>
      </c>
    </row>
    <row r="26" spans="1:3" x14ac:dyDescent="0.25">
      <c r="A26" s="45" t="s">
        <v>2638</v>
      </c>
      <c r="B26" s="113">
        <v>33.991062339999999</v>
      </c>
      <c r="C26" s="40" t="s">
        <v>2625</v>
      </c>
    </row>
    <row r="27" spans="1:3" x14ac:dyDescent="0.25">
      <c r="A27" s="45" t="s">
        <v>2639</v>
      </c>
      <c r="B27" s="113">
        <v>6.9593407139999997</v>
      </c>
      <c r="C27" s="40" t="s">
        <v>2640</v>
      </c>
    </row>
    <row r="28" spans="1:3" x14ac:dyDescent="0.25">
      <c r="A28" s="45" t="s">
        <v>2641</v>
      </c>
      <c r="B28" s="113">
        <v>56.918363310000004</v>
      </c>
      <c r="C28" s="40" t="s">
        <v>2642</v>
      </c>
    </row>
    <row r="29" spans="1:3" x14ac:dyDescent="0.25">
      <c r="A29" s="45" t="s">
        <v>2643</v>
      </c>
      <c r="B29" s="113">
        <v>32.580020449999999</v>
      </c>
      <c r="C29" s="40" t="s">
        <v>2625</v>
      </c>
    </row>
    <row r="30" spans="1:3" x14ac:dyDescent="0.25">
      <c r="A30" s="45" t="s">
        <v>2644</v>
      </c>
      <c r="B30" s="113">
        <v>142.48386259999998</v>
      </c>
      <c r="C30" s="40" t="s">
        <v>2645</v>
      </c>
    </row>
    <row r="31" spans="1:3" x14ac:dyDescent="0.25">
      <c r="A31" s="45" t="s">
        <v>2646</v>
      </c>
      <c r="B31" s="113">
        <v>34.70267415</v>
      </c>
      <c r="C31" s="40" t="s">
        <v>2637</v>
      </c>
    </row>
    <row r="32" spans="1:3" x14ac:dyDescent="0.25">
      <c r="A32" s="45" t="s">
        <v>2647</v>
      </c>
      <c r="B32" s="113">
        <v>21.620936710000002</v>
      </c>
      <c r="C32" s="40" t="s">
        <v>2642</v>
      </c>
    </row>
    <row r="33" spans="1:3" x14ac:dyDescent="0.25">
      <c r="A33" s="45" t="s">
        <v>2648</v>
      </c>
      <c r="B33" s="113">
        <v>29.39790588</v>
      </c>
      <c r="C33" s="40" t="s">
        <v>2649</v>
      </c>
    </row>
    <row r="34" spans="1:3" s="112" customFormat="1" x14ac:dyDescent="0.25">
      <c r="A34" s="171" t="s">
        <v>411</v>
      </c>
      <c r="B34" s="172">
        <v>10087.491440100001</v>
      </c>
      <c r="C34" s="173" t="s">
        <v>249</v>
      </c>
    </row>
    <row r="35" spans="1:3" x14ac:dyDescent="0.25">
      <c r="A35" s="45" t="s">
        <v>2650</v>
      </c>
      <c r="B35" s="113">
        <v>17.255269999999999</v>
      </c>
      <c r="C35" s="40" t="s">
        <v>2631</v>
      </c>
    </row>
    <row r="36" spans="1:3" x14ac:dyDescent="0.25">
      <c r="A36" s="45" t="s">
        <v>2651</v>
      </c>
      <c r="B36" s="113">
        <v>193.64617000000001</v>
      </c>
      <c r="C36" s="40" t="s">
        <v>2616</v>
      </c>
    </row>
    <row r="37" spans="1:3" x14ac:dyDescent="0.25">
      <c r="A37" s="45" t="s">
        <v>2652</v>
      </c>
      <c r="B37" s="113">
        <v>268.52168</v>
      </c>
      <c r="C37" s="40" t="s">
        <v>2616</v>
      </c>
    </row>
    <row r="38" spans="1:3" x14ac:dyDescent="0.25">
      <c r="A38" s="45" t="s">
        <v>2653</v>
      </c>
      <c r="B38" s="113">
        <v>5649.0039999999999</v>
      </c>
      <c r="C38" s="40" t="s">
        <v>2642</v>
      </c>
    </row>
    <row r="39" spans="1:3" x14ac:dyDescent="0.25">
      <c r="A39" s="45" t="s">
        <v>2654</v>
      </c>
      <c r="B39" s="113">
        <v>972.53900999999996</v>
      </c>
      <c r="C39" s="40" t="s">
        <v>2645</v>
      </c>
    </row>
    <row r="40" spans="1:3" x14ac:dyDescent="0.25">
      <c r="A40" s="45" t="s">
        <v>2655</v>
      </c>
      <c r="B40" s="113">
        <v>1354.3272400000001</v>
      </c>
      <c r="C40" s="40" t="s">
        <v>2616</v>
      </c>
    </row>
    <row r="41" spans="1:3" x14ac:dyDescent="0.25">
      <c r="A41" s="45" t="s">
        <v>2656</v>
      </c>
      <c r="B41" s="113">
        <v>632.39400000000001</v>
      </c>
      <c r="C41" s="40" t="s">
        <v>2645</v>
      </c>
    </row>
    <row r="42" spans="1:3" x14ac:dyDescent="0.25">
      <c r="A42" s="45" t="s">
        <v>2657</v>
      </c>
      <c r="B42" s="113">
        <v>234.89229999999998</v>
      </c>
      <c r="C42" s="40" t="s">
        <v>2658</v>
      </c>
    </row>
    <row r="43" spans="1:3" x14ac:dyDescent="0.25">
      <c r="A43" s="45" t="s">
        <v>2659</v>
      </c>
      <c r="B43" s="113">
        <v>374.05025000000001</v>
      </c>
      <c r="C43" s="40" t="s">
        <v>2649</v>
      </c>
    </row>
    <row r="44" spans="1:3" x14ac:dyDescent="0.25">
      <c r="A44" s="45" t="s">
        <v>2660</v>
      </c>
      <c r="B44" s="113">
        <v>3.8363499999999999</v>
      </c>
      <c r="C44" s="40" t="s">
        <v>2637</v>
      </c>
    </row>
    <row r="45" spans="1:3" x14ac:dyDescent="0.25">
      <c r="A45" s="45" t="s">
        <v>2661</v>
      </c>
      <c r="B45" s="113">
        <v>381.78815000000003</v>
      </c>
      <c r="C45" s="40" t="s">
        <v>2616</v>
      </c>
    </row>
    <row r="46" spans="1:3" x14ac:dyDescent="0.25">
      <c r="A46" s="45" t="s">
        <v>2662</v>
      </c>
      <c r="B46" s="113">
        <v>7.0999999999999991E-4</v>
      </c>
      <c r="C46" s="40" t="s">
        <v>246</v>
      </c>
    </row>
    <row r="47" spans="1:3" x14ac:dyDescent="0.25">
      <c r="A47" s="45" t="s">
        <v>2663</v>
      </c>
      <c r="B47" s="113">
        <v>5.2363100000000005</v>
      </c>
      <c r="C47" s="40" t="s">
        <v>246</v>
      </c>
    </row>
    <row r="48" spans="1:3" x14ac:dyDescent="0.25">
      <c r="A48" t="s">
        <v>2613</v>
      </c>
    </row>
  </sheetData>
  <mergeCells count="1">
    <mergeCell ref="A4:C4"/>
  </mergeCells>
  <phoneticPr fontId="3" type="noConversion"/>
  <conditionalFormatting sqref="A8:C47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98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6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117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5" t="s">
        <v>118</v>
      </c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  <c r="N4" s="236"/>
      <c r="O4" s="237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7" t="s">
        <v>144</v>
      </c>
      <c r="B16" s="208"/>
      <c r="C16" s="208"/>
      <c r="D16" s="208"/>
      <c r="E16" s="208"/>
      <c r="F16" s="208"/>
      <c r="G16" s="208"/>
      <c r="H16" s="209"/>
      <c r="I16" s="210"/>
      <c r="J16" s="211"/>
      <c r="K16" s="212"/>
      <c r="L16" s="211"/>
      <c r="M16" s="213"/>
      <c r="N16" s="214"/>
      <c r="O16" s="215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פקדונות מעל 3 חודשים</vt:lpstr>
      <vt:lpstr>הלוואות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2025-05-21T19:11:24Z</dcterms:modified>
</cp:coreProperties>
</file>