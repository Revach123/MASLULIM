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FF086A99-68FF-4271-9677-4C6337E909FD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קונצרני'!$A$4:$T$17</definedName>
    <definedName name="_xlnm.Print_Area" localSheetId="9">אופציות!$A$4:$K$22</definedName>
    <definedName name="_xlnm.Print_Area" localSheetId="21">הלוואות!$A$4:$Q$138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עתידיים'!$A$4:$G$12</definedName>
    <definedName name="_xlnm.Print_Area" localSheetId="26">'יתרת התחייבות להשקעה'!$A$1:$B$24</definedName>
    <definedName name="_xlnm.Print_Area" localSheetId="8">'כתבי אופציה'!$A$4:$K$13</definedName>
    <definedName name="_xlnm.Print_Area" localSheetId="12">'לא סחיר- תעודות התחייבות ממשלתי'!$A$4:$O$163</definedName>
    <definedName name="_xlnm.Print_Area" localSheetId="14">'לא סחיר - אג"ח קונצרני'!$A$4:$R$23</definedName>
    <definedName name="_xlnm.Print_Area" localSheetId="18">'לא סחיר - אופציות'!$A$4:$K$21</definedName>
    <definedName name="_xlnm.Print_Area" localSheetId="19">'לא סחיר - חוזים עתידיים'!$A$4:$J$32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השקעה'!$A$4:$J$29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מזומנים!$A$4:$K$30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חודשים'!$A$4:$N$21</definedName>
    <definedName name="_xlnm.Print_Area" localSheetId="7">'קרנות נאמנות'!$A$4:$N$19</definedName>
    <definedName name="_xlnm.Print_Area" localSheetId="6">'קרנות סל'!$A$4:$M$21</definedName>
    <definedName name="_xlnm.Print_Area" localSheetId="2">'תעודות התחייבות ממשלתיות'!$A$4:$Q$19</definedName>
    <definedName name="_xlnm.Print_Area" localSheetId="3">'תעודות חוב מסחריות'!$A$4:$T$16</definedName>
    <definedName name="_xlnm.Print_Titles" localSheetId="1">מזומנים!$7:$7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4" l="1"/>
  <c r="J26" i="4"/>
  <c r="J25" i="4"/>
  <c r="J24" i="4"/>
  <c r="J19" i="4"/>
  <c r="J17" i="4"/>
  <c r="J18" i="4"/>
  <c r="J16" i="4"/>
  <c r="J15" i="4"/>
  <c r="J14" i="4"/>
  <c r="J13" i="4"/>
  <c r="I12" i="4"/>
  <c r="J12" i="4"/>
  <c r="J11" i="4"/>
  <c r="I9" i="4"/>
  <c r="I10" i="4"/>
  <c r="J10" i="4"/>
</calcChain>
</file>

<file path=xl/sharedStrings.xml><?xml version="1.0" encoding="utf-8"?>
<sst xmlns="http://schemas.openxmlformats.org/spreadsheetml/2006/main" count="5754" uniqueCount="1135">
  <si>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</si>
  <si>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</si>
  <si>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</si>
  <si>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</si>
  <si>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</si>
  <si>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</si>
  <si>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</si>
  <si>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</si>
  <si>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</si>
  <si>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</si>
  <si>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</si>
  <si>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</si>
  <si>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</si>
  <si>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</si>
  <si>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</si>
  <si>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</si>
  <si>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</si>
  <si>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</si>
  <si>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</si>
  <si>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</si>
  <si>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</si>
  <si>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</si>
  <si>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</si>
  <si>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</si>
  <si>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</si>
  <si>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</si>
  <si>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</si>
  <si>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</si>
  <si>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</si>
  <si>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</si>
  <si>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</si>
  <si>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</si>
  <si>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</si>
  <si>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</si>
  <si>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</si>
  <si>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</si>
  <si>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</si>
  <si>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</si>
  <si>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</si>
  <si>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</si>
  <si>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</si>
  <si>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</si>
  <si>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</si>
  <si>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</si>
  <si>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</si>
  <si>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</si>
  <si>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</si>
  <si>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</si>
  <si>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</si>
  <si>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</si>
  <si>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</si>
  <si>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</si>
  <si>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</si>
  <si>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</si>
  <si>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</si>
  <si>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</si>
  <si>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</si>
  <si>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</si>
  <si>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</si>
  <si>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</si>
  <si>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</si>
  <si>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</si>
  <si>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</si>
  <si>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</si>
  <si>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</si>
  <si>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</si>
  <si>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</si>
  <si>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</si>
  <si>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</si>
  <si>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</si>
  <si>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</si>
  <si>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</si>
  <si>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</si>
  <si>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</si>
  <si>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</si>
  <si>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</si>
  <si>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</si>
  <si>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</si>
  <si>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</si>
  <si>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</si>
  <si>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</si>
  <si>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</si>
  <si>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</si>
  <si>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</si>
  <si>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</si>
  <si>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</si>
  <si>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</si>
  <si>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</si>
  <si>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</si>
  <si>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</si>
  <si>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</si>
  <si>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</si>
  <si>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</si>
  <si>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</si>
  <si>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</si>
  <si>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</si>
  <si>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</si>
  <si>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</si>
  <si>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</si>
  <si>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</si>
  <si>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</si>
  <si>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</si>
  <si>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</si>
  <si>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</si>
  <si>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</si>
  <si>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</si>
  <si>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</si>
  <si>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</si>
  <si>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</si>
  <si>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</si>
  <si>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</si>
  <si>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</si>
  <si>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</si>
  <si>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</si>
  <si>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</si>
  <si>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</si>
  <si>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</si>
  <si>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</si>
  <si>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</si>
  <si>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</si>
  <si>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</si>
  <si>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</si>
  <si>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</si>
  <si>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</si>
  <si>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</si>
  <si>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</si>
  <si>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</si>
  <si>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</si>
  <si>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</si>
  <si>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</si>
  <si>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</si>
  <si>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</si>
  <si>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</si>
  <si>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</si>
  <si>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</si>
  <si>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</si>
  <si>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</si>
  <si>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</si>
  <si>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</si>
  <si>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</si>
  <si>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</si>
  <si>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</si>
  <si>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</si>
  <si>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</si>
  <si>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</si>
  <si>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</si>
  <si>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</si>
  <si>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</si>
  <si>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</si>
  <si>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</si>
  <si>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</si>
  <si>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</si>
  <si>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</si>
  <si>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</si>
  <si>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</si>
  <si>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</si>
  <si>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</si>
  <si>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</si>
  <si>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</si>
  <si>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</si>
  <si>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</si>
  <si>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</si>
  <si>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</si>
  <si>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</si>
  <si>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</si>
  <si>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</si>
  <si>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</si>
  <si>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</si>
  <si>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</si>
  <si>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</si>
  <si>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</si>
  <si>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</si>
  <si>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</si>
  <si>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</si>
  <si>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</si>
  <si>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</si>
  <si>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</si>
  <si>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</si>
  <si>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</si>
  <si>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</si>
  <si>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</si>
  <si>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</si>
  <si>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</si>
  <si>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</si>
  <si>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</si>
  <si>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</si>
  <si>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</si>
  <si>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</si>
  <si>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</si>
  <si>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</si>
  <si>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</si>
  <si>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</si>
  <si>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</si>
  <si>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</si>
  <si>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</si>
  <si>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</si>
  <si>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</si>
  <si>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</si>
  <si>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</si>
  <si>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</si>
  <si>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</si>
  <si>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</si>
  <si>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</si>
  <si>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</si>
  <si>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</si>
  <si>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</si>
  <si>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</si>
  <si>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</si>
  <si>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</si>
  <si>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</si>
  <si>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</si>
  <si>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</si>
  <si>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</si>
  <si>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</si>
  <si>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</si>
  <si>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</si>
  <si>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</si>
  <si>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</si>
  <si>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</si>
  <si>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</si>
  <si>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</si>
  <si>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</si>
  <si>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</si>
  <si>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</si>
  <si>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</si>
  <si>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</si>
  <si>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</si>
  <si>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</si>
  <si>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</si>
  <si>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</si>
  <si>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</si>
  <si>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</si>
  <si>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</si>
  <si>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</si>
  <si>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</si>
  <si>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</si>
  <si>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</si>
  <si>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כלל חברה לביטוח</t>
  </si>
  <si>
    <t>שם מסלול/קרן/קופה</t>
  </si>
  <si>
    <t>בר א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</si>
  <si>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</si>
  <si>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</si>
  <si>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</si>
  <si>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</si>
  <si>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</si>
  <si>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</si>
  <si>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</si>
  <si>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539</t>
  </si>
  <si>
    <t xml:space="preserve">סה"כ בישראל: </t>
  </si>
  <si>
    <t/>
  </si>
  <si>
    <t xml:space="preserve">יתרות מזומנים ועו"ש בש"ח </t>
  </si>
  <si>
    <t>30003140</t>
  </si>
  <si>
    <t>10</t>
  </si>
  <si>
    <t>ilAAA</t>
  </si>
  <si>
    <t>S&amp;P מעלות</t>
  </si>
  <si>
    <t>שקל חדש</t>
  </si>
  <si>
    <t>30009680</t>
  </si>
  <si>
    <t>20</t>
  </si>
  <si>
    <t>30020620</t>
  </si>
  <si>
    <t>12</t>
  </si>
  <si>
    <t>2992100</t>
  </si>
  <si>
    <t xml:space="preserve">יתרות מזומנים ועו"ש נקובים במט"ח </t>
  </si>
  <si>
    <t>30020640</t>
  </si>
  <si>
    <t>30049500</t>
  </si>
  <si>
    <t>26299210</t>
  </si>
  <si>
    <t>30020660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</si>
  <si>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</si>
  <si>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</si>
  <si>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</si>
  <si>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</si>
  <si>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</si>
  <si>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30049540</t>
  </si>
  <si>
    <t>30020740</t>
  </si>
  <si>
    <t xml:space="preserve">סה"כ בחו"ל: </t>
  </si>
  <si>
    <t>Cash Clal CW Hishtalmut US LP Carr בנק הפועלים בע"מ</t>
  </si>
  <si>
    <t>999999547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</si>
  <si>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</si>
  <si>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</si>
  <si>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</si>
  <si>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</si>
  <si>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</si>
  <si>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</si>
  <si>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</si>
  <si>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</si>
  <si>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</si>
  <si>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</si>
  <si>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</si>
  <si>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</si>
  <si>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</si>
  <si>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</si>
  <si>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</si>
  <si>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</si>
  <si>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</si>
  <si>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</si>
  <si>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</si>
  <si>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</si>
  <si>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</si>
  <si>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</si>
  <si>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</si>
  <si>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</si>
  <si>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</si>
  <si>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</si>
  <si>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</si>
  <si>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</si>
  <si>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C 1760 JUL</t>
  </si>
  <si>
    <t>84409317</t>
  </si>
  <si>
    <t>TASE</t>
  </si>
  <si>
    <t>P 1760 JUL</t>
  </si>
  <si>
    <t>84410018</t>
  </si>
  <si>
    <t>₪/מט"ח</t>
  </si>
  <si>
    <t>סה"כ ריבית</t>
  </si>
  <si>
    <t>סה"כ מטבע</t>
  </si>
  <si>
    <t>סה"כ סחורות</t>
  </si>
  <si>
    <t>ESU3 Index</t>
  </si>
  <si>
    <t>70168634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</si>
  <si>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</si>
  <si>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</si>
  <si>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</si>
  <si>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</si>
  <si>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</si>
  <si>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</si>
  <si>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</si>
  <si>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</si>
  <si>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</si>
  <si>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</si>
  <si>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</si>
  <si>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</si>
  <si>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חשב כללי 5.95 31/07/23</t>
  </si>
  <si>
    <t>878994003</t>
  </si>
  <si>
    <t>RF</t>
  </si>
  <si>
    <t>פנימי</t>
  </si>
  <si>
    <t>01/01/2008</t>
  </si>
  <si>
    <t>חשב כללי 5.95 31/08/23</t>
  </si>
  <si>
    <t>878994300</t>
  </si>
  <si>
    <t>חשב כללי 5.95 29/09/23</t>
  </si>
  <si>
    <t>878994607</t>
  </si>
  <si>
    <t>חשב כללי 5.95 31/10/23</t>
  </si>
  <si>
    <t>878994904</t>
  </si>
  <si>
    <t>חשב כללי 5.95 30/11/23</t>
  </si>
  <si>
    <t>878995208</t>
  </si>
  <si>
    <t>חשב כללי 5.95 31/12/23</t>
  </si>
  <si>
    <t>878995505</t>
  </si>
  <si>
    <t>חשב כללי 5.95 31/01/24</t>
  </si>
  <si>
    <t>878995802</t>
  </si>
  <si>
    <t>חשב כללי 5.95 28/02/24</t>
  </si>
  <si>
    <t>878996107</t>
  </si>
  <si>
    <t>חשב כללי 5.95 29/03/24</t>
  </si>
  <si>
    <t>878996404</t>
  </si>
  <si>
    <t>חשב כללי 5.95 30/04/24</t>
  </si>
  <si>
    <t>878996701</t>
  </si>
  <si>
    <t>חשב כללי 5.95 31/05/24</t>
  </si>
  <si>
    <t>878996909</t>
  </si>
  <si>
    <t>חשב כללי 5.95 28/06/24</t>
  </si>
  <si>
    <t>878997006</t>
  </si>
  <si>
    <t>חשב כללי 5.95 31/07/24</t>
  </si>
  <si>
    <t>878997105</t>
  </si>
  <si>
    <t>חשב כללי 5.95 30/08/24</t>
  </si>
  <si>
    <t>878997303</t>
  </si>
  <si>
    <t>חשב כללי 5.95 31/10/24</t>
  </si>
  <si>
    <t>878997808</t>
  </si>
  <si>
    <t>חשב כללי 5.95 29/11/24</t>
  </si>
  <si>
    <t>878998103</t>
  </si>
  <si>
    <t>חשב כללי 5.95 31/12/24</t>
  </si>
  <si>
    <t>878998707</t>
  </si>
  <si>
    <t>חשב כללי 5.95 31/01/25</t>
  </si>
  <si>
    <t>878999002</t>
  </si>
  <si>
    <t>31/01/2008</t>
  </si>
  <si>
    <t>חשב כללי 5.95 28/02/25</t>
  </si>
  <si>
    <t>878999309</t>
  </si>
  <si>
    <t>28/02/2008</t>
  </si>
  <si>
    <t>חשב כללי 5.95 31/03/25</t>
  </si>
  <si>
    <t>878999606</t>
  </si>
  <si>
    <t>31/03/2008</t>
  </si>
  <si>
    <t>חשב כללי 5.95 30/04/25</t>
  </si>
  <si>
    <t>878999804</t>
  </si>
  <si>
    <t>28/04/2008</t>
  </si>
  <si>
    <t>חשב כללי 5.95 30/06/25</t>
  </si>
  <si>
    <t>879000305</t>
  </si>
  <si>
    <t>30/06/2008</t>
  </si>
  <si>
    <t>חשב כללי 5.95 31/07/25</t>
  </si>
  <si>
    <t>879000503</t>
  </si>
  <si>
    <t>31/07/2008</t>
  </si>
  <si>
    <t>חשב כללי 5.95 31/08/25</t>
  </si>
  <si>
    <t>879000602</t>
  </si>
  <si>
    <t>31/08/2008</t>
  </si>
  <si>
    <t>חשב כללי 5.95 30/10/25</t>
  </si>
  <si>
    <t>879001204</t>
  </si>
  <si>
    <t>30/10/2008</t>
  </si>
  <si>
    <t>חשב כללי 5.95 30/11/25</t>
  </si>
  <si>
    <t>879001600</t>
  </si>
  <si>
    <t>30/11/2008</t>
  </si>
  <si>
    <t>חשב כללי 5.95 31/12/25</t>
  </si>
  <si>
    <t>879002004</t>
  </si>
  <si>
    <t>31/12/2008</t>
  </si>
  <si>
    <t>חשב כללי 5.95 30/01/26</t>
  </si>
  <si>
    <t>879002400</t>
  </si>
  <si>
    <t>29/01/2009</t>
  </si>
  <si>
    <t>חשב כללי 5.95 01/03/26</t>
  </si>
  <si>
    <t>879002806</t>
  </si>
  <si>
    <t>01/03/2009</t>
  </si>
  <si>
    <t>חשב כללי 5.95 31/03/26</t>
  </si>
  <si>
    <t>879003200</t>
  </si>
  <si>
    <t>31/03/2009</t>
  </si>
  <si>
    <t>חשב כללי 5.95 30/04/26</t>
  </si>
  <si>
    <t>879003705</t>
  </si>
  <si>
    <t>30/04/2009</t>
  </si>
  <si>
    <t>חשב כללי 5.95 31/05/26</t>
  </si>
  <si>
    <t>879004000</t>
  </si>
  <si>
    <t>31/05/2009</t>
  </si>
  <si>
    <t>חשב כללי 5.95 30/06/26</t>
  </si>
  <si>
    <t>879004109</t>
  </si>
  <si>
    <t>30/06/2009</t>
  </si>
  <si>
    <t>חשב כללי 5.95 31/07/26</t>
  </si>
  <si>
    <t>879004406</t>
  </si>
  <si>
    <t>29/07/2009</t>
  </si>
  <si>
    <t>חשב כללי 5.95 31/08/26</t>
  </si>
  <si>
    <t>879004703</t>
  </si>
  <si>
    <t>31/08/2009</t>
  </si>
  <si>
    <t>חשב כללי 5.95 30/09/26</t>
  </si>
  <si>
    <t>879005007</t>
  </si>
  <si>
    <t>30/09/2009</t>
  </si>
  <si>
    <t>חשב כללי 5.95 31/10/26</t>
  </si>
  <si>
    <t>879005106</t>
  </si>
  <si>
    <t>29/10/2009</t>
  </si>
  <si>
    <t>חשב כללי 5.95 30/11/26</t>
  </si>
  <si>
    <t>879006203</t>
  </si>
  <si>
    <t>30/11/2009</t>
  </si>
  <si>
    <t>חשב כללי 5.95 31/12/26</t>
  </si>
  <si>
    <t>879006609</t>
  </si>
  <si>
    <t>31/12/2009</t>
  </si>
  <si>
    <t>חשב כללי 5.95 31/01/27</t>
  </si>
  <si>
    <t>879007003</t>
  </si>
  <si>
    <t>31/01/2010</t>
  </si>
  <si>
    <t>חשב כללי 5.95 01/03/27</t>
  </si>
  <si>
    <t>879007409</t>
  </si>
  <si>
    <t>01/03/2010</t>
  </si>
  <si>
    <t>חשב כללי 5.95 31/03/27</t>
  </si>
  <si>
    <t>879007508</t>
  </si>
  <si>
    <t>31/03/2010</t>
  </si>
  <si>
    <t>חשב כללי 5.95 30/04/27</t>
  </si>
  <si>
    <t>879007904</t>
  </si>
  <si>
    <t>29/04/2010</t>
  </si>
  <si>
    <t>חשב כללי 5.95 31/05/27</t>
  </si>
  <si>
    <t>879008001</t>
  </si>
  <si>
    <t>31/05/2010</t>
  </si>
  <si>
    <t>חשב כללי 5.95 30/06/27</t>
  </si>
  <si>
    <t>879008308</t>
  </si>
  <si>
    <t>30/06/2010</t>
  </si>
  <si>
    <t>חשב כללי 5.95 01/08/27</t>
  </si>
  <si>
    <t>879008407</t>
  </si>
  <si>
    <t>01/08/2010</t>
  </si>
  <si>
    <t>חשב כללי 5.95 31/08/27</t>
  </si>
  <si>
    <t>879008506</t>
  </si>
  <si>
    <t>31/08/2010</t>
  </si>
  <si>
    <t>חשב כללי 5.95 29/09/27</t>
  </si>
  <si>
    <t>879008605</t>
  </si>
  <si>
    <t>28/09/2010</t>
  </si>
  <si>
    <t>חשב כללי 5.95 31/10/27</t>
  </si>
  <si>
    <t>879008704</t>
  </si>
  <si>
    <t>31/10/2010</t>
  </si>
  <si>
    <t>חשב כללי 5.95 30/11/27</t>
  </si>
  <si>
    <t>879008803</t>
  </si>
  <si>
    <t>30/11/2010</t>
  </si>
  <si>
    <t>חשב כללי 5.95 31/12/27</t>
  </si>
  <si>
    <t>879008902</t>
  </si>
  <si>
    <t>29/12/2010</t>
  </si>
  <si>
    <t>חשב כללי 5.95 31/01/28</t>
  </si>
  <si>
    <t>879009009</t>
  </si>
  <si>
    <t>31/01/2011</t>
  </si>
  <si>
    <t>חשב כללי 5.95 28/02/28</t>
  </si>
  <si>
    <t>879009108</t>
  </si>
  <si>
    <t>28/02/2011</t>
  </si>
  <si>
    <t>חשב כללי 5.95 31/03/28</t>
  </si>
  <si>
    <t>879009207</t>
  </si>
  <si>
    <t>31/03/2011</t>
  </si>
  <si>
    <t>חשב כללי 5.95 29/04/28</t>
  </si>
  <si>
    <t>879009306</t>
  </si>
  <si>
    <t>28/04/2011</t>
  </si>
  <si>
    <t>חשב כללי 5.95 31/05/28</t>
  </si>
  <si>
    <t>879009405</t>
  </si>
  <si>
    <t>31/05/2011</t>
  </si>
  <si>
    <t>חשב כללי 5.95 31/07/28</t>
  </si>
  <si>
    <t>879009504</t>
  </si>
  <si>
    <t>31/07/2011</t>
  </si>
  <si>
    <t>חשב כללי 5.95 01/11/28</t>
  </si>
  <si>
    <t>879009603</t>
  </si>
  <si>
    <t>31/10/2011</t>
  </si>
  <si>
    <t>חשב כללי 5.95 30/11/28</t>
  </si>
  <si>
    <t>879009702</t>
  </si>
  <si>
    <t>30/11/2011</t>
  </si>
  <si>
    <t>חשב כללי 5.95 31/12/28</t>
  </si>
  <si>
    <t>879009801</t>
  </si>
  <si>
    <t>29/12/2011</t>
  </si>
  <si>
    <t>חשב כללי 5.95 31/01/29</t>
  </si>
  <si>
    <t>879009900</t>
  </si>
  <si>
    <t>31/01/2012</t>
  </si>
  <si>
    <t>חשב כללי 5.95 28/02/29</t>
  </si>
  <si>
    <t>800000051</t>
  </si>
  <si>
    <t>07/03/2012</t>
  </si>
  <si>
    <t>חשב כללי 5.95 29/03/29</t>
  </si>
  <si>
    <t>800000119</t>
  </si>
  <si>
    <t>29/03/2012</t>
  </si>
  <si>
    <t>חשב כללי 5.95 30/04/29</t>
  </si>
  <si>
    <t>800000259</t>
  </si>
  <si>
    <t>30/04/2012</t>
  </si>
  <si>
    <t>חשב כללי 5.95 31/05/29</t>
  </si>
  <si>
    <t>800000390</t>
  </si>
  <si>
    <t>31/05/2012</t>
  </si>
  <si>
    <t>חשב כללי 5.95 30/06/29</t>
  </si>
  <si>
    <t>800000507</t>
  </si>
  <si>
    <t>28/06/2012</t>
  </si>
  <si>
    <t>חשב כללי 5.95 30/08/29</t>
  </si>
  <si>
    <t>800001851</t>
  </si>
  <si>
    <t>30/08/2012</t>
  </si>
  <si>
    <t>חשב כללי 5.95 27/09/29</t>
  </si>
  <si>
    <t>800060113</t>
  </si>
  <si>
    <t>27/09/2012</t>
  </si>
  <si>
    <t>חשב כללי 5.95 31/10/29</t>
  </si>
  <si>
    <t>800060212</t>
  </si>
  <si>
    <t>31/10/2012</t>
  </si>
  <si>
    <t>חשב כללי 5.95 31/12/29</t>
  </si>
  <si>
    <t>800060741</t>
  </si>
  <si>
    <t>30/12/2012</t>
  </si>
  <si>
    <t>חשב כללי 5.95 31/01/30</t>
  </si>
  <si>
    <t>800061079</t>
  </si>
  <si>
    <t>31/01/2013</t>
  </si>
  <si>
    <t>חשב כללי 5.95 28/02/30</t>
  </si>
  <si>
    <t>800061152</t>
  </si>
  <si>
    <t>28/02/2013</t>
  </si>
  <si>
    <t>חשב כללי 5.95 31/03/30</t>
  </si>
  <si>
    <t>800061319</t>
  </si>
  <si>
    <t>28/03/2013</t>
  </si>
  <si>
    <t>חשב כללי 5.95 31/05/30</t>
  </si>
  <si>
    <t>800061483</t>
  </si>
  <si>
    <t>30/05/2013</t>
  </si>
  <si>
    <t>חשב כללי 5.95 30/06/30</t>
  </si>
  <si>
    <t>800062200</t>
  </si>
  <si>
    <t>30/06/2013</t>
  </si>
  <si>
    <t>חשב כללי 5.95 31/07/30</t>
  </si>
  <si>
    <t>800062606</t>
  </si>
  <si>
    <t>31/07/2013</t>
  </si>
  <si>
    <t>חשב כללי 5.95 31/08/30</t>
  </si>
  <si>
    <t>800062762</t>
  </si>
  <si>
    <t>29/08/2013</t>
  </si>
  <si>
    <t>חשב כללי 5.95 31/10/30</t>
  </si>
  <si>
    <t>800063729</t>
  </si>
  <si>
    <t>30/10/2013</t>
  </si>
  <si>
    <t>חשב כללי 5.95 30/11/30</t>
  </si>
  <si>
    <t>800063919</t>
  </si>
  <si>
    <t>28/11/2013</t>
  </si>
  <si>
    <t>חשב כללי 5.95 31/12/30</t>
  </si>
  <si>
    <t>800064537</t>
  </si>
  <si>
    <t>31/12/2013</t>
  </si>
  <si>
    <t>חשב כללי 5.95 31/01/31</t>
  </si>
  <si>
    <t>800064883</t>
  </si>
  <si>
    <t>30/01/2014</t>
  </si>
  <si>
    <t>חשב כללי 5.95 28/02/31</t>
  </si>
  <si>
    <t>800065187</t>
  </si>
  <si>
    <t>27/02/2014</t>
  </si>
  <si>
    <t>חשב כללי 5.95 31/03/31</t>
  </si>
  <si>
    <t>800065443</t>
  </si>
  <si>
    <t>31/03/2014</t>
  </si>
  <si>
    <t>חשב כללי 5.95 30/04/31</t>
  </si>
  <si>
    <t>800066128</t>
  </si>
  <si>
    <t>30/04/2014</t>
  </si>
  <si>
    <t>חשב כללי 5.95 30/05/31</t>
  </si>
  <si>
    <t>800066235</t>
  </si>
  <si>
    <t>29/05/2014</t>
  </si>
  <si>
    <t>חשב כללי 5.95 30/06/31</t>
  </si>
  <si>
    <t>800066342</t>
  </si>
  <si>
    <t>30/06/2014</t>
  </si>
  <si>
    <t>חשב כללי 5.95 31/07/31</t>
  </si>
  <si>
    <t>800066581</t>
  </si>
  <si>
    <t>31/07/2014</t>
  </si>
  <si>
    <t>חשב כללי 5.95 31/08/31</t>
  </si>
  <si>
    <t>800066714</t>
  </si>
  <si>
    <t>31/08/2014</t>
  </si>
  <si>
    <t>חשב כללי 5.95 30/09/31</t>
  </si>
  <si>
    <t>800066821</t>
  </si>
  <si>
    <t>30/09/2014</t>
  </si>
  <si>
    <t>חשב כללי 5.95 31/10/31</t>
  </si>
  <si>
    <t>800066904</t>
  </si>
  <si>
    <t>30/10/2014</t>
  </si>
  <si>
    <t>חשב כללי 5.95 30/11/31</t>
  </si>
  <si>
    <t>800067092</t>
  </si>
  <si>
    <t>30/11/2014</t>
  </si>
  <si>
    <t>חשב כללי 5.95 31/12/31</t>
  </si>
  <si>
    <t>800067258</t>
  </si>
  <si>
    <t>31/12/2014</t>
  </si>
  <si>
    <t>חשב כללי 5.95 31/01/32</t>
  </si>
  <si>
    <t>800067431</t>
  </si>
  <si>
    <t>29/01/2015</t>
  </si>
  <si>
    <t>חשב כללי 5.95 27/02/32</t>
  </si>
  <si>
    <t>800067639</t>
  </si>
  <si>
    <t>26/02/2015</t>
  </si>
  <si>
    <t>חשב כללי 5.95 31/03/32</t>
  </si>
  <si>
    <t>800067811</t>
  </si>
  <si>
    <t>30/03/2015</t>
  </si>
  <si>
    <t>חשב כללי 5.95 30/04/32</t>
  </si>
  <si>
    <t>800067910</t>
  </si>
  <si>
    <t>30/04/2015</t>
  </si>
  <si>
    <t>חשב כללי 5.95 31/05/32</t>
  </si>
  <si>
    <t>800068967</t>
  </si>
  <si>
    <t>31/05/2015</t>
  </si>
  <si>
    <t>חשב כללי 5.95 30/06/32</t>
  </si>
  <si>
    <t>800069031</t>
  </si>
  <si>
    <t>30/06/2015</t>
  </si>
  <si>
    <t>חשב כללי 5.95 30/07/32</t>
  </si>
  <si>
    <t>800069395</t>
  </si>
  <si>
    <t>30/07/2015</t>
  </si>
  <si>
    <t>חשב כללי 5.95 31/08/32</t>
  </si>
  <si>
    <t>800069536</t>
  </si>
  <si>
    <t>31/08/2015</t>
  </si>
  <si>
    <t>חשב כללי 5.95 30/09/32</t>
  </si>
  <si>
    <t>800069692</t>
  </si>
  <si>
    <t>30/09/2015</t>
  </si>
  <si>
    <t>חשב כללי 5.95 30/11/32</t>
  </si>
  <si>
    <t>800069916</t>
  </si>
  <si>
    <t>30/11/2015</t>
  </si>
  <si>
    <t>חשב כללי 5.95 31/12/32</t>
  </si>
  <si>
    <t>800070112</t>
  </si>
  <si>
    <t>31/12/2015</t>
  </si>
  <si>
    <t>חשב כללי 5.95 31/01/33</t>
  </si>
  <si>
    <t>800070237</t>
  </si>
  <si>
    <t>31/01/2016</t>
  </si>
  <si>
    <t>חשב כללי 5.95 28/02/33</t>
  </si>
  <si>
    <t>800070336</t>
  </si>
  <si>
    <t>29/02/2016</t>
  </si>
  <si>
    <t>חשב כללי 5.95 31/03/33</t>
  </si>
  <si>
    <t>800070492</t>
  </si>
  <si>
    <t>31/03/2016</t>
  </si>
  <si>
    <t>חשב כללי 5.95 30/04/33</t>
  </si>
  <si>
    <t>800070716</t>
  </si>
  <si>
    <t>28/04/2016</t>
  </si>
  <si>
    <t>חשב כללי 5.95 30/12/33</t>
  </si>
  <si>
    <t>800072035</t>
  </si>
  <si>
    <t>29/12/2016</t>
  </si>
  <si>
    <t>חשב כללי 5.95 31/01/34</t>
  </si>
  <si>
    <t>800072290</t>
  </si>
  <si>
    <t>31/01/2017</t>
  </si>
  <si>
    <t>חשב כללי 5.95 28/02/34</t>
  </si>
  <si>
    <t>800072365</t>
  </si>
  <si>
    <t>28/02/2017</t>
  </si>
  <si>
    <t>חשב כללי 5.95 31/03/34</t>
  </si>
  <si>
    <t>800072597</t>
  </si>
  <si>
    <t>30/03/2017</t>
  </si>
  <si>
    <t>חשב כללי 5.95 30/04/34</t>
  </si>
  <si>
    <t>800072779</t>
  </si>
  <si>
    <t>30/04/2017</t>
  </si>
  <si>
    <t>חשב כללי 5.95 30/05/34</t>
  </si>
  <si>
    <t>800072951</t>
  </si>
  <si>
    <t>29/05/2017</t>
  </si>
  <si>
    <t>חשב כללי 5.95 30/06/34</t>
  </si>
  <si>
    <t>800073223</t>
  </si>
  <si>
    <t>28/06/2017</t>
  </si>
  <si>
    <t>חשב כללי 5.95 31/10/34</t>
  </si>
  <si>
    <t>800074254</t>
  </si>
  <si>
    <t>31/10/2017</t>
  </si>
  <si>
    <t>חשב כללי 5.95 31/12/34</t>
  </si>
  <si>
    <t>800074866</t>
  </si>
  <si>
    <t>31/12/2017</t>
  </si>
  <si>
    <t>חשב כללי 5.95 31/01/35</t>
  </si>
  <si>
    <t>71124440</t>
  </si>
  <si>
    <t>31/01/2018</t>
  </si>
  <si>
    <t>חשב כללי 5.95 28/02/35</t>
  </si>
  <si>
    <t>71124457</t>
  </si>
  <si>
    <t>28/02/2018</t>
  </si>
  <si>
    <t>חשב כללי מדד בגין 5.95 30/11/35</t>
  </si>
  <si>
    <t>71124788</t>
  </si>
  <si>
    <t>29/11/2018</t>
  </si>
  <si>
    <t>חשב כללי 5.95 31/12/35</t>
  </si>
  <si>
    <t>71124846</t>
  </si>
  <si>
    <t>31/12/2018</t>
  </si>
  <si>
    <t>71124978</t>
  </si>
  <si>
    <t>31/01/2019</t>
  </si>
  <si>
    <t>חשב כללי 5.95 28/02/36</t>
  </si>
  <si>
    <t>71125058</t>
  </si>
  <si>
    <t>28/02/2019</t>
  </si>
  <si>
    <t>חשב כללי 5.95 31/03/36</t>
  </si>
  <si>
    <t>71125124</t>
  </si>
  <si>
    <t>31/03/2019</t>
  </si>
  <si>
    <t>חשב כללי 5.95 30/04/36</t>
  </si>
  <si>
    <t>71125199</t>
  </si>
  <si>
    <t>30/04/2019</t>
  </si>
  <si>
    <t>חשב כללי 5.95 31/05/36</t>
  </si>
  <si>
    <t>71125264</t>
  </si>
  <si>
    <t>31/05/2019</t>
  </si>
  <si>
    <t>חשב כללי 5.95 30/06/36</t>
  </si>
  <si>
    <t>71125280</t>
  </si>
  <si>
    <t>30/06/2019</t>
  </si>
  <si>
    <t>חשב כללי 5.95 30/08/36</t>
  </si>
  <si>
    <t>71125371</t>
  </si>
  <si>
    <t>30/08/2019</t>
  </si>
  <si>
    <t>חשב כללי 5.95 31/10/36</t>
  </si>
  <si>
    <t>71125413</t>
  </si>
  <si>
    <t>31/10/2019</t>
  </si>
  <si>
    <t>חשב כללי מדד בגין  5.95 30/11/36</t>
  </si>
  <si>
    <t>71125447</t>
  </si>
  <si>
    <t>29/11/2019</t>
  </si>
  <si>
    <t>חשב כללי 5.95 31/12/36</t>
  </si>
  <si>
    <t>71125470</t>
  </si>
  <si>
    <t>31/12/2019</t>
  </si>
  <si>
    <t>חשב כללי 5.95 31/01/37</t>
  </si>
  <si>
    <t>71125496</t>
  </si>
  <si>
    <t>31/01/2020</t>
  </si>
  <si>
    <t>חשב כללי 5.95 28/02/37</t>
  </si>
  <si>
    <t>71125538</t>
  </si>
  <si>
    <t>28/02/2020</t>
  </si>
  <si>
    <t>חשב כללי 5.95 31/03/37</t>
  </si>
  <si>
    <t>71125595</t>
  </si>
  <si>
    <t>31/03/2020</t>
  </si>
  <si>
    <t>חשב כללי 5.95 31/12/37</t>
  </si>
  <si>
    <t>71126221</t>
  </si>
  <si>
    <t>31/12/2020</t>
  </si>
  <si>
    <t>חשב כללי 5.95 31/01/38</t>
  </si>
  <si>
    <t>71126304</t>
  </si>
  <si>
    <t>31/01/2021</t>
  </si>
  <si>
    <t>חשב כללי 5.95 28/02/38</t>
  </si>
  <si>
    <t>71126338</t>
  </si>
  <si>
    <t>28/02/2021</t>
  </si>
  <si>
    <t>חשב כללי 5.95 31/03/38</t>
  </si>
  <si>
    <t>71126361</t>
  </si>
  <si>
    <t>31/03/2021</t>
  </si>
  <si>
    <t>חשב כללי 5.95 30/04/38</t>
  </si>
  <si>
    <t>71126411</t>
  </si>
  <si>
    <t>30/04/2021</t>
  </si>
  <si>
    <t>חשב כללי 5.95 31/12/38</t>
  </si>
  <si>
    <t>71127005</t>
  </si>
  <si>
    <t>31/12/2021</t>
  </si>
  <si>
    <t>חשב כללי 5.95 31/01/39</t>
  </si>
  <si>
    <t>71127047</t>
  </si>
  <si>
    <t>31/01/2022</t>
  </si>
  <si>
    <t>חשב כללי 5.95 28/02/39</t>
  </si>
  <si>
    <t>71127112</t>
  </si>
  <si>
    <t>28/02/2022</t>
  </si>
  <si>
    <t>חשב כללי 5.95 30/12/39</t>
  </si>
  <si>
    <t>71127500</t>
  </si>
  <si>
    <t>30/12/2022</t>
  </si>
  <si>
    <t>חשב כללי 5.95 31/01/40</t>
  </si>
  <si>
    <t>71127534</t>
  </si>
  <si>
    <t>31/01/2023</t>
  </si>
  <si>
    <t>חשב כללי 5.95 28/02/40</t>
  </si>
  <si>
    <t>71127583</t>
  </si>
  <si>
    <t>28/02/2023</t>
  </si>
  <si>
    <t>חשב כללי 5.95 31/03/40</t>
  </si>
  <si>
    <t>71127617</t>
  </si>
  <si>
    <t>31/03/2023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</si>
  <si>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</si>
  <si>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</si>
  <si>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</si>
  <si>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</si>
  <si>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</si>
  <si>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</si>
  <si>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</si>
  <si>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</si>
  <si>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</si>
  <si>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</si>
  <si>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513937714</t>
  </si>
  <si>
    <t>Aa3.il</t>
  </si>
  <si>
    <t>מידרוג</t>
  </si>
  <si>
    <t>02/04/2014</t>
  </si>
  <si>
    <t>ש"ה לאומי 6.60%  24/01/27</t>
  </si>
  <si>
    <t>864013800</t>
  </si>
  <si>
    <t>520018078</t>
  </si>
  <si>
    <t>ilAA+</t>
  </si>
  <si>
    <t>ש"ה דיסקונט 4.14% 24/03/26</t>
  </si>
  <si>
    <t>999999762</t>
  </si>
  <si>
    <t>520007030</t>
  </si>
  <si>
    <t>Aa1.il</t>
  </si>
  <si>
    <t>03/03/2011</t>
  </si>
  <si>
    <t>וי.אי.די התפלת מי אשקלון מאוחד 07/06 נשר</t>
  </si>
  <si>
    <t>1097997</t>
  </si>
  <si>
    <t>513365098</t>
  </si>
  <si>
    <t>ilAA</t>
  </si>
  <si>
    <t>06/07/2006</t>
  </si>
  <si>
    <t>מקורות אגח 8 רצף מוסדי פרמיה</t>
  </si>
  <si>
    <t>11243465</t>
  </si>
  <si>
    <t>520010869</t>
  </si>
  <si>
    <t>11/01/2023</t>
  </si>
  <si>
    <t>מקס איט כתב התחייבות ב רצף מוסדי</t>
  </si>
  <si>
    <t>1156223</t>
  </si>
  <si>
    <t>512905423</t>
  </si>
  <si>
    <t>A1.il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</si>
  <si>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</si>
  <si>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</si>
  <si>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</si>
  <si>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</si>
  <si>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</si>
  <si>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</si>
  <si>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</si>
  <si>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</si>
  <si>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Reality Debt Fund</t>
  </si>
  <si>
    <t>89338</t>
  </si>
  <si>
    <t>31/03/2022</t>
  </si>
  <si>
    <t>סה"כ קרנות השקעה בחו"ל</t>
  </si>
  <si>
    <t>CIFC CLO Opportunity Fund</t>
  </si>
  <si>
    <t>KYG2191F1046</t>
  </si>
  <si>
    <t>28/06/2023</t>
  </si>
  <si>
    <t>HGI Multifamily Credit Fund</t>
  </si>
  <si>
    <t>89380</t>
  </si>
  <si>
    <t>15/06/2022</t>
  </si>
  <si>
    <t>Northwind Healthcare Debt Fund I</t>
  </si>
  <si>
    <t>89413</t>
  </si>
  <si>
    <t>19/01/2023</t>
  </si>
  <si>
    <t>Electra Capital PM II</t>
  </si>
  <si>
    <t>89414</t>
  </si>
  <si>
    <t>26/01/2023</t>
  </si>
  <si>
    <t>MV Subordinated V Feeder</t>
  </si>
  <si>
    <t>89395</t>
  </si>
  <si>
    <t>12/09/2022</t>
  </si>
  <si>
    <t>Madison Realty Capital Debt Fund VI</t>
  </si>
  <si>
    <t>89404</t>
  </si>
  <si>
    <t>22/11/2022</t>
  </si>
  <si>
    <t>Clal Hamilton Lane Credit International Fund</t>
  </si>
  <si>
    <t>89415</t>
  </si>
  <si>
    <t>01/02/2023</t>
  </si>
  <si>
    <t>Clal Hamilton Lane Credit Int Scope JV</t>
  </si>
  <si>
    <t>89417</t>
  </si>
  <si>
    <t>Clal Hamilton Lane Credit International SOVII JV</t>
  </si>
  <si>
    <t>89426</t>
  </si>
  <si>
    <t>08/05/2023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</si>
  <si>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</si>
  <si>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</si>
  <si>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</si>
  <si>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</si>
  <si>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</si>
  <si>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</si>
  <si>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</si>
  <si>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</si>
  <si>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18/10/2023 - USD</t>
  </si>
  <si>
    <t>445269596</t>
  </si>
  <si>
    <t>09/05/2023</t>
  </si>
  <si>
    <t>FW EURUSD 18/10/2023 - EUR</t>
  </si>
  <si>
    <t>445269597</t>
  </si>
  <si>
    <t>FW USDILS 19/07/2023 - ILS</t>
  </si>
  <si>
    <t>445268960</t>
  </si>
  <si>
    <t>01/05/2023</t>
  </si>
  <si>
    <t>FW USDILS 19/07/2023 - USD</t>
  </si>
  <si>
    <t>445268961</t>
  </si>
  <si>
    <t>445270812</t>
  </si>
  <si>
    <t>15/05/2023</t>
  </si>
  <si>
    <t>445270813</t>
  </si>
  <si>
    <t>FW USDILS 06/12/2023 - ILS</t>
  </si>
  <si>
    <t>445273318</t>
  </si>
  <si>
    <t>20/06/2023</t>
  </si>
  <si>
    <t>FW USDILS 06/12/2023 - USD</t>
  </si>
  <si>
    <t>445273319</t>
  </si>
  <si>
    <t>445274096</t>
  </si>
  <si>
    <t>22/06/2023</t>
  </si>
  <si>
    <t>445274097</t>
  </si>
  <si>
    <t>445274510</t>
  </si>
  <si>
    <t>29/06/2023</t>
  </si>
  <si>
    <t>445274511</t>
  </si>
  <si>
    <t>סה"כ חוזים עתידיים בחו"ל</t>
  </si>
  <si>
    <t>סה"כ כנגד חסכון עמיתים/מבוטחים</t>
  </si>
  <si>
    <t>סה"כ מובטחות במשכנתא או תיקי משכנתאות</t>
  </si>
  <si>
    <t>2080407</t>
  </si>
  <si>
    <t>NR</t>
  </si>
  <si>
    <t>23/12/2019</t>
  </si>
  <si>
    <t>2080408</t>
  </si>
  <si>
    <t>2080409</t>
  </si>
  <si>
    <t>2080410</t>
  </si>
  <si>
    <t>20802613</t>
  </si>
  <si>
    <t>24/11/2020</t>
  </si>
  <si>
    <t>20802614</t>
  </si>
  <si>
    <t>20802615</t>
  </si>
  <si>
    <t>2080450</t>
  </si>
  <si>
    <t>15/03/2023</t>
  </si>
  <si>
    <t>2080696</t>
  </si>
  <si>
    <t>2080697</t>
  </si>
  <si>
    <t>2080698</t>
  </si>
  <si>
    <t>2080411</t>
  </si>
  <si>
    <t>2080412</t>
  </si>
  <si>
    <t>2080375</t>
  </si>
  <si>
    <t>2080376</t>
  </si>
  <si>
    <t>2080448</t>
  </si>
  <si>
    <t>2080449</t>
  </si>
  <si>
    <t>סה"כ מובטחות בבטחונות אחרים</t>
  </si>
  <si>
    <t>כן</t>
  </si>
  <si>
    <t>2080421</t>
  </si>
  <si>
    <t>ilAA-</t>
  </si>
  <si>
    <t>02/02/2020</t>
  </si>
  <si>
    <t>2080427</t>
  </si>
  <si>
    <t>09/07/2020</t>
  </si>
  <si>
    <t>2080428</t>
  </si>
  <si>
    <t>21/09/2020</t>
  </si>
  <si>
    <t>2080439</t>
  </si>
  <si>
    <t>09/11/2020</t>
  </si>
  <si>
    <t>2080440</t>
  </si>
  <si>
    <t>12/04/2021</t>
  </si>
  <si>
    <t>2080533</t>
  </si>
  <si>
    <t>ilA+</t>
  </si>
  <si>
    <t>29/06/2021</t>
  </si>
  <si>
    <t>2080538</t>
  </si>
  <si>
    <t>07/07/2021</t>
  </si>
  <si>
    <t>2080445</t>
  </si>
  <si>
    <t>08/07/2021</t>
  </si>
  <si>
    <t>2080540</t>
  </si>
  <si>
    <t>28/07/2021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</si>
  <si>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</si>
  <si>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</si>
  <si>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</si>
  <si>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</si>
  <si>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</si>
  <si>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</si>
  <si>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</si>
  <si>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</si>
  <si>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</si>
  <si>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</si>
  <si>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</si>
  <si>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</si>
  <si>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2080556</t>
  </si>
  <si>
    <t>24/11/2021</t>
  </si>
  <si>
    <t>2080562</t>
  </si>
  <si>
    <t>27/12/2021</t>
  </si>
  <si>
    <t>2080566</t>
  </si>
  <si>
    <t>06/01/2022</t>
  </si>
  <si>
    <t>2080568</t>
  </si>
  <si>
    <t>10/01/2022</t>
  </si>
  <si>
    <t>2080569</t>
  </si>
  <si>
    <t>17/01/2022</t>
  </si>
  <si>
    <t>2080584</t>
  </si>
  <si>
    <t>13/03/2022</t>
  </si>
  <si>
    <t>2080589</t>
  </si>
  <si>
    <t>23/03/2022</t>
  </si>
  <si>
    <t>2080590</t>
  </si>
  <si>
    <t>24/03/2022</t>
  </si>
  <si>
    <t>2080598</t>
  </si>
  <si>
    <t>01/05/2022</t>
  </si>
  <si>
    <t>2080604</t>
  </si>
  <si>
    <t>18/05/2022</t>
  </si>
  <si>
    <t>2080606</t>
  </si>
  <si>
    <t>01/06/2022</t>
  </si>
  <si>
    <t>2080626</t>
  </si>
  <si>
    <t>03/07/2022</t>
  </si>
  <si>
    <t>2080645</t>
  </si>
  <si>
    <t>19/09/2022</t>
  </si>
  <si>
    <t>2080646</t>
  </si>
  <si>
    <t>2080656</t>
  </si>
  <si>
    <t>ilBBB+</t>
  </si>
  <si>
    <t>03/10/2022</t>
  </si>
  <si>
    <t>2080547</t>
  </si>
  <si>
    <t>25/10/2022</t>
  </si>
  <si>
    <t>2080663</t>
  </si>
  <si>
    <t>17/11/2022</t>
  </si>
  <si>
    <t>2080664</t>
  </si>
  <si>
    <t>2080668</t>
  </si>
  <si>
    <t>01/12/2022</t>
  </si>
  <si>
    <t>2080680</t>
  </si>
  <si>
    <t>16/01/2023</t>
  </si>
  <si>
    <t>2080684</t>
  </si>
  <si>
    <t>19/02/2023</t>
  </si>
  <si>
    <t>2080685</t>
  </si>
  <si>
    <t>2080689</t>
  </si>
  <si>
    <t>26/02/2023</t>
  </si>
  <si>
    <t>2080690</t>
  </si>
  <si>
    <t>2080695</t>
  </si>
  <si>
    <t>01/03/2023</t>
  </si>
  <si>
    <t>2080693</t>
  </si>
  <si>
    <t>08/03/2023</t>
  </si>
  <si>
    <t>2080710</t>
  </si>
  <si>
    <t>13/04/2023</t>
  </si>
  <si>
    <t>2080711</t>
  </si>
  <si>
    <t>17/04/2023</t>
  </si>
  <si>
    <t>2080712</t>
  </si>
  <si>
    <t>02/04/2023</t>
  </si>
  <si>
    <t>2080726</t>
  </si>
  <si>
    <t>29/05/2023</t>
  </si>
  <si>
    <t>2080727</t>
  </si>
  <si>
    <t>2080728</t>
  </si>
  <si>
    <t>30/05/2023</t>
  </si>
  <si>
    <t>2080732</t>
  </si>
  <si>
    <t>15/06/2023</t>
  </si>
  <si>
    <t>2080733</t>
  </si>
  <si>
    <t>2080734</t>
  </si>
  <si>
    <t>2070153</t>
  </si>
  <si>
    <t>17/09/2015</t>
  </si>
  <si>
    <t>2070295</t>
  </si>
  <si>
    <t>04/09/2017</t>
  </si>
  <si>
    <t>2070296</t>
  </si>
  <si>
    <t>2080451</t>
  </si>
  <si>
    <t>29/05/2019</t>
  </si>
  <si>
    <t>20803950</t>
  </si>
  <si>
    <t>ilA-</t>
  </si>
  <si>
    <t>29/07/2019</t>
  </si>
  <si>
    <t>20702019</t>
  </si>
  <si>
    <t>A3.il</t>
  </si>
  <si>
    <t>26/12/2019</t>
  </si>
  <si>
    <t>20702022</t>
  </si>
  <si>
    <t>01/01/2020</t>
  </si>
  <si>
    <t>2080521</t>
  </si>
  <si>
    <t>25/04/2021</t>
  </si>
  <si>
    <t>2080522</t>
  </si>
  <si>
    <t>2080574</t>
  </si>
  <si>
    <t>03/02/2022</t>
  </si>
  <si>
    <t>2080622</t>
  </si>
  <si>
    <t>23/06/2022</t>
  </si>
  <si>
    <t>2080632</t>
  </si>
  <si>
    <t>01/08/2022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</si>
  <si>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</si>
  <si>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</si>
  <si>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</si>
  <si>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</si>
  <si>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</si>
  <si>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</si>
  <si>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</si>
  <si>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</si>
  <si>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</si>
  <si>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</si>
  <si>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</si>
  <si>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</si>
  <si>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</si>
  <si>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</si>
  <si>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</si>
  <si>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BBB+</t>
  </si>
  <si>
    <t>18/01/2023</t>
  </si>
  <si>
    <t>2080724</t>
  </si>
  <si>
    <t>11/05/2023</t>
  </si>
  <si>
    <t>2080731</t>
  </si>
  <si>
    <t>31/05/2023</t>
  </si>
  <si>
    <t>90554201</t>
  </si>
  <si>
    <t>26/11/2020</t>
  </si>
  <si>
    <t>90554202</t>
  </si>
  <si>
    <t>90554203</t>
  </si>
  <si>
    <t>90554204</t>
  </si>
  <si>
    <t>90554205</t>
  </si>
  <si>
    <t>90554206</t>
  </si>
  <si>
    <t>90554207</t>
  </si>
  <si>
    <t>01/04/2021</t>
  </si>
  <si>
    <t>90554208</t>
  </si>
  <si>
    <t>90554209</t>
  </si>
  <si>
    <t>01/07/2021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</si>
  <si>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</si>
  <si>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</si>
  <si>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</si>
  <si>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</si>
  <si>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</si>
  <si>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</si>
  <si>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</si>
  <si>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</si>
  <si>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</si>
  <si>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</si>
  <si>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</si>
  <si>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01/07/2022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</si>
  <si>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</si>
  <si>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</si>
  <si>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</si>
  <si>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</si>
  <si>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</si>
  <si>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</si>
  <si>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</si>
  <si>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</si>
  <si>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</si>
  <si>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</si>
  <si>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</si>
  <si>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</si>
  <si>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</si>
  <si>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</si>
  <si>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</si>
  <si>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</si>
  <si>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הפועלים 2.53% 06/03/28</t>
  </si>
  <si>
    <t>207013488</t>
  </si>
  <si>
    <t>Aaa.il</t>
  </si>
  <si>
    <t>פק' הפועלים 2.65% 06/03/29</t>
  </si>
  <si>
    <t>207013489</t>
  </si>
  <si>
    <t>פק' מזרחי 1.94% 15/08/32</t>
  </si>
  <si>
    <t>208013479</t>
  </si>
  <si>
    <t>פק' לאומי  4.40% 31/12/23</t>
  </si>
  <si>
    <t>892300005</t>
  </si>
  <si>
    <t>פק' מזרחי 4.10% 19/03/24</t>
  </si>
  <si>
    <t>892310509</t>
  </si>
  <si>
    <t>פק' מזרחי 3.15% 14/05/24</t>
  </si>
  <si>
    <t>999999531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</si>
  <si>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</si>
  <si>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</si>
  <si>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</si>
  <si>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</si>
  <si>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</si>
  <si>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</si>
  <si>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</si>
  <si>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</si>
  <si>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הפועלים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</si>
  <si>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</si>
  <si>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</si>
  <si>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</si>
  <si>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הפועלים בנק הפועלים בע"מ</t>
  </si>
  <si>
    <t>אירו  הפועלים בנק הפועלים בע"מ</t>
  </si>
  <si>
    <t>דולר  לאומי בנק לאומי לישראל בע"מ</t>
  </si>
  <si>
    <t>דולר  לאומי עדכון ידני בנק לאומי לישראל בע"מ</t>
  </si>
  <si>
    <t>Margin FW  Hapoalim USD בנק הפועלים בע"מ</t>
  </si>
  <si>
    <t>Margin Future  Leumi USD בנק לאומי לישראל בע"מ</t>
  </si>
  <si>
    <t>*בעל עניין/צד קשור</t>
  </si>
  <si>
    <t>סה"כ יתרות התחייבות להשקעה</t>
  </si>
  <si>
    <t>Commitment Reality Debt Fund Commitment Reality D</t>
  </si>
  <si>
    <t>2029</t>
  </si>
  <si>
    <t>מסגרת וויצק נדלן בכיר</t>
  </si>
  <si>
    <t>2024</t>
  </si>
  <si>
    <t>מסגרת וויצק נדלן סופר מזנין</t>
  </si>
  <si>
    <t>מסגרת צומת OPC טווח ארוך</t>
  </si>
  <si>
    <t>2025</t>
  </si>
  <si>
    <t>מסגרת צומת OPC סטנד ביי</t>
  </si>
  <si>
    <t>מסגרת נמל דרום</t>
  </si>
  <si>
    <t>מסגרת ברקת כיכר המדינה א</t>
  </si>
  <si>
    <t>2027</t>
  </si>
  <si>
    <t>מסגרת ברקת כיכר המדינה ב</t>
  </si>
  <si>
    <t>מסגרת מגוריט מנרב</t>
  </si>
  <si>
    <t>2026</t>
  </si>
  <si>
    <t>Commitment HGI Multifamily Credit Fund</t>
  </si>
  <si>
    <t>2030</t>
  </si>
  <si>
    <t>Commitment MV Subordinated V</t>
  </si>
  <si>
    <t>2032</t>
  </si>
  <si>
    <t>Commitment Madison Realty Capital Debt Fund VI</t>
  </si>
  <si>
    <t>2028</t>
  </si>
  <si>
    <t>Commitment Northwind Healthcare Debt Fund I</t>
  </si>
  <si>
    <t>Commitment Electra Capital PM II</t>
  </si>
  <si>
    <t>יין יפני</t>
  </si>
  <si>
    <t>הלוואה לגורם 93</t>
  </si>
  <si>
    <t>הלוואה לגורם 94</t>
  </si>
  <si>
    <t>הלוואה לגורם 54</t>
  </si>
  <si>
    <t>הלוואה לגורם 166</t>
  </si>
  <si>
    <t>הלוואה לגורם 179</t>
  </si>
  <si>
    <t>הלוואה לגורם 165</t>
  </si>
  <si>
    <t>הלוואה לגורם 180</t>
  </si>
  <si>
    <t>הלוואה לגורם 41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</si>
  <si>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</si>
  <si>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</si>
  <si>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</si>
  <si>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</si>
  <si>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</si>
  <si>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</si>
  <si>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194</t>
  </si>
  <si>
    <t>הלוואה לגורם 162</t>
  </si>
  <si>
    <t>הלוואה לגורם 199</t>
  </si>
  <si>
    <t>עמודה1</t>
  </si>
  <si>
    <t>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</si>
</sst>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7EA65-BB65-4CEE-A4EF-18EA6347DDC8}" name="סכום נכסי הקרן1" displayName="סכום_נכסי_הקרן1" ref="A5:C41" totalsRowShown="0" headerRowDxfId="638" dataDxfId="637">
  <tableColumns count="3">
    <tableColumn id="1" xr3:uid="{8F37FA05-B0AB-4CD6-8EBB-0CD07858E4A5}" name="עמודה1" dataDxfId="636"/>
    <tableColumn id="2" xr3:uid="{F1855DAE-2CC7-4B57-BC41-98DBB2177C0B}" name="שווי הוגן" dataDxfId="635"/>
    <tableColumn id="3" xr3:uid="{48C4FC37-A174-4A74-90B4-8E6986A92C57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DC9912-99B5-40FF-AC5B-E9763AB6C74E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4D57C319-E45C-475A-82D5-468E0B02DFC9}" name="שם המטבע" dataDxfId="628"/>
    <tableColumn id="2" xr3:uid="{BD81F6C4-B6F1-47F1-9FE8-3842B8253EF6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B49F3-F8A1-482A-A8B3-2B3A821ADAD5}" name="מזומנים1" displayName="מזומנים1" ref="A5:K35" totalsRowShown="0" headerRowDxfId="626" headerRowBorderDxfId="625" tableBorderDxfId="624" headerRowCellStyle="Percent">
  <tableColumns count="11">
    <tableColumn id="1" xr3:uid="{2931DD06-E486-4B40-A9BD-62D83CBA4830}" name="שם המנפיק/שם נייר ערך" dataDxfId="623"/>
    <tableColumn id="2" xr3:uid="{A61D6B77-2476-4A73-8A46-79E5D12C2B3C}" name="מספר נ&quot;ע" dataDxfId="622"/>
    <tableColumn id="3" xr3:uid="{1F5EEFF9-96FF-45C1-9880-BC154053622A}" name="מספר מנפיק" dataDxfId="621"/>
    <tableColumn id="4" xr3:uid="{B6564182-46B6-4AE0-8247-7AB1EBB46DD9}" name="דירוג" dataDxfId="620"/>
    <tableColumn id="5" xr3:uid="{08243FCF-2776-4D62-B99E-EFABF24E6556}" name="שם מדרג" dataDxfId="619" dataCellStyle="Percent"/>
    <tableColumn id="6" xr3:uid="{8E3C9E0B-4B71-4CCE-8671-CFFC6A7F64F8}" name="סוג מטבע" dataDxfId="618"/>
    <tableColumn id="7" xr3:uid="{782D7385-37A8-4FF0-BDD1-11270173EF04}" name="שעור ריבית" dataDxfId="617" dataCellStyle="Percent"/>
    <tableColumn id="8" xr3:uid="{E1F45D81-75F6-4183-9B0B-56CD5276C287}" name="תשואה לפדיון" dataDxfId="616" dataCellStyle="Comma"/>
    <tableColumn id="9" xr3:uid="{97D32BEE-77F5-4932-BAF5-E1B5B66327E9}" name="שווי שוק" dataDxfId="615" dataCellStyle="Percent"/>
    <tableColumn id="10" xr3:uid="{E591ECA8-A0D9-496C-B57C-6283A4429247}" name="שעור מנכסי אפיק ההשקעה" dataDxfId="614" dataCellStyle="Percent"/>
    <tableColumn id="11" xr3:uid="{6212FAA3-9AE2-431B-8206-B2839F7DA62F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F4FB43-AE7E-43D5-A11F-5A85DBBDDA1B}" name="תעודות התחייבות ממשלתיות1" displayName="תעודות_התחייבות_ממשלתיות1" ref="A6:Q24" totalsRowShown="0" headerRowDxfId="612" dataDxfId="610" headerRowBorderDxfId="611" tableBorderDxfId="609" headerRowCellStyle="Percent" dataCellStyle="Percent">
  <tableColumns count="17">
    <tableColumn id="1" xr3:uid="{F88E4731-64F5-4150-B777-1BBEBF2BA18D}" name="שם המנפיק/שם נייר ערך" dataDxfId="608"/>
    <tableColumn id="2" xr3:uid="{BA68FCB3-8099-4164-B7A5-B890A2125F87}" name="מספר נ&quot;ע" dataDxfId="607"/>
    <tableColumn id="3" xr3:uid="{F8E41728-526F-4491-8C18-46A2FB071E02}" name="זירת מסחר" dataDxfId="606"/>
    <tableColumn id="4" xr3:uid="{96D8FB89-CB10-4B21-BDB3-4D9F1EDA63EF}" name="דירוג" dataDxfId="605"/>
    <tableColumn id="5" xr3:uid="{BDCED2B3-DDC4-4410-B2CA-9534BE3B3F88}" name="שם מדרג" dataDxfId="604" dataCellStyle="Percent"/>
    <tableColumn id="6" xr3:uid="{7A5407BD-C485-4908-846A-D3B8824C5347}" name="תאריך רכישה" dataDxfId="603" dataCellStyle="Percent"/>
    <tableColumn id="7" xr3:uid="{C37953A0-FA1D-4C63-B3EF-8218BB903B1A}" name="מח&quot;מ" dataDxfId="602" dataCellStyle="Percent"/>
    <tableColumn id="8" xr3:uid="{EC9579F4-5793-4F6B-AF02-CCBE04E07C74}" name="סוג מטבע" dataDxfId="601"/>
    <tableColumn id="9" xr3:uid="{969163F9-8C48-4109-A5C3-6CBD58DF1A55}" name="שעור ריבית" dataDxfId="600" dataCellStyle="Percent"/>
    <tableColumn id="10" xr3:uid="{8B3EEFCA-671D-48F2-B8B3-2CC9DE339D9F}" name="תשואה לפדיון" dataDxfId="599" dataCellStyle="Comma"/>
    <tableColumn id="11" xr3:uid="{D4E76E6E-627F-457B-9100-12EC5C31E108}" name="ערך נקוב" dataDxfId="598" dataCellStyle="Comma"/>
    <tableColumn id="12" xr3:uid="{8A683DC7-E419-4C2D-8E48-AFB6207B86FC}" name="שער" dataDxfId="597" dataCellStyle="Comma"/>
    <tableColumn id="13" xr3:uid="{96BBBD74-A91A-4F08-A868-77990B6F2064}" name="פדיון/ריבית לקבל" dataDxfId="596" dataCellStyle="Comma"/>
    <tableColumn id="14" xr3:uid="{B3E80AE7-20F5-4369-BB39-E38B003A47E6}" name="שווי שוק" dataDxfId="595" dataCellStyle="Percent"/>
    <tableColumn id="15" xr3:uid="{11684C39-F28B-4E47-BB03-481925F714EC}" name="שעור מערך נקוב מונפק" dataDxfId="594" dataCellStyle="Percent"/>
    <tableColumn id="16" xr3:uid="{822E8853-A923-4EA2-9E89-7135D8A79887}" name="שעור מנכסי אפיק ההשקעה" dataDxfId="593" dataCellStyle="Percent"/>
    <tableColumn id="17" xr3:uid="{987A655C-244D-4628-8CCC-D44D43E42D3E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504C22-E2A6-48DB-B5EA-3892F7EA1567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1AF9AB3D-D955-459F-BA6A-1DA56297F373}" name="שם המנפיק/שם נייר ערך" dataDxfId="587"/>
    <tableColumn id="2" xr3:uid="{D93C735A-4206-444B-A94F-B09143105973}" name="מספר נ&quot;ע" dataDxfId="586"/>
    <tableColumn id="3" xr3:uid="{D7D64865-7EEF-40F7-B040-C238B2D754F5}" name="זירת מסחר" dataDxfId="585"/>
    <tableColumn id="4" xr3:uid="{BD1D53E8-D7B0-4824-9BF7-D68F7FD99697}" name="ספק מידע" dataDxfId="584"/>
    <tableColumn id="5" xr3:uid="{FE60069F-7A77-49F7-916F-F11D3B53B257}" name="מספר מנפיק" dataDxfId="583"/>
    <tableColumn id="6" xr3:uid="{99C978A0-7338-4DAB-888D-F38A3E4F346B}" name="ענף מסחר" dataDxfId="582"/>
    <tableColumn id="7" xr3:uid="{92ED4380-734F-4510-8571-5434AAC893F6}" name="דירוג" dataDxfId="581" dataCellStyle="Percent"/>
    <tableColumn id="8" xr3:uid="{195CF4A4-B1E7-44B5-AB10-00AC42DDCE71}" name="שם מדרג" dataDxfId="580" dataCellStyle="Percent"/>
    <tableColumn id="9" xr3:uid="{184736D7-55FF-42A7-8FCC-16028AB74AE3}" name="תאריך רכישה" dataDxfId="579" dataCellStyle="Percent"/>
    <tableColumn id="10" xr3:uid="{931F8BB6-9184-44E2-BC67-99C02C122D38}" name="מח&quot;מ" dataDxfId="578"/>
    <tableColumn id="11" xr3:uid="{7FC1DA09-DF37-4E15-A1E4-461948D3BBEF}" name="סוג מטבע" dataDxfId="577" dataCellStyle="Percent"/>
    <tableColumn id="12" xr3:uid="{7EE6CC72-AAA8-464A-9417-448DEC2AB530}" name="שעור ריבית" dataDxfId="576" dataCellStyle="Comma"/>
    <tableColumn id="13" xr3:uid="{CA8C1A7A-17E8-441F-A14E-B94C4B6FA3DD}" name="תשואה לפדיון" dataDxfId="575" dataCellStyle="Comma"/>
    <tableColumn id="14" xr3:uid="{5AFC7754-C8D8-41A4-8B9D-DFA0C5BB9C71}" name="ערך נקוב" dataDxfId="574" dataCellStyle="Comma"/>
    <tableColumn id="15" xr3:uid="{8975303D-8C00-42F2-B754-E73B03EF123C}" name="שער" dataDxfId="573" dataCellStyle="Percent"/>
    <tableColumn id="16" xr3:uid="{25D06030-6D82-4560-970D-D7A2F8F00A40}" name="פדיון/ריבית לקבל" dataDxfId="572" dataCellStyle="Percent"/>
    <tableColumn id="17" xr3:uid="{428EC94A-317F-4D7E-8CE4-47028301BA62}" name="שווי שוק" dataDxfId="571" dataCellStyle="Percent"/>
    <tableColumn id="18" xr3:uid="{E6CD4DE1-5F2A-4E9A-99F3-F5D1A4AA77F8}" name="שעור מערך נקוב מונפק" dataDxfId="570" dataCellStyle="Comma"/>
    <tableColumn id="19" xr3:uid="{9EE1D7B2-D026-477E-A96F-586F65B1D02E}" name="שעור מנכסי אפיק ההשקעה" dataDxfId="569" dataCellStyle="Comma"/>
    <tableColumn id="20" xr3:uid="{C86E16E3-B98D-4B96-8127-8610B750492F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7DC37E-D582-463B-A884-17AC46CF738D}" name="אג&quot;ח קונצרני1" displayName="אג_ח_קונצרני1" ref="A6:T22" totalsRowShown="0" headerRowDxfId="567" dataDxfId="565" headerRowBorderDxfId="566" tableBorderDxfId="564" headerRowCellStyle="Percent" dataCellStyle="Comma">
  <tableColumns count="20">
    <tableColumn id="1" xr3:uid="{092D1248-824E-436B-BC8B-E7F5081C995A}" name="שם המנפיק/שם נייר ערך" dataDxfId="563"/>
    <tableColumn id="2" xr3:uid="{102B996F-CFDC-4782-B2BE-99D82894AB37}" name="מספר נ&quot;ע" dataDxfId="562"/>
    <tableColumn id="3" xr3:uid="{219D8F98-5906-4BFA-B47B-6F99D56DD6F5}" name="זירת מסחר" dataDxfId="561"/>
    <tableColumn id="4" xr3:uid="{2392B37F-405E-4FAA-B08F-0AC0E43C5537}" name="ספק מידע" dataDxfId="560"/>
    <tableColumn id="5" xr3:uid="{E734F320-707A-422A-A347-ABCA20CB1C76}" name="מספר מנפיק" dataDxfId="559"/>
    <tableColumn id="6" xr3:uid="{89266C12-7C6A-46F5-B04A-F3A9B82A3D92}" name="ענף מסחר" dataDxfId="558"/>
    <tableColumn id="7" xr3:uid="{924C4C8B-F9BC-4716-90D3-06784092D7C0}" name="דירוג" dataDxfId="557" dataCellStyle="Percent"/>
    <tableColumn id="8" xr3:uid="{EB8BF513-5E4B-41A0-81AF-5DF1FEDC6403}" name="שם מדרג" dataDxfId="556" dataCellStyle="Percent"/>
    <tableColumn id="9" xr3:uid="{1DDDA789-E518-43E5-A77D-8FFC454A72AB}" name="תאריך רכישה" dataDxfId="555" dataCellStyle="Percent"/>
    <tableColumn id="10" xr3:uid="{7CC291EF-29CC-4C29-BD75-EEADD689808C}" name="מח&quot;מ" dataDxfId="554"/>
    <tableColumn id="11" xr3:uid="{1CAD1AA7-1F8E-48C8-92FB-638FD94CE9AA}" name="סוג מטבע" dataDxfId="553" dataCellStyle="Percent"/>
    <tableColumn id="12" xr3:uid="{32C2FA04-9FFC-41E3-BA22-56EB27FC538A}" name="שעור ריבית" dataDxfId="552" dataCellStyle="Comma"/>
    <tableColumn id="13" xr3:uid="{1AA3846F-BA72-49D7-893E-120759576947}" name="תשואה לפדיון" dataDxfId="551" dataCellStyle="Comma"/>
    <tableColumn id="14" xr3:uid="{BC988A69-5B21-4C2C-9192-C2B245925954}" name="ערך נקוב" dataDxfId="550" dataCellStyle="Comma"/>
    <tableColumn id="15" xr3:uid="{862972BA-E227-41D5-AFE1-8D8ACBBF7334}" name="שער" dataDxfId="549" dataCellStyle="Percent"/>
    <tableColumn id="16" xr3:uid="{300575B2-3768-4647-8EB4-7EBD4C490130}" name="פדיון/ריבית לקבל" dataDxfId="548" dataCellStyle="Percent"/>
    <tableColumn id="17" xr3:uid="{F52E585F-03BD-42AE-89A3-472C0644BC20}" name="שווי שוק" dataDxfId="547" dataCellStyle="Percent"/>
    <tableColumn id="18" xr3:uid="{BFADA736-5C31-4EAF-AF5A-626F35F83929}" name="שעור מערך נקוב מונפק" dataDxfId="546" dataCellStyle="Comma"/>
    <tableColumn id="19" xr3:uid="{C90F1113-6770-4344-881F-F44193D16A69}" name="שעור מנכסי אפיק ההשקעה" dataDxfId="545" dataCellStyle="Comma"/>
    <tableColumn id="20" xr3:uid="{0CE8947C-C505-41A6-9E1F-AADB4712B1A0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53CA3A-EE27-4F23-98CC-733AE32E4B4C}" name="מניות1" displayName="מניות1" ref="A6:N24" totalsRowShown="0" headerRowDxfId="543" dataDxfId="541" headerRowBorderDxfId="542" tableBorderDxfId="540" headerRowCellStyle="Percent" dataCellStyle="Percent">
  <tableColumns count="14">
    <tableColumn id="1" xr3:uid="{2BABAD68-01E1-43BB-907F-35CA6EC9DC82}" name="שם המנפיק/שם נייר ערך" dataDxfId="539"/>
    <tableColumn id="2" xr3:uid="{F2ACBED8-B7F9-47B0-A172-3949DF59643E}" name="מספר נ&quot;ע" dataDxfId="538"/>
    <tableColumn id="3" xr3:uid="{EF33E223-D217-40E1-9875-1578F2CDAEAD}" name="זירת מסחר" dataDxfId="537"/>
    <tableColumn id="4" xr3:uid="{B1B530D1-117D-4CBB-A4A1-3EF359251633}" name="ספק מידע" dataDxfId="536"/>
    <tableColumn id="5" xr3:uid="{E518C138-F993-4F6C-ABFC-1E0CE185FA6C}" name="מספר מנפיק" dataDxfId="535"/>
    <tableColumn id="6" xr3:uid="{1A9E8957-54B7-4389-8E6F-DB4807F5BAD8}" name="ענף מסחר" dataDxfId="534"/>
    <tableColumn id="7" xr3:uid="{8F44928B-7305-4EF5-A9A2-88981C81A3DF}" name="סוג מטבע" dataDxfId="533" dataCellStyle="Percent"/>
    <tableColumn id="8" xr3:uid="{277F3EBE-99F7-4795-A7CF-CC8B7B4AE97F}" name="ערך נקוב" dataDxfId="532" dataCellStyle="Percent"/>
    <tableColumn id="9" xr3:uid="{DA7172D3-BADA-48BA-A205-6313255DD87A}" name="שער" dataDxfId="531" dataCellStyle="Percent"/>
    <tableColumn id="10" xr3:uid="{F156A990-BEA2-485A-89B7-0D9F82797285}" name="פדיון/ריבית לקבל" dataDxfId="530" dataCellStyle="Percent"/>
    <tableColumn id="11" xr3:uid="{37A98B19-2DF6-470E-931D-0B23991D2C61}" name="שווי שוק" dataDxfId="529"/>
    <tableColumn id="12" xr3:uid="{818B9EAB-CB61-4E14-B859-05CDD4B51308}" name="שעור מערך נקוב מונפק" dataDxfId="528" dataCellStyle="Percent"/>
    <tableColumn id="13" xr3:uid="{8CFAA85D-9766-4881-AF4D-05BE585AB28D}" name="שעור מנכסי אפיק ההשקעה" dataDxfId="527" dataCellStyle="Percent"/>
    <tableColumn id="14" xr3:uid="{5B18C958-5CF7-40C7-9777-360939D6CD54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40CA40-ADB4-4A9C-81E2-4FEA839952E9}" name="קרנות סל1" displayName="קרנות_סל1" ref="A6:M26" totalsRowShown="0" headerRowDxfId="525" dataDxfId="523" headerRowBorderDxfId="524" tableBorderDxfId="522" headerRowCellStyle="Percent" dataCellStyle="Percent">
  <tableColumns count="13">
    <tableColumn id="1" xr3:uid="{2134DF43-C519-4666-AD34-858BF32F8DD7}" name="שם המנפיק/שם נייר ערך" dataDxfId="521"/>
    <tableColumn id="2" xr3:uid="{369E53FE-FF3B-4BF2-B4E6-13055A6BF031}" name="מספר נ&quot;ע" dataDxfId="520"/>
    <tableColumn id="3" xr3:uid="{C0F416FA-0E3D-428D-B232-F0E6913AD6EF}" name="זירת מסחר" dataDxfId="519"/>
    <tableColumn id="4" xr3:uid="{C42F47D7-333C-4B7A-BF09-3D8C78398545}" name="מספר מנפיק" dataDxfId="518"/>
    <tableColumn id="5" xr3:uid="{42B0F31C-DFF2-4D62-84EA-AF13862CE605}" name="ענף מסחר" dataDxfId="517"/>
    <tableColumn id="6" xr3:uid="{D01C44A0-1317-45D9-83F0-4DA2E03E5C7B}" name="סוג מטבע" dataDxfId="516"/>
    <tableColumn id="7" xr3:uid="{F49D3539-C10C-4CE1-87FC-682B5D28A304}" name="ערך נקוב" dataDxfId="515" dataCellStyle="Percent"/>
    <tableColumn id="8" xr3:uid="{5CC5DC8F-7274-45AA-B87D-7B2D5993A10F}" name="שער" dataDxfId="514" dataCellStyle="Percent"/>
    <tableColumn id="9" xr3:uid="{6B8549C8-BE74-4E4C-90E6-7F5138F0FD8A}" name="פדיון/ריבית לקבל" dataDxfId="513" dataCellStyle="Percent"/>
    <tableColumn id="10" xr3:uid="{95C8EF28-49A0-4898-B23E-635AAED53B31}" name="שווי שוק" dataDxfId="512" dataCellStyle="Percent"/>
    <tableColumn id="11" xr3:uid="{FBDB838C-7BD7-4173-88F0-CF741D1CA65C}" name="שעור מערך נקוב מונפק" dataDxfId="511"/>
    <tableColumn id="12" xr3:uid="{845C24BB-21F3-4445-BF95-9F3BB24335E7}" name="שעור מנכסי אפיק ההשקעה" dataDxfId="510"/>
    <tableColumn id="13" xr3:uid="{53C1186D-E404-474B-BDF2-377E201C4B98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34BF23-DE43-4705-BAD6-317ACBCBA654}" name="קרנות נאמנות1" displayName="קרנות_נאמנות1" ref="A6:N24" totalsRowShown="0" headerRowDxfId="508" dataDxfId="506" headerRowBorderDxfId="507" tableBorderDxfId="505" headerRowCellStyle="Percent" dataCellStyle="Comma">
  <tableColumns count="14">
    <tableColumn id="1" xr3:uid="{CCAEDE43-6375-4428-AC30-36DA32DAFD72}" name="שם המנפיק/שם נייר ערך" dataDxfId="504"/>
    <tableColumn id="2" xr3:uid="{B32CCE7B-3875-4923-8CC0-3464E848EA4D}" name="מספר נ&quot;ע" dataDxfId="503"/>
    <tableColumn id="3" xr3:uid="{8255A746-F964-47D5-887D-E1B77FAA357F}" name="זירת מסחר" dataDxfId="502"/>
    <tableColumn id="4" xr3:uid="{9148E375-2A42-40DE-96BB-537A8B226D91}" name="מספר מנפיק" dataDxfId="501"/>
    <tableColumn id="5" xr3:uid="{FE15F215-0759-49EC-88B4-B4E743A1ED88}" name="ענף מסחר" dataDxfId="500"/>
    <tableColumn id="6" xr3:uid="{DD9C5D6C-BBB6-448C-BA53-14A295E3A7B5}" name="דירוג" dataDxfId="499" dataCellStyle="Percent"/>
    <tableColumn id="7" xr3:uid="{4875A755-2598-4D53-B612-FD88498B4E78}" name="שם מדרג" dataDxfId="498" dataCellStyle="Percent"/>
    <tableColumn id="8" xr3:uid="{C249EE2F-77A0-434A-AB88-CD8A9D15A3EF}" name="סוג מטבע" dataDxfId="497" dataCellStyle="Percent"/>
    <tableColumn id="9" xr3:uid="{204D2433-2694-40EA-98D2-7E5C79CE9B57}" name="ערך נקוב" dataDxfId="496"/>
    <tableColumn id="10" xr3:uid="{AA8F7FD0-D96A-47D6-81D9-5D351820BF0C}" name="שער" dataDxfId="495" dataCellStyle="Percent"/>
    <tableColumn id="11" xr3:uid="{BB178A53-1E89-4A10-BEBC-396332E01FA7}" name="שווי שוק" dataDxfId="494" dataCellStyle="Comma"/>
    <tableColumn id="12" xr3:uid="{F14CD7C2-8BD2-438A-9D7F-243B2634149B}" name="שעור מערך נקוב מונפק" dataDxfId="493" dataCellStyle="Comma"/>
    <tableColumn id="13" xr3:uid="{6E06918A-B2A1-4779-BA11-AACD5E133DE2}" name="שעור מנכסי אפיק ההשקעה" dataDxfId="492" dataCellStyle="Comma"/>
    <tableColumn id="14" xr3:uid="{E9D879AF-246A-4DF4-A0B2-A7DC2FC5A8F9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59E849-5A29-45AD-9BEE-D2733B2C3C14}" name="כתבי אופציה1" displayName="כתבי_אופציה1" ref="A6:K18" totalsRowShown="0" headerRowDxfId="490" dataDxfId="488" headerRowBorderDxfId="489" tableBorderDxfId="487" headerRowCellStyle="Percent" dataCellStyle="Percent">
  <tableColumns count="11">
    <tableColumn id="1" xr3:uid="{AFE98A11-8830-4AD1-B1CC-BEADB85DC0B0}" name="שם המנפיק/שם נייר ערך" dataDxfId="486"/>
    <tableColumn id="2" xr3:uid="{127C02FD-7C5E-47AE-A04F-7B2895C55532}" name="מספר נ&quot;ע" dataDxfId="485"/>
    <tableColumn id="3" xr3:uid="{A613592D-112C-40A4-B0DD-809064104EFB}" name="זירת מסחר" dataDxfId="484"/>
    <tableColumn id="4" xr3:uid="{69EBC495-A063-49E6-9E26-7960544D9C8B}" name="ענף מסחר" dataDxfId="483"/>
    <tableColumn id="5" xr3:uid="{7C365C41-FD9F-4F6A-8F5E-A5BDEA1B1354}" name="סוג מטבע" dataDxfId="482" dataCellStyle="Percent"/>
    <tableColumn id="6" xr3:uid="{1492542D-DE36-4EB6-850C-76E587C116ED}" name="ערך נקוב" dataDxfId="481" dataCellStyle="Percent"/>
    <tableColumn id="7" xr3:uid="{13D5C110-2DED-4787-8923-591E8AEAB671}" name="שער" dataDxfId="480" dataCellStyle="Percent"/>
    <tableColumn id="8" xr3:uid="{AA514D0D-040E-43E0-AE9B-993EE33E93E2}" name="שווי שוק" dataDxfId="479"/>
    <tableColumn id="9" xr3:uid="{65120A42-41C8-4368-A12D-6DF9C77BD475}" name="שעור מערך נקוב מונפק" dataDxfId="478" dataCellStyle="Percent"/>
    <tableColumn id="10" xr3:uid="{F1EDDDCE-2A15-4FFC-820F-8B7279829B38}" name="שעור מנכסי אפיק ההשקעה" dataDxfId="477" dataCellStyle="Percent"/>
    <tableColumn id="11" xr3:uid="{A48B9649-F7B5-4F0B-BEA8-B60A2C1D0873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4EF2554-4508-40F4-B1C5-6176A2F7499C}" name="אופציות1" displayName="אופציות1" ref="A6:K27" totalsRowShown="0" headerRowDxfId="475" dataDxfId="473" headerRowBorderDxfId="474" tableBorderDxfId="472" headerRowCellStyle="Percent" dataCellStyle="Percent">
  <tableColumns count="11">
    <tableColumn id="1" xr3:uid="{81D36A15-2020-4D60-96BF-502E4E6068D2}" name="שם המנפיק/שם נייר ערך" dataDxfId="471"/>
    <tableColumn id="2" xr3:uid="{E21606DF-F52A-42B5-8ED6-D9138391DB85}" name="מספר נ&quot;ע" dataDxfId="470"/>
    <tableColumn id="3" xr3:uid="{842D9A10-E02A-468F-9433-65B721758E30}" name="זירת מסחר" dataDxfId="469"/>
    <tableColumn id="4" xr3:uid="{CC1ED076-A550-43C5-B68B-D204724C54BA}" name="ענף מסחר" dataDxfId="468"/>
    <tableColumn id="5" xr3:uid="{C6E51F80-8F0F-4C5C-9F49-63F0FF61E7F4}" name="סוג מטבע" dataDxfId="467"/>
    <tableColumn id="6" xr3:uid="{32C3BE48-CE8F-4701-A37C-E78DA4D76200}" name="ערך נקוב" dataDxfId="466" dataCellStyle="Percent"/>
    <tableColumn id="7" xr3:uid="{FF0DF4FA-C290-4581-958C-EAE83DEE85B9}" name="שער" dataDxfId="465" dataCellStyle="Percent"/>
    <tableColumn id="8" xr3:uid="{D326E820-9255-43A3-AC09-434496723F94}" name="שווי שוק" dataDxfId="464" dataCellStyle="Percent"/>
    <tableColumn id="9" xr3:uid="{7FDE1A6B-E4D7-480F-BAE3-CB84211DEDCC}" name="שעור מערך נקוב מונפק" dataDxfId="463"/>
    <tableColumn id="10" xr3:uid="{6683E02B-8401-4400-8C98-FCEDA32BE5D7}" name="שעור מנכסי אפיק ההשקעה" dataDxfId="462" dataCellStyle="Percent"/>
    <tableColumn id="11" xr3:uid="{8D658D0B-4A2A-41B6-B000-9BCE639427FD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238A992-B6B2-49ED-BBC2-355768E92F76}" name="חוזים עתידיים1" displayName="חוזים_עתידיים1" ref="A6:J17" totalsRowShown="0" headerRowDxfId="460" dataDxfId="458" headerRowBorderDxfId="459" tableBorderDxfId="457" headerRowCellStyle="Percent" dataCellStyle="Percent">
  <tableColumns count="10">
    <tableColumn id="1" xr3:uid="{EC8882BD-CFC1-41DD-9463-0FA86FFB8A6F}" name="שם המנפיק/שם נייר ערך" dataDxfId="456"/>
    <tableColumn id="2" xr3:uid="{3B1504C5-C6BC-4BC4-AD6D-C6FEE83D9BE9}" name="מספר נ&quot;ע" dataDxfId="455"/>
    <tableColumn id="3" xr3:uid="{215CCE88-A1A4-441F-8AE4-CBB268114BBE}" name="זירת מסחר" dataDxfId="454"/>
    <tableColumn id="4" xr3:uid="{FB97894D-A1E4-47E8-9871-3CD4547FE87C}" name="ענף מסחר" dataDxfId="453"/>
    <tableColumn id="5" xr3:uid="{D3BDB5D9-7634-415E-9A75-EFB1CC3F5318}" name="סוג מטבע" dataDxfId="452" dataCellStyle="Percent"/>
    <tableColumn id="6" xr3:uid="{C2F41BB1-AE53-44E9-A9CA-28593C99A610}" name="ערך נקוב" dataDxfId="451" dataCellStyle="Percent"/>
    <tableColumn id="7" xr3:uid="{1E2CD39B-A0D2-411E-A555-1FDCEDA805CC}" name="שער" dataDxfId="450" dataCellStyle="Percent"/>
    <tableColumn id="8" xr3:uid="{51D7D32E-D38B-4287-8D09-3BCE50302B22}" name="שווי שוק" dataDxfId="449"/>
    <tableColumn id="9" xr3:uid="{EEB1BFA8-8BF8-48FE-8087-6EB118DAC672}" name="שעור מנכסי אפיק ההשקעה" dataDxfId="448"/>
    <tableColumn id="10" xr3:uid="{9783CF0A-F736-4871-8CCD-CF5675339D9A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595392-4765-4747-8679-6B3C42DE3A07}" name="מוצרים מובנים1" displayName="מוצרים_מובנים1" ref="A6:P30" totalsRowShown="0" headerRowDxfId="446" dataDxfId="444" headerRowBorderDxfId="445" tableBorderDxfId="443" headerRowCellStyle="Percent" dataCellStyle="Comma">
  <tableColumns count="16">
    <tableColumn id="1" xr3:uid="{63D72653-BD14-437B-8F6C-7D3D57E7E554}" name="שם המנפיק/שם נייר ערך" dataDxfId="442"/>
    <tableColumn id="2" xr3:uid="{71ECAB1F-2348-41E8-B4D5-BCE72F3074EB}" name="מספר נ&quot;ע" dataDxfId="441"/>
    <tableColumn id="3" xr3:uid="{65ABCD78-1169-4352-AF8F-25909894E4A0}" name="נכס הבסיס" dataDxfId="440"/>
    <tableColumn id="4" xr3:uid="{A3899514-125E-4CF6-AE7B-F64692B1ABCC}" name="דירוג" dataDxfId="439" dataCellStyle="Percent"/>
    <tableColumn id="5" xr3:uid="{8FB6DCA8-9B30-4057-BED4-6F1716E945E8}" name="שם מדרג" dataDxfId="438" dataCellStyle="Percent"/>
    <tableColumn id="6" xr3:uid="{FFEC9D67-079D-4734-B777-44CAFC72B299}" name="תאריך רכישה" dataDxfId="437" dataCellStyle="Percent"/>
    <tableColumn id="7" xr3:uid="{016B4FE9-45D0-47D3-B450-FC53A7920ED1}" name="מח&quot;מ" dataDxfId="436"/>
    <tableColumn id="8" xr3:uid="{BD338C5A-291D-4D9B-A23E-C8E26917F999}" name="סוג מטבע" dataDxfId="435" dataCellStyle="Percent"/>
    <tableColumn id="9" xr3:uid="{1929FD00-EF70-4F19-BE3D-5FF045CA3F3F}" name="שעור ריבית" dataDxfId="434" dataCellStyle="Comma"/>
    <tableColumn id="10" xr3:uid="{A09CFBC0-23A7-4E66-B846-C5D97B86111D}" name="תשואה לפדיון" dataDxfId="433" dataCellStyle="Comma"/>
    <tableColumn id="11" xr3:uid="{5FD627C1-215F-4244-AEC5-9E7CE44980FA}" name="ערך נקוב" dataDxfId="432" dataCellStyle="Comma"/>
    <tableColumn id="12" xr3:uid="{0362F810-4AB1-4FA6-977A-EAFFCD70CFEE}" name="שער" dataDxfId="431" dataCellStyle="Percent"/>
    <tableColumn id="13" xr3:uid="{FC2F1202-0DEF-410E-9D46-0206A0A94427}" name="שווי שוק" dataDxfId="430" dataCellStyle="Percent"/>
    <tableColumn id="14" xr3:uid="{0AEA87CD-4D9E-430E-9438-2C7DE69BA2A4}" name="שעור מערך נקוב מונפק" dataDxfId="429" dataCellStyle="Comma"/>
    <tableColumn id="15" xr3:uid="{052A0291-AACF-44C3-B956-45AFC0748BF4}" name="שעור מנכסי אפיק ההשקעה" dataDxfId="428" dataCellStyle="Comma"/>
    <tableColumn id="16" xr3:uid="{FF148187-8CA1-48CA-9F2A-D9929F51A9ED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E249C3-EE9D-4634-AAD5-AF10A4EBE458}" name="לא סחיר- תעודות התחייבות ממשלתי1" displayName="לא_סחיר__תעודות_התחייבות_ממשלתי1" ref="A6:O168" totalsRowShown="0" headerRowDxfId="426" dataDxfId="424" headerRowBorderDxfId="425" tableBorderDxfId="423" headerRowCellStyle="Percent" dataCellStyle="Percent">
  <tableColumns count="15">
    <tableColumn id="1" xr3:uid="{E111EFDB-ABD4-4C06-A8DE-B70ACB5A8E9F}" name="שם המנפיק/שם נייר ערך" dataDxfId="422"/>
    <tableColumn id="2" xr3:uid="{CF5F01C7-D752-4CBD-B8B4-AE427F321924}" name="מספר נ&quot;ע" dataDxfId="421"/>
    <tableColumn id="3" xr3:uid="{19E9685C-8C6F-4F0B-BB0F-F79A88B1C31A}" name="דירוג" dataDxfId="420"/>
    <tableColumn id="4" xr3:uid="{1EE7C80F-DD82-45D6-AEF0-D2A4FBCB8DD1}" name="שם מדרג" dataDxfId="419" dataCellStyle="Percent"/>
    <tableColumn id="5" xr3:uid="{7ABCEE56-6EE7-45FB-8B6C-1D2A2FBA7E68}" name="תאריך רכישה" dataDxfId="418" dataCellStyle="Percent"/>
    <tableColumn id="6" xr3:uid="{D444D763-24FE-4BDB-8B39-ACD75631CE32}" name="מח&quot;מ" dataDxfId="417" dataCellStyle="Percent"/>
    <tableColumn id="7" xr3:uid="{1FA39CDA-E15A-4970-A84C-D8777E6A57F8}" name="סוג מטבע" dataDxfId="416"/>
    <tableColumn id="8" xr3:uid="{75FCA09F-27E1-49FF-91EB-4AA21CC3D072}" name="שעור ריבית" dataDxfId="415" dataCellStyle="Percent"/>
    <tableColumn id="9" xr3:uid="{F240E800-1664-4974-A0C9-CF66F363A275}" name="תשואה לפדיון" dataDxfId="414" dataCellStyle="Comma"/>
    <tableColumn id="10" xr3:uid="{AE584522-7D5A-4428-BBCB-C506EB19B14A}" name="ערך נקוב" dataDxfId="413" dataCellStyle="Comma"/>
    <tableColumn id="11" xr3:uid="{E586D920-7C8B-47B7-832B-7DA27597BB94}" name="שער" dataDxfId="412" dataCellStyle="Comma"/>
    <tableColumn id="12" xr3:uid="{CF086F02-7E12-49E6-A952-C328EFE86D65}" name="שווי הוגן" dataDxfId="411" dataCellStyle="Percent"/>
    <tableColumn id="13" xr3:uid="{EEE7FCD5-2DFA-40B8-BD11-8293708C65BC}" name="שעור מערך נקוב מונפק" dataDxfId="410" dataCellStyle="Percent"/>
    <tableColumn id="14" xr3:uid="{149F729B-5DC5-4435-9C31-C90D33BCF91C}" name="שעור מנכסי אפיק ההשקעה" dataDxfId="409" dataCellStyle="Percent"/>
    <tableColumn id="15" xr3:uid="{977D7193-78D4-4C81-911A-B2237B09747B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3EA6AA0-E316-44A1-962E-23E568C0782E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C233B8D1-8175-49D1-80EE-2C2FB10BA66D}" name="שם המנפיק/שם נייר ערך" dataDxfId="403"/>
    <tableColumn id="2" xr3:uid="{7ACA09C7-ED83-441D-BA07-7E056CD1A970}" name="מספר נ&quot;ע" dataDxfId="402"/>
    <tableColumn id="3" xr3:uid="{673279EB-0C09-452E-B9FB-6EEDED7A7095}" name="ספק המידע" dataDxfId="401"/>
    <tableColumn id="4" xr3:uid="{A31A2EB8-39C2-4DFA-9C87-1DAEF2265E8B}" name="מספר מנפיק" dataDxfId="400"/>
    <tableColumn id="5" xr3:uid="{2010E4A4-CDA6-4056-8B7C-980AD62BB40B}" name="ענף מסחר" dataDxfId="399"/>
    <tableColumn id="6" xr3:uid="{89C8298F-3D93-4F9D-9ED4-CEE9E91A48E8}" name="דירוג" dataDxfId="398" dataCellStyle="Percent"/>
    <tableColumn id="7" xr3:uid="{832CA9EF-BF2F-4F98-AA6A-1797AD0FFF20}" name="שם מדרג" dataDxfId="397" dataCellStyle="Percent"/>
    <tableColumn id="8" xr3:uid="{CF6BA11B-A1BE-469E-9AD9-4358D0A8032A}" name="תאריך רכישה" dataDxfId="396" dataCellStyle="Percent"/>
    <tableColumn id="9" xr3:uid="{94ACA3CA-BE47-4C52-BF1B-5AD272F31BAC}" name="מח&quot;מ" dataDxfId="395"/>
    <tableColumn id="10" xr3:uid="{DD65908D-7590-4DB4-BC4E-F4C2E5DB78BF}" name="סוג מטבע" dataDxfId="394" dataCellStyle="Percent"/>
    <tableColumn id="11" xr3:uid="{2AE31DE4-91E2-48CD-8192-DBB4D18AF819}" name="שעור ריבית" dataDxfId="393" dataCellStyle="Comma"/>
    <tableColumn id="12" xr3:uid="{45BC8E84-167F-406B-A693-C6B901185E83}" name="תשואה לפדיון" dataDxfId="392" dataCellStyle="Comma"/>
    <tableColumn id="13" xr3:uid="{C7D8EFBD-891E-405A-85AE-B6D5C8F77A7F}" name="ערך נקוב" dataDxfId="391" dataCellStyle="Comma"/>
    <tableColumn id="14" xr3:uid="{1E5B32DC-3C89-42E4-B880-3D1610058DB2}" name="שער" dataDxfId="390" dataCellStyle="Percent"/>
    <tableColumn id="15" xr3:uid="{03399D3B-5348-4A09-BBA4-524776DC114D}" name="שווי הוגן" dataDxfId="389" dataCellStyle="Percent"/>
    <tableColumn id="16" xr3:uid="{C7105E4A-982B-4F47-B30E-8D272797CF82}" name="שעור מערך נקוב מונפק" dataDxfId="388" dataCellStyle="Comma"/>
    <tableColumn id="17" xr3:uid="{10DAB131-D4E0-40DF-A249-62E6D0BBF606}" name="שעור מנכסי אפיק ההשקעה" dataDxfId="387" dataCellStyle="Comma"/>
    <tableColumn id="18" xr3:uid="{A3666B24-3AFB-49EA-A79F-D5BA14EA68CD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2066851-9EFA-4DED-8CCD-2680C8EC45F8}" name="לא סחיר - אג&quot;ח קונצרני1" displayName="לא_סחיר___אג_ח_קונצרני1" ref="A6:R28" totalsRowShown="0" headerRowDxfId="385" dataDxfId="383" headerRowBorderDxfId="384" tableBorderDxfId="382" headerRowCellStyle="Percent" dataCellStyle="Comma">
  <tableColumns count="18">
    <tableColumn id="1" xr3:uid="{79BA7A84-6F93-4CEC-98D0-C6326EFF2EE8}" name="שם המנפיק/שם נייר ערך" dataDxfId="381"/>
    <tableColumn id="2" xr3:uid="{99C1ED38-67ED-4E11-9416-FE752E14F6F0}" name="מספר נ&quot;ע" dataDxfId="380"/>
    <tableColumn id="3" xr3:uid="{A746C63F-7446-4C4C-9FCF-981E998E00D9}" name="ספק המידע" dataDxfId="379"/>
    <tableColumn id="4" xr3:uid="{E73B55CD-B6D6-4B3A-B1D8-59339AE457F6}" name="מספר מנפיק" dataDxfId="378"/>
    <tableColumn id="5" xr3:uid="{ACBCA552-2D39-4048-99B2-0FB100A80028}" name="ענף מסחר" dataDxfId="377"/>
    <tableColumn id="6" xr3:uid="{E8D3D6BF-9C41-49C8-91E8-D063FB0E8304}" name="דירוג" dataDxfId="376" dataCellStyle="Percent"/>
    <tableColumn id="7" xr3:uid="{802EB7F8-763D-4CFA-9614-023FD1713689}" name="שם מדרג" dataDxfId="375" dataCellStyle="Percent"/>
    <tableColumn id="8" xr3:uid="{72716401-FE7E-4B6F-AA6E-3497293E1945}" name="תאריך רכישה" dataDxfId="374" dataCellStyle="Percent"/>
    <tableColumn id="9" xr3:uid="{BEF555CC-E4A7-4301-89D8-51582CF25F7F}" name="מח&quot;מ" dataDxfId="373"/>
    <tableColumn id="10" xr3:uid="{885D2B6C-7A49-4562-ABEC-A77D8853DD3B}" name="סוג מטבע" dataDxfId="372" dataCellStyle="Percent"/>
    <tableColumn id="11" xr3:uid="{C2310E3A-A731-4280-9C23-F1067A9A6F80}" name="שעור ריבית" dataDxfId="371" dataCellStyle="Comma"/>
    <tableColumn id="12" xr3:uid="{9447E85E-3B8A-45B2-BEF3-52BF8B63AB3F}" name="תשואה לפדיון" dataDxfId="370" dataCellStyle="Comma"/>
    <tableColumn id="13" xr3:uid="{0CEAF60C-1BF0-4AD8-AE85-D590453DCC50}" name="ערך נקוב" dataDxfId="369" dataCellStyle="Comma"/>
    <tableColumn id="14" xr3:uid="{4BB2AD80-5A0E-4A16-9166-FF699EFFC0DB}" name="שער" dataDxfId="368" dataCellStyle="Percent"/>
    <tableColumn id="15" xr3:uid="{A69108AC-F825-4666-A3D1-D720B03C6145}" name="שווי הוגן" dataDxfId="367" dataCellStyle="Percent"/>
    <tableColumn id="16" xr3:uid="{4B94C175-3CF9-4A6E-9946-4594BF1EDE3E}" name="שעור מערך נקוב מונפק" dataDxfId="366" dataCellStyle="Comma"/>
    <tableColumn id="17" xr3:uid="{52862AC1-1A94-4236-8FC4-E316E52D550B}" name="שעור מנכסי אפיק ההשקעה" dataDxfId="365" dataCellStyle="Comma"/>
    <tableColumn id="18" xr3:uid="{DF4E79F4-8F20-46B1-B749-1AC58609F8FA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AA80688-D49D-4C4E-9763-AC3C3AA0D187}" name="לא סחיר - מניות1" displayName="לא_סחיר___מניות1" ref="A6:L18" totalsRowShown="0" headerRowDxfId="363" dataDxfId="361" headerRowBorderDxfId="362" tableBorderDxfId="360" headerRowCellStyle="Percent" dataCellStyle="Percent">
  <tableColumns count="12">
    <tableColumn id="1" xr3:uid="{D85D8D59-A474-466E-BF21-FB39A701AF33}" name="שם המנפיק/שם נייר ערך" dataDxfId="359"/>
    <tableColumn id="2" xr3:uid="{51A27ACC-4395-4025-BD59-71A08B752653}" name="מספר נ&quot;ע" dataDxfId="358"/>
    <tableColumn id="3" xr3:uid="{8511E0E8-E290-460E-BDEA-474D6CFA68DC}" name="ספק המידע" dataDxfId="357"/>
    <tableColumn id="4" xr3:uid="{06D33EF4-955E-45CC-9CCD-9C28F488186C}" name="מספר מנפיק" dataDxfId="356"/>
    <tableColumn id="5" xr3:uid="{3151E306-8689-45C8-B884-C17618F19F97}" name="ענף מסחר" dataDxfId="355"/>
    <tableColumn id="6" xr3:uid="{4F15D95E-8344-41B3-BDC4-11A9A9D7FDC2}" name="סוג מטבע" dataDxfId="354" dataCellStyle="Percent"/>
    <tableColumn id="7" xr3:uid="{5615BF76-BDF3-4C5C-892B-C40580407190}" name="ערך נקוב" dataDxfId="353" dataCellStyle="Percent"/>
    <tableColumn id="8" xr3:uid="{8A447404-1CF7-4047-94C3-6113A32463F4}" name="שער" dataDxfId="352" dataCellStyle="Percent"/>
    <tableColumn id="9" xr3:uid="{1F3FE426-A62C-4B15-9E2E-7017AEAA78BA}" name="שווי שוק" dataDxfId="351"/>
    <tableColumn id="10" xr3:uid="{E2895578-A08C-4AAC-A75A-9DA1AE21D04A}" name="שעור מערך נקוב מונפק" dataDxfId="350" dataCellStyle="Percent"/>
    <tableColumn id="11" xr3:uid="{D3FFC253-4711-41CA-8832-340637783CA1}" name="שעור מנכסי אפיק ההשקעה" dataDxfId="349" dataCellStyle="Percent"/>
    <tableColumn id="12" xr3:uid="{D12E2406-EE56-4823-A37F-02D1EAD5D1C0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207CD86-F49E-4D02-8B36-E102F77C38A9}" name="לא סחיר - קרנות השקעה1" displayName="לא_סחיר___קרנות_השקעה1" ref="A6:J34" totalsRowShown="0" headerRowDxfId="347" dataDxfId="345" headerRowBorderDxfId="346" tableBorderDxfId="344" headerRowCellStyle="Percent" dataCellStyle="Comma">
  <tableColumns count="10">
    <tableColumn id="1" xr3:uid="{AA9E6B3D-39C9-46AA-9F62-2C073B043FA4}" name="שם המנפיק/שם נייר ערך" dataDxfId="343"/>
    <tableColumn id="2" xr3:uid="{03DB3F16-F2F1-4FDE-8780-EC9C99DE769B}" name="מספר נ&quot;ע" dataDxfId="342"/>
    <tableColumn id="3" xr3:uid="{3BEBC963-53FC-42F8-B6CD-A6DEDF7EE0B9}" name="סוג מטבע" dataDxfId="341" dataCellStyle="Percent"/>
    <tableColumn id="4" xr3:uid="{29658BF2-EA08-46D6-9047-7C3F7A07FE1F}" name="תאריך רכישה" dataDxfId="340" dataCellStyle="Percent"/>
    <tableColumn id="5" xr3:uid="{E49BEFD1-3D9F-4C32-A9A2-A23FADED56F6}" name="ערך נקוב" dataDxfId="339" dataCellStyle="Percent"/>
    <tableColumn id="6" xr3:uid="{21852AD6-D92F-447A-8062-089CEA80BC6E}" name="שער" dataDxfId="338"/>
    <tableColumn id="7" xr3:uid="{4829A553-3D56-4A19-82B3-1B7788099C98}" name="שווי הוגן" dataDxfId="337" dataCellStyle="Percent"/>
    <tableColumn id="8" xr3:uid="{B3FE825A-E3E8-4981-B5DF-1E788F7E4D28}" name="שעור מערך נקוב מונפק" dataDxfId="336" dataCellStyle="Comma"/>
    <tableColumn id="9" xr3:uid="{AAD1CD10-6226-4C6E-B26B-079EE128EBE6}" name="שעור מנכסי אפיק ההשקעה" dataDxfId="335" dataCellStyle="Comma"/>
    <tableColumn id="10" xr3:uid="{76C974E8-7EC2-48C8-835D-48D0512A4B4E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0EB0A23-0221-4ED9-B7BD-154C24B28FE7}" name="לא סחיר - כתבי אופציה1" displayName="לא_סחיר___כתבי_אופציה1" ref="A6:K16" totalsRowShown="0" headerRowDxfId="333" dataDxfId="331" headerRowBorderDxfId="332" tableBorderDxfId="330" headerRowCellStyle="Percent" dataCellStyle="Comma">
  <tableColumns count="11">
    <tableColumn id="1" xr3:uid="{090F72EA-F20B-4E9D-8512-D362907ADD22}" name="שם המנפיק/שם נייר ערך" dataDxfId="329"/>
    <tableColumn id="2" xr3:uid="{00A93C59-491A-4A56-8D29-631D863B1AC5}" name="מספר נ&quot;ע" dataDxfId="328"/>
    <tableColumn id="3" xr3:uid="{32680804-258C-4667-ADD0-C3F32A2FC66F}" name="ענף מסחר" dataDxfId="327"/>
    <tableColumn id="4" xr3:uid="{78D693AC-044A-4483-B097-DAAE836BE82F}" name="סוג מטבע" dataDxfId="326" dataCellStyle="Percent"/>
    <tableColumn id="5" xr3:uid="{395A02D2-F473-4A47-8320-A628EC286EA4}" name="תאריך רכישה" dataDxfId="325" dataCellStyle="Percent"/>
    <tableColumn id="6" xr3:uid="{4CC4C4FC-C3F2-4D97-8896-51A9492CB840}" name="ערך נקוב" dataDxfId="324" dataCellStyle="Percent"/>
    <tableColumn id="7" xr3:uid="{1F69BFB8-F5BB-46CE-AD99-72E774F53B2A}" name="שער" dataDxfId="323"/>
    <tableColumn id="8" xr3:uid="{E466A5BE-E03D-49FD-9814-3AE95F4B4A81}" name="שווי הוגן" dataDxfId="322" dataCellStyle="Percent"/>
    <tableColumn id="9" xr3:uid="{B7A1C972-AFE7-42AD-99AE-C3A139296492}" name="שעור מערך נקוב מונפק" dataDxfId="321" dataCellStyle="Comma"/>
    <tableColumn id="10" xr3:uid="{7B10717B-9617-4400-B34F-901A36380F55}" name="שעור מנכסי אפיק ההשקעה" dataDxfId="320" dataCellStyle="Comma"/>
    <tableColumn id="11" xr3:uid="{4850B391-1730-4BC1-9FC3-9906171907C0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C877E4A-E4A2-4273-9254-91C39779BAD1}" name="לא סחיר - אופציות1" displayName="לא_סחיר___אופציות1" ref="A6:K26" totalsRowShown="0" headerRowDxfId="318" dataDxfId="316" headerRowBorderDxfId="317" tableBorderDxfId="315" headerRowCellStyle="Percent" dataCellStyle="Comma">
  <tableColumns count="11">
    <tableColumn id="1" xr3:uid="{4973154C-82A7-4E07-9EB4-28F3785FC6F1}" name="שם המנפיק/שם נייר ערך" dataDxfId="314"/>
    <tableColumn id="2" xr3:uid="{7463C81E-0D7B-445E-A563-5D0709CA959D}" name="מספר נ&quot;ע" dataDxfId="313"/>
    <tableColumn id="3" xr3:uid="{D7C5BA64-BC35-4912-9679-EE6EDFDCF3DC}" name="ענף מסחר" dataDxfId="312"/>
    <tableColumn id="4" xr3:uid="{D8FE3B4D-B2B5-41BF-8152-F455D05F9647}" name="סוג מטבע" dataDxfId="311" dataCellStyle="Percent"/>
    <tableColumn id="5" xr3:uid="{22DE106E-1F0B-4570-B1C6-A11E914E2C1B}" name="תאריך רכישה" dataDxfId="310" dataCellStyle="Percent"/>
    <tableColumn id="6" xr3:uid="{53E295C2-109A-4FCB-BE6A-2A273B41925C}" name="ערך נקוב" dataDxfId="309" dataCellStyle="Percent"/>
    <tableColumn id="7" xr3:uid="{6857CA7C-3C35-4176-80DB-1C1DF51CF75B}" name="שער" dataDxfId="308"/>
    <tableColumn id="8" xr3:uid="{8B5B3342-55B4-4C57-8F5C-7E64B51AB4D9}" name="שווי הוגן" dataDxfId="307" dataCellStyle="Percent"/>
    <tableColumn id="9" xr3:uid="{63D7A2C4-99D4-407B-A3FE-5A5CAAD88098}" name="שעור מערך נקוב מונפק" dataDxfId="306" dataCellStyle="Comma"/>
    <tableColumn id="10" xr3:uid="{F554DC37-9486-4580-B52E-9F4773F57E67}" name="שעור מנכסי אפיק ההשקעה" dataDxfId="305" dataCellStyle="Comma"/>
    <tableColumn id="11" xr3:uid="{D0464390-DF71-48FF-A6DD-ADBADFEED714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ECD2F76-D48F-4667-923D-9A4C184310C1}" name="לא סחיר - חוזים עתידיים1" displayName="לא_סחיר___חוזים_עתידיים1" ref="A6:J37" totalsRowShown="0" headerRowDxfId="303" dataDxfId="301" headerRowBorderDxfId="302" tableBorderDxfId="300" headerRowCellStyle="Percent" dataCellStyle="Percent">
  <tableColumns count="10">
    <tableColumn id="1" xr3:uid="{E2047AC5-4E3D-452F-8577-1B0B268941F3}" name="שם המנפיק/שם נייר ערך" dataDxfId="299"/>
    <tableColumn id="2" xr3:uid="{0D67564C-1CF6-45C7-9708-C1904ACE43FB}" name="מספר נ&quot;ע" dataDxfId="298"/>
    <tableColumn id="3" xr3:uid="{2A99499E-AB0C-463F-BEB4-9936AD7A672B}" name="ענף מסחר" dataDxfId="297"/>
    <tableColumn id="4" xr3:uid="{7EFA772F-07F1-4B10-88B8-EECFFCBF0B0B}" name="סוג מטבע" dataDxfId="296" dataCellStyle="Percent"/>
    <tableColumn id="5" xr3:uid="{7CD23C57-AAAB-4CF1-9DAD-41D98171AAD9}" name="תאריך רכישה" dataDxfId="295" dataCellStyle="Percent"/>
    <tableColumn id="6" xr3:uid="{444A5D9D-E2EA-4AFE-9AE9-D398C773B9BE}" name="ערך נקוב" dataDxfId="294" dataCellStyle="Percent"/>
    <tableColumn id="7" xr3:uid="{D6DABAEA-C214-47A7-97E9-F7D3C637E799}" name="שער" dataDxfId="293"/>
    <tableColumn id="8" xr3:uid="{31B07BC3-B9A0-4CE3-B0FA-ADCDAAF5218B}" name="שווי הוגן" dataDxfId="292" dataCellStyle="Percent"/>
    <tableColumn id="9" xr3:uid="{5F7ACEE0-31A3-4712-8155-C337BE62985B}" name="שעור מנכסי אפיק ההשקעה" dataDxfId="291" dataCellStyle="Percent"/>
    <tableColumn id="10" xr3:uid="{53E08DEE-2369-460F-8ED3-DB649A588287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53D3463-3336-49A5-8510-97FD5FBC2B9C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47F96618-6852-484A-8E32-F5336D0CD054}" name="שם המנפיק/שם נייר ערך" dataDxfId="285"/>
    <tableColumn id="2" xr3:uid="{E0BE75BB-3E7A-4FFA-AD92-AF229C09925B}" name="מספר נ&quot;ע" dataDxfId="284"/>
    <tableColumn id="3" xr3:uid="{98664C86-5970-4107-B4EF-48E55A444925}" name="נכס הבסיס" dataDxfId="283"/>
    <tableColumn id="4" xr3:uid="{5FEB349E-E322-4460-BED4-E72EEBA77F10}" name="דירוג" dataDxfId="282" dataCellStyle="Percent"/>
    <tableColumn id="5" xr3:uid="{9D4CA76A-79EE-4063-90AA-DCC8D24F89C7}" name="שם מדרג" dataDxfId="281" dataCellStyle="Percent"/>
    <tableColumn id="6" xr3:uid="{90A410DA-6A8E-4E80-96CA-A11B7F0BCBC4}" name="תאריך רכישה" dataDxfId="280" dataCellStyle="Percent"/>
    <tableColumn id="7" xr3:uid="{AE14D2B0-32F2-421E-8B82-B389B626A7C7}" name="מח&quot;מ" dataDxfId="279"/>
    <tableColumn id="8" xr3:uid="{4C09BDF4-D1BB-48FA-8D44-1DD7ABE455B9}" name="סוג מטבע" dataDxfId="278" dataCellStyle="Percent"/>
    <tableColumn id="9" xr3:uid="{4978A0FA-51A2-4C9A-9867-8A0501A2400A}" name="שעור ריבית" dataDxfId="277" dataCellStyle="Comma"/>
    <tableColumn id="10" xr3:uid="{256537BE-9C8D-4BA9-848B-476E673C11E8}" name="תשואה לפדיון" dataDxfId="276" dataCellStyle="Comma"/>
    <tableColumn id="11" xr3:uid="{E4E638C5-1BD5-4516-9858-E198FE72B898}" name="ערך נקוב" dataDxfId="275" dataCellStyle="Comma"/>
    <tableColumn id="12" xr3:uid="{F5E6B74A-6B5A-4C05-BE55-04C4D0360A33}" name="שער" dataDxfId="274" dataCellStyle="Percent"/>
    <tableColumn id="13" xr3:uid="{A387657A-898D-4E6E-BBDB-FE1C64DDF89C}" name="שווי שוק" dataDxfId="273" dataCellStyle="Percent"/>
    <tableColumn id="14" xr3:uid="{83F51F5F-DB6D-495B-9E4F-CB5CC49604AF}" name="שעור מערך נקוב מונפק" dataDxfId="272" dataCellStyle="Comma"/>
    <tableColumn id="15" xr3:uid="{E59C14B9-3B5B-4B42-B8EE-03ABBF7B5970}" name="שעור מנכסי אפיק ההשקעה" dataDxfId="271" dataCellStyle="Comma"/>
    <tableColumn id="16" xr3:uid="{0C79777C-9EA3-415C-BB15-8F39026D8958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8AA6454-7809-4602-B077-52239705C192}" name="הלוואות1" displayName="הלוואות1" ref="A5:Q143" totalsRowShown="0" headerRowDxfId="269" dataDxfId="267" headerRowBorderDxfId="268" tableBorderDxfId="266" headerRowCellStyle="Percent" dataCellStyle="Comma">
  <tableColumns count="17">
    <tableColumn id="1" xr3:uid="{B4DC06F6-91D2-48A8-A584-D8E17F5CB5ED}" name="שם המנפיק/שם נייר ערך" dataDxfId="265"/>
    <tableColumn id="2" xr3:uid="{10941480-9FAA-4C17-9A98-007DABC5F42F}" name="קונסורציום" dataDxfId="264"/>
    <tableColumn id="3" xr3:uid="{C6F6BED1-EF0F-46F2-B443-09775012396A}" name="מספר נ&quot;ע" dataDxfId="263"/>
    <tableColumn id="4" xr3:uid="{689ECFE2-5021-450C-8CEF-224C8FB36BE5}" name="מספר מנפיק" dataDxfId="262"/>
    <tableColumn id="5" xr3:uid="{B029E994-D714-4654-BABE-279DF9E38E1B}" name="דירוג" dataDxfId="261"/>
    <tableColumn id="6" xr3:uid="{60A307B6-64A9-440F-A305-35506E7E90DD}" name="תאריך רכישה" dataDxfId="260" dataCellStyle="Percent"/>
    <tableColumn id="7" xr3:uid="{06975236-75B9-44CA-BA73-2D4D87DDC956}" name="שם מדרג" dataDxfId="259" dataCellStyle="Percent"/>
    <tableColumn id="8" xr3:uid="{62A98B1E-BB9E-41EC-B4D5-A9B27CEE51D8}" name="מח&quot;מ" dataDxfId="258" dataCellStyle="Percent"/>
    <tableColumn id="9" xr3:uid="{7F643F9C-AD35-4FF1-99CE-1BE6E7F7C772}" name="ענף משק" dataDxfId="257" dataCellStyle="Percent"/>
    <tableColumn id="10" xr3:uid="{4D42BBBB-EE7C-49DE-ADCA-48DDF503D342}" name="סוג מטבע" dataDxfId="256" dataCellStyle="Percent"/>
    <tableColumn id="11" xr3:uid="{580A479F-BA36-4A18-BD65-0E026270FEEF}" name="שעור ריבית ממוצע" dataDxfId="255"/>
    <tableColumn id="12" xr3:uid="{27E7688E-2D3E-4F0E-88EB-ACA1607BC73E}" name="תשואה לפדיון" dataDxfId="254" dataCellStyle="Percent"/>
    <tableColumn id="13" xr3:uid="{06FCB602-0E39-406B-88B5-B259962CA276}" name="ערך נקוב" dataDxfId="253" dataCellStyle="Comma"/>
    <tableColumn id="14" xr3:uid="{3E418C52-F309-416D-93FE-6657FE99A20B}" name="שער" dataDxfId="252" dataCellStyle="Comma"/>
    <tableColumn id="15" xr3:uid="{DB9A55C8-2A73-49AE-B020-EBD212369878}" name="שווי הוגן" dataDxfId="251" dataCellStyle="Comma"/>
    <tableColumn id="16" xr3:uid="{9577B210-FDFA-4B0A-9B84-2E11314CA5A6}" name="שעור מנכסי אפיק ההשקעה" dataDxfId="250" dataCellStyle="Comma"/>
    <tableColumn id="17" xr3:uid="{94152EB0-ECDD-4B91-B9C0-D676C3ECC6E2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72D20E5-B245-49B6-9D23-75B2F3B2DE01}" name="פקדונות מעל 3 חודשים1" displayName="פקדונות_מעל_3_חודשים1" ref="A5:N26" totalsRowShown="0" headerRowDxfId="248" dataDxfId="246" headerRowBorderDxfId="247" tableBorderDxfId="245" headerRowCellStyle="Percent" dataCellStyle="Comma">
  <tableColumns count="14">
    <tableColumn id="1" xr3:uid="{B0D0F43F-7ACB-4DBF-9F39-EC70173EF88C}" name="שם המנפיק/שם נייר ערך" dataDxfId="244"/>
    <tableColumn id="2" xr3:uid="{4F9A0CD8-1ADD-416E-8B30-FCF3FEBF8E99}" name="מספר נ&quot;ע" dataDxfId="243"/>
    <tableColumn id="3" xr3:uid="{528EB929-C26E-4926-A005-8DB47DC569A1}" name="מספר מנפיק" dataDxfId="242"/>
    <tableColumn id="4" xr3:uid="{C301E644-879F-486D-B187-2D8C4B9B49CA}" name="דירוג" dataDxfId="241"/>
    <tableColumn id="5" xr3:uid="{4D2BF3F3-11F6-4075-B5DA-373EF3F0A9D9}" name="שם מדרג" dataDxfId="240" dataCellStyle="Percent"/>
    <tableColumn id="6" xr3:uid="{2DA1E909-09F8-4F0C-802E-9F899D7BF9EA}" name="מח&quot;מ" dataDxfId="239" dataCellStyle="Percent"/>
    <tableColumn id="7" xr3:uid="{E79E2C54-62AB-46C7-9B4F-76DE7F8B4DA7}" name="סוג מטבע" dataDxfId="238" dataCellStyle="Percent"/>
    <tableColumn id="8" xr3:uid="{AC5B73A6-8AE3-46FA-B323-EB46F7E234AD}" name="תנאי ושיעור ריבית" dataDxfId="237"/>
    <tableColumn id="9" xr3:uid="{83D656AA-FC79-41D9-BC06-A2DF58D554FD}" name="תשואה לפדיון" dataDxfId="236" dataCellStyle="Percent"/>
    <tableColumn id="10" xr3:uid="{2D5C1A00-7F44-4D79-9093-3246939FAC85}" name="ערך נקוב" dataDxfId="235" dataCellStyle="Comma"/>
    <tableColumn id="11" xr3:uid="{ABE94B26-9EE8-4E9C-97DE-88B99E56E037}" name="שער" dataDxfId="234" dataCellStyle="Comma"/>
    <tableColumn id="12" xr3:uid="{2D653935-520D-426B-A1CB-5E7F8E2861B8}" name="שווי הוגן" dataDxfId="233" dataCellStyle="Comma"/>
    <tableColumn id="13" xr3:uid="{32239026-09D1-43D8-9E3A-591E7F6D2A05}" name="שעור מנכסי אפיק ההשקעה" dataDxfId="232" dataCellStyle="Comma"/>
    <tableColumn id="14" xr3:uid="{55166911-5179-4F5D-8CC3-AEEFBFCA9A10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D6DA2FA-7464-401F-BD88-FD293576F2F9}" name="זכויות מקרקעין1" displayName="זכויות_מקרקעין1" ref="A5:I19" totalsRowShown="0" headerRowDxfId="230" dataDxfId="228" headerRowBorderDxfId="229" tableBorderDxfId="227" headerRowCellStyle="Percent" dataCellStyle="Percent">
  <tableColumns count="9">
    <tableColumn id="1" xr3:uid="{BCC37DC8-798D-4DC9-B4C3-2D2DBBC16100}" name="שם המנפיק/שם נייר ערך" dataDxfId="226"/>
    <tableColumn id="2" xr3:uid="{58797993-9610-40B8-9F3A-551A5352ACBA}" name="תאריך שערוך אחרון" dataDxfId="225"/>
    <tableColumn id="3" xr3:uid="{E1F7672E-C7FE-4478-BAF8-5808CFC56B94}" name="אופי הנכס" dataDxfId="224"/>
    <tableColumn id="4" xr3:uid="{BB1964AE-5288-47EA-9619-F0231D057889}" name="שעור תשואה במהלך התקופה" dataDxfId="223" dataCellStyle="Percent"/>
    <tableColumn id="5" xr3:uid="{AE35D7EE-8A55-4B04-BA40-89F6DFB692E0}" name="סוג מטבע" dataDxfId="222" dataCellStyle="Percent"/>
    <tableColumn id="6" xr3:uid="{EC5AB447-1C8E-4EAA-8E73-11D9EC884748}" name="שווי משוערך" dataDxfId="221" dataCellStyle="Percent"/>
    <tableColumn id="7" xr3:uid="{771B1E3A-6A6A-4AD1-BEC6-AA4CEB9C27D1}" name="שעור מנכסי אפיק ההשקעה" dataDxfId="220" dataCellStyle="Percent"/>
    <tableColumn id="8" xr3:uid="{546F03C7-9FB1-4849-AEE6-B0C70E436F97}" name="שעור מנכסי השקעה" dataDxfId="219" dataCellStyle="Percent"/>
    <tableColumn id="9" xr3:uid="{8A718FA6-F8E8-4057-9771-D4A84A21263A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67A36EF-F261-404D-B55A-17E6551AC9D6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D1167FD9-D628-44D3-940D-F3053995471C}" name="שם המנפיק/שם נייר ערך" dataDxfId="213"/>
    <tableColumn id="2" xr3:uid="{BAB8AD25-6B74-494B-BA73-C7B194633602}" name="מספר מנפיק" dataDxfId="212"/>
    <tableColumn id="3" xr3:uid="{D4AF4DFE-B467-42A4-8566-CECB683B676C}" name="דירוג" dataDxfId="211"/>
    <tableColumn id="4" xr3:uid="{FD19AFA3-4918-4142-A5EF-F64BA8851BC4}" name="שם המדרג" dataDxfId="210" dataCellStyle="Percent"/>
    <tableColumn id="5" xr3:uid="{5C590902-0FD2-42A6-A61C-91998E6BF964}" name="שעור הריבית" dataDxfId="209" dataCellStyle="Percent"/>
    <tableColumn id="6" xr3:uid="{33C50F23-4497-4613-897E-39B3DAD8C5E4}" name="סוג מטבע" dataDxfId="208" dataCellStyle="Percent"/>
    <tableColumn id="7" xr3:uid="{28D88492-76F7-4B3B-A3F5-BED57AD434BD}" name="תשואה לפדיון" dataDxfId="207" dataCellStyle="Percent"/>
    <tableColumn id="8" xr3:uid="{9606E1B4-86D1-40C7-A5E2-79E761BA0464}" name="שווי הוגן" dataDxfId="206" dataCellStyle="Percent"/>
    <tableColumn id="9" xr3:uid="{9BD95F9E-4689-4D1E-BB58-797BB8CC93E1}" name="שעור מנכסי אפיק ההשקעה" dataDxfId="205" dataCellStyle="Percent"/>
    <tableColumn id="10" xr3:uid="{CD2E801C-F4E8-471B-9054-83E44479119B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648CFFF-E2F4-4257-8C49-AC4DB06CA356}" name="השקעות אחרות1" displayName="השקעות_אחרות1" ref="A5:J16" totalsRowShown="0" headerRowDxfId="203" dataDxfId="201" headerRowBorderDxfId="202" tableBorderDxfId="200" headerRowCellStyle="Percent" dataCellStyle="Percent">
  <tableColumns count="10">
    <tableColumn id="1" xr3:uid="{891DE856-E1B6-4383-BDD8-D943C74C486D}" name="שם המנפיק/שם נייר ערך" dataDxfId="199"/>
    <tableColumn id="2" xr3:uid="{AADCFF38-9007-447A-A43B-889521D62195}" name="מספר נייר" dataDxfId="198"/>
    <tableColumn id="3" xr3:uid="{0A37B79D-90BB-4E46-8DE4-27426CFB276F}" name="דירוג" dataDxfId="197"/>
    <tableColumn id="4" xr3:uid="{E41B8B82-D3D4-4E7D-911E-D211930FD5A7}" name="שם מדרג" dataDxfId="196"/>
    <tableColumn id="5" xr3:uid="{100E8481-7BED-4F90-8A26-BB99B5C36D9A}" name="שעור ריבית" dataDxfId="195" dataCellStyle="Percent"/>
    <tableColumn id="6" xr3:uid="{4A8483DA-C20A-4BFD-8F65-4407936FC867}" name="סוג מטבע" dataDxfId="194" dataCellStyle="Percent"/>
    <tableColumn id="7" xr3:uid="{C1765054-2DBB-4522-9E37-DA107F21E7C6}" name="תשואה לפדיון" dataDxfId="193" dataCellStyle="Percent"/>
    <tableColumn id="8" xr3:uid="{A27344DE-575E-4DB0-AB4D-8CCD345D28A2}" name="שווי הוגן" dataDxfId="192" dataCellStyle="Percent"/>
    <tableColumn id="9" xr3:uid="{1D31549C-B02C-4719-A6BA-2899DD10D51F}" name="שעור מנכסי אפיק ההשקעה" dataDxfId="191" dataCellStyle="Percent"/>
    <tableColumn id="10" xr3:uid="{18CDBD2B-925B-4A3F-AFBC-E91C19126CD0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64ED388-B523-47CD-BF7C-27107557BC19}" name="יתרת התחייבות להשקעה1" displayName="יתרת_התחייבות_להשקעה1" ref="A5:C25" totalsRowShown="0" headerRowBorderDxfId="189" tableBorderDxfId="188">
  <tableColumns count="3">
    <tableColumn id="1" xr3:uid="{29F3A027-45E4-43B2-AA65-25A45A0621FD}" name="שם המנפיק/שם נייר ערך" dataDxfId="187"/>
    <tableColumn id="2" xr3:uid="{0F667BA3-C8A7-44CC-A932-2D43305500E4}" name="סכום ההתחייבות" dataDxfId="186"/>
    <tableColumn id="3" xr3:uid="{82309728-DA7E-4DE5-89E9-9D516B26AA87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796FBB8-2C88-4152-A416-FCCE78E58942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B67490DA-CD12-49C4-B5F3-230EF5416A25}" name="שם המנפיק/שם נייר ערך" dataDxfId="181"/>
    <tableColumn id="2" xr3:uid="{E095B614-209D-4E10-810F-97D248C0B5EA}" name="מספר ני&quot;ע" dataDxfId="180" dataCellStyle="Percent"/>
    <tableColumn id="3" xr3:uid="{537E8393-5D9E-4F14-BDFC-F6804977790A}" name="ענף מסחר" dataDxfId="179" dataCellStyle="Percent"/>
    <tableColumn id="4" xr3:uid="{9CB5F03F-5678-4E6A-8CF6-BDBAEFD6EC94}" name="דירוג" dataDxfId="178" dataCellStyle="Percent"/>
    <tableColumn id="5" xr3:uid="{68E42907-AC26-4D40-8AE8-21C7F82A07EF}" name="שם מדרג" dataDxfId="177" dataCellStyle="Percent"/>
    <tableColumn id="6" xr3:uid="{AD1F0BB9-B36A-4EC3-954B-D7D28634C62F}" name="תאריך רכישה" dataDxfId="176" dataCellStyle="Percent"/>
    <tableColumn id="7" xr3:uid="{111B27E0-412E-4908-A36E-D0527788C957}" name="מח&quot;מ" dataDxfId="175" dataCellStyle="Percent"/>
    <tableColumn id="8" xr3:uid="{623891CA-4933-4073-BF75-2CE34A55CF2A}" name="סוג מטבע" dataDxfId="174" dataCellStyle="Percent"/>
    <tableColumn id="9" xr3:uid="{EF52B24B-B1B0-4399-ADEB-EAE9585EEBDC}" name="שיעור ריבית" dataDxfId="173" dataCellStyle="Percent"/>
    <tableColumn id="10" xr3:uid="{8552CCAE-9EFB-4CA7-B65F-42F2EAC67CEF}" name="ריבית אפקטיבית" dataDxfId="172" dataCellStyle="Percent"/>
    <tableColumn id="11" xr3:uid="{58C78CA5-F009-4002-AB94-8723AFECEF5B}" name="ערך נקוב" dataDxfId="171" dataCellStyle="Comma"/>
    <tableColumn id="12" xr3:uid="{816082AF-64B0-4074-A9C6-905C612B8898}" name="עלות מתואמת" dataDxfId="170" dataCellStyle="Percent"/>
    <tableColumn id="13" xr3:uid="{6D06BA45-4995-4F5C-AAB8-34F9A128C313}" name="שעור מערך נקוב מונפק" dataDxfId="169" dataCellStyle="Comma"/>
    <tableColumn id="14" xr3:uid="{692457ED-B6A7-4121-8C70-351769C09E68}" name="שעור מנכסי אפיק ההשקעה" dataDxfId="168" dataCellStyle="Percent"/>
    <tableColumn id="15" xr3:uid="{5C2D7BAA-D172-4CCA-B050-E3E73CAFFBBE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F992F9D-29FD-4F47-A90E-E044B5AC01DB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90709118-E142-4905-B6D1-B289604623F7}" name="שם המנפיק/שם נייר ערך" dataDxfId="163"/>
    <tableColumn id="2" xr3:uid="{80548981-5FC5-43F4-8485-271D03BDA58B}" name="מספר ני&quot;ע" dataDxfId="162" dataCellStyle="Percent"/>
    <tableColumn id="3" xr3:uid="{6BDE2C70-ECFB-4400-8B15-03B6CA048392}" name="ענף מסחר" dataDxfId="161" dataCellStyle="Percent"/>
    <tableColumn id="4" xr3:uid="{4131254E-85B5-43D3-8545-DA6566F3E5A1}" name="דירוג" dataDxfId="160" dataCellStyle="Percent"/>
    <tableColumn id="5" xr3:uid="{7BC22851-4EB9-4B0C-8599-99245266DD29}" name="שם מדרג" dataDxfId="159" dataCellStyle="Percent"/>
    <tableColumn id="6" xr3:uid="{106462E6-22F0-4FD1-8341-3F4A7502BD55}" name="תאריך רכישה" dataDxfId="158" dataCellStyle="Percent"/>
    <tableColumn id="7" xr3:uid="{D1DB59CE-ECCC-40F9-A5D0-3EE627C9DA32}" name="מח&quot;מ" dataDxfId="157" dataCellStyle="Percent"/>
    <tableColumn id="8" xr3:uid="{B9CEB244-1B99-4230-AE89-E6FC1DAD3454}" name="סוג מטבע" dataDxfId="156" dataCellStyle="Percent"/>
    <tableColumn id="9" xr3:uid="{19804195-C1B1-4A3A-B423-E5EAAC562A96}" name="שיעור ריבית" dataDxfId="155" dataCellStyle="Percent"/>
    <tableColumn id="10" xr3:uid="{1ABD0967-6537-4C32-889E-999D6C510212}" name="ריבית אפקטיבית" dataDxfId="154" dataCellStyle="Percent"/>
    <tableColumn id="11" xr3:uid="{A12D89BC-F2CB-4F37-90C6-7A7DAE3C16E8}" name="ערך נקוב" dataDxfId="153" dataCellStyle="Comma"/>
    <tableColumn id="12" xr3:uid="{F08A96E4-9896-478E-ACFD-2E17CCBB0659}" name="עלות מתואמת" dataDxfId="152" dataCellStyle="Percent"/>
    <tableColumn id="13" xr3:uid="{F479ABDC-22C7-4779-8D96-23756E7CBAB2}" name="שעור מערך נקוב מונפק" dataDxfId="151" dataCellStyle="Comma"/>
    <tableColumn id="14" xr3:uid="{C42850A7-C2D8-49B5-8C07-C440E9323744}" name="שעור מנכסי אפיק ההשקעה" dataDxfId="150" dataCellStyle="Percent"/>
    <tableColumn id="15" xr3:uid="{3965B20E-0DE6-460F-863C-196C4702922D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096A970-1438-4560-8C2F-EF342FA69F4F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DB692B6A-2E41-4C6A-9833-77170D8F7B6B}" name="שם המנפיק/שם נייר ערך" dataDxfId="145"/>
    <tableColumn id="2" xr3:uid="{BDE084B5-CFCF-496A-A87A-9A3DFE2BD283}" name="מספר ני&quot;ע" dataDxfId="144" dataCellStyle="Percent"/>
    <tableColumn id="3" xr3:uid="{41AA117A-154F-486A-B02D-0A7FAFF1905B}" name="ענף מסחר" dataDxfId="143" dataCellStyle="Percent"/>
    <tableColumn id="4" xr3:uid="{75A78996-8C51-4386-B70F-41E1775706BF}" name="דירוג" dataDxfId="142" dataCellStyle="Percent"/>
    <tableColumn id="5" xr3:uid="{40CBB413-9E6F-4DBD-9BCE-7FB3F83F76C8}" name="שם מדרג" dataDxfId="141" dataCellStyle="Percent"/>
    <tableColumn id="6" xr3:uid="{DEEC59AB-33EE-4078-881E-2C4816C8D033}" name="תאריך רכישה" dataDxfId="140" dataCellStyle="Percent"/>
    <tableColumn id="7" xr3:uid="{255496B1-862A-43C4-82C5-1381E92454A4}" name="מח&quot;מ" dataDxfId="139" dataCellStyle="Percent"/>
    <tableColumn id="8" xr3:uid="{6F2BC918-1769-4B6C-983D-44A6296CDEE0}" name="סוג מטבע" dataDxfId="138" dataCellStyle="Percent"/>
    <tableColumn id="9" xr3:uid="{F612D90B-7F8F-49AB-BAB3-6B850CB7A04E}" name="שיעור ריבית" dataDxfId="137" dataCellStyle="Percent"/>
    <tableColumn id="10" xr3:uid="{0A12B106-D345-47E3-A94B-E748D9DDC7DF}" name="ריבית אפקטיבית" dataDxfId="136" dataCellStyle="Percent"/>
    <tableColumn id="11" xr3:uid="{FC8DB57A-55BB-44A3-ADFB-E0AFDFCB0EF7}" name="ערך נקוב" dataDxfId="135" dataCellStyle="Comma"/>
    <tableColumn id="12" xr3:uid="{24674D82-794A-4D8D-A1E5-A697443F0AB3}" name="עלות מתואמת" dataDxfId="134" dataCellStyle="Percent"/>
    <tableColumn id="13" xr3:uid="{7F1373BC-8834-4430-907E-9AA2D78492FD}" name="שעור מערך נקוב מונפק" dataDxfId="133" dataCellStyle="Comma"/>
    <tableColumn id="14" xr3:uid="{F3CEFF20-D251-4618-AA5C-B6BB64882887}" name="שעור מנכסי אפיק ההשקעה" dataDxfId="132" dataCellStyle="Percent"/>
    <tableColumn id="15" xr3:uid="{F866F1B5-A08B-40BE-874A-842B8DC73DB0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25254CE-12D5-4537-9A85-BE2D109E414A}" name="טבלה32" displayName="טבלה32" ref="A1:B72" headerRowCount="0" totalsRowShown="0">
  <tableColumns count="2">
    <tableColumn id="1" xr3:uid="{A9A3BEDC-F0DC-4FEA-A52A-5DFAE34E8DE9}" name="עמודה1"/>
    <tableColumn id="2" xr3:uid="{65CF2F84-89C6-4E57-9BC5-3C718A510103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236</v>
      </c>
      <c r="B1" s="41" t="s">
        <v>237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2" t="s">
        <v>51</v>
      </c>
      <c r="B4" s="213"/>
      <c r="C4" s="214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89" t="s">
        <v>1133</v>
      </c>
      <c r="B5" s="174" t="s">
        <v>29</v>
      </c>
      <c r="C5" s="174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3"/>
      <c r="B6" s="182" t="s">
        <v>10</v>
      </c>
      <c r="C6" s="182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5"/>
      <c r="B7" s="176" t="s">
        <v>49</v>
      </c>
      <c r="C7" s="176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7" t="s">
        <v>97</v>
      </c>
      <c r="B8" s="176"/>
      <c r="C8" s="176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3" t="s">
        <v>43</v>
      </c>
      <c r="B9" s="184">
        <v>16336.270300900002</v>
      </c>
      <c r="C9" s="185">
        <v>1.0120620862614838E-2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78" t="s">
        <v>45</v>
      </c>
      <c r="B10" s="184">
        <v>113.01750600000003</v>
      </c>
      <c r="C10" s="185">
        <v>4.5959878674209034E-5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6" t="s">
        <v>12</v>
      </c>
      <c r="B11" s="184">
        <v>6.9999999999999997E-7</v>
      </c>
      <c r="C11" s="185">
        <v>2.8466311291585496E-13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6" t="s">
        <v>18</v>
      </c>
      <c r="B12" s="184">
        <v>4.9999999999999998E-7</v>
      </c>
      <c r="C12" s="185">
        <v>2.0333079493989639E-13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6" t="s">
        <v>20</v>
      </c>
      <c r="B13" s="184">
        <v>6.0000000000000008E-7</v>
      </c>
      <c r="C13" s="185">
        <v>2.439969539278757E-13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6" t="s">
        <v>21</v>
      </c>
      <c r="B14" s="184">
        <v>6.9999999999999997E-7</v>
      </c>
      <c r="C14" s="185">
        <v>2.8466311291585496E-13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6" t="s">
        <v>157</v>
      </c>
      <c r="B15" s="184">
        <v>9.9999999999999995E-7</v>
      </c>
      <c r="C15" s="185">
        <v>4.0666158987979278E-13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6" t="s">
        <v>44</v>
      </c>
      <c r="B16" s="184">
        <v>0</v>
      </c>
      <c r="C16" s="185">
        <v>0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6" t="s">
        <v>23</v>
      </c>
      <c r="B17" s="184">
        <v>2.0000000000000002E-7</v>
      </c>
      <c r="C17" s="185">
        <v>8.1332317975958566E-14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6" t="s">
        <v>24</v>
      </c>
      <c r="B18" s="184">
        <v>-67.634999099999987</v>
      </c>
      <c r="C18" s="185">
        <v>-2.7504556265524348E-5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6" t="s">
        <v>25</v>
      </c>
      <c r="B19" s="184">
        <v>180.65250020000002</v>
      </c>
      <c r="C19" s="185">
        <v>7.3464432947091589E-5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6" t="s">
        <v>26</v>
      </c>
      <c r="B20" s="184">
        <v>1.2000000000000002E-6</v>
      </c>
      <c r="C20" s="185">
        <v>4.879939078557514E-13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7" t="s">
        <v>46</v>
      </c>
      <c r="B21" s="184">
        <v>2316209.6692862986</v>
      </c>
      <c r="C21" s="185">
        <v>0.9419135066069152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6" t="s">
        <v>12</v>
      </c>
      <c r="B22" s="184">
        <v>2219517.7569306996</v>
      </c>
      <c r="C22" s="185">
        <v>0.90259261979986982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6" t="s">
        <v>18</v>
      </c>
      <c r="B23" s="184">
        <v>6.0000000000000008E-7</v>
      </c>
      <c r="C23" s="185">
        <v>2.439969539278757E-13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6" t="s">
        <v>20</v>
      </c>
      <c r="B24" s="184">
        <v>56380.682940599996</v>
      </c>
      <c r="C24" s="185">
        <v>2.2927858163132905E-2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6" t="s">
        <v>21</v>
      </c>
      <c r="B25" s="184">
        <v>3.0000000000000004E-7</v>
      </c>
      <c r="C25" s="185">
        <v>1.2199847696393785E-13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6" t="s">
        <v>30</v>
      </c>
      <c r="B26" s="184">
        <v>40898.1573508</v>
      </c>
      <c r="C26" s="185">
        <v>1.6631709691430262E-2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6" t="s">
        <v>31</v>
      </c>
      <c r="B27" s="184">
        <v>2.0000000000000002E-7</v>
      </c>
      <c r="C27" s="185">
        <v>8.1332317975958566E-14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6" t="s">
        <v>32</v>
      </c>
      <c r="B28" s="184">
        <v>9.9999999999999995E-7</v>
      </c>
      <c r="C28" s="185">
        <v>4.0666158987979278E-13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6" t="s">
        <v>33</v>
      </c>
      <c r="B29" s="184">
        <v>-586.92793909999841</v>
      </c>
      <c r="C29" s="185">
        <v>-2.3868104885927557E-4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6" t="s">
        <v>34</v>
      </c>
      <c r="B30" s="184">
        <v>1.2000000000000002E-6</v>
      </c>
      <c r="C30" s="185">
        <v>4.879939078557514E-13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6" t="s">
        <v>35</v>
      </c>
      <c r="B31" s="184">
        <v>55749.826311299978</v>
      </c>
      <c r="C31" s="185">
        <v>2.2671313003275552E-2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6" t="s">
        <v>37</v>
      </c>
      <c r="B32" s="184">
        <v>60264.304030599997</v>
      </c>
      <c r="C32" s="185">
        <v>2.4507177690082999E-2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6" t="s">
        <v>47</v>
      </c>
      <c r="B33" s="184">
        <v>4.0000000000000003E-7</v>
      </c>
      <c r="C33" s="185">
        <v>1.6266463595191713E-13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6" t="s">
        <v>86</v>
      </c>
      <c r="B34" s="184">
        <v>2.0000000000000002E-7</v>
      </c>
      <c r="C34" s="185">
        <v>8.1332317975958566E-14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6" t="s">
        <v>87</v>
      </c>
      <c r="B35" s="184">
        <v>1823.1915101999998</v>
      </c>
      <c r="C35" s="185">
        <v>7.4142195819327237E-4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7" t="s">
        <v>93</v>
      </c>
      <c r="B36" s="187"/>
      <c r="C36" s="185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6" t="s">
        <v>94</v>
      </c>
      <c r="B37" s="187">
        <v>0</v>
      </c>
      <c r="C37" s="185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6" t="s">
        <v>95</v>
      </c>
      <c r="B38" s="187">
        <v>0</v>
      </c>
      <c r="C38" s="185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6" t="s">
        <v>96</v>
      </c>
      <c r="B39" s="187">
        <v>0</v>
      </c>
      <c r="C39" s="185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79" t="s">
        <v>48</v>
      </c>
      <c r="B40" s="180">
        <v>2450496.2789459</v>
      </c>
      <c r="C40" s="181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88" t="s">
        <v>92</v>
      </c>
      <c r="B41" s="184">
        <v>50870.342390200007</v>
      </c>
      <c r="C41" s="185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199"/>
      <c r="B42" s="190" t="s">
        <v>0</v>
      </c>
      <c r="C42" s="191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2" t="s">
        <v>49</v>
      </c>
      <c r="C43" s="193" t="s">
        <v>50</v>
      </c>
      <c r="D43" s="108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4" t="s">
        <v>125</v>
      </c>
      <c r="C44" s="196">
        <v>3.7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4" t="s">
        <v>126</v>
      </c>
      <c r="C45" s="196">
        <v>4.0185000000000004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4" t="s">
        <v>2</v>
      </c>
      <c r="C46" s="196">
        <v>4.6707000000000001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4" t="s">
        <v>131</v>
      </c>
      <c r="C47" s="196">
        <v>2.7898000000000001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4" t="s">
        <v>3</v>
      </c>
      <c r="C48" s="196">
        <v>2.4517000000000002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4" t="s">
        <v>65</v>
      </c>
      <c r="C49" s="196">
        <v>0.47220000000000001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4" t="s">
        <v>127</v>
      </c>
      <c r="C50" s="196">
        <v>2.2509999999999999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4" t="s">
        <v>90</v>
      </c>
      <c r="C51" s="197">
        <v>0.54149999999999998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4" t="s">
        <v>132</v>
      </c>
      <c r="C52" s="197">
        <v>0.34229999999999999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4" t="s">
        <v>1115</v>
      </c>
      <c r="C53" s="196">
        <v>2.5581999999999998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4" t="s">
        <v>130</v>
      </c>
      <c r="C54" s="197">
        <v>0.2165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4" t="s">
        <v>235</v>
      </c>
      <c r="C55" s="197">
        <v>4.1134000000000004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4" t="s">
        <v>91</v>
      </c>
      <c r="C56" s="197">
        <v>0.50839999999999996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4" t="s">
        <v>162</v>
      </c>
      <c r="C57" s="197">
        <v>0.77429999999999999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4" t="s">
        <v>129</v>
      </c>
      <c r="C58" s="197">
        <v>0.16900000000000001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4" t="s">
        <v>150</v>
      </c>
      <c r="C59" s="197">
        <v>0.34350000000000003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4" t="s">
        <v>160</v>
      </c>
      <c r="C60" s="197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4" t="s">
        <v>151</v>
      </c>
      <c r="C61" s="197">
        <v>0.89990000000000003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4" t="s">
        <v>152</v>
      </c>
      <c r="C62" s="197">
        <v>4.5388320000000003E-2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4" t="s">
        <v>161</v>
      </c>
      <c r="C63" s="197">
        <v>2.4605500000000002E-4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4" t="s">
        <v>153</v>
      </c>
      <c r="C64" s="197">
        <v>4.2000000000000003E-2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4" t="s">
        <v>154</v>
      </c>
      <c r="C65" s="197">
        <v>2.7989999999999998E-3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5" t="s">
        <v>155</v>
      </c>
      <c r="C66" s="198">
        <v>6.7000000000000004E-2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P35"/>
  <sheetViews>
    <sheetView rightToLeft="1" zoomScale="90" workbookViewId="0"/>
  </sheetViews>
  <sheetFormatPr defaultColWidth="9.109375" defaultRowHeight="13.2" x14ac:dyDescent="0.25"/>
  <cols>
    <col min="1" max="1" width="50.44140625" style="9" bestFit="1" customWidth="1"/>
    <col min="2" max="2" width="14.554687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1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6" s="7" customFormat="1" ht="14.25" customHeight="1" x14ac:dyDescent="0.25">
      <c r="A1" s="9" t="s">
        <v>236</v>
      </c>
      <c r="B1" s="8" t="s">
        <v>237</v>
      </c>
      <c r="C1" s="8"/>
      <c r="D1" s="8"/>
      <c r="E1" s="59"/>
      <c r="F1" s="36"/>
      <c r="G1" s="61"/>
      <c r="H1" s="62"/>
      <c r="I1" s="61"/>
      <c r="J1" s="12"/>
      <c r="K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6" s="7" customFormat="1" x14ac:dyDescent="0.25">
      <c r="A4" s="215" t="s">
        <v>4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</row>
    <row r="5" spans="1:16" s="7" customFormat="1" x14ac:dyDescent="0.25">
      <c r="A5" s="85" t="s">
        <v>156</v>
      </c>
      <c r="B5" s="200" t="s">
        <v>69</v>
      </c>
      <c r="C5" s="200" t="s">
        <v>74</v>
      </c>
      <c r="D5" s="200" t="s">
        <v>70</v>
      </c>
      <c r="E5" s="200" t="s">
        <v>5</v>
      </c>
      <c r="F5" s="200" t="s">
        <v>6</v>
      </c>
      <c r="G5" s="201" t="s">
        <v>66</v>
      </c>
      <c r="H5" s="201" t="s">
        <v>71</v>
      </c>
      <c r="I5" s="201" t="s">
        <v>7</v>
      </c>
      <c r="J5" s="88" t="s">
        <v>75</v>
      </c>
      <c r="K5" s="89" t="s">
        <v>8</v>
      </c>
    </row>
    <row r="6" spans="1:16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6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6" s="118" customFormat="1" ht="12.75" customHeight="1" thickBot="1" x14ac:dyDescent="0.3">
      <c r="A8" s="71" t="s">
        <v>78</v>
      </c>
      <c r="B8" s="119"/>
      <c r="C8" s="119"/>
      <c r="D8" s="119"/>
      <c r="E8" s="119"/>
      <c r="F8" s="119"/>
      <c r="G8" s="119"/>
      <c r="H8" s="119"/>
      <c r="I8" s="79">
        <f>24887.0833009-8550813/1000</f>
        <v>16336.270300900002</v>
      </c>
      <c r="J8" s="76">
        <v>1</v>
      </c>
      <c r="K8" s="58">
        <v>1.0120620862614838E-2</v>
      </c>
    </row>
    <row r="9" spans="1:16" s="118" customFormat="1" x14ac:dyDescent="0.25">
      <c r="A9" s="90" t="s">
        <v>248</v>
      </c>
      <c r="B9" s="120" t="s">
        <v>249</v>
      </c>
      <c r="C9" s="120" t="s">
        <v>249</v>
      </c>
      <c r="D9" s="121" t="s">
        <v>249</v>
      </c>
      <c r="E9" s="121" t="s">
        <v>249</v>
      </c>
      <c r="F9" s="121" t="s">
        <v>249</v>
      </c>
      <c r="G9" s="120" t="s">
        <v>249</v>
      </c>
      <c r="H9" s="120" t="s">
        <v>249</v>
      </c>
      <c r="I9" s="122">
        <f>24887.1755707-8550813/1000</f>
        <v>16336.362570700001</v>
      </c>
      <c r="J9" s="120">
        <v>1.0000037075377168</v>
      </c>
      <c r="K9" s="120">
        <v>1.0120658385198404E-2</v>
      </c>
    </row>
    <row r="10" spans="1:16" s="118" customFormat="1" x14ac:dyDescent="0.25">
      <c r="A10" s="91" t="s">
        <v>250</v>
      </c>
      <c r="B10" s="120" t="s">
        <v>249</v>
      </c>
      <c r="C10" s="120" t="s">
        <v>249</v>
      </c>
      <c r="D10" s="121" t="s">
        <v>249</v>
      </c>
      <c r="E10" s="121" t="s">
        <v>249</v>
      </c>
      <c r="F10" s="121" t="s">
        <v>249</v>
      </c>
      <c r="G10" s="120" t="s">
        <v>249</v>
      </c>
      <c r="H10" s="120" t="s">
        <v>249</v>
      </c>
      <c r="I10" s="123">
        <f>SUM(I11:I14)</f>
        <v>15221.316490000001</v>
      </c>
      <c r="J10" s="120">
        <f>I10/I8</f>
        <v>0.93174979414740855</v>
      </c>
      <c r="K10" s="120">
        <v>9.6672119732723761E-3</v>
      </c>
    </row>
    <row r="11" spans="1:16" x14ac:dyDescent="0.25">
      <c r="A11" s="16" t="s">
        <v>1081</v>
      </c>
      <c r="B11" s="32" t="s">
        <v>258</v>
      </c>
      <c r="C11" s="32" t="s">
        <v>259</v>
      </c>
      <c r="D11" s="65" t="s">
        <v>253</v>
      </c>
      <c r="E11" s="65" t="s">
        <v>254</v>
      </c>
      <c r="F11" s="65" t="s">
        <v>255</v>
      </c>
      <c r="G11" s="32">
        <v>0</v>
      </c>
      <c r="H11" s="32">
        <v>0</v>
      </c>
      <c r="I11" s="83">
        <v>328.55225999999999</v>
      </c>
      <c r="J11" s="32">
        <f>I11/I8</f>
        <v>2.011182809468446E-2</v>
      </c>
      <c r="K11" s="32">
        <v>1.3360958441019905E-4</v>
      </c>
    </row>
    <row r="12" spans="1:16" x14ac:dyDescent="0.25">
      <c r="A12" s="16" t="s">
        <v>1082</v>
      </c>
      <c r="B12" s="32" t="s">
        <v>251</v>
      </c>
      <c r="C12" s="32" t="s">
        <v>252</v>
      </c>
      <c r="D12" s="65" t="s">
        <v>253</v>
      </c>
      <c r="E12" s="65" t="s">
        <v>254</v>
      </c>
      <c r="F12" s="65" t="s">
        <v>255</v>
      </c>
      <c r="G12" s="32">
        <v>0</v>
      </c>
      <c r="H12" s="32">
        <v>0</v>
      </c>
      <c r="I12" s="83">
        <f>23758.71237-8550813/1000</f>
        <v>15207.899370000001</v>
      </c>
      <c r="J12" s="32">
        <f>I12/I8</f>
        <v>0.93092848550395035</v>
      </c>
      <c r="K12" s="32">
        <v>9.6617557458808997E-3</v>
      </c>
    </row>
    <row r="13" spans="1:16" x14ac:dyDescent="0.25">
      <c r="A13" s="16" t="s">
        <v>1083</v>
      </c>
      <c r="B13" s="32" t="s">
        <v>260</v>
      </c>
      <c r="C13" s="32" t="s">
        <v>252</v>
      </c>
      <c r="D13" s="65" t="s">
        <v>253</v>
      </c>
      <c r="E13" s="65" t="s">
        <v>254</v>
      </c>
      <c r="F13" s="65" t="s">
        <v>255</v>
      </c>
      <c r="G13" s="32">
        <v>0</v>
      </c>
      <c r="H13" s="32">
        <v>0</v>
      </c>
      <c r="I13" s="83">
        <v>-328.89373000000001</v>
      </c>
      <c r="J13" s="32">
        <f>I13/I8</f>
        <v>-2.0132730662633595E-2</v>
      </c>
      <c r="K13" s="32">
        <v>-1.3374844714329531E-4</v>
      </c>
      <c r="P13" s="10"/>
    </row>
    <row r="14" spans="1:16" x14ac:dyDescent="0.25">
      <c r="A14" s="16" t="s">
        <v>1084</v>
      </c>
      <c r="B14" s="32" t="s">
        <v>256</v>
      </c>
      <c r="C14" s="32" t="s">
        <v>257</v>
      </c>
      <c r="D14" s="65" t="s">
        <v>253</v>
      </c>
      <c r="E14" s="65" t="s">
        <v>254</v>
      </c>
      <c r="F14" s="65" t="s">
        <v>255</v>
      </c>
      <c r="G14" s="32">
        <v>0</v>
      </c>
      <c r="H14" s="32">
        <v>0</v>
      </c>
      <c r="I14" s="83">
        <v>13.75859</v>
      </c>
      <c r="J14" s="32">
        <f>I14/I8</f>
        <v>8.4221121140741701E-4</v>
      </c>
      <c r="K14" s="32">
        <v>5.5950900839042184E-6</v>
      </c>
    </row>
    <row r="15" spans="1:16" s="118" customFormat="1" x14ac:dyDescent="0.25">
      <c r="A15" s="91" t="s">
        <v>261</v>
      </c>
      <c r="B15" s="120" t="s">
        <v>249</v>
      </c>
      <c r="C15" s="120" t="s">
        <v>249</v>
      </c>
      <c r="D15" s="121" t="s">
        <v>249</v>
      </c>
      <c r="E15" s="121" t="s">
        <v>249</v>
      </c>
      <c r="F15" s="121" t="s">
        <v>249</v>
      </c>
      <c r="G15" s="120" t="s">
        <v>249</v>
      </c>
      <c r="H15" s="120" t="s">
        <v>249</v>
      </c>
      <c r="I15" s="123">
        <v>822.4033101</v>
      </c>
      <c r="J15" s="120">
        <f>I15/I8</f>
        <v>5.0342170823085119E-2</v>
      </c>
      <c r="K15" s="120">
        <v>3.3443983760767025E-4</v>
      </c>
    </row>
    <row r="16" spans="1:16" x14ac:dyDescent="0.25">
      <c r="A16" s="16" t="s">
        <v>1085</v>
      </c>
      <c r="B16" s="32" t="s">
        <v>262</v>
      </c>
      <c r="C16" s="32" t="s">
        <v>259</v>
      </c>
      <c r="D16" s="65" t="s">
        <v>253</v>
      </c>
      <c r="E16" s="65" t="s">
        <v>254</v>
      </c>
      <c r="F16" s="65" t="s">
        <v>125</v>
      </c>
      <c r="G16" s="32">
        <v>0</v>
      </c>
      <c r="H16" s="32">
        <v>0</v>
      </c>
      <c r="I16" s="83">
        <v>0.66773000000000005</v>
      </c>
      <c r="J16" s="32">
        <f>I16/$I$8</f>
        <v>4.0874078825888019E-5</v>
      </c>
      <c r="K16" s="32">
        <v>2.7154014341043405E-7</v>
      </c>
    </row>
    <row r="17" spans="1:11" x14ac:dyDescent="0.25">
      <c r="A17" s="16" t="s">
        <v>1086</v>
      </c>
      <c r="B17" s="32" t="s">
        <v>265</v>
      </c>
      <c r="C17" s="32" t="s">
        <v>259</v>
      </c>
      <c r="D17" s="65" t="s">
        <v>253</v>
      </c>
      <c r="E17" s="65" t="s">
        <v>254</v>
      </c>
      <c r="F17" s="65" t="s">
        <v>126</v>
      </c>
      <c r="G17" s="32">
        <v>0</v>
      </c>
      <c r="H17" s="32">
        <v>0</v>
      </c>
      <c r="I17" s="83">
        <v>1.6694</v>
      </c>
      <c r="J17" s="32">
        <f t="shared" ref="J17:J18" si="0">I17/$I$8</f>
        <v>1.0218978807592508E-4</v>
      </c>
      <c r="K17" s="32">
        <v>6.7888085814532607E-7</v>
      </c>
    </row>
    <row r="18" spans="1:11" x14ac:dyDescent="0.25">
      <c r="A18" s="16" t="s">
        <v>1087</v>
      </c>
      <c r="B18" s="32" t="s">
        <v>263</v>
      </c>
      <c r="C18" s="32" t="s">
        <v>252</v>
      </c>
      <c r="D18" s="65" t="s">
        <v>253</v>
      </c>
      <c r="E18" s="65" t="s">
        <v>254</v>
      </c>
      <c r="F18" s="65" t="s">
        <v>125</v>
      </c>
      <c r="G18" s="32">
        <v>0</v>
      </c>
      <c r="H18" s="32">
        <v>0</v>
      </c>
      <c r="I18" s="83">
        <v>61.552010000000003</v>
      </c>
      <c r="J18" s="32">
        <f t="shared" si="0"/>
        <v>3.7678129013700859E-3</v>
      </c>
      <c r="K18" s="32">
        <v>2.5030838246896906E-5</v>
      </c>
    </row>
    <row r="19" spans="1:11" x14ac:dyDescent="0.25">
      <c r="A19" s="16" t="s">
        <v>1088</v>
      </c>
      <c r="B19" s="32" t="s">
        <v>264</v>
      </c>
      <c r="C19" s="32" t="s">
        <v>252</v>
      </c>
      <c r="D19" s="65" t="s">
        <v>253</v>
      </c>
      <c r="E19" s="65" t="s">
        <v>254</v>
      </c>
      <c r="F19" s="65" t="s">
        <v>125</v>
      </c>
      <c r="G19" s="32">
        <v>0</v>
      </c>
      <c r="H19" s="32">
        <v>0</v>
      </c>
      <c r="I19" s="83">
        <v>758.51417000000004</v>
      </c>
      <c r="J19" s="32">
        <f>I19/$I$8</f>
        <v>4.6431294048691875E-2</v>
      </c>
      <c r="K19" s="32">
        <v>3.0845857831855142E-4</v>
      </c>
    </row>
    <row r="20" spans="1:11" s="118" customFormat="1" x14ac:dyDescent="0.25">
      <c r="A20" s="91" t="s">
        <v>266</v>
      </c>
      <c r="B20" s="120" t="s">
        <v>249</v>
      </c>
      <c r="C20" s="120" t="s">
        <v>249</v>
      </c>
      <c r="D20" s="121" t="s">
        <v>249</v>
      </c>
      <c r="E20" s="121" t="s">
        <v>249</v>
      </c>
      <c r="F20" s="121" t="s">
        <v>249</v>
      </c>
      <c r="G20" s="120" t="s">
        <v>249</v>
      </c>
      <c r="H20" s="120" t="s">
        <v>249</v>
      </c>
      <c r="I20" s="123">
        <v>0</v>
      </c>
      <c r="J20" s="120">
        <v>0</v>
      </c>
      <c r="K20" s="120">
        <v>0</v>
      </c>
    </row>
    <row r="21" spans="1:11" s="118" customFormat="1" x14ac:dyDescent="0.25">
      <c r="A21" s="91" t="s">
        <v>267</v>
      </c>
      <c r="B21" s="120" t="s">
        <v>249</v>
      </c>
      <c r="C21" s="120" t="s">
        <v>249</v>
      </c>
      <c r="D21" s="121" t="s">
        <v>249</v>
      </c>
      <c r="E21" s="121" t="s">
        <v>249</v>
      </c>
      <c r="F21" s="121" t="s">
        <v>249</v>
      </c>
      <c r="G21" s="120" t="s">
        <v>249</v>
      </c>
      <c r="H21" s="120" t="s">
        <v>249</v>
      </c>
      <c r="I21" s="123">
        <v>0</v>
      </c>
      <c r="J21" s="120">
        <v>0</v>
      </c>
      <c r="K21" s="120">
        <v>0</v>
      </c>
    </row>
    <row r="22" spans="1:11" s="118" customFormat="1" x14ac:dyDescent="0.25">
      <c r="A22" s="91" t="s">
        <v>268</v>
      </c>
      <c r="B22" s="120" t="s">
        <v>249</v>
      </c>
      <c r="C22" s="120" t="s">
        <v>249</v>
      </c>
      <c r="D22" s="121" t="s">
        <v>249</v>
      </c>
      <c r="E22" s="121" t="s">
        <v>249</v>
      </c>
      <c r="F22" s="121" t="s">
        <v>249</v>
      </c>
      <c r="G22" s="120" t="s">
        <v>249</v>
      </c>
      <c r="H22" s="120" t="s">
        <v>249</v>
      </c>
      <c r="I22" s="123">
        <v>0</v>
      </c>
      <c r="J22" s="120">
        <v>0</v>
      </c>
      <c r="K22" s="120">
        <v>0</v>
      </c>
    </row>
    <row r="23" spans="1:11" s="118" customFormat="1" x14ac:dyDescent="0.25">
      <c r="A23" s="91" t="s">
        <v>269</v>
      </c>
      <c r="B23" s="120" t="s">
        <v>249</v>
      </c>
      <c r="C23" s="120" t="s">
        <v>249</v>
      </c>
      <c r="D23" s="121" t="s">
        <v>249</v>
      </c>
      <c r="E23" s="121" t="s">
        <v>249</v>
      </c>
      <c r="F23" s="121" t="s">
        <v>249</v>
      </c>
      <c r="G23" s="120" t="s">
        <v>249</v>
      </c>
      <c r="H23" s="120" t="s">
        <v>249</v>
      </c>
      <c r="I23" s="123">
        <v>0</v>
      </c>
      <c r="J23" s="120">
        <v>0</v>
      </c>
      <c r="K23" s="120">
        <v>0</v>
      </c>
    </row>
    <row r="24" spans="1:11" s="118" customFormat="1" x14ac:dyDescent="0.25">
      <c r="A24" s="91" t="s">
        <v>270</v>
      </c>
      <c r="B24" s="120" t="s">
        <v>249</v>
      </c>
      <c r="C24" s="120" t="s">
        <v>249</v>
      </c>
      <c r="D24" s="121" t="s">
        <v>249</v>
      </c>
      <c r="E24" s="121" t="s">
        <v>249</v>
      </c>
      <c r="F24" s="121" t="s">
        <v>249</v>
      </c>
      <c r="G24" s="120" t="s">
        <v>249</v>
      </c>
      <c r="H24" s="120" t="s">
        <v>249</v>
      </c>
      <c r="I24" s="123">
        <v>292.64277010000001</v>
      </c>
      <c r="J24" s="120">
        <f>I24/I8</f>
        <v>1.7913683154708676E-2</v>
      </c>
      <c r="K24" s="120">
        <v>1.1900657415569269E-4</v>
      </c>
    </row>
    <row r="25" spans="1:11" x14ac:dyDescent="0.25">
      <c r="A25" s="16" t="s">
        <v>1089</v>
      </c>
      <c r="B25" s="32" t="s">
        <v>272</v>
      </c>
      <c r="C25" s="32" t="s">
        <v>259</v>
      </c>
      <c r="D25" s="65" t="s">
        <v>253</v>
      </c>
      <c r="E25" s="65" t="s">
        <v>254</v>
      </c>
      <c r="F25" s="65" t="s">
        <v>125</v>
      </c>
      <c r="G25" s="32">
        <v>0</v>
      </c>
      <c r="H25" s="32">
        <v>0</v>
      </c>
      <c r="I25" s="83">
        <v>370</v>
      </c>
      <c r="J25" s="32">
        <f>I25/I8</f>
        <v>2.2648988611532455E-2</v>
      </c>
      <c r="K25" s="32">
        <v>1.5046478825552333E-4</v>
      </c>
    </row>
    <row r="26" spans="1:11" x14ac:dyDescent="0.25">
      <c r="A26" s="16" t="s">
        <v>1090</v>
      </c>
      <c r="B26" s="32" t="s">
        <v>271</v>
      </c>
      <c r="C26" s="32" t="s">
        <v>252</v>
      </c>
      <c r="D26" s="65" t="s">
        <v>253</v>
      </c>
      <c r="E26" s="65" t="s">
        <v>254</v>
      </c>
      <c r="F26" s="65" t="s">
        <v>125</v>
      </c>
      <c r="G26" s="32">
        <v>0</v>
      </c>
      <c r="H26" s="32">
        <v>0</v>
      </c>
      <c r="I26" s="83">
        <v>-77.357230000000001</v>
      </c>
      <c r="J26" s="32">
        <f>I26/I8</f>
        <v>-4.7353054629451262E-3</v>
      </c>
      <c r="K26" s="32">
        <v>-3.1458214140496801E-5</v>
      </c>
    </row>
    <row r="27" spans="1:11" s="118" customFormat="1" x14ac:dyDescent="0.25">
      <c r="A27" s="91" t="s">
        <v>273</v>
      </c>
      <c r="B27" s="120" t="s">
        <v>249</v>
      </c>
      <c r="C27" s="120" t="s">
        <v>249</v>
      </c>
      <c r="D27" s="121" t="s">
        <v>249</v>
      </c>
      <c r="E27" s="121" t="s">
        <v>249</v>
      </c>
      <c r="F27" s="121" t="s">
        <v>249</v>
      </c>
      <c r="G27" s="120" t="s">
        <v>249</v>
      </c>
      <c r="H27" s="120" t="s">
        <v>249</v>
      </c>
      <c r="I27" s="123">
        <v>-9.2269799999999985E-2</v>
      </c>
      <c r="J27" s="120">
        <v>-3.7075377168309309E-6</v>
      </c>
      <c r="K27" s="120">
        <v>-3.7522583565890497E-8</v>
      </c>
    </row>
    <row r="28" spans="1:11" s="118" customFormat="1" x14ac:dyDescent="0.25">
      <c r="A28" s="91" t="s">
        <v>261</v>
      </c>
      <c r="B28" s="120" t="s">
        <v>249</v>
      </c>
      <c r="C28" s="120" t="s">
        <v>249</v>
      </c>
      <c r="D28" s="121" t="s">
        <v>249</v>
      </c>
      <c r="E28" s="121" t="s">
        <v>249</v>
      </c>
      <c r="F28" s="121" t="s">
        <v>249</v>
      </c>
      <c r="G28" s="120" t="s">
        <v>249</v>
      </c>
      <c r="H28" s="120" t="s">
        <v>249</v>
      </c>
      <c r="I28" s="123">
        <v>-9.2269899999999988E-2</v>
      </c>
      <c r="J28" s="120">
        <v>-3.7075417349795742E-6</v>
      </c>
      <c r="K28" s="120">
        <v>-3.7522624232049491E-8</v>
      </c>
    </row>
    <row r="29" spans="1:11" x14ac:dyDescent="0.25">
      <c r="A29" s="16" t="s">
        <v>274</v>
      </c>
      <c r="B29" s="32" t="s">
        <v>275</v>
      </c>
      <c r="C29" s="32" t="s">
        <v>259</v>
      </c>
      <c r="D29" s="65" t="s">
        <v>253</v>
      </c>
      <c r="E29" s="65" t="s">
        <v>254</v>
      </c>
      <c r="F29" s="65" t="s">
        <v>125</v>
      </c>
      <c r="G29" s="32">
        <v>0</v>
      </c>
      <c r="H29" s="32">
        <v>0</v>
      </c>
      <c r="I29" s="83">
        <v>-9.2269999999999991E-2</v>
      </c>
      <c r="J29" s="32">
        <v>-3.7075457531282174E-6</v>
      </c>
      <c r="K29" s="32">
        <v>-3.7522664898208478E-8</v>
      </c>
    </row>
    <row r="30" spans="1:11" s="118" customFormat="1" x14ac:dyDescent="0.25">
      <c r="A30" s="91" t="s">
        <v>270</v>
      </c>
      <c r="B30" s="120" t="s">
        <v>249</v>
      </c>
      <c r="C30" s="120" t="s">
        <v>249</v>
      </c>
      <c r="D30" s="121" t="s">
        <v>249</v>
      </c>
      <c r="E30" s="121" t="s">
        <v>249</v>
      </c>
      <c r="F30" s="121" t="s">
        <v>249</v>
      </c>
      <c r="G30" s="120" t="s">
        <v>249</v>
      </c>
      <c r="H30" s="120" t="s">
        <v>249</v>
      </c>
      <c r="I30" s="123">
        <v>0</v>
      </c>
      <c r="J30" s="120">
        <v>0</v>
      </c>
      <c r="K30" s="120">
        <v>0</v>
      </c>
    </row>
    <row r="31" spans="1:11" s="118" customFormat="1" x14ac:dyDescent="0.25">
      <c r="A31" s="77" t="s">
        <v>241</v>
      </c>
      <c r="B31" s="124"/>
      <c r="C31" s="124"/>
      <c r="D31" s="124"/>
      <c r="E31" s="125"/>
      <c r="F31" s="126"/>
      <c r="G31" s="127"/>
      <c r="H31" s="128"/>
      <c r="I31" s="127"/>
      <c r="J31" s="129"/>
    </row>
    <row r="32" spans="1:11" s="118" customFormat="1" x14ac:dyDescent="0.25">
      <c r="A32" s="77" t="s">
        <v>242</v>
      </c>
      <c r="B32" s="124"/>
      <c r="C32" s="124"/>
      <c r="D32" s="124"/>
      <c r="E32" s="125"/>
      <c r="F32" s="126"/>
      <c r="G32" s="127"/>
      <c r="H32" s="128"/>
      <c r="I32" s="127"/>
      <c r="J32" s="129"/>
    </row>
    <row r="33" spans="1:10" s="118" customFormat="1" x14ac:dyDescent="0.25">
      <c r="A33" s="77" t="s">
        <v>243</v>
      </c>
      <c r="B33" s="124"/>
      <c r="C33" s="124"/>
      <c r="D33" s="124"/>
      <c r="E33" s="125"/>
      <c r="F33" s="126"/>
      <c r="G33" s="127"/>
      <c r="H33" s="128"/>
      <c r="I33" s="127"/>
      <c r="J33" s="129"/>
    </row>
    <row r="34" spans="1:10" s="118" customFormat="1" x14ac:dyDescent="0.25">
      <c r="A34" s="77" t="s">
        <v>244</v>
      </c>
      <c r="B34" s="124"/>
      <c r="C34" s="124"/>
      <c r="D34" s="124"/>
      <c r="E34" s="125"/>
      <c r="F34" s="126"/>
      <c r="G34" s="127"/>
      <c r="H34" s="128"/>
      <c r="I34" s="127"/>
      <c r="J34" s="129"/>
    </row>
    <row r="35" spans="1:10" s="118" customFormat="1" x14ac:dyDescent="0.25">
      <c r="A35" s="77" t="s">
        <v>245</v>
      </c>
      <c r="B35" s="124"/>
      <c r="C35" s="124"/>
      <c r="D35" s="124"/>
      <c r="E35" s="125"/>
      <c r="F35" s="126"/>
      <c r="G35" s="127"/>
      <c r="H35" s="128"/>
      <c r="I35" s="127"/>
      <c r="J35" s="129"/>
    </row>
  </sheetData>
  <mergeCells count="1">
    <mergeCell ref="A4:K4"/>
  </mergeCells>
  <phoneticPr fontId="3" type="noConversion"/>
  <conditionalFormatting sqref="A9:A30 I9:K30">
    <cfRule type="expression" dxfId="128" priority="43" stopIfTrue="1">
      <formula>OR(LEFT(#REF!,3)="TIR",LEFT(#REF!,2)="IR")</formula>
    </cfRule>
  </conditionalFormatting>
  <conditionalFormatting sqref="B9:F30 J9:K30">
    <cfRule type="expression" dxfId="127" priority="39" stopIfTrue="1">
      <formula>LEFT(#REF!,3)="TIR"</formula>
    </cfRule>
  </conditionalFormatting>
  <conditionalFormatting sqref="G1:G3 G9:H30 G31:G55565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30 A9:A30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3320312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1.33203125" style="36" customWidth="1"/>
    <col min="9" max="9" width="12.5546875" style="61" customWidth="1"/>
    <col min="10" max="10" width="14.109375" style="63" customWidth="1"/>
    <col min="11" max="11" width="10.5546875" style="63" customWidth="1"/>
    <col min="12" max="12" width="8.88671875" style="63" bestFit="1" customWidth="1"/>
    <col min="13" max="13" width="16.5546875" style="63" customWidth="1"/>
    <col min="14" max="14" width="10.44140625" style="61" customWidth="1"/>
    <col min="15" max="15" width="22" style="61" customWidth="1"/>
    <col min="16" max="16" width="25.44140625" style="61" customWidth="1"/>
    <col min="17" max="17" width="20.6640625" style="6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236</v>
      </c>
      <c r="B1" s="8" t="s">
        <v>237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4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4"/>
    </row>
    <row r="4" spans="1:17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7"/>
    </row>
    <row r="5" spans="1:17" s="7" customFormat="1" x14ac:dyDescent="0.25">
      <c r="A5" s="218" t="s">
        <v>12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20"/>
    </row>
    <row r="6" spans="1:17" s="7" customFormat="1" ht="28.5" customHeight="1" x14ac:dyDescent="0.25">
      <c r="A6" s="202" t="s">
        <v>156</v>
      </c>
      <c r="B6" s="200" t="s">
        <v>69</v>
      </c>
      <c r="C6" s="200" t="s">
        <v>76</v>
      </c>
      <c r="D6" s="200" t="s">
        <v>70</v>
      </c>
      <c r="E6" s="200" t="s">
        <v>5</v>
      </c>
      <c r="F6" s="200" t="s">
        <v>13</v>
      </c>
      <c r="G6" s="200" t="s">
        <v>14</v>
      </c>
      <c r="H6" s="200" t="s">
        <v>6</v>
      </c>
      <c r="I6" s="201" t="s">
        <v>66</v>
      </c>
      <c r="J6" s="201" t="s">
        <v>71</v>
      </c>
      <c r="K6" s="201" t="s">
        <v>67</v>
      </c>
      <c r="L6" s="201" t="s">
        <v>68</v>
      </c>
      <c r="M6" s="201" t="s">
        <v>134</v>
      </c>
      <c r="N6" s="201" t="s">
        <v>7</v>
      </c>
      <c r="O6" s="88" t="s">
        <v>17</v>
      </c>
      <c r="P6" s="88" t="s">
        <v>75</v>
      </c>
      <c r="Q6" s="89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8" customFormat="1" ht="12.75" customHeight="1" thickBot="1" x14ac:dyDescent="0.3">
      <c r="A9" s="99" t="s">
        <v>52</v>
      </c>
      <c r="B9" s="66"/>
      <c r="C9" s="66"/>
      <c r="D9" s="100"/>
      <c r="E9" s="100"/>
      <c r="F9" s="100"/>
      <c r="G9" s="100"/>
      <c r="H9" s="100"/>
      <c r="I9" s="66"/>
      <c r="J9" s="66"/>
      <c r="K9" s="103"/>
      <c r="L9" s="100"/>
      <c r="M9" s="100" t="s">
        <v>249</v>
      </c>
      <c r="N9" s="104">
        <v>6.9999999999999997E-7</v>
      </c>
      <c r="O9" s="66"/>
      <c r="P9" s="66">
        <v>1</v>
      </c>
      <c r="Q9" s="80">
        <v>0</v>
      </c>
    </row>
    <row r="10" spans="1:17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1" t="s">
        <v>249</v>
      </c>
      <c r="H10" s="130" t="s">
        <v>249</v>
      </c>
      <c r="I10" s="130" t="s">
        <v>249</v>
      </c>
      <c r="J10" s="130" t="s">
        <v>249</v>
      </c>
      <c r="K10" s="132" t="s">
        <v>249</v>
      </c>
      <c r="L10" s="121" t="s">
        <v>249</v>
      </c>
      <c r="M10" s="121" t="s">
        <v>249</v>
      </c>
      <c r="N10" s="133">
        <v>0</v>
      </c>
      <c r="O10" s="120" t="s">
        <v>249</v>
      </c>
      <c r="P10" s="120">
        <v>0</v>
      </c>
      <c r="Q10" s="120">
        <v>0</v>
      </c>
    </row>
    <row r="11" spans="1:17" s="118" customFormat="1" x14ac:dyDescent="0.25">
      <c r="A11" s="91" t="s">
        <v>276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1" t="s">
        <v>249</v>
      </c>
      <c r="H11" s="130" t="s">
        <v>249</v>
      </c>
      <c r="I11" s="130" t="s">
        <v>249</v>
      </c>
      <c r="J11" s="130" t="s">
        <v>249</v>
      </c>
      <c r="K11" s="134" t="s">
        <v>249</v>
      </c>
      <c r="L11" s="135" t="s">
        <v>249</v>
      </c>
      <c r="M11" s="135" t="s">
        <v>249</v>
      </c>
      <c r="N11" s="123">
        <v>0</v>
      </c>
      <c r="O11" s="136"/>
      <c r="P11" s="120">
        <v>0</v>
      </c>
      <c r="Q11" s="120">
        <v>0</v>
      </c>
    </row>
    <row r="12" spans="1:17" s="118" customFormat="1" x14ac:dyDescent="0.25">
      <c r="A12" s="91" t="s">
        <v>139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1" t="s">
        <v>249</v>
      </c>
      <c r="H12" s="130" t="s">
        <v>249</v>
      </c>
      <c r="I12" s="130" t="s">
        <v>249</v>
      </c>
      <c r="J12" s="130" t="s">
        <v>249</v>
      </c>
      <c r="K12" s="134" t="s">
        <v>249</v>
      </c>
      <c r="L12" s="135" t="s">
        <v>249</v>
      </c>
      <c r="M12" s="134" t="s">
        <v>249</v>
      </c>
      <c r="N12" s="123">
        <v>0</v>
      </c>
      <c r="O12" s="136"/>
      <c r="P12" s="120">
        <v>0</v>
      </c>
      <c r="Q12" s="120">
        <v>0</v>
      </c>
    </row>
    <row r="13" spans="1:17" s="118" customFormat="1" x14ac:dyDescent="0.25">
      <c r="A13" s="91" t="s">
        <v>277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1" t="s">
        <v>249</v>
      </c>
      <c r="H13" s="130" t="s">
        <v>249</v>
      </c>
      <c r="I13" s="130" t="s">
        <v>249</v>
      </c>
      <c r="J13" s="130" t="s">
        <v>249</v>
      </c>
      <c r="K13" s="134" t="s">
        <v>249</v>
      </c>
      <c r="L13" s="135" t="s">
        <v>249</v>
      </c>
      <c r="M13" s="135" t="s">
        <v>249</v>
      </c>
      <c r="N13" s="123">
        <v>0</v>
      </c>
      <c r="O13" s="136"/>
      <c r="P13" s="120">
        <v>0</v>
      </c>
      <c r="Q13" s="120">
        <v>0</v>
      </c>
    </row>
    <row r="14" spans="1:17" s="118" customFormat="1" x14ac:dyDescent="0.25">
      <c r="A14" s="91" t="s">
        <v>278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1" t="s">
        <v>249</v>
      </c>
      <c r="H14" s="130" t="s">
        <v>249</v>
      </c>
      <c r="I14" s="130" t="s">
        <v>249</v>
      </c>
      <c r="J14" s="130" t="s">
        <v>249</v>
      </c>
      <c r="K14" s="134" t="s">
        <v>249</v>
      </c>
      <c r="L14" s="135" t="s">
        <v>249</v>
      </c>
      <c r="M14" s="135" t="s">
        <v>249</v>
      </c>
      <c r="N14" s="123">
        <v>0</v>
      </c>
      <c r="O14" s="136"/>
      <c r="P14" s="120">
        <v>0</v>
      </c>
      <c r="Q14" s="120">
        <v>0</v>
      </c>
    </row>
    <row r="15" spans="1:17" s="118" customFormat="1" x14ac:dyDescent="0.25">
      <c r="A15" s="91" t="s">
        <v>279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1" t="s">
        <v>249</v>
      </c>
      <c r="H15" s="130" t="s">
        <v>249</v>
      </c>
      <c r="I15" s="130" t="s">
        <v>249</v>
      </c>
      <c r="J15" s="130" t="s">
        <v>249</v>
      </c>
      <c r="K15" s="134" t="s">
        <v>249</v>
      </c>
      <c r="L15" s="135" t="s">
        <v>249</v>
      </c>
      <c r="M15" s="135" t="s">
        <v>249</v>
      </c>
      <c r="N15" s="123">
        <v>0</v>
      </c>
      <c r="O15" s="136"/>
      <c r="P15" s="120">
        <v>0</v>
      </c>
      <c r="Q15" s="120">
        <v>0</v>
      </c>
    </row>
    <row r="16" spans="1:17" s="118" customFormat="1" x14ac:dyDescent="0.25">
      <c r="A16" s="91" t="s">
        <v>280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1" t="s">
        <v>249</v>
      </c>
      <c r="H16" s="130" t="s">
        <v>249</v>
      </c>
      <c r="I16" s="130" t="s">
        <v>249</v>
      </c>
      <c r="J16" s="130" t="s">
        <v>249</v>
      </c>
      <c r="K16" s="134" t="s">
        <v>249</v>
      </c>
      <c r="L16" s="135" t="s">
        <v>249</v>
      </c>
      <c r="M16" s="135" t="s">
        <v>249</v>
      </c>
      <c r="N16" s="123">
        <v>0</v>
      </c>
      <c r="O16" s="136"/>
      <c r="P16" s="120">
        <v>0</v>
      </c>
      <c r="Q16" s="120">
        <v>0</v>
      </c>
    </row>
    <row r="17" spans="1:17" s="118" customFormat="1" x14ac:dyDescent="0.25">
      <c r="A17" s="91" t="s">
        <v>281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0" t="s">
        <v>249</v>
      </c>
      <c r="G17" s="131" t="s">
        <v>249</v>
      </c>
      <c r="H17" s="130" t="s">
        <v>249</v>
      </c>
      <c r="I17" s="130" t="s">
        <v>249</v>
      </c>
      <c r="J17" s="130" t="s">
        <v>249</v>
      </c>
      <c r="K17" s="134" t="s">
        <v>249</v>
      </c>
      <c r="L17" s="135" t="s">
        <v>249</v>
      </c>
      <c r="M17" s="135" t="s">
        <v>249</v>
      </c>
      <c r="N17" s="123">
        <v>0</v>
      </c>
      <c r="O17" s="136"/>
      <c r="P17" s="120">
        <v>0</v>
      </c>
      <c r="Q17" s="120">
        <v>0</v>
      </c>
    </row>
    <row r="18" spans="1:17" s="118" customFormat="1" x14ac:dyDescent="0.25">
      <c r="A18" s="91" t="s">
        <v>282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0" t="s">
        <v>249</v>
      </c>
      <c r="G18" s="131" t="s">
        <v>249</v>
      </c>
      <c r="H18" s="130" t="s">
        <v>249</v>
      </c>
      <c r="I18" s="130" t="s">
        <v>249</v>
      </c>
      <c r="J18" s="130" t="s">
        <v>249</v>
      </c>
      <c r="K18" s="134" t="s">
        <v>249</v>
      </c>
      <c r="L18" s="135" t="s">
        <v>249</v>
      </c>
      <c r="M18" s="135" t="s">
        <v>249</v>
      </c>
      <c r="N18" s="123">
        <v>0</v>
      </c>
      <c r="O18" s="136"/>
      <c r="P18" s="120">
        <v>0</v>
      </c>
      <c r="Q18" s="120">
        <v>0</v>
      </c>
    </row>
    <row r="19" spans="1:17" s="118" customFormat="1" x14ac:dyDescent="0.25">
      <c r="A19" s="91" t="s">
        <v>283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0" t="s">
        <v>249</v>
      </c>
      <c r="G19" s="131" t="s">
        <v>249</v>
      </c>
      <c r="H19" s="130" t="s">
        <v>249</v>
      </c>
      <c r="I19" s="130" t="s">
        <v>249</v>
      </c>
      <c r="J19" s="130" t="s">
        <v>249</v>
      </c>
      <c r="K19" s="134" t="s">
        <v>249</v>
      </c>
      <c r="L19" s="135" t="s">
        <v>249</v>
      </c>
      <c r="M19" s="135" t="s">
        <v>249</v>
      </c>
      <c r="N19" s="123">
        <v>0</v>
      </c>
      <c r="O19" s="136"/>
      <c r="P19" s="120">
        <v>0</v>
      </c>
      <c r="Q19" s="120">
        <v>0</v>
      </c>
    </row>
    <row r="20" spans="1:17" s="118" customFormat="1" x14ac:dyDescent="0.25">
      <c r="A20" s="77" t="s">
        <v>241</v>
      </c>
      <c r="B20" s="124"/>
      <c r="C20" s="124"/>
      <c r="D20" s="124"/>
      <c r="E20" s="125"/>
      <c r="F20" s="125"/>
      <c r="G20" s="125"/>
      <c r="H20" s="126"/>
      <c r="I20" s="127"/>
      <c r="J20" s="128"/>
      <c r="K20" s="128"/>
      <c r="L20" s="128"/>
      <c r="M20" s="128"/>
      <c r="N20" s="127"/>
      <c r="O20" s="127"/>
      <c r="P20" s="127"/>
      <c r="Q20" s="137"/>
    </row>
    <row r="21" spans="1:17" s="118" customFormat="1" x14ac:dyDescent="0.25">
      <c r="A21" s="77" t="s">
        <v>242</v>
      </c>
      <c r="B21" s="124"/>
      <c r="C21" s="124"/>
      <c r="D21" s="124"/>
      <c r="E21" s="125"/>
      <c r="F21" s="125"/>
      <c r="G21" s="125"/>
      <c r="H21" s="126"/>
      <c r="I21" s="127"/>
      <c r="J21" s="128"/>
      <c r="K21" s="128"/>
      <c r="L21" s="128"/>
      <c r="M21" s="128"/>
      <c r="N21" s="127"/>
      <c r="O21" s="127"/>
      <c r="P21" s="127"/>
      <c r="Q21" s="137"/>
    </row>
    <row r="22" spans="1:17" s="118" customFormat="1" x14ac:dyDescent="0.25">
      <c r="A22" s="77" t="s">
        <v>243</v>
      </c>
      <c r="B22" s="124"/>
      <c r="C22" s="124"/>
      <c r="D22" s="124"/>
      <c r="E22" s="125"/>
      <c r="F22" s="125"/>
      <c r="G22" s="125"/>
      <c r="H22" s="126"/>
      <c r="I22" s="127"/>
      <c r="J22" s="128"/>
      <c r="K22" s="128"/>
      <c r="L22" s="128"/>
      <c r="M22" s="128"/>
      <c r="N22" s="127"/>
      <c r="O22" s="127"/>
      <c r="P22" s="127"/>
      <c r="Q22" s="137"/>
    </row>
    <row r="23" spans="1:17" s="118" customFormat="1" x14ac:dyDescent="0.25">
      <c r="A23" s="77" t="s">
        <v>244</v>
      </c>
      <c r="B23" s="124"/>
      <c r="C23" s="124"/>
      <c r="D23" s="124"/>
      <c r="E23" s="125"/>
      <c r="F23" s="125"/>
      <c r="G23" s="125"/>
      <c r="H23" s="126"/>
      <c r="I23" s="127"/>
      <c r="J23" s="128"/>
      <c r="K23" s="128"/>
      <c r="L23" s="128"/>
      <c r="M23" s="128"/>
      <c r="N23" s="127"/>
      <c r="O23" s="127"/>
      <c r="P23" s="127"/>
      <c r="Q23" s="137"/>
    </row>
    <row r="24" spans="1:17" s="118" customFormat="1" x14ac:dyDescent="0.25">
      <c r="A24" s="77" t="s">
        <v>245</v>
      </c>
      <c r="B24" s="124"/>
      <c r="C24" s="124"/>
      <c r="D24" s="124"/>
      <c r="E24" s="125"/>
      <c r="F24" s="125"/>
      <c r="G24" s="125"/>
      <c r="H24" s="126"/>
      <c r="I24" s="127"/>
      <c r="J24" s="128"/>
      <c r="K24" s="128"/>
      <c r="L24" s="128"/>
      <c r="M24" s="128"/>
      <c r="N24" s="127"/>
      <c r="O24" s="127"/>
      <c r="P24" s="127"/>
      <c r="Q24" s="137"/>
    </row>
  </sheetData>
  <mergeCells count="2">
    <mergeCell ref="A5:Q5"/>
    <mergeCell ref="A4:Q4"/>
  </mergeCells>
  <phoneticPr fontId="3" type="noConversion"/>
  <conditionalFormatting sqref="A9:A19 N9:N1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19">
    <cfRule type="expression" dxfId="121" priority="66" stopIfTrue="1">
      <formula>OR(LEFT(#REF!,3)="TIR",LEFT(#REF!,2)="IR")</formula>
    </cfRule>
  </conditionalFormatting>
  <conditionalFormatting sqref="B10:J19">
    <cfRule type="expression" dxfId="120" priority="73" stopIfTrue="1">
      <formula>LEFT(#REF!,3)="TIR"</formula>
    </cfRule>
  </conditionalFormatting>
  <conditionalFormatting sqref="I1:I3 G9 I9:M9 O9:O19 K10:M19 I20:I5555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236</v>
      </c>
      <c r="B1" s="8" t="s">
        <v>237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</row>
    <row r="5" spans="1:20" s="7" customFormat="1" x14ac:dyDescent="0.25">
      <c r="A5" s="218" t="s">
        <v>18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20"/>
    </row>
    <row r="6" spans="1:20" s="7" customFormat="1" x14ac:dyDescent="0.25">
      <c r="A6" s="85" t="s">
        <v>156</v>
      </c>
      <c r="B6" s="200" t="s">
        <v>69</v>
      </c>
      <c r="C6" s="200" t="s">
        <v>76</v>
      </c>
      <c r="D6" s="200" t="s">
        <v>77</v>
      </c>
      <c r="E6" s="200" t="s">
        <v>74</v>
      </c>
      <c r="F6" s="200" t="s">
        <v>19</v>
      </c>
      <c r="G6" s="200" t="s">
        <v>70</v>
      </c>
      <c r="H6" s="200" t="s">
        <v>5</v>
      </c>
      <c r="I6" s="200" t="s">
        <v>13</v>
      </c>
      <c r="J6" s="200" t="s">
        <v>14</v>
      </c>
      <c r="K6" s="200" t="s">
        <v>6</v>
      </c>
      <c r="L6" s="201" t="s">
        <v>66</v>
      </c>
      <c r="M6" s="201" t="s">
        <v>71</v>
      </c>
      <c r="N6" s="201" t="s">
        <v>67</v>
      </c>
      <c r="O6" s="201" t="s">
        <v>68</v>
      </c>
      <c r="P6" s="201" t="s">
        <v>134</v>
      </c>
      <c r="Q6" s="201" t="s">
        <v>7</v>
      </c>
      <c r="R6" s="88" t="s">
        <v>17</v>
      </c>
      <c r="S6" s="88" t="s">
        <v>75</v>
      </c>
      <c r="T6" s="89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8" customFormat="1" ht="12.75" customHeight="1" thickBot="1" x14ac:dyDescent="0.3">
      <c r="A9" s="99" t="s">
        <v>61</v>
      </c>
      <c r="B9" s="66" t="s">
        <v>249</v>
      </c>
      <c r="C9" s="66" t="s">
        <v>249</v>
      </c>
      <c r="D9" s="66" t="s">
        <v>249</v>
      </c>
      <c r="E9" s="66" t="s">
        <v>249</v>
      </c>
      <c r="F9" s="66" t="s">
        <v>249</v>
      </c>
      <c r="G9" s="138"/>
      <c r="H9" s="138" t="s">
        <v>249</v>
      </c>
      <c r="I9" s="138" t="s">
        <v>249</v>
      </c>
      <c r="J9" s="138" t="s">
        <v>249</v>
      </c>
      <c r="K9" s="138" t="s">
        <v>249</v>
      </c>
      <c r="L9" s="139" t="s">
        <v>249</v>
      </c>
      <c r="M9" s="139" t="s">
        <v>249</v>
      </c>
      <c r="N9" s="140" t="s">
        <v>249</v>
      </c>
      <c r="O9" s="138"/>
      <c r="P9" s="138" t="s">
        <v>249</v>
      </c>
      <c r="Q9" s="102">
        <v>4.9999999999999998E-7</v>
      </c>
      <c r="R9" s="66" t="s">
        <v>249</v>
      </c>
      <c r="S9" s="66">
        <v>1</v>
      </c>
      <c r="T9" s="80">
        <v>0</v>
      </c>
    </row>
    <row r="10" spans="1:20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0" t="s">
        <v>249</v>
      </c>
      <c r="H10" s="130" t="s">
        <v>249</v>
      </c>
      <c r="I10" s="130" t="s">
        <v>249</v>
      </c>
      <c r="J10" s="131" t="s">
        <v>249</v>
      </c>
      <c r="K10" s="130" t="s">
        <v>249</v>
      </c>
      <c r="L10" s="130" t="s">
        <v>249</v>
      </c>
      <c r="M10" s="130" t="s">
        <v>249</v>
      </c>
      <c r="N10" s="141" t="s">
        <v>249</v>
      </c>
      <c r="O10" s="142" t="s">
        <v>249</v>
      </c>
      <c r="P10" s="142" t="s">
        <v>249</v>
      </c>
      <c r="Q10" s="122">
        <v>0</v>
      </c>
      <c r="R10" s="120" t="s">
        <v>249</v>
      </c>
      <c r="S10" s="120">
        <v>0</v>
      </c>
      <c r="T10" s="120">
        <v>0</v>
      </c>
    </row>
    <row r="11" spans="1:20" s="118" customFormat="1" x14ac:dyDescent="0.25">
      <c r="A11" s="91" t="s">
        <v>138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0" t="s">
        <v>249</v>
      </c>
      <c r="H11" s="130" t="s">
        <v>249</v>
      </c>
      <c r="I11" s="130" t="s">
        <v>249</v>
      </c>
      <c r="J11" s="131" t="s">
        <v>249</v>
      </c>
      <c r="K11" s="130" t="s">
        <v>249</v>
      </c>
      <c r="L11" s="130" t="s">
        <v>249</v>
      </c>
      <c r="M11" s="130" t="s">
        <v>249</v>
      </c>
      <c r="N11" s="143" t="s">
        <v>249</v>
      </c>
      <c r="O11" s="144" t="s">
        <v>249</v>
      </c>
      <c r="P11" s="144" t="s">
        <v>249</v>
      </c>
      <c r="Q11" s="123">
        <v>0</v>
      </c>
      <c r="R11" s="136"/>
      <c r="S11" s="136">
        <v>0</v>
      </c>
      <c r="T11" s="120">
        <v>0</v>
      </c>
    </row>
    <row r="12" spans="1:20" s="118" customFormat="1" x14ac:dyDescent="0.25">
      <c r="A12" s="91" t="s">
        <v>139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0" t="s">
        <v>249</v>
      </c>
      <c r="H12" s="130" t="s">
        <v>249</v>
      </c>
      <c r="I12" s="130" t="s">
        <v>249</v>
      </c>
      <c r="J12" s="131" t="s">
        <v>249</v>
      </c>
      <c r="K12" s="130" t="s">
        <v>249</v>
      </c>
      <c r="L12" s="130" t="s">
        <v>249</v>
      </c>
      <c r="M12" s="130" t="s">
        <v>249</v>
      </c>
      <c r="N12" s="143" t="s">
        <v>249</v>
      </c>
      <c r="O12" s="144" t="s">
        <v>249</v>
      </c>
      <c r="P12" s="144" t="s">
        <v>249</v>
      </c>
      <c r="Q12" s="123">
        <v>0</v>
      </c>
      <c r="R12" s="136"/>
      <c r="S12" s="136">
        <v>0</v>
      </c>
      <c r="T12" s="120">
        <v>0</v>
      </c>
    </row>
    <row r="13" spans="1:20" s="118" customFormat="1" x14ac:dyDescent="0.25">
      <c r="A13" s="91" t="s">
        <v>284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0" t="s">
        <v>249</v>
      </c>
      <c r="H13" s="130" t="s">
        <v>249</v>
      </c>
      <c r="I13" s="130" t="s">
        <v>249</v>
      </c>
      <c r="J13" s="131" t="s">
        <v>249</v>
      </c>
      <c r="K13" s="130" t="s">
        <v>249</v>
      </c>
      <c r="L13" s="130" t="s">
        <v>249</v>
      </c>
      <c r="M13" s="130" t="s">
        <v>249</v>
      </c>
      <c r="N13" s="143" t="s">
        <v>249</v>
      </c>
      <c r="O13" s="144" t="s">
        <v>249</v>
      </c>
      <c r="P13" s="144" t="s">
        <v>249</v>
      </c>
      <c r="Q13" s="123">
        <v>0</v>
      </c>
      <c r="R13" s="136"/>
      <c r="S13" s="136">
        <v>0</v>
      </c>
      <c r="T13" s="120">
        <v>0</v>
      </c>
    </row>
    <row r="14" spans="1:20" s="118" customFormat="1" x14ac:dyDescent="0.25">
      <c r="A14" s="91" t="s">
        <v>285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0" t="s">
        <v>249</v>
      </c>
      <c r="H14" s="130" t="s">
        <v>249</v>
      </c>
      <c r="I14" s="130" t="s">
        <v>249</v>
      </c>
      <c r="J14" s="131" t="s">
        <v>249</v>
      </c>
      <c r="K14" s="130" t="s">
        <v>249</v>
      </c>
      <c r="L14" s="130" t="s">
        <v>249</v>
      </c>
      <c r="M14" s="130" t="s">
        <v>249</v>
      </c>
      <c r="N14" s="143" t="s">
        <v>249</v>
      </c>
      <c r="O14" s="144" t="s">
        <v>249</v>
      </c>
      <c r="P14" s="144" t="s">
        <v>249</v>
      </c>
      <c r="Q14" s="123">
        <v>0</v>
      </c>
      <c r="R14" s="136"/>
      <c r="S14" s="136">
        <v>0</v>
      </c>
      <c r="T14" s="120">
        <v>0</v>
      </c>
    </row>
    <row r="15" spans="1:20" s="118" customFormat="1" x14ac:dyDescent="0.25">
      <c r="A15" s="91" t="s">
        <v>143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0" t="s">
        <v>249</v>
      </c>
      <c r="H15" s="130" t="s">
        <v>249</v>
      </c>
      <c r="I15" s="130" t="s">
        <v>249</v>
      </c>
      <c r="J15" s="131" t="s">
        <v>249</v>
      </c>
      <c r="K15" s="130" t="s">
        <v>249</v>
      </c>
      <c r="L15" s="130" t="s">
        <v>249</v>
      </c>
      <c r="M15" s="130" t="s">
        <v>249</v>
      </c>
      <c r="N15" s="143" t="s">
        <v>249</v>
      </c>
      <c r="O15" s="144" t="s">
        <v>249</v>
      </c>
      <c r="P15" s="144" t="s">
        <v>249</v>
      </c>
      <c r="Q15" s="123">
        <v>0</v>
      </c>
      <c r="R15" s="136"/>
      <c r="S15" s="136">
        <v>0</v>
      </c>
      <c r="T15" s="120">
        <v>0</v>
      </c>
    </row>
    <row r="16" spans="1:20" s="118" customFormat="1" x14ac:dyDescent="0.25">
      <c r="A16" s="91" t="s">
        <v>144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0" t="s">
        <v>249</v>
      </c>
      <c r="H16" s="130" t="s">
        <v>249</v>
      </c>
      <c r="I16" s="130" t="s">
        <v>249</v>
      </c>
      <c r="J16" s="131" t="s">
        <v>249</v>
      </c>
      <c r="K16" s="130" t="s">
        <v>249</v>
      </c>
      <c r="L16" s="130" t="s">
        <v>249</v>
      </c>
      <c r="M16" s="130" t="s">
        <v>249</v>
      </c>
      <c r="N16" s="143" t="s">
        <v>249</v>
      </c>
      <c r="O16" s="144" t="s">
        <v>249</v>
      </c>
      <c r="P16" s="144" t="s">
        <v>249</v>
      </c>
      <c r="Q16" s="123">
        <v>0</v>
      </c>
      <c r="R16" s="136"/>
      <c r="S16" s="136">
        <v>0</v>
      </c>
      <c r="T16" s="120">
        <v>0</v>
      </c>
    </row>
    <row r="17" spans="1:17" s="118" customFormat="1" x14ac:dyDescent="0.25">
      <c r="A17" s="77" t="s">
        <v>241</v>
      </c>
      <c r="B17" s="124"/>
      <c r="C17" s="124"/>
      <c r="D17" s="124"/>
      <c r="E17" s="124"/>
      <c r="F17" s="77"/>
      <c r="G17" s="145"/>
      <c r="H17" s="145"/>
      <c r="I17" s="145"/>
      <c r="J17" s="146"/>
      <c r="K17" s="129"/>
      <c r="L17" s="147"/>
      <c r="M17" s="147"/>
      <c r="N17" s="147"/>
      <c r="O17" s="129"/>
      <c r="P17" s="129"/>
      <c r="Q17" s="129"/>
    </row>
    <row r="18" spans="1:17" s="118" customFormat="1" x14ac:dyDescent="0.25">
      <c r="A18" s="77" t="s">
        <v>242</v>
      </c>
      <c r="B18" s="124"/>
      <c r="C18" s="124"/>
      <c r="D18" s="124"/>
      <c r="E18" s="124"/>
      <c r="F18" s="77"/>
      <c r="G18" s="145"/>
      <c r="H18" s="145"/>
      <c r="I18" s="145"/>
      <c r="J18" s="146"/>
      <c r="K18" s="129"/>
      <c r="L18" s="147"/>
      <c r="M18" s="147"/>
      <c r="N18" s="147"/>
      <c r="O18" s="129"/>
      <c r="P18" s="129"/>
      <c r="Q18" s="129"/>
    </row>
    <row r="19" spans="1:17" s="118" customFormat="1" x14ac:dyDescent="0.25">
      <c r="A19" s="77" t="s">
        <v>243</v>
      </c>
      <c r="B19" s="124"/>
      <c r="C19" s="124"/>
      <c r="D19" s="124"/>
      <c r="E19" s="124"/>
      <c r="F19" s="77"/>
      <c r="G19" s="145"/>
      <c r="H19" s="145"/>
      <c r="I19" s="145"/>
      <c r="J19" s="146"/>
      <c r="K19" s="129"/>
      <c r="L19" s="147"/>
      <c r="M19" s="147"/>
      <c r="N19" s="147"/>
      <c r="O19" s="129"/>
      <c r="P19" s="129"/>
      <c r="Q19" s="129"/>
    </row>
    <row r="20" spans="1:17" s="118" customFormat="1" x14ac:dyDescent="0.25">
      <c r="A20" s="77" t="s">
        <v>244</v>
      </c>
      <c r="B20" s="124"/>
      <c r="C20" s="124"/>
      <c r="D20" s="124"/>
      <c r="E20" s="124"/>
      <c r="F20" s="77"/>
      <c r="G20" s="145"/>
      <c r="H20" s="145"/>
      <c r="I20" s="145"/>
      <c r="J20" s="146"/>
      <c r="K20" s="129"/>
      <c r="L20" s="147"/>
      <c r="M20" s="147"/>
      <c r="N20" s="147"/>
      <c r="O20" s="129"/>
      <c r="P20" s="129"/>
      <c r="Q20" s="129"/>
    </row>
    <row r="21" spans="1:17" s="118" customFormat="1" x14ac:dyDescent="0.25">
      <c r="A21" s="77" t="s">
        <v>245</v>
      </c>
      <c r="B21" s="124"/>
      <c r="C21" s="124"/>
      <c r="D21" s="124"/>
      <c r="E21" s="124"/>
      <c r="F21" s="77"/>
      <c r="G21" s="145"/>
      <c r="H21" s="145"/>
      <c r="I21" s="145"/>
      <c r="J21" s="146"/>
      <c r="K21" s="129"/>
      <c r="L21" s="147"/>
      <c r="M21" s="147"/>
      <c r="N21" s="147"/>
      <c r="O21" s="129"/>
      <c r="P21" s="129"/>
      <c r="Q21" s="129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1.33203125" style="61" customWidth="1"/>
    <col min="12" max="12" width="12.5546875" style="63" customWidth="1"/>
    <col min="13" max="13" width="14.109375" style="63" customWidth="1"/>
    <col min="14" max="14" width="10.5546875" style="63" customWidth="1"/>
    <col min="15" max="15" width="8.88671875" style="61" bestFit="1" customWidth="1"/>
    <col min="16" max="16" width="16.5546875" style="61" bestFit="1" customWidth="1"/>
    <col min="17" max="17" width="10.44140625" style="61" customWidth="1"/>
    <col min="18" max="18" width="22.88671875" style="64" bestFit="1" customWidth="1"/>
    <col min="19" max="19" width="26.44140625" style="64" bestFit="1" customWidth="1"/>
    <col min="20" max="20" width="20.6640625" style="64" customWidth="1"/>
    <col min="21" max="16384" width="9.109375" style="14"/>
  </cols>
  <sheetData>
    <row r="1" spans="1:20" s="7" customFormat="1" x14ac:dyDescent="0.25">
      <c r="A1" s="9" t="s">
        <v>236</v>
      </c>
      <c r="B1" s="8" t="s">
        <v>237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4"/>
      <c r="S1" s="64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4"/>
      <c r="S2" s="64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4"/>
      <c r="S3" s="64"/>
      <c r="T3" s="43"/>
    </row>
    <row r="4" spans="1:20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</row>
    <row r="5" spans="1:20" s="7" customFormat="1" x14ac:dyDescent="0.25">
      <c r="A5" s="218" t="s">
        <v>88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20"/>
    </row>
    <row r="6" spans="1:20" s="7" customFormat="1" x14ac:dyDescent="0.25">
      <c r="A6" s="85" t="s">
        <v>156</v>
      </c>
      <c r="B6" s="200" t="s">
        <v>69</v>
      </c>
      <c r="C6" s="200" t="s">
        <v>76</v>
      </c>
      <c r="D6" s="200" t="s">
        <v>77</v>
      </c>
      <c r="E6" s="200" t="s">
        <v>74</v>
      </c>
      <c r="F6" s="200" t="s">
        <v>19</v>
      </c>
      <c r="G6" s="200" t="s">
        <v>70</v>
      </c>
      <c r="H6" s="200" t="s">
        <v>5</v>
      </c>
      <c r="I6" s="200" t="s">
        <v>13</v>
      </c>
      <c r="J6" s="200" t="s">
        <v>14</v>
      </c>
      <c r="K6" s="200" t="s">
        <v>6</v>
      </c>
      <c r="L6" s="201" t="s">
        <v>66</v>
      </c>
      <c r="M6" s="201" t="s">
        <v>71</v>
      </c>
      <c r="N6" s="201" t="s">
        <v>67</v>
      </c>
      <c r="O6" s="201" t="s">
        <v>68</v>
      </c>
      <c r="P6" s="201" t="s">
        <v>134</v>
      </c>
      <c r="Q6" s="201" t="s">
        <v>7</v>
      </c>
      <c r="R6" s="88" t="s">
        <v>17</v>
      </c>
      <c r="S6" s="88" t="s">
        <v>75</v>
      </c>
      <c r="T6" s="89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8" customFormat="1" ht="12.75" customHeight="1" thickBot="1" x14ac:dyDescent="0.3">
      <c r="A9" s="99" t="s">
        <v>53</v>
      </c>
      <c r="B9" s="66"/>
      <c r="C9" s="66"/>
      <c r="D9" s="66"/>
      <c r="E9" s="66"/>
      <c r="F9" s="66"/>
      <c r="G9" s="100"/>
      <c r="H9" s="100"/>
      <c r="I9" s="100"/>
      <c r="J9" s="100"/>
      <c r="K9" s="100"/>
      <c r="L9" s="66"/>
      <c r="M9" s="66"/>
      <c r="N9" s="103"/>
      <c r="O9" s="100"/>
      <c r="P9" s="102" t="s">
        <v>249</v>
      </c>
      <c r="Q9" s="104">
        <v>6.0000000000000008E-7</v>
      </c>
      <c r="R9" s="66" t="s">
        <v>249</v>
      </c>
      <c r="S9" s="66">
        <v>1</v>
      </c>
      <c r="T9" s="80">
        <v>0</v>
      </c>
    </row>
    <row r="10" spans="1:20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0" t="s">
        <v>249</v>
      </c>
      <c r="H10" s="130" t="s">
        <v>249</v>
      </c>
      <c r="I10" s="130" t="s">
        <v>249</v>
      </c>
      <c r="J10" s="131" t="s">
        <v>249</v>
      </c>
      <c r="K10" s="131" t="s">
        <v>249</v>
      </c>
      <c r="L10" s="130" t="s">
        <v>249</v>
      </c>
      <c r="M10" s="130" t="s">
        <v>249</v>
      </c>
      <c r="N10" s="132" t="s">
        <v>249</v>
      </c>
      <c r="O10" s="121" t="s">
        <v>249</v>
      </c>
      <c r="P10" s="122" t="s">
        <v>249</v>
      </c>
      <c r="Q10" s="133">
        <v>0</v>
      </c>
      <c r="R10" s="120" t="s">
        <v>249</v>
      </c>
      <c r="S10" s="120">
        <v>0</v>
      </c>
      <c r="T10" s="120">
        <v>0</v>
      </c>
    </row>
    <row r="11" spans="1:20" s="118" customFormat="1" x14ac:dyDescent="0.25">
      <c r="A11" s="91" t="s">
        <v>138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0" t="s">
        <v>249</v>
      </c>
      <c r="H11" s="130" t="s">
        <v>249</v>
      </c>
      <c r="I11" s="130" t="s">
        <v>249</v>
      </c>
      <c r="J11" s="131" t="s">
        <v>249</v>
      </c>
      <c r="K11" s="131" t="s">
        <v>249</v>
      </c>
      <c r="L11" s="130" t="s">
        <v>249</v>
      </c>
      <c r="M11" s="130" t="s">
        <v>249</v>
      </c>
      <c r="N11" s="134" t="s">
        <v>249</v>
      </c>
      <c r="O11" s="135" t="s">
        <v>249</v>
      </c>
      <c r="P11" s="123" t="s">
        <v>249</v>
      </c>
      <c r="Q11" s="123">
        <v>0</v>
      </c>
      <c r="R11" s="136"/>
      <c r="S11" s="136">
        <v>0</v>
      </c>
      <c r="T11" s="136">
        <v>0</v>
      </c>
    </row>
    <row r="12" spans="1:20" s="118" customFormat="1" x14ac:dyDescent="0.25">
      <c r="A12" s="91" t="s">
        <v>139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0" t="s">
        <v>249</v>
      </c>
      <c r="H12" s="130" t="s">
        <v>249</v>
      </c>
      <c r="I12" s="130" t="s">
        <v>249</v>
      </c>
      <c r="J12" s="131" t="s">
        <v>249</v>
      </c>
      <c r="K12" s="131" t="s">
        <v>249</v>
      </c>
      <c r="L12" s="130" t="s">
        <v>249</v>
      </c>
      <c r="M12" s="130" t="s">
        <v>249</v>
      </c>
      <c r="N12" s="134" t="s">
        <v>249</v>
      </c>
      <c r="O12" s="135" t="s">
        <v>249</v>
      </c>
      <c r="P12" s="123" t="s">
        <v>249</v>
      </c>
      <c r="Q12" s="123">
        <v>0</v>
      </c>
      <c r="R12" s="136"/>
      <c r="S12" s="136">
        <v>0</v>
      </c>
      <c r="T12" s="136">
        <v>0</v>
      </c>
    </row>
    <row r="13" spans="1:20" s="118" customFormat="1" x14ac:dyDescent="0.25">
      <c r="A13" s="91" t="s">
        <v>284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0" t="s">
        <v>249</v>
      </c>
      <c r="H13" s="130" t="s">
        <v>249</v>
      </c>
      <c r="I13" s="130" t="s">
        <v>249</v>
      </c>
      <c r="J13" s="131" t="s">
        <v>249</v>
      </c>
      <c r="K13" s="131" t="s">
        <v>249</v>
      </c>
      <c r="L13" s="130" t="s">
        <v>249</v>
      </c>
      <c r="M13" s="130" t="s">
        <v>249</v>
      </c>
      <c r="N13" s="134" t="s">
        <v>249</v>
      </c>
      <c r="O13" s="135" t="s">
        <v>249</v>
      </c>
      <c r="P13" s="123" t="s">
        <v>249</v>
      </c>
      <c r="Q13" s="123">
        <v>0</v>
      </c>
      <c r="R13" s="136"/>
      <c r="S13" s="136">
        <v>0</v>
      </c>
      <c r="T13" s="136">
        <v>0</v>
      </c>
    </row>
    <row r="14" spans="1:20" s="118" customFormat="1" x14ac:dyDescent="0.25">
      <c r="A14" s="91" t="s">
        <v>286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0" t="s">
        <v>249</v>
      </c>
      <c r="H14" s="130" t="s">
        <v>249</v>
      </c>
      <c r="I14" s="130" t="s">
        <v>249</v>
      </c>
      <c r="J14" s="131" t="s">
        <v>249</v>
      </c>
      <c r="K14" s="131" t="s">
        <v>249</v>
      </c>
      <c r="L14" s="130" t="s">
        <v>249</v>
      </c>
      <c r="M14" s="130" t="s">
        <v>249</v>
      </c>
      <c r="N14" s="134" t="s">
        <v>249</v>
      </c>
      <c r="O14" s="135" t="s">
        <v>249</v>
      </c>
      <c r="P14" s="123" t="s">
        <v>249</v>
      </c>
      <c r="Q14" s="123">
        <v>0</v>
      </c>
      <c r="R14" s="136"/>
      <c r="S14" s="136">
        <v>0</v>
      </c>
      <c r="T14" s="136">
        <v>0</v>
      </c>
    </row>
    <row r="15" spans="1:20" s="118" customFormat="1" x14ac:dyDescent="0.25">
      <c r="A15" s="91" t="s">
        <v>281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0" t="s">
        <v>249</v>
      </c>
      <c r="H15" s="130" t="s">
        <v>249</v>
      </c>
      <c r="I15" s="130" t="s">
        <v>249</v>
      </c>
      <c r="J15" s="131" t="s">
        <v>249</v>
      </c>
      <c r="K15" s="131" t="s">
        <v>249</v>
      </c>
      <c r="L15" s="130" t="s">
        <v>249</v>
      </c>
      <c r="M15" s="130" t="s">
        <v>249</v>
      </c>
      <c r="N15" s="134" t="s">
        <v>249</v>
      </c>
      <c r="O15" s="135" t="s">
        <v>249</v>
      </c>
      <c r="P15" s="123" t="s">
        <v>249</v>
      </c>
      <c r="Q15" s="123">
        <v>0</v>
      </c>
      <c r="R15" s="136"/>
      <c r="S15" s="136">
        <v>0</v>
      </c>
      <c r="T15" s="136">
        <v>0</v>
      </c>
    </row>
    <row r="16" spans="1:20" s="118" customFormat="1" x14ac:dyDescent="0.25">
      <c r="A16" s="91" t="s">
        <v>143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0" t="s">
        <v>249</v>
      </c>
      <c r="H16" s="130" t="s">
        <v>249</v>
      </c>
      <c r="I16" s="130" t="s">
        <v>249</v>
      </c>
      <c r="J16" s="131" t="s">
        <v>249</v>
      </c>
      <c r="K16" s="131" t="s">
        <v>249</v>
      </c>
      <c r="L16" s="130" t="s">
        <v>249</v>
      </c>
      <c r="M16" s="130" t="s">
        <v>249</v>
      </c>
      <c r="N16" s="134" t="s">
        <v>249</v>
      </c>
      <c r="O16" s="135" t="s">
        <v>249</v>
      </c>
      <c r="P16" s="123" t="s">
        <v>249</v>
      </c>
      <c r="Q16" s="123">
        <v>0</v>
      </c>
      <c r="R16" s="136"/>
      <c r="S16" s="136">
        <v>0</v>
      </c>
      <c r="T16" s="136">
        <v>0</v>
      </c>
    </row>
    <row r="17" spans="1:20" s="118" customFormat="1" x14ac:dyDescent="0.25">
      <c r="A17" s="91" t="s">
        <v>144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0" t="s">
        <v>249</v>
      </c>
      <c r="G17" s="130" t="s">
        <v>249</v>
      </c>
      <c r="H17" s="130" t="s">
        <v>249</v>
      </c>
      <c r="I17" s="130" t="s">
        <v>249</v>
      </c>
      <c r="J17" s="131" t="s">
        <v>249</v>
      </c>
      <c r="K17" s="131" t="s">
        <v>249</v>
      </c>
      <c r="L17" s="130" t="s">
        <v>249</v>
      </c>
      <c r="M17" s="130" t="s">
        <v>249</v>
      </c>
      <c r="N17" s="134" t="s">
        <v>249</v>
      </c>
      <c r="O17" s="135" t="s">
        <v>249</v>
      </c>
      <c r="P17" s="123" t="s">
        <v>249</v>
      </c>
      <c r="Q17" s="123">
        <v>0</v>
      </c>
      <c r="R17" s="136"/>
      <c r="S17" s="136">
        <v>0</v>
      </c>
      <c r="T17" s="136">
        <v>0</v>
      </c>
    </row>
    <row r="18" spans="1:20" s="118" customFormat="1" x14ac:dyDescent="0.25">
      <c r="A18" s="77" t="s">
        <v>241</v>
      </c>
      <c r="B18" s="124"/>
      <c r="C18" s="124"/>
      <c r="D18" s="124"/>
      <c r="E18" s="124"/>
      <c r="F18" s="124"/>
      <c r="G18" s="125"/>
      <c r="H18" s="125"/>
      <c r="I18" s="125"/>
      <c r="J18" s="126"/>
      <c r="K18" s="127"/>
      <c r="L18" s="128"/>
      <c r="M18" s="128"/>
      <c r="N18" s="128"/>
      <c r="O18" s="127"/>
      <c r="P18" s="127"/>
      <c r="Q18" s="127"/>
      <c r="R18" s="137"/>
      <c r="S18" s="137"/>
      <c r="T18" s="137"/>
    </row>
    <row r="19" spans="1:20" s="118" customFormat="1" x14ac:dyDescent="0.25">
      <c r="A19" s="77" t="s">
        <v>242</v>
      </c>
      <c r="B19" s="124"/>
      <c r="C19" s="124"/>
      <c r="D19" s="124"/>
      <c r="E19" s="124"/>
      <c r="F19" s="124"/>
      <c r="G19" s="125"/>
      <c r="H19" s="125"/>
      <c r="I19" s="125"/>
      <c r="J19" s="126"/>
      <c r="K19" s="127"/>
      <c r="L19" s="128"/>
      <c r="M19" s="128"/>
      <c r="N19" s="128"/>
      <c r="O19" s="127"/>
      <c r="P19" s="127"/>
      <c r="Q19" s="127"/>
      <c r="R19" s="137"/>
      <c r="S19" s="137"/>
      <c r="T19" s="137"/>
    </row>
    <row r="20" spans="1:20" s="118" customFormat="1" x14ac:dyDescent="0.25">
      <c r="A20" s="77" t="s">
        <v>243</v>
      </c>
      <c r="B20" s="124"/>
      <c r="C20" s="124"/>
      <c r="D20" s="124"/>
      <c r="E20" s="124"/>
      <c r="F20" s="124"/>
      <c r="G20" s="125"/>
      <c r="H20" s="125"/>
      <c r="I20" s="125"/>
      <c r="J20" s="126"/>
      <c r="K20" s="127"/>
      <c r="L20" s="128"/>
      <c r="M20" s="128"/>
      <c r="N20" s="128"/>
      <c r="O20" s="127"/>
      <c r="P20" s="127"/>
      <c r="Q20" s="127"/>
      <c r="R20" s="137"/>
      <c r="S20" s="137"/>
      <c r="T20" s="137"/>
    </row>
    <row r="21" spans="1:20" s="118" customFormat="1" x14ac:dyDescent="0.25">
      <c r="A21" s="77" t="s">
        <v>244</v>
      </c>
      <c r="B21" s="124"/>
      <c r="C21" s="124"/>
      <c r="D21" s="124"/>
      <c r="E21" s="124"/>
      <c r="F21" s="124"/>
      <c r="G21" s="125"/>
      <c r="H21" s="125"/>
      <c r="I21" s="125"/>
      <c r="J21" s="126"/>
      <c r="K21" s="127"/>
      <c r="L21" s="128"/>
      <c r="M21" s="128"/>
      <c r="N21" s="128"/>
      <c r="O21" s="127"/>
      <c r="P21" s="127"/>
      <c r="Q21" s="127"/>
      <c r="R21" s="137"/>
      <c r="S21" s="137"/>
      <c r="T21" s="137"/>
    </row>
    <row r="22" spans="1:20" s="118" customFormat="1" x14ac:dyDescent="0.25">
      <c r="A22" s="77" t="s">
        <v>245</v>
      </c>
      <c r="B22" s="124"/>
      <c r="C22" s="124"/>
      <c r="D22" s="124"/>
      <c r="E22" s="124"/>
      <c r="F22" s="124"/>
      <c r="G22" s="125"/>
      <c r="H22" s="125"/>
      <c r="I22" s="125"/>
      <c r="J22" s="126"/>
      <c r="K22" s="127"/>
      <c r="L22" s="128"/>
      <c r="M22" s="128"/>
      <c r="N22" s="128"/>
      <c r="O22" s="127"/>
      <c r="P22" s="127"/>
      <c r="Q22" s="127"/>
      <c r="R22" s="137"/>
      <c r="S22" s="137"/>
      <c r="T22" s="137"/>
    </row>
  </sheetData>
  <mergeCells count="2">
    <mergeCell ref="A5:T5"/>
    <mergeCell ref="A4:T4"/>
  </mergeCells>
  <phoneticPr fontId="3" type="noConversion"/>
  <conditionalFormatting sqref="A10:A17 P10:Q17">
    <cfRule type="expression" dxfId="111" priority="109" stopIfTrue="1">
      <formula>#REF!&gt;0</formula>
    </cfRule>
  </conditionalFormatting>
  <conditionalFormatting sqref="B10:M17">
    <cfRule type="expression" dxfId="110" priority="111" stopIfTrue="1">
      <formula>LEFT(#REF!,3)="TIR"</formula>
    </cfRule>
  </conditionalFormatting>
  <conditionalFormatting sqref="S10:T1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9" customWidth="1"/>
    <col min="8" max="8" width="10.5546875" style="59" customWidth="1"/>
    <col min="9" max="9" width="8.88671875" style="59" bestFit="1" customWidth="1"/>
    <col min="10" max="10" width="16.5546875" style="59" bestFit="1" customWidth="1"/>
    <col min="11" max="11" width="10.44140625" style="36" customWidth="1"/>
    <col min="12" max="12" width="22.88671875" style="61" bestFit="1" customWidth="1"/>
    <col min="13" max="13" width="26.44140625" style="61" bestFit="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236</v>
      </c>
      <c r="B1" s="8" t="s">
        <v>237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3"/>
      <c r="N4" s="224"/>
      <c r="O4" s="13"/>
      <c r="P4" s="13"/>
      <c r="Q4" s="12"/>
      <c r="R4" s="12"/>
      <c r="S4" s="14"/>
    </row>
    <row r="5" spans="1:19" s="7" customFormat="1" x14ac:dyDescent="0.25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20"/>
    </row>
    <row r="6" spans="1:19" s="7" customFormat="1" x14ac:dyDescent="0.25">
      <c r="A6" s="85" t="s">
        <v>156</v>
      </c>
      <c r="B6" s="200" t="s">
        <v>69</v>
      </c>
      <c r="C6" s="200" t="s">
        <v>76</v>
      </c>
      <c r="D6" s="200" t="s">
        <v>77</v>
      </c>
      <c r="E6" s="200" t="s">
        <v>74</v>
      </c>
      <c r="F6" s="200" t="s">
        <v>19</v>
      </c>
      <c r="G6" s="200" t="s">
        <v>6</v>
      </c>
      <c r="H6" s="201" t="s">
        <v>67</v>
      </c>
      <c r="I6" s="201" t="s">
        <v>68</v>
      </c>
      <c r="J6" s="201" t="s">
        <v>134</v>
      </c>
      <c r="K6" s="201" t="s">
        <v>7</v>
      </c>
      <c r="L6" s="201" t="s">
        <v>17</v>
      </c>
      <c r="M6" s="88" t="s">
        <v>75</v>
      </c>
      <c r="N6" s="89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8" customFormat="1" ht="12.75" customHeight="1" thickBot="1" x14ac:dyDescent="0.3">
      <c r="A9" s="148" t="s">
        <v>59</v>
      </c>
      <c r="B9" s="69" t="s">
        <v>249</v>
      </c>
      <c r="C9" s="69" t="s">
        <v>249</v>
      </c>
      <c r="D9" s="69" t="s">
        <v>249</v>
      </c>
      <c r="E9" s="69" t="s">
        <v>249</v>
      </c>
      <c r="F9" s="69" t="s">
        <v>249</v>
      </c>
      <c r="G9" s="149" t="s">
        <v>249</v>
      </c>
      <c r="H9" s="150" t="s">
        <v>249</v>
      </c>
      <c r="I9" s="149" t="s">
        <v>249</v>
      </c>
      <c r="J9" s="149" t="s">
        <v>249</v>
      </c>
      <c r="K9" s="106">
        <v>6.9999999999999997E-7</v>
      </c>
      <c r="L9" s="69" t="s">
        <v>249</v>
      </c>
      <c r="M9" s="69">
        <v>1</v>
      </c>
      <c r="N9" s="81">
        <v>0</v>
      </c>
    </row>
    <row r="10" spans="1:19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1" t="s">
        <v>249</v>
      </c>
      <c r="H10" s="132" t="s">
        <v>249</v>
      </c>
      <c r="I10" s="121" t="s">
        <v>249</v>
      </c>
      <c r="J10" s="121" t="s">
        <v>249</v>
      </c>
      <c r="K10" s="133">
        <v>0</v>
      </c>
      <c r="L10" s="120" t="s">
        <v>249</v>
      </c>
      <c r="M10" s="120">
        <v>0</v>
      </c>
      <c r="N10" s="120">
        <v>0</v>
      </c>
    </row>
    <row r="11" spans="1:19" s="118" customFormat="1" x14ac:dyDescent="0.25">
      <c r="A11" s="91" t="s">
        <v>287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1" t="s">
        <v>249</v>
      </c>
      <c r="H11" s="134" t="s">
        <v>249</v>
      </c>
      <c r="I11" s="121" t="s">
        <v>249</v>
      </c>
      <c r="J11" s="121" t="s">
        <v>249</v>
      </c>
      <c r="K11" s="151">
        <v>0</v>
      </c>
      <c r="L11" s="136"/>
      <c r="M11" s="120">
        <v>0</v>
      </c>
      <c r="N11" s="120">
        <v>0</v>
      </c>
    </row>
    <row r="12" spans="1:19" s="118" customFormat="1" x14ac:dyDescent="0.25">
      <c r="A12" s="91" t="s">
        <v>288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1" t="s">
        <v>249</v>
      </c>
      <c r="H12" s="134" t="s">
        <v>249</v>
      </c>
      <c r="I12" s="121" t="s">
        <v>249</v>
      </c>
      <c r="J12" s="134" t="s">
        <v>249</v>
      </c>
      <c r="K12" s="151">
        <v>0</v>
      </c>
      <c r="L12" s="136"/>
      <c r="M12" s="120">
        <v>0</v>
      </c>
      <c r="N12" s="120">
        <v>0</v>
      </c>
    </row>
    <row r="13" spans="1:19" s="118" customFormat="1" x14ac:dyDescent="0.25">
      <c r="A13" s="91" t="s">
        <v>289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1" t="s">
        <v>249</v>
      </c>
      <c r="H13" s="134" t="s">
        <v>249</v>
      </c>
      <c r="I13" s="121" t="s">
        <v>249</v>
      </c>
      <c r="J13" s="121" t="s">
        <v>249</v>
      </c>
      <c r="K13" s="151">
        <v>0</v>
      </c>
      <c r="L13" s="136"/>
      <c r="M13" s="120">
        <v>0</v>
      </c>
      <c r="N13" s="120">
        <v>0</v>
      </c>
    </row>
    <row r="14" spans="1:19" s="118" customFormat="1" x14ac:dyDescent="0.25">
      <c r="A14" s="91" t="s">
        <v>290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1" t="s">
        <v>249</v>
      </c>
      <c r="H14" s="134" t="s">
        <v>249</v>
      </c>
      <c r="I14" s="121" t="s">
        <v>249</v>
      </c>
      <c r="J14" s="121" t="s">
        <v>249</v>
      </c>
      <c r="K14" s="151">
        <v>0</v>
      </c>
      <c r="L14" s="136"/>
      <c r="M14" s="120">
        <v>0</v>
      </c>
      <c r="N14" s="120">
        <v>0</v>
      </c>
    </row>
    <row r="15" spans="1:19" s="118" customFormat="1" x14ac:dyDescent="0.25">
      <c r="A15" s="91" t="s">
        <v>291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1" t="s">
        <v>249</v>
      </c>
      <c r="H15" s="134" t="s">
        <v>249</v>
      </c>
      <c r="I15" s="121" t="s">
        <v>249</v>
      </c>
      <c r="J15" s="121" t="s">
        <v>249</v>
      </c>
      <c r="K15" s="151">
        <v>0</v>
      </c>
      <c r="L15" s="136"/>
      <c r="M15" s="120">
        <v>0</v>
      </c>
      <c r="N15" s="120">
        <v>0</v>
      </c>
    </row>
    <row r="16" spans="1:19" s="118" customFormat="1" x14ac:dyDescent="0.25">
      <c r="A16" s="91" t="s">
        <v>292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1" t="s">
        <v>249</v>
      </c>
      <c r="H16" s="134" t="s">
        <v>249</v>
      </c>
      <c r="I16" s="121" t="s">
        <v>249</v>
      </c>
      <c r="J16" s="121" t="s">
        <v>249</v>
      </c>
      <c r="K16" s="151">
        <v>0</v>
      </c>
      <c r="L16" s="136"/>
      <c r="M16" s="120">
        <v>0</v>
      </c>
      <c r="N16" s="120">
        <v>0</v>
      </c>
    </row>
    <row r="17" spans="1:18" s="118" customFormat="1" x14ac:dyDescent="0.25">
      <c r="A17" s="91" t="s">
        <v>281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0" t="s">
        <v>249</v>
      </c>
      <c r="G17" s="131" t="s">
        <v>249</v>
      </c>
      <c r="H17" s="134" t="s">
        <v>249</v>
      </c>
      <c r="I17" s="121" t="s">
        <v>249</v>
      </c>
      <c r="J17" s="121" t="s">
        <v>249</v>
      </c>
      <c r="K17" s="151">
        <v>0</v>
      </c>
      <c r="L17" s="136"/>
      <c r="M17" s="120">
        <v>0</v>
      </c>
      <c r="N17" s="120">
        <v>0</v>
      </c>
    </row>
    <row r="18" spans="1:18" s="118" customFormat="1" x14ac:dyDescent="0.25">
      <c r="A18" s="91" t="s">
        <v>143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0" t="s">
        <v>249</v>
      </c>
      <c r="G18" s="131" t="s">
        <v>249</v>
      </c>
      <c r="H18" s="134" t="s">
        <v>249</v>
      </c>
      <c r="I18" s="121" t="s">
        <v>249</v>
      </c>
      <c r="J18" s="121" t="s">
        <v>249</v>
      </c>
      <c r="K18" s="151">
        <v>0</v>
      </c>
      <c r="L18" s="136"/>
      <c r="M18" s="120">
        <v>0</v>
      </c>
      <c r="N18" s="120">
        <v>0</v>
      </c>
    </row>
    <row r="19" spans="1:18" s="118" customFormat="1" x14ac:dyDescent="0.25">
      <c r="A19" s="91" t="s">
        <v>144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0" t="s">
        <v>249</v>
      </c>
      <c r="G19" s="131" t="s">
        <v>249</v>
      </c>
      <c r="H19" s="134" t="s">
        <v>249</v>
      </c>
      <c r="I19" s="121" t="s">
        <v>249</v>
      </c>
      <c r="J19" s="121" t="s">
        <v>249</v>
      </c>
      <c r="K19" s="151">
        <v>0</v>
      </c>
      <c r="L19" s="136"/>
      <c r="M19" s="120">
        <v>0</v>
      </c>
      <c r="N19" s="120">
        <v>0</v>
      </c>
    </row>
    <row r="20" spans="1:18" s="118" customFormat="1" x14ac:dyDescent="0.25">
      <c r="A20" s="77" t="s">
        <v>241</v>
      </c>
      <c r="B20" s="124"/>
      <c r="C20" s="124"/>
      <c r="D20" s="124"/>
      <c r="E20" s="124"/>
      <c r="F20" s="124"/>
      <c r="G20" s="125"/>
      <c r="H20" s="125"/>
      <c r="I20" s="125"/>
      <c r="J20" s="125"/>
      <c r="K20" s="126"/>
      <c r="L20" s="127"/>
      <c r="M20" s="127"/>
      <c r="N20" s="128"/>
      <c r="O20" s="147"/>
      <c r="P20" s="147"/>
      <c r="Q20" s="129"/>
      <c r="R20" s="129"/>
    </row>
    <row r="21" spans="1:18" s="118" customFormat="1" x14ac:dyDescent="0.25">
      <c r="A21" s="77" t="s">
        <v>242</v>
      </c>
      <c r="B21" s="124"/>
      <c r="C21" s="124"/>
      <c r="D21" s="124"/>
      <c r="E21" s="124"/>
      <c r="F21" s="124"/>
      <c r="G21" s="125"/>
      <c r="H21" s="125"/>
      <c r="I21" s="125"/>
      <c r="J21" s="125"/>
      <c r="K21" s="126"/>
      <c r="L21" s="127"/>
      <c r="M21" s="127"/>
      <c r="N21" s="128"/>
      <c r="O21" s="147"/>
      <c r="P21" s="147"/>
      <c r="Q21" s="129"/>
      <c r="R21" s="129"/>
    </row>
    <row r="22" spans="1:18" s="118" customFormat="1" x14ac:dyDescent="0.25">
      <c r="A22" s="77" t="s">
        <v>243</v>
      </c>
      <c r="B22" s="124"/>
      <c r="C22" s="124"/>
      <c r="D22" s="124"/>
      <c r="E22" s="124"/>
      <c r="F22" s="124"/>
      <c r="G22" s="125"/>
      <c r="H22" s="125"/>
      <c r="I22" s="125"/>
      <c r="J22" s="125"/>
      <c r="K22" s="126"/>
      <c r="L22" s="127"/>
      <c r="M22" s="127"/>
      <c r="N22" s="128"/>
      <c r="O22" s="147"/>
      <c r="P22" s="147"/>
      <c r="Q22" s="129"/>
      <c r="R22" s="129"/>
    </row>
    <row r="23" spans="1:18" s="118" customFormat="1" x14ac:dyDescent="0.25">
      <c r="A23" s="77" t="s">
        <v>244</v>
      </c>
      <c r="B23" s="124"/>
      <c r="C23" s="124"/>
      <c r="D23" s="124"/>
      <c r="E23" s="124"/>
      <c r="F23" s="124"/>
      <c r="G23" s="125"/>
      <c r="H23" s="125"/>
      <c r="I23" s="125"/>
      <c r="J23" s="125"/>
      <c r="K23" s="126"/>
      <c r="L23" s="127"/>
      <c r="M23" s="127"/>
      <c r="N23" s="128"/>
      <c r="O23" s="147"/>
      <c r="P23" s="147"/>
      <c r="Q23" s="129"/>
      <c r="R23" s="129"/>
    </row>
    <row r="24" spans="1:18" s="118" customFormat="1" x14ac:dyDescent="0.25">
      <c r="A24" s="77" t="s">
        <v>245</v>
      </c>
      <c r="B24" s="124"/>
      <c r="C24" s="124"/>
      <c r="D24" s="124"/>
      <c r="E24" s="124"/>
      <c r="F24" s="124"/>
      <c r="G24" s="125"/>
      <c r="H24" s="125"/>
      <c r="I24" s="125"/>
      <c r="J24" s="125"/>
      <c r="K24" s="126"/>
      <c r="L24" s="127"/>
      <c r="M24" s="127"/>
      <c r="N24" s="128"/>
      <c r="O24" s="147"/>
      <c r="P24" s="147"/>
      <c r="Q24" s="129"/>
      <c r="R24" s="129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2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1.33203125" style="8" customWidth="1"/>
    <col min="7" max="7" width="10.5546875" style="59" customWidth="1"/>
    <col min="8" max="8" width="8.88671875" style="59" bestFit="1" customWidth="1"/>
    <col min="9" max="9" width="16.5546875" style="59" bestFit="1" customWidth="1"/>
    <col min="10" max="10" width="10.44140625" style="59" customWidth="1"/>
    <col min="11" max="11" width="22.88671875" style="36" bestFit="1" customWidth="1"/>
    <col min="12" max="12" width="26.44140625" style="36" bestFit="1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236</v>
      </c>
      <c r="B1" s="8" t="s">
        <v>237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7"/>
      <c r="N4" s="13"/>
      <c r="O4" s="13"/>
      <c r="P4" s="13"/>
      <c r="Q4" s="12"/>
      <c r="R4" s="12"/>
      <c r="S4" s="14"/>
    </row>
    <row r="5" spans="1:19" s="7" customFormat="1" x14ac:dyDescent="0.25">
      <c r="A5" s="218" t="s">
        <v>157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20"/>
      <c r="N5" s="13"/>
    </row>
    <row r="6" spans="1:19" s="7" customFormat="1" x14ac:dyDescent="0.25">
      <c r="A6" s="85" t="s">
        <v>156</v>
      </c>
      <c r="B6" s="200" t="s">
        <v>69</v>
      </c>
      <c r="C6" s="200" t="s">
        <v>76</v>
      </c>
      <c r="D6" s="200" t="s">
        <v>74</v>
      </c>
      <c r="E6" s="200" t="s">
        <v>19</v>
      </c>
      <c r="F6" s="200" t="s">
        <v>6</v>
      </c>
      <c r="G6" s="201" t="s">
        <v>67</v>
      </c>
      <c r="H6" s="201" t="s">
        <v>68</v>
      </c>
      <c r="I6" s="201" t="s">
        <v>134</v>
      </c>
      <c r="J6" s="201" t="s">
        <v>7</v>
      </c>
      <c r="K6" s="201" t="s">
        <v>17</v>
      </c>
      <c r="L6" s="88" t="s">
        <v>75</v>
      </c>
      <c r="M6" s="89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8" customFormat="1" ht="12.75" customHeight="1" thickBot="1" x14ac:dyDescent="0.3">
      <c r="A9" s="148" t="s">
        <v>158</v>
      </c>
      <c r="B9" s="69"/>
      <c r="C9" s="69"/>
      <c r="D9" s="69"/>
      <c r="E9" s="69"/>
      <c r="F9" s="149"/>
      <c r="G9" s="150"/>
      <c r="H9" s="149"/>
      <c r="I9" s="152" t="s">
        <v>249</v>
      </c>
      <c r="J9" s="106">
        <v>9.9999999999999995E-7</v>
      </c>
      <c r="K9" s="69" t="s">
        <v>249</v>
      </c>
      <c r="L9" s="69">
        <v>1</v>
      </c>
      <c r="M9" s="81">
        <v>0</v>
      </c>
    </row>
    <row r="10" spans="1:19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2" t="s">
        <v>249</v>
      </c>
      <c r="H10" s="121" t="s">
        <v>249</v>
      </c>
      <c r="I10" s="122" t="s">
        <v>249</v>
      </c>
      <c r="J10" s="153">
        <v>0</v>
      </c>
      <c r="K10" s="120" t="s">
        <v>249</v>
      </c>
      <c r="L10" s="120">
        <v>0</v>
      </c>
      <c r="M10" s="120">
        <v>0</v>
      </c>
    </row>
    <row r="11" spans="1:19" s="118" customFormat="1" x14ac:dyDescent="0.25">
      <c r="A11" s="91" t="s">
        <v>293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4" t="s">
        <v>249</v>
      </c>
      <c r="H11" s="121" t="s">
        <v>249</v>
      </c>
      <c r="I11" s="123" t="s">
        <v>249</v>
      </c>
      <c r="J11" s="123">
        <v>0</v>
      </c>
      <c r="K11" s="136"/>
      <c r="L11" s="120">
        <v>0</v>
      </c>
      <c r="M11" s="120">
        <v>0</v>
      </c>
    </row>
    <row r="12" spans="1:19" s="118" customFormat="1" x14ac:dyDescent="0.25">
      <c r="A12" s="91" t="s">
        <v>294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4" t="s">
        <v>249</v>
      </c>
      <c r="H12" s="121" t="s">
        <v>249</v>
      </c>
      <c r="I12" s="123" t="s">
        <v>249</v>
      </c>
      <c r="J12" s="123">
        <v>0</v>
      </c>
      <c r="K12" s="136"/>
      <c r="L12" s="120">
        <v>0</v>
      </c>
      <c r="M12" s="120">
        <v>0</v>
      </c>
    </row>
    <row r="13" spans="1:19" s="118" customFormat="1" x14ac:dyDescent="0.25">
      <c r="A13" s="91" t="s">
        <v>295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4" t="s">
        <v>249</v>
      </c>
      <c r="H13" s="121" t="s">
        <v>249</v>
      </c>
      <c r="I13" s="123" t="s">
        <v>249</v>
      </c>
      <c r="J13" s="123">
        <v>0</v>
      </c>
      <c r="K13" s="136"/>
      <c r="L13" s="120">
        <v>0</v>
      </c>
      <c r="M13" s="120">
        <v>0</v>
      </c>
    </row>
    <row r="14" spans="1:19" s="118" customFormat="1" x14ac:dyDescent="0.25">
      <c r="A14" s="91" t="s">
        <v>296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4" t="s">
        <v>249</v>
      </c>
      <c r="H14" s="121" t="s">
        <v>249</v>
      </c>
      <c r="I14" s="123" t="s">
        <v>249</v>
      </c>
      <c r="J14" s="123">
        <v>0</v>
      </c>
      <c r="K14" s="136"/>
      <c r="L14" s="120">
        <v>0</v>
      </c>
      <c r="M14" s="120">
        <v>0</v>
      </c>
    </row>
    <row r="15" spans="1:19" s="118" customFormat="1" x14ac:dyDescent="0.25">
      <c r="A15" s="91" t="s">
        <v>297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4" t="s">
        <v>249</v>
      </c>
      <c r="H15" s="121" t="s">
        <v>249</v>
      </c>
      <c r="I15" s="123" t="s">
        <v>249</v>
      </c>
      <c r="J15" s="123">
        <v>0</v>
      </c>
      <c r="K15" s="136"/>
      <c r="L15" s="120">
        <v>0</v>
      </c>
      <c r="M15" s="120">
        <v>0</v>
      </c>
    </row>
    <row r="16" spans="1:19" s="118" customFormat="1" x14ac:dyDescent="0.25">
      <c r="A16" s="91" t="s">
        <v>141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4" t="s">
        <v>249</v>
      </c>
      <c r="H16" s="121" t="s">
        <v>249</v>
      </c>
      <c r="I16" s="123" t="s">
        <v>249</v>
      </c>
      <c r="J16" s="123">
        <v>0</v>
      </c>
      <c r="K16" s="136"/>
      <c r="L16" s="120">
        <v>0</v>
      </c>
      <c r="M16" s="120">
        <v>0</v>
      </c>
    </row>
    <row r="17" spans="1:18" s="118" customFormat="1" x14ac:dyDescent="0.25">
      <c r="A17" s="91" t="s">
        <v>281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0" t="s">
        <v>249</v>
      </c>
      <c r="G17" s="134" t="s">
        <v>249</v>
      </c>
      <c r="H17" s="121" t="s">
        <v>249</v>
      </c>
      <c r="I17" s="123" t="s">
        <v>249</v>
      </c>
      <c r="J17" s="123">
        <v>0</v>
      </c>
      <c r="K17" s="136"/>
      <c r="L17" s="120">
        <v>0</v>
      </c>
      <c r="M17" s="120">
        <v>0</v>
      </c>
    </row>
    <row r="18" spans="1:18" s="118" customFormat="1" x14ac:dyDescent="0.25">
      <c r="A18" s="91" t="s">
        <v>298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0" t="s">
        <v>249</v>
      </c>
      <c r="G18" s="134" t="s">
        <v>249</v>
      </c>
      <c r="H18" s="121" t="s">
        <v>249</v>
      </c>
      <c r="I18" s="123" t="s">
        <v>249</v>
      </c>
      <c r="J18" s="123">
        <v>0</v>
      </c>
      <c r="K18" s="136"/>
      <c r="L18" s="120">
        <v>0</v>
      </c>
      <c r="M18" s="120">
        <v>0</v>
      </c>
    </row>
    <row r="19" spans="1:18" s="118" customFormat="1" x14ac:dyDescent="0.25">
      <c r="A19" s="91" t="s">
        <v>299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0" t="s">
        <v>249</v>
      </c>
      <c r="G19" s="134" t="s">
        <v>249</v>
      </c>
      <c r="H19" s="121" t="s">
        <v>249</v>
      </c>
      <c r="I19" s="123" t="s">
        <v>249</v>
      </c>
      <c r="J19" s="123">
        <v>0</v>
      </c>
      <c r="K19" s="136"/>
      <c r="L19" s="120">
        <v>0</v>
      </c>
      <c r="M19" s="120">
        <v>0</v>
      </c>
    </row>
    <row r="20" spans="1:18" s="118" customFormat="1" x14ac:dyDescent="0.25">
      <c r="A20" s="91" t="s">
        <v>141</v>
      </c>
      <c r="B20" s="130" t="s">
        <v>249</v>
      </c>
      <c r="C20" s="130" t="s">
        <v>249</v>
      </c>
      <c r="D20" s="130" t="s">
        <v>249</v>
      </c>
      <c r="E20" s="130" t="s">
        <v>249</v>
      </c>
      <c r="F20" s="130" t="s">
        <v>249</v>
      </c>
      <c r="G20" s="134" t="s">
        <v>249</v>
      </c>
      <c r="H20" s="121" t="s">
        <v>249</v>
      </c>
      <c r="I20" s="123" t="s">
        <v>249</v>
      </c>
      <c r="J20" s="123">
        <v>0</v>
      </c>
      <c r="K20" s="136"/>
      <c r="L20" s="120">
        <v>0</v>
      </c>
      <c r="M20" s="120">
        <v>0</v>
      </c>
    </row>
    <row r="21" spans="1:18" s="118" customFormat="1" x14ac:dyDescent="0.25">
      <c r="A21" s="91" t="s">
        <v>297</v>
      </c>
      <c r="B21" s="130" t="s">
        <v>249</v>
      </c>
      <c r="C21" s="130" t="s">
        <v>249</v>
      </c>
      <c r="D21" s="130" t="s">
        <v>249</v>
      </c>
      <c r="E21" s="130" t="s">
        <v>249</v>
      </c>
      <c r="F21" s="130" t="s">
        <v>249</v>
      </c>
      <c r="G21" s="134" t="s">
        <v>249</v>
      </c>
      <c r="H21" s="121" t="s">
        <v>249</v>
      </c>
      <c r="I21" s="123" t="s">
        <v>249</v>
      </c>
      <c r="J21" s="123">
        <v>0</v>
      </c>
      <c r="K21" s="136"/>
      <c r="L21" s="120">
        <v>0</v>
      </c>
      <c r="M21" s="120">
        <v>0</v>
      </c>
    </row>
    <row r="22" spans="1:18" s="118" customFormat="1" x14ac:dyDescent="0.25">
      <c r="A22" s="77" t="s">
        <v>241</v>
      </c>
      <c r="B22" s="124"/>
      <c r="C22" s="124"/>
      <c r="D22" s="124"/>
      <c r="E22" s="124"/>
      <c r="F22" s="124"/>
      <c r="G22" s="125"/>
      <c r="H22" s="125"/>
      <c r="I22" s="125"/>
      <c r="J22" s="125"/>
      <c r="K22" s="126"/>
      <c r="L22" s="126"/>
      <c r="M22" s="127"/>
      <c r="N22" s="147"/>
      <c r="O22" s="147"/>
      <c r="P22" s="147"/>
      <c r="Q22" s="129"/>
      <c r="R22" s="129"/>
    </row>
    <row r="23" spans="1:18" s="118" customFormat="1" x14ac:dyDescent="0.25">
      <c r="A23" s="77" t="s">
        <v>242</v>
      </c>
      <c r="B23" s="124"/>
      <c r="C23" s="124"/>
      <c r="D23" s="124"/>
      <c r="E23" s="124"/>
      <c r="F23" s="124"/>
      <c r="G23" s="125"/>
      <c r="H23" s="125"/>
      <c r="I23" s="125"/>
      <c r="J23" s="125"/>
      <c r="K23" s="126"/>
      <c r="L23" s="126"/>
      <c r="M23" s="127"/>
      <c r="N23" s="147"/>
      <c r="O23" s="147"/>
      <c r="P23" s="147"/>
      <c r="Q23" s="129"/>
      <c r="R23" s="129"/>
    </row>
    <row r="24" spans="1:18" s="118" customFormat="1" x14ac:dyDescent="0.25">
      <c r="A24" s="77" t="s">
        <v>243</v>
      </c>
      <c r="B24" s="124"/>
      <c r="C24" s="124"/>
      <c r="D24" s="124"/>
      <c r="E24" s="124"/>
      <c r="F24" s="124"/>
      <c r="G24" s="125"/>
      <c r="H24" s="125"/>
      <c r="I24" s="125"/>
      <c r="J24" s="125"/>
      <c r="K24" s="126"/>
      <c r="L24" s="126"/>
      <c r="M24" s="127"/>
      <c r="N24" s="147"/>
      <c r="O24" s="147"/>
      <c r="P24" s="147"/>
      <c r="Q24" s="129"/>
      <c r="R24" s="129"/>
    </row>
    <row r="25" spans="1:18" s="118" customFormat="1" x14ac:dyDescent="0.25">
      <c r="A25" s="77" t="s">
        <v>244</v>
      </c>
      <c r="B25" s="124"/>
      <c r="C25" s="124"/>
      <c r="D25" s="124"/>
      <c r="E25" s="124"/>
      <c r="F25" s="124"/>
      <c r="G25" s="125"/>
      <c r="H25" s="125"/>
      <c r="I25" s="125"/>
      <c r="J25" s="125"/>
      <c r="K25" s="126"/>
      <c r="L25" s="126"/>
      <c r="M25" s="127"/>
      <c r="N25" s="147"/>
      <c r="O25" s="147"/>
      <c r="P25" s="147"/>
      <c r="Q25" s="129"/>
      <c r="R25" s="129"/>
    </row>
    <row r="26" spans="1:18" s="118" customFormat="1" x14ac:dyDescent="0.25">
      <c r="A26" s="77" t="s">
        <v>245</v>
      </c>
      <c r="B26" s="124"/>
      <c r="C26" s="124"/>
      <c r="D26" s="124"/>
      <c r="E26" s="124"/>
      <c r="F26" s="124"/>
      <c r="G26" s="125"/>
      <c r="H26" s="125"/>
      <c r="I26" s="125"/>
      <c r="J26" s="125"/>
      <c r="K26" s="126"/>
      <c r="L26" s="126"/>
      <c r="M26" s="127"/>
      <c r="N26" s="147"/>
      <c r="O26" s="147"/>
      <c r="P26" s="147"/>
      <c r="Q26" s="129"/>
      <c r="R26" s="129"/>
    </row>
  </sheetData>
  <mergeCells count="2">
    <mergeCell ref="A5:M5"/>
    <mergeCell ref="A4:M4"/>
  </mergeCells>
  <phoneticPr fontId="3" type="noConversion"/>
  <conditionalFormatting sqref="A9:A21 I9:J2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21">
    <cfRule type="expression" dxfId="102" priority="141" stopIfTrue="1">
      <formula>OR(LEFT(#REF!,3)="TIR",LEFT(#REF!,2)="IR")</formula>
    </cfRule>
  </conditionalFormatting>
  <conditionalFormatting sqref="C9:D9 B10:F2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21 K9:K21 M22:M5555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1.33203125" style="59" customWidth="1"/>
    <col min="9" max="9" width="10.5546875" style="36" customWidth="1"/>
    <col min="10" max="10" width="8.8867187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236</v>
      </c>
      <c r="B1" s="8" t="s">
        <v>237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7"/>
      <c r="O4" s="12"/>
      <c r="P4" s="12"/>
      <c r="Q4" s="12"/>
      <c r="R4" s="12"/>
      <c r="S4" s="12"/>
    </row>
    <row r="5" spans="1:19" s="7" customFormat="1" x14ac:dyDescent="0.25">
      <c r="A5" s="218" t="s">
        <v>22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20"/>
      <c r="O5" s="12"/>
      <c r="P5" s="12"/>
      <c r="Q5" s="12"/>
      <c r="R5" s="12"/>
      <c r="S5" s="12"/>
    </row>
    <row r="6" spans="1:19" s="7" customFormat="1" ht="30.75" customHeight="1" x14ac:dyDescent="0.25">
      <c r="A6" s="85" t="s">
        <v>156</v>
      </c>
      <c r="B6" s="200" t="s">
        <v>69</v>
      </c>
      <c r="C6" s="200" t="s">
        <v>76</v>
      </c>
      <c r="D6" s="200" t="s">
        <v>74</v>
      </c>
      <c r="E6" s="200" t="s">
        <v>19</v>
      </c>
      <c r="F6" s="200" t="s">
        <v>70</v>
      </c>
      <c r="G6" s="200" t="s">
        <v>5</v>
      </c>
      <c r="H6" s="200" t="s">
        <v>6</v>
      </c>
      <c r="I6" s="201" t="s">
        <v>67</v>
      </c>
      <c r="J6" s="201" t="s">
        <v>68</v>
      </c>
      <c r="K6" s="201" t="s">
        <v>7</v>
      </c>
      <c r="L6" s="88" t="s">
        <v>17</v>
      </c>
      <c r="M6" s="88" t="s">
        <v>75</v>
      </c>
      <c r="N6" s="89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8" customFormat="1" ht="12.75" customHeight="1" thickBot="1" x14ac:dyDescent="0.3">
      <c r="A9" s="99" t="s">
        <v>54</v>
      </c>
      <c r="B9" s="66"/>
      <c r="C9" s="66"/>
      <c r="D9" s="66"/>
      <c r="E9" s="66"/>
      <c r="F9" s="100"/>
      <c r="G9" s="100"/>
      <c r="H9" s="100"/>
      <c r="I9" s="103"/>
      <c r="J9" s="100"/>
      <c r="K9" s="102">
        <v>0</v>
      </c>
      <c r="L9" s="66"/>
      <c r="M9" s="66">
        <v>0</v>
      </c>
      <c r="N9" s="80">
        <v>0</v>
      </c>
    </row>
    <row r="10" spans="1:19" s="118" customFormat="1" x14ac:dyDescent="0.25">
      <c r="A10" s="90" t="s">
        <v>137</v>
      </c>
      <c r="B10" s="120" t="s">
        <v>249</v>
      </c>
      <c r="C10" s="120" t="s">
        <v>249</v>
      </c>
      <c r="D10" s="120" t="s">
        <v>249</v>
      </c>
      <c r="E10" s="136" t="s">
        <v>249</v>
      </c>
      <c r="F10" s="121" t="s">
        <v>249</v>
      </c>
      <c r="G10" s="121" t="s">
        <v>249</v>
      </c>
      <c r="H10" s="121" t="s">
        <v>249</v>
      </c>
      <c r="I10" s="132" t="s">
        <v>249</v>
      </c>
      <c r="J10" s="121" t="s">
        <v>249</v>
      </c>
      <c r="K10" s="122">
        <v>0</v>
      </c>
      <c r="L10" s="120" t="s">
        <v>249</v>
      </c>
      <c r="M10" s="120">
        <v>0</v>
      </c>
      <c r="N10" s="120">
        <v>0</v>
      </c>
    </row>
    <row r="11" spans="1:19" s="118" customFormat="1" x14ac:dyDescent="0.25">
      <c r="A11" s="91" t="s">
        <v>58</v>
      </c>
      <c r="B11" s="120" t="s">
        <v>249</v>
      </c>
      <c r="C11" s="120" t="s">
        <v>249</v>
      </c>
      <c r="D11" s="120" t="s">
        <v>249</v>
      </c>
      <c r="E11" s="136" t="s">
        <v>249</v>
      </c>
      <c r="F11" s="121" t="s">
        <v>249</v>
      </c>
      <c r="G11" s="121" t="s">
        <v>249</v>
      </c>
      <c r="H11" s="121" t="s">
        <v>249</v>
      </c>
      <c r="I11" s="134" t="s">
        <v>249</v>
      </c>
      <c r="J11" s="135" t="s">
        <v>249</v>
      </c>
      <c r="K11" s="123">
        <v>0</v>
      </c>
      <c r="L11" s="136"/>
      <c r="M11" s="136">
        <v>0</v>
      </c>
      <c r="N11" s="120">
        <v>0</v>
      </c>
    </row>
    <row r="12" spans="1:19" s="118" customFormat="1" x14ac:dyDescent="0.25">
      <c r="A12" s="91" t="s">
        <v>300</v>
      </c>
      <c r="B12" s="120" t="s">
        <v>249</v>
      </c>
      <c r="C12" s="120" t="s">
        <v>249</v>
      </c>
      <c r="D12" s="120" t="s">
        <v>249</v>
      </c>
      <c r="E12" s="136" t="s">
        <v>249</v>
      </c>
      <c r="F12" s="121" t="s">
        <v>249</v>
      </c>
      <c r="G12" s="121" t="s">
        <v>249</v>
      </c>
      <c r="H12" s="121" t="s">
        <v>249</v>
      </c>
      <c r="I12" s="134" t="s">
        <v>249</v>
      </c>
      <c r="J12" s="135" t="s">
        <v>249</v>
      </c>
      <c r="K12" s="123">
        <v>0</v>
      </c>
      <c r="L12" s="136"/>
      <c r="M12" s="136">
        <v>0</v>
      </c>
      <c r="N12" s="120">
        <v>0</v>
      </c>
    </row>
    <row r="13" spans="1:19" s="118" customFormat="1" x14ac:dyDescent="0.25">
      <c r="A13" s="91" t="s">
        <v>59</v>
      </c>
      <c r="B13" s="120" t="s">
        <v>249</v>
      </c>
      <c r="C13" s="120" t="s">
        <v>249</v>
      </c>
      <c r="D13" s="120" t="s">
        <v>249</v>
      </c>
      <c r="E13" s="136" t="s">
        <v>249</v>
      </c>
      <c r="F13" s="121" t="s">
        <v>249</v>
      </c>
      <c r="G13" s="121" t="s">
        <v>249</v>
      </c>
      <c r="H13" s="121" t="s">
        <v>249</v>
      </c>
      <c r="I13" s="134" t="s">
        <v>249</v>
      </c>
      <c r="J13" s="135" t="s">
        <v>249</v>
      </c>
      <c r="K13" s="123">
        <v>0</v>
      </c>
      <c r="L13" s="136"/>
      <c r="M13" s="136">
        <v>0</v>
      </c>
      <c r="N13" s="120">
        <v>0</v>
      </c>
    </row>
    <row r="14" spans="1:19" s="118" customFormat="1" x14ac:dyDescent="0.25">
      <c r="A14" s="91" t="s">
        <v>141</v>
      </c>
      <c r="B14" s="120" t="s">
        <v>249</v>
      </c>
      <c r="C14" s="120" t="s">
        <v>249</v>
      </c>
      <c r="D14" s="120" t="s">
        <v>249</v>
      </c>
      <c r="E14" s="136" t="s">
        <v>249</v>
      </c>
      <c r="F14" s="121" t="s">
        <v>249</v>
      </c>
      <c r="G14" s="121" t="s">
        <v>249</v>
      </c>
      <c r="H14" s="121" t="s">
        <v>249</v>
      </c>
      <c r="I14" s="134" t="s">
        <v>249</v>
      </c>
      <c r="J14" s="135" t="s">
        <v>249</v>
      </c>
      <c r="K14" s="123">
        <v>0</v>
      </c>
      <c r="L14" s="136"/>
      <c r="M14" s="136">
        <v>0</v>
      </c>
      <c r="N14" s="120">
        <v>0</v>
      </c>
    </row>
    <row r="15" spans="1:19" s="118" customFormat="1" x14ac:dyDescent="0.25">
      <c r="A15" s="91" t="s">
        <v>281</v>
      </c>
      <c r="B15" s="120" t="s">
        <v>249</v>
      </c>
      <c r="C15" s="120" t="s">
        <v>249</v>
      </c>
      <c r="D15" s="120" t="s">
        <v>249</v>
      </c>
      <c r="E15" s="136" t="s">
        <v>249</v>
      </c>
      <c r="F15" s="121" t="s">
        <v>249</v>
      </c>
      <c r="G15" s="121" t="s">
        <v>249</v>
      </c>
      <c r="H15" s="121" t="s">
        <v>249</v>
      </c>
      <c r="I15" s="134" t="s">
        <v>249</v>
      </c>
      <c r="J15" s="135" t="s">
        <v>249</v>
      </c>
      <c r="K15" s="123">
        <v>0</v>
      </c>
      <c r="L15" s="136"/>
      <c r="M15" s="136">
        <v>0</v>
      </c>
      <c r="N15" s="120">
        <v>0</v>
      </c>
    </row>
    <row r="16" spans="1:19" s="118" customFormat="1" x14ac:dyDescent="0.25">
      <c r="A16" s="91" t="s">
        <v>58</v>
      </c>
      <c r="B16" s="120" t="s">
        <v>249</v>
      </c>
      <c r="C16" s="120" t="s">
        <v>249</v>
      </c>
      <c r="D16" s="120" t="s">
        <v>249</v>
      </c>
      <c r="E16" s="136" t="s">
        <v>249</v>
      </c>
      <c r="F16" s="121" t="s">
        <v>249</v>
      </c>
      <c r="G16" s="121" t="s">
        <v>249</v>
      </c>
      <c r="H16" s="121" t="s">
        <v>249</v>
      </c>
      <c r="I16" s="134" t="s">
        <v>249</v>
      </c>
      <c r="J16" s="135" t="s">
        <v>249</v>
      </c>
      <c r="K16" s="123">
        <v>0</v>
      </c>
      <c r="L16" s="136"/>
      <c r="M16" s="136">
        <v>0</v>
      </c>
      <c r="N16" s="120">
        <v>0</v>
      </c>
    </row>
    <row r="17" spans="1:16" s="118" customFormat="1" x14ac:dyDescent="0.25">
      <c r="A17" s="91" t="s">
        <v>300</v>
      </c>
      <c r="B17" s="120" t="s">
        <v>249</v>
      </c>
      <c r="C17" s="120" t="s">
        <v>249</v>
      </c>
      <c r="D17" s="120" t="s">
        <v>249</v>
      </c>
      <c r="E17" s="136" t="s">
        <v>249</v>
      </c>
      <c r="F17" s="121" t="s">
        <v>249</v>
      </c>
      <c r="G17" s="121" t="s">
        <v>249</v>
      </c>
      <c r="H17" s="121" t="s">
        <v>249</v>
      </c>
      <c r="I17" s="134" t="s">
        <v>249</v>
      </c>
      <c r="J17" s="135" t="s">
        <v>249</v>
      </c>
      <c r="K17" s="123">
        <v>0</v>
      </c>
      <c r="L17" s="136"/>
      <c r="M17" s="136">
        <v>0</v>
      </c>
      <c r="N17" s="120">
        <v>0</v>
      </c>
    </row>
    <row r="18" spans="1:16" s="118" customFormat="1" x14ac:dyDescent="0.25">
      <c r="A18" s="91" t="s">
        <v>59</v>
      </c>
      <c r="B18" s="120" t="s">
        <v>249</v>
      </c>
      <c r="C18" s="120" t="s">
        <v>249</v>
      </c>
      <c r="D18" s="120" t="s">
        <v>249</v>
      </c>
      <c r="E18" s="136" t="s">
        <v>249</v>
      </c>
      <c r="F18" s="121" t="s">
        <v>249</v>
      </c>
      <c r="G18" s="121" t="s">
        <v>249</v>
      </c>
      <c r="H18" s="121" t="s">
        <v>249</v>
      </c>
      <c r="I18" s="134" t="s">
        <v>249</v>
      </c>
      <c r="J18" s="135" t="s">
        <v>249</v>
      </c>
      <c r="K18" s="123">
        <v>0</v>
      </c>
      <c r="L18" s="136"/>
      <c r="M18" s="136">
        <v>0</v>
      </c>
      <c r="N18" s="120">
        <v>0</v>
      </c>
    </row>
    <row r="19" spans="1:16" s="118" customFormat="1" x14ac:dyDescent="0.25">
      <c r="A19" s="91" t="s">
        <v>141</v>
      </c>
      <c r="B19" s="120" t="s">
        <v>249</v>
      </c>
      <c r="C19" s="120" t="s">
        <v>249</v>
      </c>
      <c r="D19" s="120" t="s">
        <v>249</v>
      </c>
      <c r="E19" s="136" t="s">
        <v>249</v>
      </c>
      <c r="F19" s="121" t="s">
        <v>249</v>
      </c>
      <c r="G19" s="121" t="s">
        <v>249</v>
      </c>
      <c r="H19" s="121" t="s">
        <v>249</v>
      </c>
      <c r="I19" s="134" t="s">
        <v>249</v>
      </c>
      <c r="J19" s="135" t="s">
        <v>249</v>
      </c>
      <c r="K19" s="123">
        <v>0</v>
      </c>
      <c r="L19" s="136"/>
      <c r="M19" s="136">
        <v>0</v>
      </c>
      <c r="N19" s="120">
        <v>0</v>
      </c>
    </row>
    <row r="20" spans="1:16" s="118" customFormat="1" x14ac:dyDescent="0.25">
      <c r="A20" s="77" t="s">
        <v>241</v>
      </c>
      <c r="B20" s="124"/>
      <c r="C20" s="124"/>
      <c r="D20" s="124"/>
      <c r="E20" s="124"/>
      <c r="F20" s="125"/>
      <c r="G20" s="125"/>
      <c r="H20" s="125"/>
      <c r="I20" s="126"/>
      <c r="J20" s="127"/>
      <c r="K20" s="128"/>
      <c r="L20" s="128"/>
      <c r="M20" s="128"/>
      <c r="N20" s="128"/>
      <c r="O20" s="129"/>
      <c r="P20" s="129"/>
    </row>
    <row r="21" spans="1:16" s="118" customFormat="1" x14ac:dyDescent="0.25">
      <c r="A21" s="77" t="s">
        <v>242</v>
      </c>
      <c r="B21" s="124"/>
      <c r="C21" s="124"/>
      <c r="D21" s="124"/>
      <c r="E21" s="124"/>
      <c r="F21" s="125"/>
      <c r="G21" s="125"/>
      <c r="H21" s="125"/>
      <c r="I21" s="126"/>
      <c r="J21" s="127"/>
      <c r="K21" s="128"/>
      <c r="L21" s="128"/>
      <c r="M21" s="128"/>
      <c r="N21" s="128"/>
      <c r="O21" s="129"/>
      <c r="P21" s="129"/>
    </row>
    <row r="22" spans="1:16" s="118" customFormat="1" x14ac:dyDescent="0.25">
      <c r="A22" s="77" t="s">
        <v>243</v>
      </c>
      <c r="B22" s="124"/>
      <c r="C22" s="124"/>
      <c r="D22" s="124"/>
      <c r="E22" s="124"/>
      <c r="F22" s="125"/>
      <c r="G22" s="125"/>
      <c r="H22" s="125"/>
      <c r="I22" s="126"/>
      <c r="J22" s="127"/>
      <c r="K22" s="128"/>
      <c r="L22" s="128"/>
      <c r="M22" s="128"/>
      <c r="N22" s="128"/>
      <c r="O22" s="129"/>
      <c r="P22" s="129"/>
    </row>
    <row r="23" spans="1:16" s="118" customFormat="1" x14ac:dyDescent="0.25">
      <c r="A23" s="77" t="s">
        <v>244</v>
      </c>
      <c r="B23" s="124"/>
      <c r="C23" s="124"/>
      <c r="D23" s="124"/>
      <c r="E23" s="124"/>
      <c r="F23" s="125"/>
      <c r="G23" s="125"/>
      <c r="H23" s="125"/>
      <c r="I23" s="126"/>
      <c r="J23" s="127"/>
      <c r="K23" s="128"/>
      <c r="L23" s="128"/>
      <c r="M23" s="128"/>
      <c r="N23" s="128"/>
      <c r="O23" s="129"/>
      <c r="P23" s="129"/>
    </row>
    <row r="24" spans="1:16" s="118" customFormat="1" x14ac:dyDescent="0.25">
      <c r="A24" s="77" t="s">
        <v>245</v>
      </c>
      <c r="B24" s="124"/>
      <c r="C24" s="124"/>
      <c r="D24" s="124"/>
      <c r="E24" s="124"/>
      <c r="F24" s="125"/>
      <c r="G24" s="125"/>
      <c r="H24" s="125"/>
      <c r="I24" s="126"/>
      <c r="J24" s="127"/>
      <c r="K24" s="128"/>
      <c r="L24" s="128"/>
      <c r="M24" s="128"/>
      <c r="N24" s="128"/>
      <c r="O24" s="129"/>
      <c r="P24" s="129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9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237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3"/>
      <c r="K4" s="224"/>
      <c r="L4" s="13"/>
      <c r="M4" s="13"/>
      <c r="N4" s="12"/>
      <c r="O4" s="12"/>
      <c r="P4" s="14"/>
    </row>
    <row r="5" spans="1:16" s="7" customFormat="1" x14ac:dyDescent="0.25">
      <c r="A5" s="218" t="s">
        <v>23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6" s="7" customFormat="1" x14ac:dyDescent="0.25">
      <c r="A6" s="85" t="s">
        <v>156</v>
      </c>
      <c r="B6" s="200" t="s">
        <v>69</v>
      </c>
      <c r="C6" s="200" t="s">
        <v>76</v>
      </c>
      <c r="D6" s="200" t="s">
        <v>19</v>
      </c>
      <c r="E6" s="200" t="s">
        <v>6</v>
      </c>
      <c r="F6" s="201" t="s">
        <v>67</v>
      </c>
      <c r="G6" s="201" t="s">
        <v>68</v>
      </c>
      <c r="H6" s="201" t="s">
        <v>7</v>
      </c>
      <c r="I6" s="201" t="s">
        <v>17</v>
      </c>
      <c r="J6" s="88" t="s">
        <v>75</v>
      </c>
      <c r="K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8" customFormat="1" ht="12.75" customHeight="1" thickBot="1" x14ac:dyDescent="0.3">
      <c r="A9" s="148" t="s">
        <v>55</v>
      </c>
      <c r="B9" s="69"/>
      <c r="C9" s="69"/>
      <c r="D9" s="69"/>
      <c r="E9" s="149"/>
      <c r="F9" s="154"/>
      <c r="G9" s="149"/>
      <c r="H9" s="152">
        <v>2.0000000000000002E-7</v>
      </c>
      <c r="I9" s="69"/>
      <c r="J9" s="82">
        <v>1</v>
      </c>
      <c r="K9" s="81">
        <v>0</v>
      </c>
    </row>
    <row r="10" spans="1:16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2" t="s">
        <v>249</v>
      </c>
      <c r="G10" s="121" t="s">
        <v>249</v>
      </c>
      <c r="H10" s="122">
        <v>0</v>
      </c>
      <c r="I10" s="120" t="s">
        <v>249</v>
      </c>
      <c r="J10" s="120">
        <v>0</v>
      </c>
      <c r="K10" s="120">
        <v>0</v>
      </c>
    </row>
    <row r="11" spans="1:16" s="118" customFormat="1" x14ac:dyDescent="0.25">
      <c r="A11" s="91" t="s">
        <v>301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4" t="s">
        <v>249</v>
      </c>
      <c r="G11" s="121" t="s">
        <v>249</v>
      </c>
      <c r="H11" s="123">
        <v>0</v>
      </c>
      <c r="I11" s="136"/>
      <c r="J11" s="120">
        <v>0</v>
      </c>
      <c r="K11" s="120">
        <v>0</v>
      </c>
    </row>
    <row r="12" spans="1:16" s="118" customFormat="1" x14ac:dyDescent="0.25">
      <c r="A12" s="91" t="s">
        <v>281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4" t="s">
        <v>249</v>
      </c>
      <c r="G12" s="121" t="s">
        <v>249</v>
      </c>
      <c r="H12" s="123">
        <v>0</v>
      </c>
      <c r="I12" s="136"/>
      <c r="J12" s="120">
        <v>0</v>
      </c>
      <c r="K12" s="120">
        <v>0</v>
      </c>
    </row>
    <row r="13" spans="1:16" s="118" customFormat="1" x14ac:dyDescent="0.25">
      <c r="A13" s="91" t="s">
        <v>302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4" t="s">
        <v>249</v>
      </c>
      <c r="G13" s="121" t="s">
        <v>249</v>
      </c>
      <c r="H13" s="123">
        <v>0</v>
      </c>
      <c r="I13" s="136"/>
      <c r="J13" s="120">
        <v>0</v>
      </c>
      <c r="K13" s="120">
        <v>0</v>
      </c>
    </row>
    <row r="14" spans="1:16" s="118" customFormat="1" x14ac:dyDescent="0.25">
      <c r="A14" s="77" t="s">
        <v>241</v>
      </c>
      <c r="B14" s="124"/>
      <c r="C14" s="124"/>
      <c r="D14" s="124"/>
      <c r="E14" s="125"/>
      <c r="F14" s="125"/>
      <c r="G14" s="125"/>
      <c r="H14" s="126"/>
      <c r="I14" s="127"/>
      <c r="J14" s="127"/>
      <c r="K14" s="128"/>
      <c r="L14" s="147"/>
      <c r="M14" s="147"/>
      <c r="N14" s="129"/>
      <c r="O14" s="129"/>
    </row>
    <row r="15" spans="1:16" s="118" customFormat="1" x14ac:dyDescent="0.25">
      <c r="A15" s="77" t="s">
        <v>242</v>
      </c>
      <c r="B15" s="124"/>
      <c r="C15" s="124"/>
      <c r="D15" s="124"/>
      <c r="E15" s="125"/>
      <c r="F15" s="125"/>
      <c r="G15" s="125"/>
      <c r="H15" s="126"/>
      <c r="I15" s="127"/>
      <c r="J15" s="127"/>
      <c r="K15" s="128"/>
      <c r="L15" s="147"/>
      <c r="M15" s="147"/>
      <c r="N15" s="129"/>
      <c r="O15" s="129"/>
    </row>
    <row r="16" spans="1:16" s="118" customFormat="1" x14ac:dyDescent="0.25">
      <c r="A16" s="77" t="s">
        <v>243</v>
      </c>
      <c r="B16" s="124"/>
      <c r="C16" s="124"/>
      <c r="D16" s="124"/>
      <c r="E16" s="125"/>
      <c r="F16" s="125"/>
      <c r="G16" s="125"/>
      <c r="H16" s="126"/>
      <c r="I16" s="127"/>
      <c r="J16" s="127"/>
      <c r="K16" s="128"/>
      <c r="L16" s="147"/>
      <c r="M16" s="147"/>
      <c r="N16" s="129"/>
      <c r="O16" s="129"/>
    </row>
    <row r="17" spans="1:15" s="118" customFormat="1" x14ac:dyDescent="0.25">
      <c r="A17" s="77" t="s">
        <v>244</v>
      </c>
      <c r="B17" s="124"/>
      <c r="C17" s="124"/>
      <c r="D17" s="124"/>
      <c r="E17" s="125"/>
      <c r="F17" s="125"/>
      <c r="G17" s="125"/>
      <c r="H17" s="126"/>
      <c r="I17" s="127"/>
      <c r="J17" s="127"/>
      <c r="K17" s="128"/>
      <c r="L17" s="147"/>
      <c r="M17" s="147"/>
      <c r="N17" s="129"/>
      <c r="O17" s="129"/>
    </row>
    <row r="18" spans="1:15" s="118" customFormat="1" x14ac:dyDescent="0.25">
      <c r="A18" s="77" t="s">
        <v>245</v>
      </c>
      <c r="B18" s="124"/>
      <c r="C18" s="124"/>
      <c r="D18" s="124"/>
      <c r="E18" s="125"/>
      <c r="F18" s="125"/>
      <c r="G18" s="125"/>
      <c r="H18" s="126"/>
      <c r="I18" s="127"/>
      <c r="J18" s="127"/>
      <c r="K18" s="128"/>
      <c r="L18" s="147"/>
      <c r="M18" s="147"/>
      <c r="N18" s="129"/>
      <c r="O18" s="129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7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9" customWidth="1"/>
    <col min="7" max="7" width="10.441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237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4"/>
      <c r="L4" s="13"/>
      <c r="M4" s="13"/>
      <c r="N4" s="12"/>
      <c r="O4" s="12"/>
      <c r="P4" s="14"/>
    </row>
    <row r="5" spans="1:16" s="7" customFormat="1" x14ac:dyDescent="0.25">
      <c r="A5" s="218" t="s">
        <v>24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6" s="7" customFormat="1" x14ac:dyDescent="0.25">
      <c r="A6" s="85" t="s">
        <v>156</v>
      </c>
      <c r="B6" s="200" t="s">
        <v>69</v>
      </c>
      <c r="C6" s="200" t="s">
        <v>76</v>
      </c>
      <c r="D6" s="200" t="s">
        <v>19</v>
      </c>
      <c r="E6" s="200" t="s">
        <v>6</v>
      </c>
      <c r="F6" s="201" t="s">
        <v>67</v>
      </c>
      <c r="G6" s="201" t="s">
        <v>68</v>
      </c>
      <c r="H6" s="201" t="s">
        <v>7</v>
      </c>
      <c r="I6" s="201" t="s">
        <v>17</v>
      </c>
      <c r="J6" s="88" t="s">
        <v>75</v>
      </c>
      <c r="K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8" customFormat="1" ht="12.75" customHeight="1" thickBot="1" x14ac:dyDescent="0.3">
      <c r="A9" s="148" t="s">
        <v>56</v>
      </c>
      <c r="B9" s="69"/>
      <c r="C9" s="69"/>
      <c r="D9" s="69"/>
      <c r="E9" s="149"/>
      <c r="F9" s="150"/>
      <c r="G9" s="154"/>
      <c r="H9" s="106">
        <v>-67.634999099999987</v>
      </c>
      <c r="I9" s="69"/>
      <c r="J9" s="69">
        <v>1</v>
      </c>
      <c r="K9" s="81">
        <v>-2.7504556265524348E-5</v>
      </c>
    </row>
    <row r="10" spans="1:16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2" t="s">
        <v>249</v>
      </c>
      <c r="G10" s="121" t="s">
        <v>249</v>
      </c>
      <c r="H10" s="122">
        <v>-67.634999600000015</v>
      </c>
      <c r="I10" s="120" t="s">
        <v>249</v>
      </c>
      <c r="J10" s="120">
        <v>1.0000000073926225</v>
      </c>
      <c r="K10" s="120">
        <v>-2.7504556468855156E-5</v>
      </c>
    </row>
    <row r="11" spans="1:16" s="118" customFormat="1" x14ac:dyDescent="0.25">
      <c r="A11" s="91" t="s">
        <v>303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4" t="s">
        <v>249</v>
      </c>
      <c r="G11" s="121" t="s">
        <v>249</v>
      </c>
      <c r="H11" s="123">
        <v>-67.634999899999997</v>
      </c>
      <c r="I11" s="136"/>
      <c r="J11" s="120">
        <v>1.0000000118281958</v>
      </c>
      <c r="K11" s="136">
        <v>-2.7504556590853627E-5</v>
      </c>
    </row>
    <row r="12" spans="1:16" x14ac:dyDescent="0.25">
      <c r="A12" s="16" t="s">
        <v>304</v>
      </c>
      <c r="B12" s="116" t="s">
        <v>305</v>
      </c>
      <c r="C12" s="116" t="s">
        <v>306</v>
      </c>
      <c r="D12" s="116" t="s">
        <v>217</v>
      </c>
      <c r="E12" s="116" t="s">
        <v>255</v>
      </c>
      <c r="F12" s="68">
        <v>81</v>
      </c>
      <c r="G12" s="65">
        <v>245000</v>
      </c>
      <c r="H12" s="92">
        <v>198.45</v>
      </c>
      <c r="I12" s="24">
        <v>0</v>
      </c>
      <c r="J12" s="32">
        <v>-2.9341317755706164</v>
      </c>
      <c r="K12" s="24">
        <v>8.0701992511644877E-5</v>
      </c>
      <c r="L12" s="14"/>
      <c r="M12" s="14"/>
      <c r="N12" s="14"/>
      <c r="O12" s="14"/>
    </row>
    <row r="13" spans="1:16" x14ac:dyDescent="0.25">
      <c r="A13" s="16" t="s">
        <v>307</v>
      </c>
      <c r="B13" s="116" t="s">
        <v>308</v>
      </c>
      <c r="C13" s="116" t="s">
        <v>306</v>
      </c>
      <c r="D13" s="116" t="s">
        <v>217</v>
      </c>
      <c r="E13" s="116" t="s">
        <v>255</v>
      </c>
      <c r="F13" s="68">
        <v>-81</v>
      </c>
      <c r="G13" s="65">
        <v>328500</v>
      </c>
      <c r="H13" s="92">
        <v>-266.08499999999998</v>
      </c>
      <c r="I13" s="24">
        <v>0</v>
      </c>
      <c r="J13" s="32">
        <v>3.9341317888773366</v>
      </c>
      <c r="K13" s="24">
        <v>-1.0820654914316466E-4</v>
      </c>
      <c r="L13" s="14"/>
      <c r="M13" s="14"/>
      <c r="N13" s="14"/>
      <c r="O13" s="14"/>
    </row>
    <row r="14" spans="1:16" s="118" customFormat="1" x14ac:dyDescent="0.25">
      <c r="A14" s="91" t="s">
        <v>309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4" t="s">
        <v>249</v>
      </c>
      <c r="G14" s="121" t="s">
        <v>249</v>
      </c>
      <c r="H14" s="123">
        <v>0</v>
      </c>
      <c r="I14" s="136"/>
      <c r="J14" s="120">
        <v>0</v>
      </c>
      <c r="K14" s="136">
        <v>0</v>
      </c>
    </row>
    <row r="15" spans="1:16" s="118" customFormat="1" x14ac:dyDescent="0.25">
      <c r="A15" s="91" t="s">
        <v>310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4" t="s">
        <v>249</v>
      </c>
      <c r="G15" s="121" t="s">
        <v>249</v>
      </c>
      <c r="H15" s="123">
        <v>0</v>
      </c>
      <c r="I15" s="136"/>
      <c r="J15" s="120">
        <v>0</v>
      </c>
      <c r="K15" s="136">
        <v>0</v>
      </c>
    </row>
    <row r="16" spans="1:16" s="118" customFormat="1" x14ac:dyDescent="0.25">
      <c r="A16" s="91" t="s">
        <v>141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4" t="s">
        <v>249</v>
      </c>
      <c r="G16" s="121" t="s">
        <v>249</v>
      </c>
      <c r="H16" s="123">
        <v>0</v>
      </c>
      <c r="I16" s="136"/>
      <c r="J16" s="120">
        <v>0</v>
      </c>
      <c r="K16" s="136">
        <v>0</v>
      </c>
    </row>
    <row r="17" spans="1:15" s="118" customFormat="1" x14ac:dyDescent="0.25">
      <c r="A17" s="91" t="s">
        <v>281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4" t="s">
        <v>249</v>
      </c>
      <c r="G17" s="121" t="s">
        <v>249</v>
      </c>
      <c r="H17" s="123">
        <v>0</v>
      </c>
      <c r="I17" s="136"/>
      <c r="J17" s="120">
        <v>0</v>
      </c>
      <c r="K17" s="136">
        <v>0</v>
      </c>
    </row>
    <row r="18" spans="1:15" s="118" customFormat="1" x14ac:dyDescent="0.25">
      <c r="A18" s="91" t="s">
        <v>303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4" t="s">
        <v>249</v>
      </c>
      <c r="G18" s="121" t="s">
        <v>249</v>
      </c>
      <c r="H18" s="123">
        <v>0</v>
      </c>
      <c r="I18" s="136"/>
      <c r="J18" s="120">
        <v>0</v>
      </c>
      <c r="K18" s="136">
        <v>0</v>
      </c>
    </row>
    <row r="19" spans="1:15" s="118" customFormat="1" x14ac:dyDescent="0.25">
      <c r="A19" s="91" t="s">
        <v>311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4" t="s">
        <v>249</v>
      </c>
      <c r="G19" s="121" t="s">
        <v>249</v>
      </c>
      <c r="H19" s="123">
        <v>0</v>
      </c>
      <c r="I19" s="136"/>
      <c r="J19" s="120">
        <v>0</v>
      </c>
      <c r="K19" s="136">
        <v>0</v>
      </c>
    </row>
    <row r="20" spans="1:15" s="118" customFormat="1" x14ac:dyDescent="0.25">
      <c r="A20" s="91" t="s">
        <v>310</v>
      </c>
      <c r="B20" s="130" t="s">
        <v>249</v>
      </c>
      <c r="C20" s="130" t="s">
        <v>249</v>
      </c>
      <c r="D20" s="130" t="s">
        <v>249</v>
      </c>
      <c r="E20" s="130" t="s">
        <v>249</v>
      </c>
      <c r="F20" s="134" t="s">
        <v>249</v>
      </c>
      <c r="G20" s="121" t="s">
        <v>249</v>
      </c>
      <c r="H20" s="123">
        <v>0</v>
      </c>
      <c r="I20" s="136"/>
      <c r="J20" s="120">
        <v>0</v>
      </c>
      <c r="K20" s="136">
        <v>0</v>
      </c>
    </row>
    <row r="21" spans="1:15" s="118" customFormat="1" x14ac:dyDescent="0.25">
      <c r="A21" s="91" t="s">
        <v>312</v>
      </c>
      <c r="B21" s="130" t="s">
        <v>249</v>
      </c>
      <c r="C21" s="130" t="s">
        <v>249</v>
      </c>
      <c r="D21" s="130" t="s">
        <v>249</v>
      </c>
      <c r="E21" s="130" t="s">
        <v>249</v>
      </c>
      <c r="F21" s="134" t="s">
        <v>249</v>
      </c>
      <c r="G21" s="121" t="s">
        <v>249</v>
      </c>
      <c r="H21" s="123">
        <v>0</v>
      </c>
      <c r="I21" s="136"/>
      <c r="J21" s="120">
        <v>0</v>
      </c>
      <c r="K21" s="136">
        <v>0</v>
      </c>
    </row>
    <row r="22" spans="1:15" s="118" customFormat="1" x14ac:dyDescent="0.25">
      <c r="A22" s="91" t="s">
        <v>141</v>
      </c>
      <c r="B22" s="130" t="s">
        <v>249</v>
      </c>
      <c r="C22" s="130" t="s">
        <v>249</v>
      </c>
      <c r="D22" s="130" t="s">
        <v>249</v>
      </c>
      <c r="E22" s="130" t="s">
        <v>249</v>
      </c>
      <c r="F22" s="134" t="s">
        <v>249</v>
      </c>
      <c r="G22" s="121" t="s">
        <v>249</v>
      </c>
      <c r="H22" s="123">
        <v>0</v>
      </c>
      <c r="I22" s="136"/>
      <c r="J22" s="120">
        <v>0</v>
      </c>
      <c r="K22" s="136">
        <v>0</v>
      </c>
    </row>
    <row r="23" spans="1:15" s="118" customFormat="1" x14ac:dyDescent="0.25">
      <c r="A23" s="77" t="s">
        <v>241</v>
      </c>
      <c r="B23" s="124"/>
      <c r="C23" s="124"/>
      <c r="D23" s="124"/>
      <c r="E23" s="124"/>
      <c r="F23" s="125"/>
      <c r="G23" s="125"/>
      <c r="H23" s="125"/>
      <c r="I23" s="126"/>
      <c r="J23" s="127"/>
      <c r="K23" s="128"/>
      <c r="L23" s="147"/>
      <c r="M23" s="147"/>
      <c r="N23" s="129"/>
      <c r="O23" s="129"/>
    </row>
    <row r="24" spans="1:15" s="118" customFormat="1" x14ac:dyDescent="0.25">
      <c r="A24" s="77" t="s">
        <v>242</v>
      </c>
      <c r="B24" s="124"/>
      <c r="C24" s="124"/>
      <c r="D24" s="124"/>
      <c r="E24" s="124"/>
      <c r="F24" s="125"/>
      <c r="G24" s="125"/>
      <c r="H24" s="125"/>
      <c r="I24" s="126"/>
      <c r="J24" s="127"/>
      <c r="K24" s="128"/>
      <c r="L24" s="147"/>
      <c r="M24" s="147"/>
      <c r="N24" s="129"/>
      <c r="O24" s="129"/>
    </row>
    <row r="25" spans="1:15" s="118" customFormat="1" x14ac:dyDescent="0.25">
      <c r="A25" s="77" t="s">
        <v>243</v>
      </c>
      <c r="B25" s="124"/>
      <c r="C25" s="124"/>
      <c r="D25" s="124"/>
      <c r="E25" s="124"/>
      <c r="F25" s="125"/>
      <c r="G25" s="125"/>
      <c r="H25" s="125"/>
      <c r="I25" s="126"/>
      <c r="J25" s="127"/>
      <c r="K25" s="128"/>
      <c r="L25" s="147"/>
      <c r="M25" s="147"/>
      <c r="N25" s="129"/>
      <c r="O25" s="129"/>
    </row>
    <row r="26" spans="1:15" s="118" customFormat="1" x14ac:dyDescent="0.25">
      <c r="A26" s="77" t="s">
        <v>244</v>
      </c>
      <c r="B26" s="124"/>
      <c r="C26" s="124"/>
      <c r="D26" s="124"/>
      <c r="E26" s="124"/>
      <c r="F26" s="125"/>
      <c r="G26" s="125"/>
      <c r="H26" s="125"/>
      <c r="I26" s="126"/>
      <c r="J26" s="127"/>
      <c r="K26" s="128"/>
      <c r="L26" s="147"/>
      <c r="M26" s="147"/>
      <c r="N26" s="129"/>
      <c r="O26" s="129"/>
    </row>
    <row r="27" spans="1:15" s="118" customFormat="1" x14ac:dyDescent="0.25">
      <c r="A27" s="77" t="s">
        <v>245</v>
      </c>
      <c r="B27" s="124"/>
      <c r="C27" s="124"/>
      <c r="D27" s="124"/>
      <c r="E27" s="124"/>
      <c r="F27" s="125"/>
      <c r="G27" s="125"/>
      <c r="H27" s="125"/>
      <c r="I27" s="126"/>
      <c r="J27" s="127"/>
      <c r="K27" s="128"/>
      <c r="L27" s="147"/>
      <c r="M27" s="147"/>
      <c r="N27" s="129"/>
      <c r="O27" s="129"/>
    </row>
  </sheetData>
  <mergeCells count="2">
    <mergeCell ref="A5:K5"/>
    <mergeCell ref="A4:K4"/>
  </mergeCells>
  <phoneticPr fontId="3" type="noConversion"/>
  <conditionalFormatting sqref="A9:A22 I9:I22">
    <cfRule type="expression" dxfId="88" priority="196" stopIfTrue="1">
      <formula>LEFT(#REF!,3)="TIR"</formula>
    </cfRule>
  </conditionalFormatting>
  <conditionalFormatting sqref="B9:F22 J9:K22">
    <cfRule type="expression" dxfId="87" priority="193" stopIfTrue="1">
      <formula>LEFT(#REF!,3)="TIR"</formula>
    </cfRule>
  </conditionalFormatting>
  <conditionalFormatting sqref="I9:I22 A9:A22">
    <cfRule type="expression" dxfId="86" priority="195" stopIfTrue="1">
      <formula>#REF!&gt;0</formula>
    </cfRule>
  </conditionalFormatting>
  <conditionalFormatting sqref="J1:J3 F9:I22 I23:I55557">
    <cfRule type="expression" dxfId="85" priority="190" stopIfTrue="1">
      <formula>LEFT(#REF!,3)="TIR"</formula>
    </cfRule>
  </conditionalFormatting>
  <conditionalFormatting sqref="J10:K22 H10:H22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0.109375" style="10" customWidth="1"/>
    <col min="7" max="7" width="7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237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7"/>
      <c r="K4" s="11"/>
      <c r="L4" s="11"/>
      <c r="M4" s="13"/>
      <c r="N4" s="12"/>
      <c r="O4" s="12"/>
      <c r="P4" s="14"/>
    </row>
    <row r="5" spans="1:16" s="7" customFormat="1" x14ac:dyDescent="0.25">
      <c r="A5" s="218" t="s">
        <v>25</v>
      </c>
      <c r="B5" s="219"/>
      <c r="C5" s="219"/>
      <c r="D5" s="219"/>
      <c r="E5" s="219"/>
      <c r="F5" s="219"/>
      <c r="G5" s="219"/>
      <c r="H5" s="219"/>
      <c r="I5" s="219"/>
      <c r="J5" s="220"/>
      <c r="K5" s="11"/>
      <c r="L5" s="11"/>
    </row>
    <row r="6" spans="1:16" s="7" customFormat="1" x14ac:dyDescent="0.25">
      <c r="A6" s="85" t="s">
        <v>156</v>
      </c>
      <c r="B6" s="200" t="s">
        <v>69</v>
      </c>
      <c r="C6" s="200" t="s">
        <v>76</v>
      </c>
      <c r="D6" s="200" t="s">
        <v>19</v>
      </c>
      <c r="E6" s="200" t="s">
        <v>6</v>
      </c>
      <c r="F6" s="201" t="s">
        <v>67</v>
      </c>
      <c r="G6" s="201" t="s">
        <v>68</v>
      </c>
      <c r="H6" s="201" t="s">
        <v>7</v>
      </c>
      <c r="I6" s="88" t="s">
        <v>75</v>
      </c>
      <c r="J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8" customFormat="1" ht="12.75" customHeight="1" thickBot="1" x14ac:dyDescent="0.3">
      <c r="A9" s="148" t="s">
        <v>62</v>
      </c>
      <c r="B9" s="69"/>
      <c r="C9" s="69"/>
      <c r="D9" s="69"/>
      <c r="E9" s="149"/>
      <c r="F9" s="150"/>
      <c r="G9" s="149"/>
      <c r="H9" s="152">
        <v>180.65250020000002</v>
      </c>
      <c r="I9" s="69">
        <v>1</v>
      </c>
      <c r="J9" s="81">
        <v>7.3464432947091589E-5</v>
      </c>
    </row>
    <row r="10" spans="1:16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2" t="s">
        <v>249</v>
      </c>
      <c r="G10" s="121" t="s">
        <v>249</v>
      </c>
      <c r="H10" s="122">
        <v>0</v>
      </c>
      <c r="I10" s="120">
        <v>0</v>
      </c>
      <c r="J10" s="120">
        <v>0</v>
      </c>
    </row>
    <row r="11" spans="1:16" s="118" customFormat="1" x14ac:dyDescent="0.25">
      <c r="A11" s="91" t="s">
        <v>281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4" t="s">
        <v>249</v>
      </c>
      <c r="G11" s="135" t="s">
        <v>249</v>
      </c>
      <c r="H11" s="123">
        <v>180.6525001</v>
      </c>
      <c r="I11" s="120">
        <v>0.99999999944645102</v>
      </c>
      <c r="J11" s="120">
        <v>7.3464432906425429E-5</v>
      </c>
    </row>
    <row r="12" spans="1:16" x14ac:dyDescent="0.25">
      <c r="A12" s="16" t="s">
        <v>313</v>
      </c>
      <c r="B12" s="116" t="s">
        <v>314</v>
      </c>
      <c r="C12" s="116" t="s">
        <v>217</v>
      </c>
      <c r="D12" s="116" t="s">
        <v>187</v>
      </c>
      <c r="E12" s="116" t="s">
        <v>125</v>
      </c>
      <c r="F12" s="68">
        <v>7</v>
      </c>
      <c r="G12" s="60">
        <v>4488.25</v>
      </c>
      <c r="H12" s="83">
        <v>180.6525</v>
      </c>
      <c r="I12" s="32">
        <v>0.99999999889290203</v>
      </c>
      <c r="J12" s="32">
        <v>7.3464432865759269E-5</v>
      </c>
      <c r="K12" s="14"/>
      <c r="L12" s="14"/>
      <c r="M12" s="14"/>
      <c r="N12" s="14"/>
      <c r="O12" s="14"/>
    </row>
    <row r="13" spans="1:16" s="118" customFormat="1" x14ac:dyDescent="0.25">
      <c r="A13" s="77" t="s">
        <v>241</v>
      </c>
      <c r="B13" s="124"/>
      <c r="C13" s="77"/>
      <c r="D13" s="77"/>
      <c r="E13" s="125"/>
      <c r="F13" s="145"/>
      <c r="G13" s="145"/>
      <c r="H13" s="146"/>
      <c r="I13" s="146"/>
      <c r="J13" s="129"/>
      <c r="K13" s="147"/>
      <c r="L13" s="147"/>
      <c r="M13" s="147"/>
      <c r="N13" s="129"/>
      <c r="O13" s="129"/>
    </row>
    <row r="14" spans="1:16" s="118" customFormat="1" x14ac:dyDescent="0.25">
      <c r="A14" s="77" t="s">
        <v>242</v>
      </c>
      <c r="B14" s="124"/>
      <c r="C14" s="77"/>
      <c r="D14" s="77"/>
      <c r="E14" s="125"/>
      <c r="F14" s="145"/>
      <c r="G14" s="145"/>
      <c r="H14" s="146"/>
      <c r="I14" s="146"/>
      <c r="J14" s="129"/>
      <c r="K14" s="147"/>
      <c r="L14" s="147"/>
      <c r="M14" s="147"/>
      <c r="N14" s="129"/>
      <c r="O14" s="129"/>
    </row>
    <row r="15" spans="1:16" s="118" customFormat="1" x14ac:dyDescent="0.25">
      <c r="A15" s="77" t="s">
        <v>243</v>
      </c>
      <c r="B15" s="124"/>
      <c r="C15" s="77"/>
      <c r="D15" s="77"/>
      <c r="E15" s="125"/>
      <c r="F15" s="145"/>
      <c r="G15" s="145"/>
      <c r="H15" s="146"/>
      <c r="I15" s="146"/>
      <c r="J15" s="129"/>
      <c r="K15" s="147"/>
      <c r="L15" s="147"/>
      <c r="M15" s="147"/>
      <c r="N15" s="129"/>
      <c r="O15" s="129"/>
    </row>
    <row r="16" spans="1:16" s="118" customFormat="1" x14ac:dyDescent="0.25">
      <c r="A16" s="77" t="s">
        <v>244</v>
      </c>
      <c r="B16" s="124"/>
      <c r="C16" s="77"/>
      <c r="D16" s="77"/>
      <c r="E16" s="125"/>
      <c r="F16" s="145"/>
      <c r="G16" s="145"/>
      <c r="H16" s="146"/>
      <c r="I16" s="146"/>
      <c r="J16" s="129"/>
      <c r="K16" s="147"/>
      <c r="L16" s="147"/>
      <c r="M16" s="147"/>
      <c r="N16" s="129"/>
      <c r="O16" s="129"/>
    </row>
    <row r="17" spans="1:15" s="118" customFormat="1" x14ac:dyDescent="0.25">
      <c r="A17" s="77" t="s">
        <v>245</v>
      </c>
      <c r="B17" s="124"/>
      <c r="C17" s="77"/>
      <c r="D17" s="77"/>
      <c r="E17" s="125"/>
      <c r="F17" s="145"/>
      <c r="G17" s="145"/>
      <c r="H17" s="146"/>
      <c r="I17" s="146"/>
      <c r="J17" s="129"/>
      <c r="K17" s="147"/>
      <c r="L17" s="147"/>
      <c r="M17" s="147"/>
      <c r="N17" s="129"/>
      <c r="O17" s="129"/>
    </row>
  </sheetData>
  <mergeCells count="2">
    <mergeCell ref="A5:J5"/>
    <mergeCell ref="A4:J4"/>
  </mergeCells>
  <phoneticPr fontId="3" type="noConversion"/>
  <conditionalFormatting sqref="B9:E12 I9:J12">
    <cfRule type="expression" dxfId="83" priority="219" stopIfTrue="1">
      <formula>LEFT(#REF!,3)="TIR"</formula>
    </cfRule>
  </conditionalFormatting>
  <conditionalFormatting sqref="H9:I9 A9:A12 I10:I12">
    <cfRule type="expression" dxfId="82" priority="222" stopIfTrue="1">
      <formula>LEFT(#REF!,3)="TIR"</formula>
    </cfRule>
  </conditionalFormatting>
  <conditionalFormatting sqref="H9:I9 I10:I12 A9:A12">
    <cfRule type="expression" dxfId="81" priority="221" stopIfTrue="1">
      <formula>#REF!&gt;0</formula>
    </cfRule>
  </conditionalFormatting>
  <conditionalFormatting sqref="H10:I12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2 J13:J55547">
    <cfRule type="expression" dxfId="78" priority="216" stopIfTrue="1">
      <formula>LEFT(#REF!,3)="TIR"</formula>
    </cfRule>
  </conditionalFormatting>
  <conditionalFormatting sqref="J10:J12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4" customWidth="1"/>
    <col min="15" max="15" width="25.44140625" style="64" customWidth="1"/>
    <col min="16" max="16" width="20.6640625" style="64" customWidth="1"/>
    <col min="17" max="16384" width="9.109375" style="14"/>
  </cols>
  <sheetData>
    <row r="1" spans="1:16" s="7" customFormat="1" x14ac:dyDescent="0.25">
      <c r="A1" s="9" t="s">
        <v>236</v>
      </c>
      <c r="B1" s="8" t="s">
        <v>237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4"/>
      <c r="O1" s="64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4"/>
      <c r="O2" s="64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4"/>
      <c r="O3" s="64"/>
      <c r="P3" s="43"/>
    </row>
    <row r="4" spans="1:16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7"/>
    </row>
    <row r="5" spans="1:16" s="7" customFormat="1" x14ac:dyDescent="0.25">
      <c r="A5" s="218" t="s">
        <v>26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20"/>
    </row>
    <row r="6" spans="1:16" s="7" customFormat="1" ht="31.5" customHeight="1" x14ac:dyDescent="0.25">
      <c r="A6" s="85" t="s">
        <v>156</v>
      </c>
      <c r="B6" s="200" t="s">
        <v>69</v>
      </c>
      <c r="C6" s="200" t="s">
        <v>27</v>
      </c>
      <c r="D6" s="200" t="s">
        <v>70</v>
      </c>
      <c r="E6" s="200" t="s">
        <v>5</v>
      </c>
      <c r="F6" s="200" t="s">
        <v>13</v>
      </c>
      <c r="G6" s="200" t="s">
        <v>14</v>
      </c>
      <c r="H6" s="200" t="s">
        <v>6</v>
      </c>
      <c r="I6" s="201" t="s">
        <v>66</v>
      </c>
      <c r="J6" s="201" t="s">
        <v>71</v>
      </c>
      <c r="K6" s="201" t="s">
        <v>67</v>
      </c>
      <c r="L6" s="201" t="s">
        <v>68</v>
      </c>
      <c r="M6" s="201" t="s">
        <v>7</v>
      </c>
      <c r="N6" s="88" t="s">
        <v>17</v>
      </c>
      <c r="O6" s="88" t="s">
        <v>75</v>
      </c>
      <c r="P6" s="89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8" customFormat="1" ht="12.75" customHeight="1" thickBot="1" x14ac:dyDescent="0.3">
      <c r="A9" s="99" t="s">
        <v>57</v>
      </c>
      <c r="B9" s="66"/>
      <c r="C9" s="66"/>
      <c r="D9" s="100"/>
      <c r="E9" s="100"/>
      <c r="F9" s="100"/>
      <c r="G9" s="100"/>
      <c r="H9" s="100"/>
      <c r="I9" s="66"/>
      <c r="J9" s="66"/>
      <c r="K9" s="101"/>
      <c r="L9" s="100"/>
      <c r="M9" s="104">
        <v>1.2000000000000002E-6</v>
      </c>
      <c r="N9" s="66"/>
      <c r="O9" s="66">
        <v>1</v>
      </c>
      <c r="P9" s="80">
        <v>0</v>
      </c>
    </row>
    <row r="10" spans="1:16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1" t="s">
        <v>249</v>
      </c>
      <c r="H10" s="131" t="s">
        <v>249</v>
      </c>
      <c r="I10" s="130" t="s">
        <v>249</v>
      </c>
      <c r="J10" s="130" t="s">
        <v>249</v>
      </c>
      <c r="K10" s="132" t="s">
        <v>249</v>
      </c>
      <c r="L10" s="121" t="s">
        <v>249</v>
      </c>
      <c r="M10" s="122">
        <v>0</v>
      </c>
      <c r="N10" s="120" t="s">
        <v>249</v>
      </c>
      <c r="O10" s="120">
        <v>0</v>
      </c>
      <c r="P10" s="120">
        <v>0</v>
      </c>
    </row>
    <row r="11" spans="1:16" s="118" customFormat="1" x14ac:dyDescent="0.25">
      <c r="A11" s="91" t="s">
        <v>315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1" t="s">
        <v>249</v>
      </c>
      <c r="H11" s="131" t="s">
        <v>249</v>
      </c>
      <c r="I11" s="130" t="s">
        <v>249</v>
      </c>
      <c r="J11" s="130" t="s">
        <v>249</v>
      </c>
      <c r="K11" s="134" t="s">
        <v>249</v>
      </c>
      <c r="L11" s="135" t="s">
        <v>249</v>
      </c>
      <c r="M11" s="123">
        <v>0</v>
      </c>
      <c r="N11" s="136"/>
      <c r="O11" s="136">
        <v>0</v>
      </c>
      <c r="P11" s="136">
        <v>0</v>
      </c>
    </row>
    <row r="12" spans="1:16" s="118" customFormat="1" x14ac:dyDescent="0.25">
      <c r="A12" s="91" t="s">
        <v>316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1" t="s">
        <v>249</v>
      </c>
      <c r="H12" s="131" t="s">
        <v>249</v>
      </c>
      <c r="I12" s="130" t="s">
        <v>249</v>
      </c>
      <c r="J12" s="130" t="s">
        <v>249</v>
      </c>
      <c r="K12" s="134" t="s">
        <v>249</v>
      </c>
      <c r="L12" s="135" t="s">
        <v>249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1" t="s">
        <v>317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1" t="s">
        <v>249</v>
      </c>
      <c r="H13" s="131" t="s">
        <v>249</v>
      </c>
      <c r="I13" s="130" t="s">
        <v>249</v>
      </c>
      <c r="J13" s="130" t="s">
        <v>249</v>
      </c>
      <c r="K13" s="134" t="s">
        <v>249</v>
      </c>
      <c r="L13" s="135" t="s">
        <v>249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1" t="s">
        <v>318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1" t="s">
        <v>249</v>
      </c>
      <c r="H14" s="131" t="s">
        <v>249</v>
      </c>
      <c r="I14" s="130" t="s">
        <v>249</v>
      </c>
      <c r="J14" s="130" t="s">
        <v>249</v>
      </c>
      <c r="K14" s="134" t="s">
        <v>249</v>
      </c>
      <c r="L14" s="135" t="s">
        <v>249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1" t="s">
        <v>319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1" t="s">
        <v>249</v>
      </c>
      <c r="H15" s="131" t="s">
        <v>249</v>
      </c>
      <c r="I15" s="130" t="s">
        <v>249</v>
      </c>
      <c r="J15" s="130" t="s">
        <v>249</v>
      </c>
      <c r="K15" s="134" t="s">
        <v>249</v>
      </c>
      <c r="L15" s="135" t="s">
        <v>249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1" t="s">
        <v>320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1" t="s">
        <v>249</v>
      </c>
      <c r="H16" s="131" t="s">
        <v>249</v>
      </c>
      <c r="I16" s="130" t="s">
        <v>249</v>
      </c>
      <c r="J16" s="130" t="s">
        <v>249</v>
      </c>
      <c r="K16" s="134" t="s">
        <v>249</v>
      </c>
      <c r="L16" s="135" t="s">
        <v>249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1" t="s">
        <v>321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0" t="s">
        <v>249</v>
      </c>
      <c r="G17" s="131" t="s">
        <v>249</v>
      </c>
      <c r="H17" s="131" t="s">
        <v>249</v>
      </c>
      <c r="I17" s="130" t="s">
        <v>249</v>
      </c>
      <c r="J17" s="130" t="s">
        <v>249</v>
      </c>
      <c r="K17" s="134" t="s">
        <v>249</v>
      </c>
      <c r="L17" s="135" t="s">
        <v>249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1" t="s">
        <v>281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0" t="s">
        <v>249</v>
      </c>
      <c r="G18" s="131" t="s">
        <v>249</v>
      </c>
      <c r="H18" s="131" t="s">
        <v>249</v>
      </c>
      <c r="I18" s="130" t="s">
        <v>249</v>
      </c>
      <c r="J18" s="130" t="s">
        <v>249</v>
      </c>
      <c r="K18" s="134" t="s">
        <v>249</v>
      </c>
      <c r="L18" s="135" t="s">
        <v>249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1" t="s">
        <v>322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0" t="s">
        <v>249</v>
      </c>
      <c r="G19" s="131" t="s">
        <v>249</v>
      </c>
      <c r="H19" s="131" t="s">
        <v>249</v>
      </c>
      <c r="I19" s="130" t="s">
        <v>249</v>
      </c>
      <c r="J19" s="130" t="s">
        <v>249</v>
      </c>
      <c r="K19" s="134" t="s">
        <v>249</v>
      </c>
      <c r="L19" s="135" t="s">
        <v>249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1" t="s">
        <v>323</v>
      </c>
      <c r="B20" s="130" t="s">
        <v>249</v>
      </c>
      <c r="C20" s="130" t="s">
        <v>249</v>
      </c>
      <c r="D20" s="130" t="s">
        <v>249</v>
      </c>
      <c r="E20" s="130" t="s">
        <v>249</v>
      </c>
      <c r="F20" s="130" t="s">
        <v>249</v>
      </c>
      <c r="G20" s="131" t="s">
        <v>249</v>
      </c>
      <c r="H20" s="131" t="s">
        <v>249</v>
      </c>
      <c r="I20" s="130" t="s">
        <v>249</v>
      </c>
      <c r="J20" s="130" t="s">
        <v>249</v>
      </c>
      <c r="K20" s="134" t="s">
        <v>249</v>
      </c>
      <c r="L20" s="135" t="s">
        <v>249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1" t="s">
        <v>324</v>
      </c>
      <c r="B21" s="130" t="s">
        <v>249</v>
      </c>
      <c r="C21" s="130" t="s">
        <v>249</v>
      </c>
      <c r="D21" s="130" t="s">
        <v>249</v>
      </c>
      <c r="E21" s="130" t="s">
        <v>249</v>
      </c>
      <c r="F21" s="130" t="s">
        <v>249</v>
      </c>
      <c r="G21" s="131" t="s">
        <v>249</v>
      </c>
      <c r="H21" s="131" t="s">
        <v>249</v>
      </c>
      <c r="I21" s="130" t="s">
        <v>249</v>
      </c>
      <c r="J21" s="130" t="s">
        <v>249</v>
      </c>
      <c r="K21" s="134" t="s">
        <v>249</v>
      </c>
      <c r="L21" s="135" t="s">
        <v>249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1" t="s">
        <v>318</v>
      </c>
      <c r="B22" s="130" t="s">
        <v>249</v>
      </c>
      <c r="C22" s="130" t="s">
        <v>249</v>
      </c>
      <c r="D22" s="130" t="s">
        <v>249</v>
      </c>
      <c r="E22" s="130" t="s">
        <v>249</v>
      </c>
      <c r="F22" s="130" t="s">
        <v>249</v>
      </c>
      <c r="G22" s="131" t="s">
        <v>249</v>
      </c>
      <c r="H22" s="131" t="s">
        <v>249</v>
      </c>
      <c r="I22" s="130" t="s">
        <v>249</v>
      </c>
      <c r="J22" s="130" t="s">
        <v>249</v>
      </c>
      <c r="K22" s="134" t="s">
        <v>249</v>
      </c>
      <c r="L22" s="135" t="s">
        <v>249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1" t="s">
        <v>319</v>
      </c>
      <c r="B23" s="130" t="s">
        <v>249</v>
      </c>
      <c r="C23" s="130" t="s">
        <v>249</v>
      </c>
      <c r="D23" s="130" t="s">
        <v>249</v>
      </c>
      <c r="E23" s="130" t="s">
        <v>249</v>
      </c>
      <c r="F23" s="130" t="s">
        <v>249</v>
      </c>
      <c r="G23" s="131" t="s">
        <v>249</v>
      </c>
      <c r="H23" s="131" t="s">
        <v>249</v>
      </c>
      <c r="I23" s="130" t="s">
        <v>249</v>
      </c>
      <c r="J23" s="130" t="s">
        <v>249</v>
      </c>
      <c r="K23" s="134" t="s">
        <v>249</v>
      </c>
      <c r="L23" s="135" t="s">
        <v>249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1" t="s">
        <v>320</v>
      </c>
      <c r="B24" s="130" t="s">
        <v>249</v>
      </c>
      <c r="C24" s="130" t="s">
        <v>249</v>
      </c>
      <c r="D24" s="130" t="s">
        <v>249</v>
      </c>
      <c r="E24" s="130" t="s">
        <v>249</v>
      </c>
      <c r="F24" s="130" t="s">
        <v>249</v>
      </c>
      <c r="G24" s="131" t="s">
        <v>249</v>
      </c>
      <c r="H24" s="131" t="s">
        <v>249</v>
      </c>
      <c r="I24" s="130" t="s">
        <v>249</v>
      </c>
      <c r="J24" s="130" t="s">
        <v>249</v>
      </c>
      <c r="K24" s="134" t="s">
        <v>249</v>
      </c>
      <c r="L24" s="135" t="s">
        <v>249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1" t="s">
        <v>321</v>
      </c>
      <c r="B25" s="130" t="s">
        <v>249</v>
      </c>
      <c r="C25" s="130" t="s">
        <v>249</v>
      </c>
      <c r="D25" s="130" t="s">
        <v>249</v>
      </c>
      <c r="E25" s="130" t="s">
        <v>249</v>
      </c>
      <c r="F25" s="130" t="s">
        <v>249</v>
      </c>
      <c r="G25" s="131" t="s">
        <v>249</v>
      </c>
      <c r="H25" s="131" t="s">
        <v>249</v>
      </c>
      <c r="I25" s="130" t="s">
        <v>249</v>
      </c>
      <c r="J25" s="130" t="s">
        <v>249</v>
      </c>
      <c r="K25" s="134" t="s">
        <v>249</v>
      </c>
      <c r="L25" s="135" t="s">
        <v>249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77" t="s">
        <v>241</v>
      </c>
      <c r="B26" s="124"/>
      <c r="C26" s="77"/>
      <c r="D26" s="125"/>
      <c r="E26" s="125"/>
      <c r="F26" s="125"/>
      <c r="G26" s="126"/>
      <c r="H26" s="127"/>
      <c r="I26" s="128"/>
      <c r="J26" s="128"/>
      <c r="K26" s="128"/>
      <c r="L26" s="127"/>
      <c r="M26" s="127"/>
      <c r="N26" s="137"/>
      <c r="O26" s="137"/>
      <c r="P26" s="137"/>
    </row>
    <row r="27" spans="1:16" s="118" customFormat="1" x14ac:dyDescent="0.25">
      <c r="A27" s="77" t="s">
        <v>242</v>
      </c>
      <c r="B27" s="124"/>
      <c r="C27" s="77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7" t="s">
        <v>243</v>
      </c>
      <c r="B28" s="124"/>
      <c r="C28" s="77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7" t="s">
        <v>244</v>
      </c>
      <c r="B29" s="124"/>
      <c r="C29" s="77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7" t="s">
        <v>245</v>
      </c>
      <c r="B30" s="124"/>
      <c r="C30" s="77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168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3.5546875" style="19" bestFit="1" customWidth="1"/>
    <col min="11" max="11" width="7.109375" style="19" bestFit="1" customWidth="1"/>
    <col min="12" max="12" width="13.88671875" style="12" bestFit="1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236</v>
      </c>
      <c r="B1" s="8" t="s">
        <v>237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7"/>
    </row>
    <row r="5" spans="1:15" s="7" customFormat="1" x14ac:dyDescent="0.25">
      <c r="A5" s="218" t="s">
        <v>12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20"/>
    </row>
    <row r="6" spans="1:15" s="7" customFormat="1" ht="31.5" customHeight="1" x14ac:dyDescent="0.25">
      <c r="A6" s="85" t="s">
        <v>156</v>
      </c>
      <c r="B6" s="200" t="s">
        <v>69</v>
      </c>
      <c r="C6" s="200" t="s">
        <v>70</v>
      </c>
      <c r="D6" s="200" t="s">
        <v>5</v>
      </c>
      <c r="E6" s="200" t="s">
        <v>13</v>
      </c>
      <c r="F6" s="200" t="s">
        <v>14</v>
      </c>
      <c r="G6" s="200" t="s">
        <v>6</v>
      </c>
      <c r="H6" s="201" t="s">
        <v>66</v>
      </c>
      <c r="I6" s="201" t="s">
        <v>71</v>
      </c>
      <c r="J6" s="201" t="s">
        <v>67</v>
      </c>
      <c r="K6" s="201" t="s">
        <v>68</v>
      </c>
      <c r="L6" s="201" t="s">
        <v>29</v>
      </c>
      <c r="M6" s="88" t="s">
        <v>17</v>
      </c>
      <c r="N6" s="88" t="s">
        <v>75</v>
      </c>
      <c r="O6" s="89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8" customFormat="1" ht="12.75" customHeight="1" thickBot="1" x14ac:dyDescent="0.3">
      <c r="A9" s="71" t="s">
        <v>52</v>
      </c>
      <c r="B9" s="119" t="s">
        <v>249</v>
      </c>
      <c r="C9" s="119"/>
      <c r="D9" s="119"/>
      <c r="E9" s="119" t="s">
        <v>249</v>
      </c>
      <c r="F9" s="119" t="s">
        <v>249</v>
      </c>
      <c r="G9" s="119" t="s">
        <v>249</v>
      </c>
      <c r="H9" s="119" t="s">
        <v>249</v>
      </c>
      <c r="I9" s="119" t="s">
        <v>249</v>
      </c>
      <c r="J9" s="155" t="s">
        <v>249</v>
      </c>
      <c r="K9" s="119" t="s">
        <v>249</v>
      </c>
      <c r="L9" s="79">
        <v>2219517.7569306996</v>
      </c>
      <c r="M9" s="119" t="s">
        <v>249</v>
      </c>
      <c r="N9" s="105">
        <v>1</v>
      </c>
      <c r="O9" s="58">
        <v>0.90259261979986982</v>
      </c>
    </row>
    <row r="10" spans="1:15" s="118" customFormat="1" x14ac:dyDescent="0.25">
      <c r="A10" s="90" t="s">
        <v>137</v>
      </c>
      <c r="B10" s="120" t="s">
        <v>249</v>
      </c>
      <c r="C10" s="142" t="s">
        <v>249</v>
      </c>
      <c r="D10" s="142" t="s">
        <v>249</v>
      </c>
      <c r="E10" s="142" t="s">
        <v>249</v>
      </c>
      <c r="F10" s="142" t="s">
        <v>249</v>
      </c>
      <c r="G10" s="142" t="s">
        <v>249</v>
      </c>
      <c r="H10" s="156" t="s">
        <v>249</v>
      </c>
      <c r="I10" s="156" t="s">
        <v>249</v>
      </c>
      <c r="J10" s="141" t="s">
        <v>249</v>
      </c>
      <c r="K10" s="142" t="s">
        <v>249</v>
      </c>
      <c r="L10" s="122">
        <v>2219517.7569304993</v>
      </c>
      <c r="M10" s="156" t="s">
        <v>249</v>
      </c>
      <c r="N10" s="120">
        <v>0.99999999999990996</v>
      </c>
      <c r="O10" s="120">
        <v>0.90259261979978833</v>
      </c>
    </row>
    <row r="11" spans="1:15" s="118" customFormat="1" x14ac:dyDescent="0.25">
      <c r="A11" s="91" t="s">
        <v>325</v>
      </c>
      <c r="B11" s="120" t="s">
        <v>249</v>
      </c>
      <c r="C11" s="144" t="s">
        <v>249</v>
      </c>
      <c r="D11" s="144" t="s">
        <v>249</v>
      </c>
      <c r="E11" s="144" t="s">
        <v>249</v>
      </c>
      <c r="F11" s="144" t="s">
        <v>249</v>
      </c>
      <c r="G11" s="144" t="s">
        <v>249</v>
      </c>
      <c r="H11" s="157" t="s">
        <v>249</v>
      </c>
      <c r="I11" s="157" t="s">
        <v>249</v>
      </c>
      <c r="J11" s="143" t="s">
        <v>249</v>
      </c>
      <c r="K11" s="144" t="s">
        <v>249</v>
      </c>
      <c r="L11" s="123">
        <v>0</v>
      </c>
      <c r="M11" s="157"/>
      <c r="N11" s="136">
        <v>0</v>
      </c>
      <c r="O11" s="136">
        <v>0</v>
      </c>
    </row>
    <row r="12" spans="1:15" s="118" customFormat="1" x14ac:dyDescent="0.25">
      <c r="A12" s="91" t="s">
        <v>326</v>
      </c>
      <c r="B12" s="120" t="s">
        <v>249</v>
      </c>
      <c r="C12" s="144" t="s">
        <v>249</v>
      </c>
      <c r="D12" s="144" t="s">
        <v>249</v>
      </c>
      <c r="E12" s="144" t="s">
        <v>249</v>
      </c>
      <c r="F12" s="144" t="s">
        <v>249</v>
      </c>
      <c r="G12" s="144" t="s">
        <v>249</v>
      </c>
      <c r="H12" s="157" t="s">
        <v>249</v>
      </c>
      <c r="I12" s="157" t="s">
        <v>249</v>
      </c>
      <c r="J12" s="143" t="s">
        <v>249</v>
      </c>
      <c r="K12" s="144" t="s">
        <v>249</v>
      </c>
      <c r="L12" s="123">
        <v>2219517.7569300993</v>
      </c>
      <c r="M12" s="157"/>
      <c r="N12" s="136">
        <v>0.99999999999972977</v>
      </c>
      <c r="O12" s="136">
        <v>0.90259261979962568</v>
      </c>
    </row>
    <row r="13" spans="1:15" x14ac:dyDescent="0.25">
      <c r="A13" s="16" t="s">
        <v>327</v>
      </c>
      <c r="B13" s="32" t="s">
        <v>328</v>
      </c>
      <c r="C13" s="25" t="s">
        <v>329</v>
      </c>
      <c r="D13" s="25" t="s">
        <v>217</v>
      </c>
      <c r="E13" s="25" t="s">
        <v>331</v>
      </c>
      <c r="F13" s="25">
        <v>0.08</v>
      </c>
      <c r="G13" s="25" t="s">
        <v>255</v>
      </c>
      <c r="H13" s="17">
        <v>5.9500000000000004E-2</v>
      </c>
      <c r="I13" s="17">
        <v>5.6799999999999996E-2</v>
      </c>
      <c r="J13" s="109">
        <v>476500</v>
      </c>
      <c r="K13" s="25">
        <v>138.30350000000001</v>
      </c>
      <c r="L13" s="83">
        <v>659.01645999999994</v>
      </c>
      <c r="M13" s="17" t="s">
        <v>249</v>
      </c>
      <c r="N13" s="24">
        <v>2.9691875991626801E-4</v>
      </c>
      <c r="O13" s="24">
        <v>2.6799668138055284E-4</v>
      </c>
    </row>
    <row r="14" spans="1:15" x14ac:dyDescent="0.25">
      <c r="A14" s="16" t="s">
        <v>332</v>
      </c>
      <c r="B14" s="32" t="s">
        <v>333</v>
      </c>
      <c r="C14" s="25" t="s">
        <v>329</v>
      </c>
      <c r="D14" s="25" t="s">
        <v>217</v>
      </c>
      <c r="E14" s="25" t="s">
        <v>331</v>
      </c>
      <c r="F14" s="25">
        <v>0.16</v>
      </c>
      <c r="G14" s="25" t="s">
        <v>255</v>
      </c>
      <c r="H14" s="17">
        <v>5.9500000000000004E-2</v>
      </c>
      <c r="I14" s="17">
        <v>5.6900000000000006E-2</v>
      </c>
      <c r="J14" s="109">
        <v>749100</v>
      </c>
      <c r="K14" s="25">
        <v>137.6532</v>
      </c>
      <c r="L14" s="83">
        <v>1031.16066</v>
      </c>
      <c r="M14" s="17" t="s">
        <v>249</v>
      </c>
      <c r="N14" s="24">
        <v>4.6458770459487531E-4</v>
      </c>
      <c r="O14" s="24">
        <v>4.1933343341709646E-4</v>
      </c>
    </row>
    <row r="15" spans="1:15" x14ac:dyDescent="0.25">
      <c r="A15" s="16" t="s">
        <v>334</v>
      </c>
      <c r="B15" s="32" t="s">
        <v>335</v>
      </c>
      <c r="C15" s="25" t="s">
        <v>329</v>
      </c>
      <c r="D15" s="25" t="s">
        <v>217</v>
      </c>
      <c r="E15" s="25" t="s">
        <v>331</v>
      </c>
      <c r="F15" s="25">
        <v>0.25</v>
      </c>
      <c r="G15" s="25" t="s">
        <v>255</v>
      </c>
      <c r="H15" s="17">
        <v>5.9500000000000004E-2</v>
      </c>
      <c r="I15" s="17">
        <v>5.7099999999999998E-2</v>
      </c>
      <c r="J15" s="109">
        <v>697700</v>
      </c>
      <c r="K15" s="25">
        <v>138.19309999999999</v>
      </c>
      <c r="L15" s="83">
        <v>964.17370999999991</v>
      </c>
      <c r="M15" s="17" t="s">
        <v>249</v>
      </c>
      <c r="N15" s="24">
        <v>4.3440684670769438E-4</v>
      </c>
      <c r="O15" s="24">
        <v>3.9209241382889826E-4</v>
      </c>
    </row>
    <row r="16" spans="1:15" x14ac:dyDescent="0.25">
      <c r="A16" s="16" t="s">
        <v>336</v>
      </c>
      <c r="B16" s="32" t="s">
        <v>337</v>
      </c>
      <c r="C16" s="25" t="s">
        <v>329</v>
      </c>
      <c r="D16" s="25" t="s">
        <v>217</v>
      </c>
      <c r="E16" s="25" t="s">
        <v>331</v>
      </c>
      <c r="F16" s="25">
        <v>0.33</v>
      </c>
      <c r="G16" s="25" t="s">
        <v>255</v>
      </c>
      <c r="H16" s="17">
        <v>5.9500000000000004E-2</v>
      </c>
      <c r="I16" s="17">
        <v>5.8299999999999998E-2</v>
      </c>
      <c r="J16" s="109">
        <v>1118000</v>
      </c>
      <c r="K16" s="25">
        <v>138.43889999999999</v>
      </c>
      <c r="L16" s="83">
        <v>1547.74773</v>
      </c>
      <c r="M16" s="17" t="s">
        <v>249</v>
      </c>
      <c r="N16" s="24">
        <v>6.9733514190953403E-4</v>
      </c>
      <c r="O16" s="24">
        <v>6.2940955261464029E-4</v>
      </c>
    </row>
    <row r="17" spans="1:15" x14ac:dyDescent="0.25">
      <c r="A17" s="16" t="s">
        <v>338</v>
      </c>
      <c r="B17" s="32" t="s">
        <v>339</v>
      </c>
      <c r="C17" s="25" t="s">
        <v>329</v>
      </c>
      <c r="D17" s="25" t="s">
        <v>217</v>
      </c>
      <c r="E17" s="25" t="s">
        <v>331</v>
      </c>
      <c r="F17" s="25">
        <v>0.41</v>
      </c>
      <c r="G17" s="25" t="s">
        <v>255</v>
      </c>
      <c r="H17" s="17">
        <v>5.9500000000000004E-2</v>
      </c>
      <c r="I17" s="17">
        <v>5.8099999999999999E-2</v>
      </c>
      <c r="J17" s="109">
        <v>1044700</v>
      </c>
      <c r="K17" s="25">
        <v>138.07329999999999</v>
      </c>
      <c r="L17" s="83">
        <v>1442.45246</v>
      </c>
      <c r="M17" s="17" t="s">
        <v>249</v>
      </c>
      <c r="N17" s="24">
        <v>6.4989453474556644E-4</v>
      </c>
      <c r="O17" s="24">
        <v>5.865900107096182E-4</v>
      </c>
    </row>
    <row r="18" spans="1:15" x14ac:dyDescent="0.25">
      <c r="A18" s="16" t="s">
        <v>340</v>
      </c>
      <c r="B18" s="32" t="s">
        <v>341</v>
      </c>
      <c r="C18" s="25" t="s">
        <v>329</v>
      </c>
      <c r="D18" s="25" t="s">
        <v>217</v>
      </c>
      <c r="E18" s="25" t="s">
        <v>331</v>
      </c>
      <c r="F18" s="25">
        <v>0.5</v>
      </c>
      <c r="G18" s="25" t="s">
        <v>255</v>
      </c>
      <c r="H18" s="17">
        <v>5.9500000000000004E-2</v>
      </c>
      <c r="I18" s="17">
        <v>5.8099999999999999E-2</v>
      </c>
      <c r="J18" s="109">
        <v>2733300</v>
      </c>
      <c r="K18" s="25">
        <v>137.4117</v>
      </c>
      <c r="L18" s="83">
        <v>3755.8744900000002</v>
      </c>
      <c r="M18" s="17" t="s">
        <v>249</v>
      </c>
      <c r="N18" s="24">
        <v>1.6922029473618089E-3</v>
      </c>
      <c r="O18" s="24">
        <v>1.5273698914923561E-3</v>
      </c>
    </row>
    <row r="19" spans="1:15" x14ac:dyDescent="0.25">
      <c r="A19" s="16" t="s">
        <v>342</v>
      </c>
      <c r="B19" s="32" t="s">
        <v>343</v>
      </c>
      <c r="C19" s="25" t="s">
        <v>329</v>
      </c>
      <c r="D19" s="25" t="s">
        <v>217</v>
      </c>
      <c r="E19" s="25" t="s">
        <v>331</v>
      </c>
      <c r="F19" s="25">
        <v>0.57999999999999996</v>
      </c>
      <c r="G19" s="25" t="s">
        <v>255</v>
      </c>
      <c r="H19" s="17">
        <v>5.9500000000000004E-2</v>
      </c>
      <c r="I19" s="17">
        <v>5.8200000000000002E-2</v>
      </c>
      <c r="J19" s="109">
        <v>2669400</v>
      </c>
      <c r="K19" s="25">
        <v>136.93520000000001</v>
      </c>
      <c r="L19" s="83">
        <v>3655.3494799999999</v>
      </c>
      <c r="M19" s="17" t="s">
        <v>249</v>
      </c>
      <c r="N19" s="24">
        <v>1.6469115728341218E-3</v>
      </c>
      <c r="O19" s="24">
        <v>1.4864902311030738E-3</v>
      </c>
    </row>
    <row r="20" spans="1:15" x14ac:dyDescent="0.25">
      <c r="A20" s="16" t="s">
        <v>344</v>
      </c>
      <c r="B20" s="32" t="s">
        <v>345</v>
      </c>
      <c r="C20" s="25" t="s">
        <v>329</v>
      </c>
      <c r="D20" s="25" t="s">
        <v>217</v>
      </c>
      <c r="E20" s="25" t="s">
        <v>331</v>
      </c>
      <c r="F20" s="25">
        <v>0.66</v>
      </c>
      <c r="G20" s="25" t="s">
        <v>255</v>
      </c>
      <c r="H20" s="17">
        <v>5.9500000000000004E-2</v>
      </c>
      <c r="I20" s="17">
        <v>5.8799999999999998E-2</v>
      </c>
      <c r="J20" s="109">
        <v>2265700</v>
      </c>
      <c r="K20" s="25">
        <v>136.68729999999999</v>
      </c>
      <c r="L20" s="83">
        <v>3096.9243700000002</v>
      </c>
      <c r="M20" s="17" t="s">
        <v>249</v>
      </c>
      <c r="N20" s="24">
        <v>1.3953140768211913E-3</v>
      </c>
      <c r="O20" s="24">
        <v>1.2594001880416757E-3</v>
      </c>
    </row>
    <row r="21" spans="1:15" x14ac:dyDescent="0.25">
      <c r="A21" s="16" t="s">
        <v>346</v>
      </c>
      <c r="B21" s="32" t="s">
        <v>347</v>
      </c>
      <c r="C21" s="25" t="s">
        <v>329</v>
      </c>
      <c r="D21" s="25" t="s">
        <v>217</v>
      </c>
      <c r="E21" s="25" t="s">
        <v>331</v>
      </c>
      <c r="F21" s="25">
        <v>0.74</v>
      </c>
      <c r="G21" s="25" t="s">
        <v>255</v>
      </c>
      <c r="H21" s="17">
        <v>5.9500000000000004E-2</v>
      </c>
      <c r="I21" s="17">
        <v>5.9000000000000004E-2</v>
      </c>
      <c r="J21" s="109">
        <v>861400</v>
      </c>
      <c r="K21" s="25">
        <v>135.77189999999999</v>
      </c>
      <c r="L21" s="83">
        <v>1169.5397499999999</v>
      </c>
      <c r="M21" s="17" t="s">
        <v>249</v>
      </c>
      <c r="N21" s="24">
        <v>5.2693417132977541E-4</v>
      </c>
      <c r="O21" s="24">
        <v>4.7560689416261537E-4</v>
      </c>
    </row>
    <row r="22" spans="1:15" x14ac:dyDescent="0.25">
      <c r="A22" s="16" t="s">
        <v>348</v>
      </c>
      <c r="B22" s="32" t="s">
        <v>349</v>
      </c>
      <c r="C22" s="25" t="s">
        <v>329</v>
      </c>
      <c r="D22" s="25" t="s">
        <v>217</v>
      </c>
      <c r="E22" s="25" t="s">
        <v>331</v>
      </c>
      <c r="F22" s="25">
        <v>0.83</v>
      </c>
      <c r="G22" s="25" t="s">
        <v>255</v>
      </c>
      <c r="H22" s="17">
        <v>5.9500000000000004E-2</v>
      </c>
      <c r="I22" s="17">
        <v>5.9000000000000004E-2</v>
      </c>
      <c r="J22" s="109">
        <v>1083100</v>
      </c>
      <c r="K22" s="25">
        <v>134.4016</v>
      </c>
      <c r="L22" s="83">
        <v>1455.7039299999999</v>
      </c>
      <c r="M22" s="17" t="s">
        <v>249</v>
      </c>
      <c r="N22" s="24">
        <v>6.558649623119243E-4</v>
      </c>
      <c r="O22" s="24">
        <v>5.9197887456806256E-4</v>
      </c>
    </row>
    <row r="23" spans="1:15" x14ac:dyDescent="0.25">
      <c r="A23" s="16" t="s">
        <v>350</v>
      </c>
      <c r="B23" s="32" t="s">
        <v>351</v>
      </c>
      <c r="C23" s="25" t="s">
        <v>329</v>
      </c>
      <c r="D23" s="25" t="s">
        <v>217</v>
      </c>
      <c r="E23" s="25" t="s">
        <v>331</v>
      </c>
      <c r="F23" s="25">
        <v>0.92</v>
      </c>
      <c r="G23" s="25" t="s">
        <v>255</v>
      </c>
      <c r="H23" s="17">
        <v>5.9500000000000004E-2</v>
      </c>
      <c r="I23" s="17">
        <v>5.91E-2</v>
      </c>
      <c r="J23" s="109">
        <v>955800</v>
      </c>
      <c r="K23" s="25">
        <v>133.74170000000001</v>
      </c>
      <c r="L23" s="83">
        <v>1278.30369</v>
      </c>
      <c r="M23" s="17" t="s">
        <v>249</v>
      </c>
      <c r="N23" s="24">
        <v>5.7593758194019839E-4</v>
      </c>
      <c r="O23" s="24">
        <v>5.1983701092460572E-4</v>
      </c>
    </row>
    <row r="24" spans="1:15" x14ac:dyDescent="0.25">
      <c r="A24" s="16" t="s">
        <v>352</v>
      </c>
      <c r="B24" s="32" t="s">
        <v>353</v>
      </c>
      <c r="C24" s="25" t="s">
        <v>329</v>
      </c>
      <c r="D24" s="25" t="s">
        <v>217</v>
      </c>
      <c r="E24" s="25" t="s">
        <v>331</v>
      </c>
      <c r="F24" s="25">
        <v>0.99</v>
      </c>
      <c r="G24" s="25" t="s">
        <v>255</v>
      </c>
      <c r="H24" s="17">
        <v>5.9500000000000004E-2</v>
      </c>
      <c r="I24" s="17">
        <v>5.9299999999999999E-2</v>
      </c>
      <c r="J24" s="109">
        <v>324600</v>
      </c>
      <c r="K24" s="25">
        <v>132.1987</v>
      </c>
      <c r="L24" s="83">
        <v>429.11721</v>
      </c>
      <c r="M24" s="17" t="s">
        <v>249</v>
      </c>
      <c r="N24" s="24">
        <v>1.933380387068462E-4</v>
      </c>
      <c r="O24" s="24">
        <v>1.7450548686338092E-4</v>
      </c>
    </row>
    <row r="25" spans="1:15" x14ac:dyDescent="0.25">
      <c r="A25" s="16" t="s">
        <v>354</v>
      </c>
      <c r="B25" s="32" t="s">
        <v>355</v>
      </c>
      <c r="C25" s="25" t="s">
        <v>329</v>
      </c>
      <c r="D25" s="25" t="s">
        <v>217</v>
      </c>
      <c r="E25" s="25" t="s">
        <v>331</v>
      </c>
      <c r="F25" s="25">
        <v>0.55000000000000004</v>
      </c>
      <c r="G25" s="25" t="s">
        <v>255</v>
      </c>
      <c r="H25" s="17">
        <v>5.9500000000000004E-2</v>
      </c>
      <c r="I25" s="17">
        <v>5.8899999999999994E-2</v>
      </c>
      <c r="J25" s="109">
        <v>722600</v>
      </c>
      <c r="K25" s="25">
        <v>137.84909999999999</v>
      </c>
      <c r="L25" s="83">
        <v>996.09825999999998</v>
      </c>
      <c r="M25" s="17" t="s">
        <v>249</v>
      </c>
      <c r="N25" s="24">
        <v>4.4879039912592216E-4</v>
      </c>
      <c r="O25" s="24">
        <v>4.050749020880952E-4</v>
      </c>
    </row>
    <row r="26" spans="1:15" x14ac:dyDescent="0.25">
      <c r="A26" s="16" t="s">
        <v>356</v>
      </c>
      <c r="B26" s="32" t="s">
        <v>357</v>
      </c>
      <c r="C26" s="25" t="s">
        <v>329</v>
      </c>
      <c r="D26" s="25" t="s">
        <v>217</v>
      </c>
      <c r="E26" s="25" t="s">
        <v>331</v>
      </c>
      <c r="F26" s="25">
        <v>0.64</v>
      </c>
      <c r="G26" s="25" t="s">
        <v>255</v>
      </c>
      <c r="H26" s="17">
        <v>5.9500000000000004E-2</v>
      </c>
      <c r="I26" s="17">
        <v>5.9000000000000004E-2</v>
      </c>
      <c r="J26" s="109">
        <v>834600</v>
      </c>
      <c r="K26" s="25">
        <v>136.2552</v>
      </c>
      <c r="L26" s="83">
        <v>1137.1861100000001</v>
      </c>
      <c r="M26" s="17" t="s">
        <v>249</v>
      </c>
      <c r="N26" s="24">
        <v>5.1235729313226072E-4</v>
      </c>
      <c r="O26" s="24">
        <v>4.6244991148181697E-4</v>
      </c>
    </row>
    <row r="27" spans="1:15" x14ac:dyDescent="0.25">
      <c r="A27" s="16" t="s">
        <v>358</v>
      </c>
      <c r="B27" s="32" t="s">
        <v>359</v>
      </c>
      <c r="C27" s="25" t="s">
        <v>329</v>
      </c>
      <c r="D27" s="25" t="s">
        <v>217</v>
      </c>
      <c r="E27" s="25" t="s">
        <v>331</v>
      </c>
      <c r="F27" s="25">
        <v>0.81</v>
      </c>
      <c r="G27" s="25" t="s">
        <v>255</v>
      </c>
      <c r="H27" s="17">
        <v>5.9500000000000004E-2</v>
      </c>
      <c r="I27" s="17">
        <v>5.8899999999999994E-2</v>
      </c>
      <c r="J27" s="109">
        <v>1531400</v>
      </c>
      <c r="K27" s="25">
        <v>135.47319999999999</v>
      </c>
      <c r="L27" s="83">
        <v>2074.6373899999999</v>
      </c>
      <c r="M27" s="17" t="s">
        <v>249</v>
      </c>
      <c r="N27" s="24">
        <v>9.3472439385614567E-4</v>
      </c>
      <c r="O27" s="24">
        <v>8.4367533944146365E-4</v>
      </c>
    </row>
    <row r="28" spans="1:15" x14ac:dyDescent="0.25">
      <c r="A28" s="16" t="s">
        <v>360</v>
      </c>
      <c r="B28" s="32" t="s">
        <v>361</v>
      </c>
      <c r="C28" s="25" t="s">
        <v>329</v>
      </c>
      <c r="D28" s="25" t="s">
        <v>217</v>
      </c>
      <c r="E28" s="25" t="s">
        <v>331</v>
      </c>
      <c r="F28" s="25">
        <v>0.88</v>
      </c>
      <c r="G28" s="25" t="s">
        <v>255</v>
      </c>
      <c r="H28" s="17">
        <v>5.9500000000000004E-2</v>
      </c>
      <c r="I28" s="17">
        <v>5.8799999999999998E-2</v>
      </c>
      <c r="J28" s="109">
        <v>906000</v>
      </c>
      <c r="K28" s="25">
        <v>134.34559999999999</v>
      </c>
      <c r="L28" s="83">
        <v>1217.1714299999999</v>
      </c>
      <c r="M28" s="17" t="s">
        <v>249</v>
      </c>
      <c r="N28" s="24">
        <v>5.4839454480561925E-4</v>
      </c>
      <c r="O28" s="24">
        <v>4.9497686888006084E-4</v>
      </c>
    </row>
    <row r="29" spans="1:15" x14ac:dyDescent="0.25">
      <c r="A29" s="16" t="s">
        <v>362</v>
      </c>
      <c r="B29" s="32" t="s">
        <v>363</v>
      </c>
      <c r="C29" s="25" t="s">
        <v>329</v>
      </c>
      <c r="D29" s="25" t="s">
        <v>217</v>
      </c>
      <c r="E29" s="25" t="s">
        <v>331</v>
      </c>
      <c r="F29" s="25">
        <v>0.97</v>
      </c>
      <c r="G29" s="25" t="s">
        <v>255</v>
      </c>
      <c r="H29" s="17">
        <v>5.9500000000000004E-2</v>
      </c>
      <c r="I29" s="17">
        <v>5.8700000000000002E-2</v>
      </c>
      <c r="J29" s="109">
        <v>5931600</v>
      </c>
      <c r="K29" s="25">
        <v>132.8997</v>
      </c>
      <c r="L29" s="83">
        <v>7883.0843199999999</v>
      </c>
      <c r="M29" s="17" t="s">
        <v>249</v>
      </c>
      <c r="N29" s="24">
        <v>3.5517104088868688E-3</v>
      </c>
      <c r="O29" s="24">
        <v>3.2057476027276652E-3</v>
      </c>
    </row>
    <row r="30" spans="1:15" x14ac:dyDescent="0.25">
      <c r="A30" s="16" t="s">
        <v>364</v>
      </c>
      <c r="B30" s="32" t="s">
        <v>365</v>
      </c>
      <c r="C30" s="25" t="s">
        <v>329</v>
      </c>
      <c r="D30" s="25" t="s">
        <v>217</v>
      </c>
      <c r="E30" s="25" t="s">
        <v>366</v>
      </c>
      <c r="F30" s="25">
        <v>1.06</v>
      </c>
      <c r="G30" s="25" t="s">
        <v>255</v>
      </c>
      <c r="H30" s="17">
        <v>5.9500000000000004E-2</v>
      </c>
      <c r="I30" s="17">
        <v>5.9000000000000004E-2</v>
      </c>
      <c r="J30" s="109">
        <v>5450000</v>
      </c>
      <c r="K30" s="25">
        <v>132.21340000000001</v>
      </c>
      <c r="L30" s="83">
        <v>7205.6348200000002</v>
      </c>
      <c r="M30" s="17" t="s">
        <v>249</v>
      </c>
      <c r="N30" s="24">
        <v>3.2464866737378323E-3</v>
      </c>
      <c r="O30" s="24">
        <v>2.9302549119943947E-3</v>
      </c>
    </row>
    <row r="31" spans="1:15" x14ac:dyDescent="0.25">
      <c r="A31" s="16" t="s">
        <v>367</v>
      </c>
      <c r="B31" s="32" t="s">
        <v>368</v>
      </c>
      <c r="C31" s="25" t="s">
        <v>329</v>
      </c>
      <c r="D31" s="25" t="s">
        <v>217</v>
      </c>
      <c r="E31" s="25" t="s">
        <v>369</v>
      </c>
      <c r="F31" s="25">
        <v>1.1399999999999999</v>
      </c>
      <c r="G31" s="25" t="s">
        <v>255</v>
      </c>
      <c r="H31" s="17">
        <v>5.9500000000000004E-2</v>
      </c>
      <c r="I31" s="17">
        <v>5.91E-2</v>
      </c>
      <c r="J31" s="109">
        <v>3612013.4</v>
      </c>
      <c r="K31" s="25">
        <v>131.87950000000001</v>
      </c>
      <c r="L31" s="83">
        <v>4763.5078600000006</v>
      </c>
      <c r="M31" s="17" t="s">
        <v>249</v>
      </c>
      <c r="N31" s="24">
        <v>2.146190470936941E-3</v>
      </c>
      <c r="O31" s="24">
        <v>1.9371356797524897E-3</v>
      </c>
    </row>
    <row r="32" spans="1:15" x14ac:dyDescent="0.25">
      <c r="A32" s="16" t="s">
        <v>370</v>
      </c>
      <c r="B32" s="32" t="s">
        <v>371</v>
      </c>
      <c r="C32" s="25" t="s">
        <v>329</v>
      </c>
      <c r="D32" s="25" t="s">
        <v>217</v>
      </c>
      <c r="E32" s="25" t="s">
        <v>372</v>
      </c>
      <c r="F32" s="25">
        <v>1.22</v>
      </c>
      <c r="G32" s="25" t="s">
        <v>255</v>
      </c>
      <c r="H32" s="17">
        <v>5.9500000000000004E-2</v>
      </c>
      <c r="I32" s="17">
        <v>5.91E-2</v>
      </c>
      <c r="J32" s="109">
        <v>2694800</v>
      </c>
      <c r="K32" s="25">
        <v>130.85419999999999</v>
      </c>
      <c r="L32" s="83">
        <v>3526.26082</v>
      </c>
      <c r="M32" s="17" t="s">
        <v>249</v>
      </c>
      <c r="N32" s="24">
        <v>1.5887508937420505E-3</v>
      </c>
      <c r="O32" s="24">
        <v>1.4339948313920219E-3</v>
      </c>
    </row>
    <row r="33" spans="1:15" x14ac:dyDescent="0.25">
      <c r="A33" s="16" t="s">
        <v>373</v>
      </c>
      <c r="B33" s="32" t="s">
        <v>374</v>
      </c>
      <c r="C33" s="25" t="s">
        <v>329</v>
      </c>
      <c r="D33" s="25" t="s">
        <v>217</v>
      </c>
      <c r="E33" s="25" t="s">
        <v>375</v>
      </c>
      <c r="F33" s="25">
        <v>1.3</v>
      </c>
      <c r="G33" s="25" t="s">
        <v>255</v>
      </c>
      <c r="H33" s="17">
        <v>5.9500000000000004E-2</v>
      </c>
      <c r="I33" s="17">
        <v>5.9200000000000003E-2</v>
      </c>
      <c r="J33" s="109">
        <v>1460400</v>
      </c>
      <c r="K33" s="25">
        <v>128.34020000000001</v>
      </c>
      <c r="L33" s="83">
        <v>1874.28143</v>
      </c>
      <c r="M33" s="17" t="s">
        <v>249</v>
      </c>
      <c r="N33" s="24">
        <v>8.4445435236881557E-4</v>
      </c>
      <c r="O33" s="24">
        <v>7.6219826620597161E-4</v>
      </c>
    </row>
    <row r="34" spans="1:15" x14ac:dyDescent="0.25">
      <c r="A34" s="16" t="s">
        <v>376</v>
      </c>
      <c r="B34" s="32" t="s">
        <v>377</v>
      </c>
      <c r="C34" s="25" t="s">
        <v>329</v>
      </c>
      <c r="D34" s="25" t="s">
        <v>217</v>
      </c>
      <c r="E34" s="25" t="s">
        <v>378</v>
      </c>
      <c r="F34" s="25">
        <v>1.47</v>
      </c>
      <c r="G34" s="25" t="s">
        <v>255</v>
      </c>
      <c r="H34" s="17">
        <v>5.9500000000000004E-2</v>
      </c>
      <c r="I34" s="17">
        <v>5.9400000000000001E-2</v>
      </c>
      <c r="J34" s="109">
        <v>3200000</v>
      </c>
      <c r="K34" s="25">
        <v>126.1087</v>
      </c>
      <c r="L34" s="83">
        <v>4035.47939</v>
      </c>
      <c r="M34" s="17" t="s">
        <v>249</v>
      </c>
      <c r="N34" s="24">
        <v>1.8181784657494862E-3</v>
      </c>
      <c r="O34" s="24">
        <v>1.6410744646645364E-3</v>
      </c>
    </row>
    <row r="35" spans="1:15" x14ac:dyDescent="0.25">
      <c r="A35" s="16" t="s">
        <v>379</v>
      </c>
      <c r="B35" s="32" t="s">
        <v>380</v>
      </c>
      <c r="C35" s="25" t="s">
        <v>329</v>
      </c>
      <c r="D35" s="25" t="s">
        <v>217</v>
      </c>
      <c r="E35" s="25" t="s">
        <v>381</v>
      </c>
      <c r="F35" s="25">
        <v>1.07</v>
      </c>
      <c r="G35" s="25" t="s">
        <v>255</v>
      </c>
      <c r="H35" s="17">
        <v>5.9500000000000004E-2</v>
      </c>
      <c r="I35" s="17">
        <v>5.9299999999999999E-2</v>
      </c>
      <c r="J35" s="109">
        <v>2024400</v>
      </c>
      <c r="K35" s="25">
        <v>131.46940000000001</v>
      </c>
      <c r="L35" s="83">
        <v>2661.4683999999997</v>
      </c>
      <c r="M35" s="17" t="s">
        <v>249</v>
      </c>
      <c r="N35" s="24">
        <v>1.1991201204357383E-3</v>
      </c>
      <c r="O35" s="24">
        <v>1.0823169709588281E-3</v>
      </c>
    </row>
    <row r="36" spans="1:15" x14ac:dyDescent="0.25">
      <c r="A36" s="16" t="s">
        <v>382</v>
      </c>
      <c r="B36" s="32" t="s">
        <v>383</v>
      </c>
      <c r="C36" s="25" t="s">
        <v>329</v>
      </c>
      <c r="D36" s="25" t="s">
        <v>217</v>
      </c>
      <c r="E36" s="25" t="s">
        <v>384</v>
      </c>
      <c r="F36" s="25">
        <v>1.1599999999999999</v>
      </c>
      <c r="G36" s="25" t="s">
        <v>255</v>
      </c>
      <c r="H36" s="17">
        <v>5.9500000000000004E-2</v>
      </c>
      <c r="I36" s="17">
        <v>5.9200000000000003E-2</v>
      </c>
      <c r="J36" s="109">
        <v>2800000</v>
      </c>
      <c r="K36" s="25">
        <v>129.73779999999999</v>
      </c>
      <c r="L36" s="83">
        <v>3632.6595600000001</v>
      </c>
      <c r="M36" s="17" t="s">
        <v>249</v>
      </c>
      <c r="N36" s="24">
        <v>1.6366886674623814E-3</v>
      </c>
      <c r="O36" s="24">
        <v>1.4772631121616287E-3</v>
      </c>
    </row>
    <row r="37" spans="1:15" x14ac:dyDescent="0.25">
      <c r="A37" s="16" t="s">
        <v>385</v>
      </c>
      <c r="B37" s="32" t="s">
        <v>386</v>
      </c>
      <c r="C37" s="25" t="s">
        <v>329</v>
      </c>
      <c r="D37" s="25" t="s">
        <v>217</v>
      </c>
      <c r="E37" s="25" t="s">
        <v>387</v>
      </c>
      <c r="F37" s="25">
        <v>1.32</v>
      </c>
      <c r="G37" s="25" t="s">
        <v>255</v>
      </c>
      <c r="H37" s="17">
        <v>5.9500000000000004E-2</v>
      </c>
      <c r="I37" s="17">
        <v>5.91E-2</v>
      </c>
      <c r="J37" s="109">
        <v>3736880</v>
      </c>
      <c r="K37" s="25">
        <v>128.40979999999999</v>
      </c>
      <c r="L37" s="83">
        <v>4798.5212599999995</v>
      </c>
      <c r="M37" s="17" t="s">
        <v>249</v>
      </c>
      <c r="N37" s="24">
        <v>2.1619656995381389E-3</v>
      </c>
      <c r="O37" s="24">
        <v>1.9513742846635864E-3</v>
      </c>
    </row>
    <row r="38" spans="1:15" x14ac:dyDescent="0.25">
      <c r="A38" s="16" t="s">
        <v>388</v>
      </c>
      <c r="B38" s="32" t="s">
        <v>389</v>
      </c>
      <c r="C38" s="25" t="s">
        <v>329</v>
      </c>
      <c r="D38" s="25" t="s">
        <v>217</v>
      </c>
      <c r="E38" s="25" t="s">
        <v>390</v>
      </c>
      <c r="F38" s="25">
        <v>1.41</v>
      </c>
      <c r="G38" s="25" t="s">
        <v>255</v>
      </c>
      <c r="H38" s="17">
        <v>5.9500000000000004E-2</v>
      </c>
      <c r="I38" s="17">
        <v>5.9000000000000004E-2</v>
      </c>
      <c r="J38" s="109">
        <v>2240000</v>
      </c>
      <c r="K38" s="25">
        <v>128.5213</v>
      </c>
      <c r="L38" s="83">
        <v>2878.8780200000001</v>
      </c>
      <c r="M38" s="17" t="s">
        <v>249</v>
      </c>
      <c r="N38" s="24">
        <v>1.2970736598120797E-3</v>
      </c>
      <c r="O38" s="24">
        <v>1.1707291126831899E-3</v>
      </c>
    </row>
    <row r="39" spans="1:15" x14ac:dyDescent="0.25">
      <c r="A39" s="16" t="s">
        <v>391</v>
      </c>
      <c r="B39" s="32" t="s">
        <v>392</v>
      </c>
      <c r="C39" s="25" t="s">
        <v>329</v>
      </c>
      <c r="D39" s="25" t="s">
        <v>217</v>
      </c>
      <c r="E39" s="25" t="s">
        <v>393</v>
      </c>
      <c r="F39" s="25">
        <v>1.49</v>
      </c>
      <c r="G39" s="25" t="s">
        <v>255</v>
      </c>
      <c r="H39" s="17">
        <v>5.9500000000000004E-2</v>
      </c>
      <c r="I39" s="17">
        <v>5.91E-2</v>
      </c>
      <c r="J39" s="109">
        <v>12320000</v>
      </c>
      <c r="K39" s="25">
        <v>127.9975</v>
      </c>
      <c r="L39" s="83">
        <v>15769.2971</v>
      </c>
      <c r="M39" s="17" t="s">
        <v>249</v>
      </c>
      <c r="N39" s="24">
        <v>7.1048303401757239E-3</v>
      </c>
      <c r="O39" s="24">
        <v>6.4127674299728054E-3</v>
      </c>
    </row>
    <row r="40" spans="1:15" x14ac:dyDescent="0.25">
      <c r="A40" s="16" t="s">
        <v>394</v>
      </c>
      <c r="B40" s="32" t="s">
        <v>395</v>
      </c>
      <c r="C40" s="25" t="s">
        <v>329</v>
      </c>
      <c r="D40" s="25" t="s">
        <v>217</v>
      </c>
      <c r="E40" s="25" t="s">
        <v>396</v>
      </c>
      <c r="F40" s="25">
        <v>1.58</v>
      </c>
      <c r="G40" s="25" t="s">
        <v>255</v>
      </c>
      <c r="H40" s="17">
        <v>5.9500000000000004E-2</v>
      </c>
      <c r="I40" s="17">
        <v>5.9200000000000003E-2</v>
      </c>
      <c r="J40" s="109">
        <v>1652000</v>
      </c>
      <c r="K40" s="25">
        <v>128.06720000000001</v>
      </c>
      <c r="L40" s="83">
        <v>2115.6705999999999</v>
      </c>
      <c r="M40" s="17" t="s">
        <v>249</v>
      </c>
      <c r="N40" s="24">
        <v>9.5321183774879723E-4</v>
      </c>
      <c r="O40" s="24">
        <v>8.6036196985793509E-4</v>
      </c>
    </row>
    <row r="41" spans="1:15" x14ac:dyDescent="0.25">
      <c r="A41" s="16" t="s">
        <v>397</v>
      </c>
      <c r="B41" s="32" t="s">
        <v>398</v>
      </c>
      <c r="C41" s="25" t="s">
        <v>329</v>
      </c>
      <c r="D41" s="25" t="s">
        <v>217</v>
      </c>
      <c r="E41" s="25" t="s">
        <v>399</v>
      </c>
      <c r="F41" s="25">
        <v>1.66</v>
      </c>
      <c r="G41" s="25" t="s">
        <v>255</v>
      </c>
      <c r="H41" s="17">
        <v>5.9500000000000004E-2</v>
      </c>
      <c r="I41" s="17">
        <v>5.9200000000000003E-2</v>
      </c>
      <c r="J41" s="109">
        <v>13440000</v>
      </c>
      <c r="K41" s="25">
        <v>126.95359999999999</v>
      </c>
      <c r="L41" s="83">
        <v>17062.574129999997</v>
      </c>
      <c r="M41" s="17" t="s">
        <v>249</v>
      </c>
      <c r="N41" s="24">
        <v>7.6875141353206795E-3</v>
      </c>
      <c r="O41" s="24">
        <v>6.9386935231476208E-3</v>
      </c>
    </row>
    <row r="42" spans="1:15" x14ac:dyDescent="0.25">
      <c r="A42" s="16" t="s">
        <v>400</v>
      </c>
      <c r="B42" s="32" t="s">
        <v>401</v>
      </c>
      <c r="C42" s="25" t="s">
        <v>329</v>
      </c>
      <c r="D42" s="25" t="s">
        <v>217</v>
      </c>
      <c r="E42" s="25" t="s">
        <v>402</v>
      </c>
      <c r="F42" s="25">
        <v>1.74</v>
      </c>
      <c r="G42" s="25" t="s">
        <v>255</v>
      </c>
      <c r="H42" s="17">
        <v>5.9500000000000004E-2</v>
      </c>
      <c r="I42" s="17">
        <v>5.9200000000000003E-2</v>
      </c>
      <c r="J42" s="109">
        <v>3808000</v>
      </c>
      <c r="K42" s="25">
        <v>126.34480000000002</v>
      </c>
      <c r="L42" s="83">
        <v>4811.2111299999997</v>
      </c>
      <c r="M42" s="17" t="s">
        <v>249</v>
      </c>
      <c r="N42" s="24">
        <v>2.167683099167123E-3</v>
      </c>
      <c r="O42" s="24">
        <v>1.9565347673731544E-3</v>
      </c>
    </row>
    <row r="43" spans="1:15" x14ac:dyDescent="0.25">
      <c r="A43" s="16" t="s">
        <v>403</v>
      </c>
      <c r="B43" s="32" t="s">
        <v>404</v>
      </c>
      <c r="C43" s="25" t="s">
        <v>329</v>
      </c>
      <c r="D43" s="25" t="s">
        <v>217</v>
      </c>
      <c r="E43" s="25" t="s">
        <v>405</v>
      </c>
      <c r="F43" s="25">
        <v>1.82</v>
      </c>
      <c r="G43" s="25" t="s">
        <v>255</v>
      </c>
      <c r="H43" s="17">
        <v>5.9500000000000004E-2</v>
      </c>
      <c r="I43" s="17">
        <v>5.9299999999999999E-2</v>
      </c>
      <c r="J43" s="109">
        <v>336000</v>
      </c>
      <c r="K43" s="25">
        <v>124.50449999999999</v>
      </c>
      <c r="L43" s="83">
        <v>418.33517000000001</v>
      </c>
      <c r="M43" s="17" t="s">
        <v>249</v>
      </c>
      <c r="N43" s="24">
        <v>1.8848020868213392E-4</v>
      </c>
      <c r="O43" s="24">
        <v>1.7012084533483341E-4</v>
      </c>
    </row>
    <row r="44" spans="1:15" x14ac:dyDescent="0.25">
      <c r="A44" s="16" t="s">
        <v>406</v>
      </c>
      <c r="B44" s="32" t="s">
        <v>407</v>
      </c>
      <c r="C44" s="25" t="s">
        <v>329</v>
      </c>
      <c r="D44" s="25" t="s">
        <v>217</v>
      </c>
      <c r="E44" s="25" t="s">
        <v>408</v>
      </c>
      <c r="F44" s="25">
        <v>1.91</v>
      </c>
      <c r="G44" s="25" t="s">
        <v>255</v>
      </c>
      <c r="H44" s="17">
        <v>5.9500000000000004E-2</v>
      </c>
      <c r="I44" s="17">
        <v>5.9299999999999999E-2</v>
      </c>
      <c r="J44" s="109">
        <v>2408000</v>
      </c>
      <c r="K44" s="25">
        <v>123.398</v>
      </c>
      <c r="L44" s="83">
        <v>2971.4258599999998</v>
      </c>
      <c r="M44" s="17" t="s">
        <v>249</v>
      </c>
      <c r="N44" s="24">
        <v>1.3387709337856753E-3</v>
      </c>
      <c r="O44" s="24">
        <v>1.2083647644375306E-3</v>
      </c>
    </row>
    <row r="45" spans="1:15" x14ac:dyDescent="0.25">
      <c r="A45" s="16" t="s">
        <v>409</v>
      </c>
      <c r="B45" s="32" t="s">
        <v>410</v>
      </c>
      <c r="C45" s="25" t="s">
        <v>329</v>
      </c>
      <c r="D45" s="25" t="s">
        <v>217</v>
      </c>
      <c r="E45" s="25" t="s">
        <v>411</v>
      </c>
      <c r="F45" s="25">
        <v>1.99</v>
      </c>
      <c r="G45" s="25" t="s">
        <v>255</v>
      </c>
      <c r="H45" s="17">
        <v>5.9500000000000004E-2</v>
      </c>
      <c r="I45" s="17">
        <v>5.9400000000000001E-2</v>
      </c>
      <c r="J45" s="109">
        <v>1839600</v>
      </c>
      <c r="K45" s="25">
        <v>121.7287</v>
      </c>
      <c r="L45" s="83">
        <v>2239.32206</v>
      </c>
      <c r="M45" s="17" t="s">
        <v>249</v>
      </c>
      <c r="N45" s="24">
        <v>1.0089227955070237E-3</v>
      </c>
      <c r="O45" s="24">
        <v>9.1064626917249276E-4</v>
      </c>
    </row>
    <row r="46" spans="1:15" x14ac:dyDescent="0.25">
      <c r="A46" s="16" t="s">
        <v>412</v>
      </c>
      <c r="B46" s="32" t="s">
        <v>413</v>
      </c>
      <c r="C46" s="25" t="s">
        <v>329</v>
      </c>
      <c r="D46" s="25" t="s">
        <v>217</v>
      </c>
      <c r="E46" s="25" t="s">
        <v>414</v>
      </c>
      <c r="F46" s="25">
        <v>1.54</v>
      </c>
      <c r="G46" s="25" t="s">
        <v>255</v>
      </c>
      <c r="H46" s="17">
        <v>5.9500000000000004E-2</v>
      </c>
      <c r="I46" s="17">
        <v>5.9299999999999999E-2</v>
      </c>
      <c r="J46" s="109">
        <v>3348000</v>
      </c>
      <c r="K46" s="25">
        <v>127.01669999999999</v>
      </c>
      <c r="L46" s="83">
        <v>4252.5211300000001</v>
      </c>
      <c r="M46" s="17" t="s">
        <v>249</v>
      </c>
      <c r="N46" s="24">
        <v>1.9159662574093016E-3</v>
      </c>
      <c r="O46" s="24">
        <v>1.729337003723213E-3</v>
      </c>
    </row>
    <row r="47" spans="1:15" x14ac:dyDescent="0.25">
      <c r="A47" s="16" t="s">
        <v>415</v>
      </c>
      <c r="B47" s="32" t="s">
        <v>416</v>
      </c>
      <c r="C47" s="25" t="s">
        <v>329</v>
      </c>
      <c r="D47" s="25" t="s">
        <v>217</v>
      </c>
      <c r="E47" s="25" t="s">
        <v>417</v>
      </c>
      <c r="F47" s="25">
        <v>1.63</v>
      </c>
      <c r="G47" s="25" t="s">
        <v>255</v>
      </c>
      <c r="H47" s="17">
        <v>5.9500000000000004E-2</v>
      </c>
      <c r="I47" s="17">
        <v>5.9200000000000003E-2</v>
      </c>
      <c r="J47" s="109">
        <v>6012000</v>
      </c>
      <c r="K47" s="25">
        <v>125.8175</v>
      </c>
      <c r="L47" s="83">
        <v>7564.1498200000005</v>
      </c>
      <c r="M47" s="17" t="s">
        <v>249</v>
      </c>
      <c r="N47" s="24">
        <v>3.4080150052325886E-3</v>
      </c>
      <c r="O47" s="24">
        <v>3.0760491918901487E-3</v>
      </c>
    </row>
    <row r="48" spans="1:15" x14ac:dyDescent="0.25">
      <c r="A48" s="16" t="s">
        <v>418</v>
      </c>
      <c r="B48" s="32" t="s">
        <v>419</v>
      </c>
      <c r="C48" s="25" t="s">
        <v>329</v>
      </c>
      <c r="D48" s="25" t="s">
        <v>217</v>
      </c>
      <c r="E48" s="25" t="s">
        <v>420</v>
      </c>
      <c r="F48" s="25">
        <v>1.71</v>
      </c>
      <c r="G48" s="25" t="s">
        <v>255</v>
      </c>
      <c r="H48" s="17">
        <v>5.9500000000000004E-2</v>
      </c>
      <c r="I48" s="17">
        <v>5.9200000000000003E-2</v>
      </c>
      <c r="J48" s="109">
        <v>69120</v>
      </c>
      <c r="K48" s="25">
        <v>125.58190000000002</v>
      </c>
      <c r="L48" s="83">
        <v>86.802250000000001</v>
      </c>
      <c r="M48" s="17" t="s">
        <v>249</v>
      </c>
      <c r="N48" s="24">
        <v>3.9108608042873273E-5</v>
      </c>
      <c r="O48" s="24">
        <v>3.5299140990143241E-5</v>
      </c>
    </row>
    <row r="49" spans="1:15" x14ac:dyDescent="0.25">
      <c r="A49" s="16" t="s">
        <v>421</v>
      </c>
      <c r="B49" s="32" t="s">
        <v>422</v>
      </c>
      <c r="C49" s="25" t="s">
        <v>329</v>
      </c>
      <c r="D49" s="25" t="s">
        <v>217</v>
      </c>
      <c r="E49" s="25" t="s">
        <v>423</v>
      </c>
      <c r="F49" s="25">
        <v>1.8</v>
      </c>
      <c r="G49" s="25" t="s">
        <v>255</v>
      </c>
      <c r="H49" s="17">
        <v>5.9500000000000004E-2</v>
      </c>
      <c r="I49" s="17">
        <v>5.9200000000000003E-2</v>
      </c>
      <c r="J49" s="109">
        <v>7344000</v>
      </c>
      <c r="K49" s="25">
        <v>124.72150000000001</v>
      </c>
      <c r="L49" s="83">
        <v>9159.5477699999992</v>
      </c>
      <c r="M49" s="17" t="s">
        <v>249</v>
      </c>
      <c r="N49" s="24">
        <v>4.1268188737838473E-3</v>
      </c>
      <c r="O49" s="24">
        <v>3.7248362587281101E-3</v>
      </c>
    </row>
    <row r="50" spans="1:15" x14ac:dyDescent="0.25">
      <c r="A50" s="16" t="s">
        <v>424</v>
      </c>
      <c r="B50" s="32" t="s">
        <v>425</v>
      </c>
      <c r="C50" s="25" t="s">
        <v>329</v>
      </c>
      <c r="D50" s="25" t="s">
        <v>217</v>
      </c>
      <c r="E50" s="25" t="s">
        <v>426</v>
      </c>
      <c r="F50" s="25">
        <v>1.88</v>
      </c>
      <c r="G50" s="25" t="s">
        <v>255</v>
      </c>
      <c r="H50" s="17">
        <v>5.9500000000000004E-2</v>
      </c>
      <c r="I50" s="17">
        <v>5.91E-2</v>
      </c>
      <c r="J50" s="109">
        <v>1512000</v>
      </c>
      <c r="K50" s="25">
        <v>123.7985</v>
      </c>
      <c r="L50" s="83">
        <v>1871.83473</v>
      </c>
      <c r="M50" s="17" t="s">
        <v>249</v>
      </c>
      <c r="N50" s="24">
        <v>8.433519957905184E-4</v>
      </c>
      <c r="O50" s="24">
        <v>7.612032872940127E-4</v>
      </c>
    </row>
    <row r="51" spans="1:15" x14ac:dyDescent="0.25">
      <c r="A51" s="16" t="s">
        <v>427</v>
      </c>
      <c r="B51" s="32" t="s">
        <v>428</v>
      </c>
      <c r="C51" s="25" t="s">
        <v>329</v>
      </c>
      <c r="D51" s="25" t="s">
        <v>217</v>
      </c>
      <c r="E51" s="25" t="s">
        <v>429</v>
      </c>
      <c r="F51" s="25">
        <v>1.96</v>
      </c>
      <c r="G51" s="25" t="s">
        <v>255</v>
      </c>
      <c r="H51" s="17">
        <v>5.9500000000000004E-2</v>
      </c>
      <c r="I51" s="17">
        <v>5.91E-2</v>
      </c>
      <c r="J51" s="109">
        <v>12168000</v>
      </c>
      <c r="K51" s="25">
        <v>123.20529999999999</v>
      </c>
      <c r="L51" s="83">
        <v>14991.62687</v>
      </c>
      <c r="M51" s="17" t="s">
        <v>249</v>
      </c>
      <c r="N51" s="24">
        <v>6.7544523233422759E-3</v>
      </c>
      <c r="O51" s="24">
        <v>6.0965188178388214E-3</v>
      </c>
    </row>
    <row r="52" spans="1:15" x14ac:dyDescent="0.25">
      <c r="A52" s="16" t="s">
        <v>430</v>
      </c>
      <c r="B52" s="32" t="s">
        <v>431</v>
      </c>
      <c r="C52" s="25" t="s">
        <v>329</v>
      </c>
      <c r="D52" s="25" t="s">
        <v>217</v>
      </c>
      <c r="E52" s="25" t="s">
        <v>432</v>
      </c>
      <c r="F52" s="25">
        <v>2.0499999999999998</v>
      </c>
      <c r="G52" s="25" t="s">
        <v>255</v>
      </c>
      <c r="H52" s="17">
        <v>5.9500000000000004E-2</v>
      </c>
      <c r="I52" s="17">
        <v>5.91E-2</v>
      </c>
      <c r="J52" s="109">
        <v>11231999.99</v>
      </c>
      <c r="K52" s="25">
        <v>123.43340000000001</v>
      </c>
      <c r="L52" s="83">
        <v>13864.04523</v>
      </c>
      <c r="M52" s="17" t="s">
        <v>249</v>
      </c>
      <c r="N52" s="24">
        <v>6.246422308047739E-3</v>
      </c>
      <c r="O52" s="24">
        <v>5.6379746753971571E-3</v>
      </c>
    </row>
    <row r="53" spans="1:15" x14ac:dyDescent="0.25">
      <c r="A53" s="16" t="s">
        <v>433</v>
      </c>
      <c r="B53" s="32" t="s">
        <v>434</v>
      </c>
      <c r="C53" s="25" t="s">
        <v>329</v>
      </c>
      <c r="D53" s="25" t="s">
        <v>217</v>
      </c>
      <c r="E53" s="25" t="s">
        <v>435</v>
      </c>
      <c r="F53" s="25">
        <v>2.13</v>
      </c>
      <c r="G53" s="25" t="s">
        <v>255</v>
      </c>
      <c r="H53" s="17">
        <v>5.9500000000000004E-2</v>
      </c>
      <c r="I53" s="17">
        <v>5.9200000000000003E-2</v>
      </c>
      <c r="J53" s="109">
        <v>11195999.99</v>
      </c>
      <c r="K53" s="25">
        <v>123.05859999999998</v>
      </c>
      <c r="L53" s="83">
        <v>13777.648509999999</v>
      </c>
      <c r="M53" s="17" t="s">
        <v>249</v>
      </c>
      <c r="N53" s="24">
        <v>6.2074964108656972E-3</v>
      </c>
      <c r="O53" s="24">
        <v>5.6028404478815578E-3</v>
      </c>
    </row>
    <row r="54" spans="1:15" x14ac:dyDescent="0.25">
      <c r="A54" s="16" t="s">
        <v>436</v>
      </c>
      <c r="B54" s="32" t="s">
        <v>437</v>
      </c>
      <c r="C54" s="25" t="s">
        <v>329</v>
      </c>
      <c r="D54" s="25" t="s">
        <v>217</v>
      </c>
      <c r="E54" s="25" t="s">
        <v>438</v>
      </c>
      <c r="F54" s="25">
        <v>2.21</v>
      </c>
      <c r="G54" s="25" t="s">
        <v>255</v>
      </c>
      <c r="H54" s="17">
        <v>5.9500000000000004E-2</v>
      </c>
      <c r="I54" s="17">
        <v>5.9299999999999999E-2</v>
      </c>
      <c r="J54" s="109">
        <v>4464000</v>
      </c>
      <c r="K54" s="25">
        <v>122.4734</v>
      </c>
      <c r="L54" s="83">
        <v>5467.2134599999999</v>
      </c>
      <c r="M54" s="17" t="s">
        <v>249</v>
      </c>
      <c r="N54" s="24">
        <v>2.463243847871006E-3</v>
      </c>
      <c r="O54" s="24">
        <v>2.2233057178558031E-3</v>
      </c>
    </row>
    <row r="55" spans="1:15" x14ac:dyDescent="0.25">
      <c r="A55" s="16" t="s">
        <v>439</v>
      </c>
      <c r="B55" s="32" t="s">
        <v>440</v>
      </c>
      <c r="C55" s="25" t="s">
        <v>329</v>
      </c>
      <c r="D55" s="25" t="s">
        <v>217</v>
      </c>
      <c r="E55" s="25" t="s">
        <v>441</v>
      </c>
      <c r="F55" s="25">
        <v>2.29</v>
      </c>
      <c r="G55" s="25" t="s">
        <v>255</v>
      </c>
      <c r="H55" s="17">
        <v>5.9500000000000004E-2</v>
      </c>
      <c r="I55" s="17">
        <v>5.9299999999999999E-2</v>
      </c>
      <c r="J55" s="109">
        <v>2016000</v>
      </c>
      <c r="K55" s="25">
        <v>120.83230000000002</v>
      </c>
      <c r="L55" s="83">
        <v>2435.9806200000003</v>
      </c>
      <c r="M55" s="17" t="s">
        <v>249</v>
      </c>
      <c r="N55" s="24">
        <v>1.0975269796303141E-3</v>
      </c>
      <c r="O55" s="24">
        <v>9.9061975184556355E-4</v>
      </c>
    </row>
    <row r="56" spans="1:15" x14ac:dyDescent="0.25">
      <c r="A56" s="16" t="s">
        <v>442</v>
      </c>
      <c r="B56" s="32" t="s">
        <v>443</v>
      </c>
      <c r="C56" s="25" t="s">
        <v>329</v>
      </c>
      <c r="D56" s="25" t="s">
        <v>217</v>
      </c>
      <c r="E56" s="25" t="s">
        <v>444</v>
      </c>
      <c r="F56" s="25">
        <v>2.38</v>
      </c>
      <c r="G56" s="25" t="s">
        <v>255</v>
      </c>
      <c r="H56" s="17">
        <v>5.9500000000000004E-2</v>
      </c>
      <c r="I56" s="17">
        <v>5.9299999999999999E-2</v>
      </c>
      <c r="J56" s="109">
        <v>4032000</v>
      </c>
      <c r="K56" s="25">
        <v>119.7837</v>
      </c>
      <c r="L56" s="83">
        <v>4829.6797100000003</v>
      </c>
      <c r="M56" s="17" t="s">
        <v>249</v>
      </c>
      <c r="N56" s="24">
        <v>2.1760040868872392E-3</v>
      </c>
      <c r="O56" s="24">
        <v>1.9640452294787769E-3</v>
      </c>
    </row>
    <row r="57" spans="1:15" x14ac:dyDescent="0.25">
      <c r="A57" s="16" t="s">
        <v>445</v>
      </c>
      <c r="B57" s="32" t="s">
        <v>446</v>
      </c>
      <c r="C57" s="25" t="s">
        <v>329</v>
      </c>
      <c r="D57" s="25" t="s">
        <v>217</v>
      </c>
      <c r="E57" s="25" t="s">
        <v>447</v>
      </c>
      <c r="F57" s="25">
        <v>2.46</v>
      </c>
      <c r="G57" s="25" t="s">
        <v>255</v>
      </c>
      <c r="H57" s="17">
        <v>5.9500000000000004E-2</v>
      </c>
      <c r="I57" s="17">
        <v>5.9400000000000001E-2</v>
      </c>
      <c r="J57" s="109">
        <v>3060000</v>
      </c>
      <c r="K57" s="25">
        <v>118.85499999999999</v>
      </c>
      <c r="L57" s="83">
        <v>3636.9648500000003</v>
      </c>
      <c r="M57" s="17" t="s">
        <v>249</v>
      </c>
      <c r="N57" s="24">
        <v>1.6386284086455985E-3</v>
      </c>
      <c r="O57" s="24">
        <v>1.4790139082379223E-3</v>
      </c>
    </row>
    <row r="58" spans="1:15" x14ac:dyDescent="0.25">
      <c r="A58" s="16" t="s">
        <v>448</v>
      </c>
      <c r="B58" s="32" t="s">
        <v>449</v>
      </c>
      <c r="C58" s="25" t="s">
        <v>329</v>
      </c>
      <c r="D58" s="25" t="s">
        <v>217</v>
      </c>
      <c r="E58" s="25" t="s">
        <v>450</v>
      </c>
      <c r="F58" s="25">
        <v>1.99</v>
      </c>
      <c r="G58" s="25" t="s">
        <v>255</v>
      </c>
      <c r="H58" s="17">
        <v>5.9500000000000004E-2</v>
      </c>
      <c r="I58" s="17">
        <v>5.9400000000000001E-2</v>
      </c>
      <c r="J58" s="109">
        <v>3476000</v>
      </c>
      <c r="K58" s="25">
        <v>124.1347</v>
      </c>
      <c r="L58" s="83">
        <v>4314.9227999999994</v>
      </c>
      <c r="M58" s="17" t="s">
        <v>249</v>
      </c>
      <c r="N58" s="24">
        <v>1.944081225088719E-3</v>
      </c>
      <c r="O58" s="24">
        <v>1.754713366056567E-3</v>
      </c>
    </row>
    <row r="59" spans="1:15" x14ac:dyDescent="0.25">
      <c r="A59" s="16" t="s">
        <v>451</v>
      </c>
      <c r="B59" s="32" t="s">
        <v>452</v>
      </c>
      <c r="C59" s="25" t="s">
        <v>329</v>
      </c>
      <c r="D59" s="25" t="s">
        <v>217</v>
      </c>
      <c r="E59" s="25" t="s">
        <v>453</v>
      </c>
      <c r="F59" s="25">
        <v>2.0699999999999998</v>
      </c>
      <c r="G59" s="25" t="s">
        <v>255</v>
      </c>
      <c r="H59" s="17">
        <v>5.9500000000000004E-2</v>
      </c>
      <c r="I59" s="17">
        <v>5.9299999999999999E-2</v>
      </c>
      <c r="J59" s="109">
        <v>4444000</v>
      </c>
      <c r="K59" s="25">
        <v>123.55889999999999</v>
      </c>
      <c r="L59" s="83">
        <v>5490.9577599999993</v>
      </c>
      <c r="M59" s="17" t="s">
        <v>249</v>
      </c>
      <c r="N59" s="24">
        <v>2.4739418023820054E-3</v>
      </c>
      <c r="O59" s="24">
        <v>2.2329616126443856E-3</v>
      </c>
    </row>
    <row r="60" spans="1:15" x14ac:dyDescent="0.25">
      <c r="A60" s="16" t="s">
        <v>454</v>
      </c>
      <c r="B60" s="32" t="s">
        <v>455</v>
      </c>
      <c r="C60" s="25" t="s">
        <v>329</v>
      </c>
      <c r="D60" s="25" t="s">
        <v>217</v>
      </c>
      <c r="E60" s="25" t="s">
        <v>456</v>
      </c>
      <c r="F60" s="25">
        <v>2.15</v>
      </c>
      <c r="G60" s="25" t="s">
        <v>255</v>
      </c>
      <c r="H60" s="17">
        <v>5.9500000000000004E-2</v>
      </c>
      <c r="I60" s="17">
        <v>5.9200000000000003E-2</v>
      </c>
      <c r="J60" s="109">
        <v>3300000</v>
      </c>
      <c r="K60" s="25">
        <v>122.6726</v>
      </c>
      <c r="L60" s="83">
        <v>4048.1983</v>
      </c>
      <c r="M60" s="17" t="s">
        <v>249</v>
      </c>
      <c r="N60" s="24">
        <v>1.8239089493017279E-3</v>
      </c>
      <c r="O60" s="24">
        <v>1.6462467568266743E-3</v>
      </c>
    </row>
    <row r="61" spans="1:15" x14ac:dyDescent="0.25">
      <c r="A61" s="16" t="s">
        <v>457</v>
      </c>
      <c r="B61" s="32" t="s">
        <v>458</v>
      </c>
      <c r="C61" s="25" t="s">
        <v>329</v>
      </c>
      <c r="D61" s="25" t="s">
        <v>217</v>
      </c>
      <c r="E61" s="25" t="s">
        <v>459</v>
      </c>
      <c r="F61" s="25">
        <v>2.2400000000000002</v>
      </c>
      <c r="G61" s="25" t="s">
        <v>255</v>
      </c>
      <c r="H61" s="17">
        <v>5.9500000000000004E-2</v>
      </c>
      <c r="I61" s="17">
        <v>5.9299999999999999E-2</v>
      </c>
      <c r="J61" s="109">
        <v>7392000</v>
      </c>
      <c r="K61" s="25">
        <v>121.705</v>
      </c>
      <c r="L61" s="83">
        <v>8996.4358499999998</v>
      </c>
      <c r="M61" s="17" t="s">
        <v>249</v>
      </c>
      <c r="N61" s="24">
        <v>4.0533290720056615E-3</v>
      </c>
      <c r="O61" s="24">
        <v>3.6585049060125652E-3</v>
      </c>
    </row>
    <row r="62" spans="1:15" x14ac:dyDescent="0.25">
      <c r="A62" s="16" t="s">
        <v>460</v>
      </c>
      <c r="B62" s="32" t="s">
        <v>461</v>
      </c>
      <c r="C62" s="25" t="s">
        <v>329</v>
      </c>
      <c r="D62" s="25" t="s">
        <v>217</v>
      </c>
      <c r="E62" s="25" t="s">
        <v>462</v>
      </c>
      <c r="F62" s="25">
        <v>2.3199999999999998</v>
      </c>
      <c r="G62" s="25" t="s">
        <v>255</v>
      </c>
      <c r="H62" s="17">
        <v>5.9500000000000004E-2</v>
      </c>
      <c r="I62" s="17">
        <v>5.9200000000000003E-2</v>
      </c>
      <c r="J62" s="109">
        <v>3960000</v>
      </c>
      <c r="K62" s="25">
        <v>121.0373</v>
      </c>
      <c r="L62" s="83">
        <v>4793.0783300000003</v>
      </c>
      <c r="M62" s="17" t="s">
        <v>249</v>
      </c>
      <c r="N62" s="24">
        <v>2.1595133965624119E-3</v>
      </c>
      <c r="O62" s="24">
        <v>1.9491608540961824E-3</v>
      </c>
    </row>
    <row r="63" spans="1:15" x14ac:dyDescent="0.25">
      <c r="A63" s="16" t="s">
        <v>463</v>
      </c>
      <c r="B63" s="32" t="s">
        <v>464</v>
      </c>
      <c r="C63" s="25" t="s">
        <v>329</v>
      </c>
      <c r="D63" s="25" t="s">
        <v>217</v>
      </c>
      <c r="E63" s="25" t="s">
        <v>465</v>
      </c>
      <c r="F63" s="25">
        <v>2.4</v>
      </c>
      <c r="G63" s="25" t="s">
        <v>255</v>
      </c>
      <c r="H63" s="17">
        <v>5.9500000000000004E-2</v>
      </c>
      <c r="I63" s="17">
        <v>5.9299999999999999E-2</v>
      </c>
      <c r="J63" s="109">
        <v>11263999.99</v>
      </c>
      <c r="K63" s="25">
        <v>119.98260000000001</v>
      </c>
      <c r="L63" s="83">
        <v>13514.848199999999</v>
      </c>
      <c r="M63" s="17" t="s">
        <v>249</v>
      </c>
      <c r="N63" s="24">
        <v>6.0890921722965867E-3</v>
      </c>
      <c r="O63" s="24">
        <v>5.4959696559960551E-3</v>
      </c>
    </row>
    <row r="64" spans="1:15" x14ac:dyDescent="0.25">
      <c r="A64" s="16" t="s">
        <v>466</v>
      </c>
      <c r="B64" s="32" t="s">
        <v>467</v>
      </c>
      <c r="C64" s="25" t="s">
        <v>329</v>
      </c>
      <c r="D64" s="25" t="s">
        <v>217</v>
      </c>
      <c r="E64" s="25" t="s">
        <v>468</v>
      </c>
      <c r="F64" s="25">
        <v>2.4900000000000002</v>
      </c>
      <c r="G64" s="25" t="s">
        <v>255</v>
      </c>
      <c r="H64" s="17">
        <v>5.9500000000000004E-2</v>
      </c>
      <c r="I64" s="17">
        <v>5.91E-2</v>
      </c>
      <c r="J64" s="109">
        <v>15620000</v>
      </c>
      <c r="K64" s="25">
        <v>119.1883</v>
      </c>
      <c r="L64" s="83">
        <v>18617.21441</v>
      </c>
      <c r="M64" s="17" t="s">
        <v>249</v>
      </c>
      <c r="N64" s="24">
        <v>8.3879547040638033E-3</v>
      </c>
      <c r="O64" s="24">
        <v>7.570906011103589E-3</v>
      </c>
    </row>
    <row r="65" spans="1:15" x14ac:dyDescent="0.25">
      <c r="A65" s="16" t="s">
        <v>469</v>
      </c>
      <c r="B65" s="32" t="s">
        <v>470</v>
      </c>
      <c r="C65" s="25" t="s">
        <v>329</v>
      </c>
      <c r="D65" s="25" t="s">
        <v>217</v>
      </c>
      <c r="E65" s="25" t="s">
        <v>471</v>
      </c>
      <c r="F65" s="25">
        <v>2.57</v>
      </c>
      <c r="G65" s="25" t="s">
        <v>255</v>
      </c>
      <c r="H65" s="17">
        <v>5.9500000000000004E-2</v>
      </c>
      <c r="I65" s="17">
        <v>5.9299999999999999E-2</v>
      </c>
      <c r="J65" s="109">
        <v>11924000</v>
      </c>
      <c r="K65" s="25">
        <v>118.2637</v>
      </c>
      <c r="L65" s="83">
        <v>14101.772220000001</v>
      </c>
      <c r="M65" s="17" t="s">
        <v>249</v>
      </c>
      <c r="N65" s="24">
        <v>6.3535298043755654E-3</v>
      </c>
      <c r="O65" s="24">
        <v>5.7346491111078951E-3</v>
      </c>
    </row>
    <row r="66" spans="1:15" x14ac:dyDescent="0.25">
      <c r="A66" s="16" t="s">
        <v>472</v>
      </c>
      <c r="B66" s="32" t="s">
        <v>473</v>
      </c>
      <c r="C66" s="25" t="s">
        <v>329</v>
      </c>
      <c r="D66" s="25" t="s">
        <v>217</v>
      </c>
      <c r="E66" s="25" t="s">
        <v>474</v>
      </c>
      <c r="F66" s="25">
        <v>2.65</v>
      </c>
      <c r="G66" s="25" t="s">
        <v>255</v>
      </c>
      <c r="H66" s="17">
        <v>5.9500000000000004E-2</v>
      </c>
      <c r="I66" s="17">
        <v>5.9299999999999999E-2</v>
      </c>
      <c r="J66" s="109">
        <v>5060000</v>
      </c>
      <c r="K66" s="25">
        <v>117.45910000000001</v>
      </c>
      <c r="L66" s="83">
        <v>5943.4329400000006</v>
      </c>
      <c r="M66" s="17" t="s">
        <v>249</v>
      </c>
      <c r="N66" s="24">
        <v>2.6778037352667931E-3</v>
      </c>
      <c r="O66" s="24">
        <v>2.4169658887243312E-3</v>
      </c>
    </row>
    <row r="67" spans="1:15" x14ac:dyDescent="0.25">
      <c r="A67" s="16" t="s">
        <v>475</v>
      </c>
      <c r="B67" s="32" t="s">
        <v>476</v>
      </c>
      <c r="C67" s="25" t="s">
        <v>329</v>
      </c>
      <c r="D67" s="25" t="s">
        <v>217</v>
      </c>
      <c r="E67" s="25" t="s">
        <v>477</v>
      </c>
      <c r="F67" s="25">
        <v>2.73</v>
      </c>
      <c r="G67" s="25" t="s">
        <v>255</v>
      </c>
      <c r="H67" s="17">
        <v>5.9500000000000004E-2</v>
      </c>
      <c r="I67" s="17">
        <v>5.9299999999999999E-2</v>
      </c>
      <c r="J67" s="109">
        <v>1012000</v>
      </c>
      <c r="K67" s="25">
        <v>116.22400000000002</v>
      </c>
      <c r="L67" s="83">
        <v>1176.18767</v>
      </c>
      <c r="M67" s="17" t="s">
        <v>249</v>
      </c>
      <c r="N67" s="24">
        <v>5.2992938052746756E-4</v>
      </c>
      <c r="O67" s="24">
        <v>4.7831034787920907E-4</v>
      </c>
    </row>
    <row r="68" spans="1:15" x14ac:dyDescent="0.25">
      <c r="A68" s="16" t="s">
        <v>478</v>
      </c>
      <c r="B68" s="32" t="s">
        <v>479</v>
      </c>
      <c r="C68" s="25" t="s">
        <v>329</v>
      </c>
      <c r="D68" s="25" t="s">
        <v>217</v>
      </c>
      <c r="E68" s="25" t="s">
        <v>480</v>
      </c>
      <c r="F68" s="25">
        <v>2.82</v>
      </c>
      <c r="G68" s="25" t="s">
        <v>255</v>
      </c>
      <c r="H68" s="17">
        <v>5.9500000000000004E-2</v>
      </c>
      <c r="I68" s="17">
        <v>5.9400000000000001E-2</v>
      </c>
      <c r="J68" s="109">
        <v>264000</v>
      </c>
      <c r="K68" s="25">
        <v>115.07640000000001</v>
      </c>
      <c r="L68" s="83">
        <v>303.80190999999996</v>
      </c>
      <c r="M68" s="17" t="s">
        <v>249</v>
      </c>
      <c r="N68" s="24">
        <v>1.368774406293185E-4</v>
      </c>
      <c r="O68" s="24">
        <v>1.2354456772911771E-4</v>
      </c>
    </row>
    <row r="69" spans="1:15" x14ac:dyDescent="0.25">
      <c r="A69" s="16" t="s">
        <v>481</v>
      </c>
      <c r="B69" s="32" t="s">
        <v>482</v>
      </c>
      <c r="C69" s="25" t="s">
        <v>329</v>
      </c>
      <c r="D69" s="25" t="s">
        <v>217</v>
      </c>
      <c r="E69" s="25" t="s">
        <v>483</v>
      </c>
      <c r="F69" s="25">
        <v>2.4</v>
      </c>
      <c r="G69" s="25" t="s">
        <v>255</v>
      </c>
      <c r="H69" s="17">
        <v>5.9500000000000004E-2</v>
      </c>
      <c r="I69" s="17">
        <v>5.9299999999999999E-2</v>
      </c>
      <c r="J69" s="109">
        <v>520000</v>
      </c>
      <c r="K69" s="25">
        <v>120.63770000000001</v>
      </c>
      <c r="L69" s="83">
        <v>627.31619999999998</v>
      </c>
      <c r="M69" s="17" t="s">
        <v>249</v>
      </c>
      <c r="N69" s="24">
        <v>2.8263626098107709E-4</v>
      </c>
      <c r="O69" s="24">
        <v>2.5510540324935008E-4</v>
      </c>
    </row>
    <row r="70" spans="1:15" x14ac:dyDescent="0.25">
      <c r="A70" s="16" t="s">
        <v>484</v>
      </c>
      <c r="B70" s="32" t="s">
        <v>485</v>
      </c>
      <c r="C70" s="25" t="s">
        <v>329</v>
      </c>
      <c r="D70" s="25" t="s">
        <v>217</v>
      </c>
      <c r="E70" s="25" t="s">
        <v>486</v>
      </c>
      <c r="F70" s="25">
        <v>2.82</v>
      </c>
      <c r="G70" s="25" t="s">
        <v>255</v>
      </c>
      <c r="H70" s="17">
        <v>5.9500000000000004E-2</v>
      </c>
      <c r="I70" s="17">
        <v>9.7899999999999987E-2</v>
      </c>
      <c r="J70" s="109">
        <v>2080000</v>
      </c>
      <c r="K70" s="25">
        <v>118.5682</v>
      </c>
      <c r="L70" s="83">
        <v>2466.2187400000003</v>
      </c>
      <c r="M70" s="17" t="s">
        <v>249</v>
      </c>
      <c r="N70" s="24">
        <v>1.1111507138426573E-3</v>
      </c>
      <c r="O70" s="24">
        <v>1.0029164337997394E-3</v>
      </c>
    </row>
    <row r="71" spans="1:15" x14ac:dyDescent="0.25">
      <c r="A71" s="16" t="s">
        <v>487</v>
      </c>
      <c r="B71" s="32" t="s">
        <v>488</v>
      </c>
      <c r="C71" s="25" t="s">
        <v>329</v>
      </c>
      <c r="D71" s="25" t="s">
        <v>217</v>
      </c>
      <c r="E71" s="25" t="s">
        <v>489</v>
      </c>
      <c r="F71" s="25">
        <v>2.73</v>
      </c>
      <c r="G71" s="25" t="s">
        <v>255</v>
      </c>
      <c r="H71" s="17">
        <v>5.9500000000000004E-2</v>
      </c>
      <c r="I71" s="17">
        <v>5.9200000000000003E-2</v>
      </c>
      <c r="J71" s="109">
        <v>6240000</v>
      </c>
      <c r="K71" s="25">
        <v>118.0274</v>
      </c>
      <c r="L71" s="83">
        <v>7364.9105799999998</v>
      </c>
      <c r="M71" s="17" t="s">
        <v>249</v>
      </c>
      <c r="N71" s="24">
        <v>3.3182481000668816E-3</v>
      </c>
      <c r="O71" s="24">
        <v>2.9950262457853066E-3</v>
      </c>
    </row>
    <row r="72" spans="1:15" x14ac:dyDescent="0.25">
      <c r="A72" s="16" t="s">
        <v>490</v>
      </c>
      <c r="B72" s="32" t="s">
        <v>491</v>
      </c>
      <c r="C72" s="25" t="s">
        <v>329</v>
      </c>
      <c r="D72" s="25" t="s">
        <v>217</v>
      </c>
      <c r="E72" s="25" t="s">
        <v>492</v>
      </c>
      <c r="F72" s="25">
        <v>2.82</v>
      </c>
      <c r="G72" s="25" t="s">
        <v>255</v>
      </c>
      <c r="H72" s="17">
        <v>5.9500000000000004E-2</v>
      </c>
      <c r="I72" s="17">
        <v>5.9200000000000003E-2</v>
      </c>
      <c r="J72" s="109">
        <v>16640000</v>
      </c>
      <c r="K72" s="25">
        <v>117.4618</v>
      </c>
      <c r="L72" s="83">
        <v>19545.6476</v>
      </c>
      <c r="M72" s="17" t="s">
        <v>249</v>
      </c>
      <c r="N72" s="24">
        <v>8.8062587194747462E-3</v>
      </c>
      <c r="O72" s="24">
        <v>7.9484641282461556E-3</v>
      </c>
    </row>
    <row r="73" spans="1:15" x14ac:dyDescent="0.25">
      <c r="A73" s="16" t="s">
        <v>493</v>
      </c>
      <c r="B73" s="32" t="s">
        <v>494</v>
      </c>
      <c r="C73" s="25" t="s">
        <v>329</v>
      </c>
      <c r="D73" s="25" t="s">
        <v>217</v>
      </c>
      <c r="E73" s="25" t="s">
        <v>495</v>
      </c>
      <c r="F73" s="25">
        <v>2.9</v>
      </c>
      <c r="G73" s="25" t="s">
        <v>255</v>
      </c>
      <c r="H73" s="17">
        <v>5.9500000000000004E-2</v>
      </c>
      <c r="I73" s="17">
        <v>5.9200000000000003E-2</v>
      </c>
      <c r="J73" s="109">
        <v>17160000</v>
      </c>
      <c r="K73" s="25">
        <v>116.89619999999999</v>
      </c>
      <c r="L73" s="83">
        <v>20059.394079999998</v>
      </c>
      <c r="M73" s="17" t="s">
        <v>249</v>
      </c>
      <c r="N73" s="24">
        <v>9.037726333732737E-3</v>
      </c>
      <c r="O73" s="24">
        <v>8.1573850885981024E-3</v>
      </c>
    </row>
    <row r="74" spans="1:15" x14ac:dyDescent="0.25">
      <c r="A74" s="16" t="s">
        <v>496</v>
      </c>
      <c r="B74" s="32" t="s">
        <v>497</v>
      </c>
      <c r="C74" s="25" t="s">
        <v>329</v>
      </c>
      <c r="D74" s="25" t="s">
        <v>217</v>
      </c>
      <c r="E74" s="25" t="s">
        <v>498</v>
      </c>
      <c r="F74" s="25">
        <v>2.98</v>
      </c>
      <c r="G74" s="25" t="s">
        <v>255</v>
      </c>
      <c r="H74" s="17">
        <v>5.9500000000000004E-2</v>
      </c>
      <c r="I74" s="17">
        <v>5.9299999999999999E-2</v>
      </c>
      <c r="J74" s="109">
        <v>17680000</v>
      </c>
      <c r="K74" s="25">
        <v>116.33060000000002</v>
      </c>
      <c r="L74" s="83">
        <v>20567.258440000001</v>
      </c>
      <c r="M74" s="17" t="s">
        <v>249</v>
      </c>
      <c r="N74" s="24">
        <v>9.2665437686976701E-3</v>
      </c>
      <c r="O74" s="24">
        <v>8.3639140166789881E-3</v>
      </c>
    </row>
    <row r="75" spans="1:15" x14ac:dyDescent="0.25">
      <c r="A75" s="16" t="s">
        <v>499</v>
      </c>
      <c r="B75" s="32" t="s">
        <v>500</v>
      </c>
      <c r="C75" s="25" t="s">
        <v>329</v>
      </c>
      <c r="D75" s="25" t="s">
        <v>217</v>
      </c>
      <c r="E75" s="25" t="s">
        <v>501</v>
      </c>
      <c r="F75" s="25">
        <v>3.06</v>
      </c>
      <c r="G75" s="25" t="s">
        <v>255</v>
      </c>
      <c r="H75" s="17">
        <v>5.9500000000000004E-2</v>
      </c>
      <c r="I75" s="17">
        <v>5.9400000000000001E-2</v>
      </c>
      <c r="J75" s="109">
        <v>7280000</v>
      </c>
      <c r="K75" s="25">
        <v>115.3402</v>
      </c>
      <c r="L75" s="83">
        <v>8396.7735700000012</v>
      </c>
      <c r="M75" s="17" t="s">
        <v>249</v>
      </c>
      <c r="N75" s="24">
        <v>3.78315223826442E-3</v>
      </c>
      <c r="O75" s="24">
        <v>3.4146452898368243E-3</v>
      </c>
    </row>
    <row r="76" spans="1:15" x14ac:dyDescent="0.25">
      <c r="A76" s="16" t="s">
        <v>502</v>
      </c>
      <c r="B76" s="32" t="s">
        <v>503</v>
      </c>
      <c r="C76" s="25" t="s">
        <v>329</v>
      </c>
      <c r="D76" s="25" t="s">
        <v>217</v>
      </c>
      <c r="E76" s="25" t="s">
        <v>504</v>
      </c>
      <c r="F76" s="25">
        <v>3.15</v>
      </c>
      <c r="G76" s="25" t="s">
        <v>255</v>
      </c>
      <c r="H76" s="17">
        <v>5.9500000000000004E-2</v>
      </c>
      <c r="I76" s="17">
        <v>5.9400000000000001E-2</v>
      </c>
      <c r="J76" s="109">
        <v>3640000</v>
      </c>
      <c r="K76" s="25">
        <v>113.77719999999999</v>
      </c>
      <c r="L76" s="83">
        <v>4141.49125</v>
      </c>
      <c r="M76" s="17" t="s">
        <v>249</v>
      </c>
      <c r="N76" s="24">
        <v>1.865941931335182E-3</v>
      </c>
      <c r="O76" s="24">
        <v>1.6841854161982505E-3</v>
      </c>
    </row>
    <row r="77" spans="1:15" x14ac:dyDescent="0.25">
      <c r="A77" s="16" t="s">
        <v>505</v>
      </c>
      <c r="B77" s="32" t="s">
        <v>506</v>
      </c>
      <c r="C77" s="25" t="s">
        <v>329</v>
      </c>
      <c r="D77" s="25" t="s">
        <v>217</v>
      </c>
      <c r="E77" s="25" t="s">
        <v>507</v>
      </c>
      <c r="F77" s="25">
        <v>3.23</v>
      </c>
      <c r="G77" s="25" t="s">
        <v>255</v>
      </c>
      <c r="H77" s="17">
        <v>5.9500000000000004E-2</v>
      </c>
      <c r="I77" s="17">
        <v>5.9400000000000001E-2</v>
      </c>
      <c r="J77" s="109">
        <v>2080000</v>
      </c>
      <c r="K77" s="25">
        <v>113.2186</v>
      </c>
      <c r="L77" s="83">
        <v>2354.94742</v>
      </c>
      <c r="M77" s="17" t="s">
        <v>249</v>
      </c>
      <c r="N77" s="24">
        <v>1.0610176073817864E-3</v>
      </c>
      <c r="O77" s="24">
        <v>9.5766666190051609E-4</v>
      </c>
    </row>
    <row r="78" spans="1:15" x14ac:dyDescent="0.25">
      <c r="A78" s="16" t="s">
        <v>508</v>
      </c>
      <c r="B78" s="32" t="s">
        <v>509</v>
      </c>
      <c r="C78" s="25" t="s">
        <v>329</v>
      </c>
      <c r="D78" s="25" t="s">
        <v>217</v>
      </c>
      <c r="E78" s="25" t="s">
        <v>510</v>
      </c>
      <c r="F78" s="25">
        <v>3.32</v>
      </c>
      <c r="G78" s="25" t="s">
        <v>255</v>
      </c>
      <c r="H78" s="17">
        <v>5.9500000000000004E-2</v>
      </c>
      <c r="I78" s="17">
        <v>5.9400000000000001E-2</v>
      </c>
      <c r="J78" s="109">
        <v>2080000</v>
      </c>
      <c r="K78" s="25">
        <v>112.9819</v>
      </c>
      <c r="L78" s="83">
        <v>2350.0241599999999</v>
      </c>
      <c r="M78" s="17" t="s">
        <v>249</v>
      </c>
      <c r="N78" s="24">
        <v>1.0587994408523111E-3</v>
      </c>
      <c r="O78" s="24">
        <v>9.5566456116152453E-4</v>
      </c>
    </row>
    <row r="79" spans="1:15" x14ac:dyDescent="0.25">
      <c r="A79" s="16" t="s">
        <v>511</v>
      </c>
      <c r="B79" s="32" t="s">
        <v>512</v>
      </c>
      <c r="C79" s="25" t="s">
        <v>329</v>
      </c>
      <c r="D79" s="25" t="s">
        <v>217</v>
      </c>
      <c r="E79" s="25" t="s">
        <v>513</v>
      </c>
      <c r="F79" s="25">
        <v>2.88</v>
      </c>
      <c r="G79" s="25" t="s">
        <v>255</v>
      </c>
      <c r="H79" s="17">
        <v>5.9500000000000004E-2</v>
      </c>
      <c r="I79" s="17">
        <v>5.9400000000000001E-2</v>
      </c>
      <c r="J79" s="109">
        <v>6000000</v>
      </c>
      <c r="K79" s="25">
        <v>117.2409</v>
      </c>
      <c r="L79" s="83">
        <v>7034.45615</v>
      </c>
      <c r="M79" s="17" t="s">
        <v>249</v>
      </c>
      <c r="N79" s="24">
        <v>3.1693624112869123E-3</v>
      </c>
      <c r="O79" s="24">
        <v>2.860643121898686E-3</v>
      </c>
    </row>
    <row r="80" spans="1:15" x14ac:dyDescent="0.25">
      <c r="A80" s="16" t="s">
        <v>514</v>
      </c>
      <c r="B80" s="32" t="s">
        <v>515</v>
      </c>
      <c r="C80" s="25" t="s">
        <v>329</v>
      </c>
      <c r="D80" s="25" t="s">
        <v>217</v>
      </c>
      <c r="E80" s="25" t="s">
        <v>516</v>
      </c>
      <c r="F80" s="25">
        <v>2.96</v>
      </c>
      <c r="G80" s="25" t="s">
        <v>255</v>
      </c>
      <c r="H80" s="17">
        <v>5.9500000000000004E-2</v>
      </c>
      <c r="I80" s="17">
        <v>5.9299999999999999E-2</v>
      </c>
      <c r="J80" s="109">
        <v>5400000</v>
      </c>
      <c r="K80" s="25">
        <v>116.73099999999999</v>
      </c>
      <c r="L80" s="83">
        <v>6303.4777899999999</v>
      </c>
      <c r="M80" s="17" t="s">
        <v>249</v>
      </c>
      <c r="N80" s="24">
        <v>2.8400213381112476E-3</v>
      </c>
      <c r="O80" s="24">
        <v>2.5633822998533625E-3</v>
      </c>
    </row>
    <row r="81" spans="1:15" x14ac:dyDescent="0.25">
      <c r="A81" s="16" t="s">
        <v>517</v>
      </c>
      <c r="B81" s="32" t="s">
        <v>518</v>
      </c>
      <c r="C81" s="25" t="s">
        <v>329</v>
      </c>
      <c r="D81" s="25" t="s">
        <v>217</v>
      </c>
      <c r="E81" s="25" t="s">
        <v>519</v>
      </c>
      <c r="F81" s="25">
        <v>3.05</v>
      </c>
      <c r="G81" s="25" t="s">
        <v>255</v>
      </c>
      <c r="H81" s="17">
        <v>5.9500000000000004E-2</v>
      </c>
      <c r="I81" s="17">
        <v>5.9299999999999999E-2</v>
      </c>
      <c r="J81" s="109">
        <v>10200000</v>
      </c>
      <c r="K81" s="25">
        <v>116.331</v>
      </c>
      <c r="L81" s="83">
        <v>11865.770050000001</v>
      </c>
      <c r="M81" s="17" t="s">
        <v>249</v>
      </c>
      <c r="N81" s="24">
        <v>5.3461027797357197E-3</v>
      </c>
      <c r="O81" s="24">
        <v>4.825352913681029E-3</v>
      </c>
    </row>
    <row r="82" spans="1:15" x14ac:dyDescent="0.25">
      <c r="A82" s="16" t="s">
        <v>520</v>
      </c>
      <c r="B82" s="32" t="s">
        <v>521</v>
      </c>
      <c r="C82" s="25" t="s">
        <v>329</v>
      </c>
      <c r="D82" s="25" t="s">
        <v>217</v>
      </c>
      <c r="E82" s="25" t="s">
        <v>522</v>
      </c>
      <c r="F82" s="25">
        <v>3.22</v>
      </c>
      <c r="G82" s="25" t="s">
        <v>255</v>
      </c>
      <c r="H82" s="17">
        <v>5.9500000000000004E-2</v>
      </c>
      <c r="I82" s="17">
        <v>5.9200000000000003E-2</v>
      </c>
      <c r="J82" s="109">
        <v>23400000</v>
      </c>
      <c r="K82" s="25">
        <v>115.57259999999999</v>
      </c>
      <c r="L82" s="83">
        <v>27043.996589999999</v>
      </c>
      <c r="M82" s="17" t="s">
        <v>249</v>
      </c>
      <c r="N82" s="24">
        <v>1.218462727119529E-2</v>
      </c>
      <c r="O82" s="24">
        <v>1.0997754649993094E-2</v>
      </c>
    </row>
    <row r="83" spans="1:15" x14ac:dyDescent="0.25">
      <c r="A83" s="16" t="s">
        <v>523</v>
      </c>
      <c r="B83" s="32" t="s">
        <v>524</v>
      </c>
      <c r="C83" s="25" t="s">
        <v>329</v>
      </c>
      <c r="D83" s="25" t="s">
        <v>217</v>
      </c>
      <c r="E83" s="25" t="s">
        <v>525</v>
      </c>
      <c r="F83" s="25">
        <v>3.3</v>
      </c>
      <c r="G83" s="25" t="s">
        <v>255</v>
      </c>
      <c r="H83" s="17">
        <v>5.9500000000000004E-2</v>
      </c>
      <c r="I83" s="17">
        <v>5.9299999999999999E-2</v>
      </c>
      <c r="J83" s="109">
        <v>27000000</v>
      </c>
      <c r="K83" s="25">
        <v>115.1789</v>
      </c>
      <c r="L83" s="83">
        <v>31098.325739999997</v>
      </c>
      <c r="M83" s="17" t="s">
        <v>249</v>
      </c>
      <c r="N83" s="24">
        <v>1.4011298464674094E-2</v>
      </c>
      <c r="O83" s="24">
        <v>1.2646494588028082E-2</v>
      </c>
    </row>
    <row r="84" spans="1:15" x14ac:dyDescent="0.25">
      <c r="A84" s="16" t="s">
        <v>526</v>
      </c>
      <c r="B84" s="32" t="s">
        <v>527</v>
      </c>
      <c r="C84" s="25" t="s">
        <v>329</v>
      </c>
      <c r="D84" s="25" t="s">
        <v>217</v>
      </c>
      <c r="E84" s="25" t="s">
        <v>528</v>
      </c>
      <c r="F84" s="25">
        <v>3.38</v>
      </c>
      <c r="G84" s="25" t="s">
        <v>255</v>
      </c>
      <c r="H84" s="17">
        <v>5.9500000000000004E-2</v>
      </c>
      <c r="I84" s="17">
        <v>5.9299999999999999E-2</v>
      </c>
      <c r="J84" s="109">
        <v>27600000</v>
      </c>
      <c r="K84" s="25">
        <v>114.6597</v>
      </c>
      <c r="L84" s="83">
        <v>31646.07778</v>
      </c>
      <c r="M84" s="17" t="s">
        <v>249</v>
      </c>
      <c r="N84" s="24">
        <v>1.4258087226912911E-2</v>
      </c>
      <c r="O84" s="24">
        <v>1.2869244303474383E-2</v>
      </c>
    </row>
    <row r="85" spans="1:15" x14ac:dyDescent="0.25">
      <c r="A85" s="16" t="s">
        <v>529</v>
      </c>
      <c r="B85" s="32" t="s">
        <v>530</v>
      </c>
      <c r="C85" s="25" t="s">
        <v>329</v>
      </c>
      <c r="D85" s="25" t="s">
        <v>217</v>
      </c>
      <c r="E85" s="25" t="s">
        <v>531</v>
      </c>
      <c r="F85" s="25">
        <v>3.46</v>
      </c>
      <c r="G85" s="25" t="s">
        <v>255</v>
      </c>
      <c r="H85" s="17">
        <v>5.9500000000000004E-2</v>
      </c>
      <c r="I85" s="17">
        <v>5.9299999999999999E-2</v>
      </c>
      <c r="J85" s="109">
        <v>2426271</v>
      </c>
      <c r="K85" s="25">
        <v>113.8751</v>
      </c>
      <c r="L85" s="83">
        <v>2762.9205299999999</v>
      </c>
      <c r="M85" s="17" t="s">
        <v>249</v>
      </c>
      <c r="N85" s="24">
        <v>1.2448292073232857E-3</v>
      </c>
      <c r="O85" s="24">
        <v>1.1235736554413196E-3</v>
      </c>
    </row>
    <row r="86" spans="1:15" x14ac:dyDescent="0.25">
      <c r="A86" s="16" t="s">
        <v>532</v>
      </c>
      <c r="B86" s="32" t="s">
        <v>533</v>
      </c>
      <c r="C86" s="25" t="s">
        <v>329</v>
      </c>
      <c r="D86" s="25" t="s">
        <v>217</v>
      </c>
      <c r="E86" s="25" t="s">
        <v>534</v>
      </c>
      <c r="F86" s="25">
        <v>3.63</v>
      </c>
      <c r="G86" s="25" t="s">
        <v>255</v>
      </c>
      <c r="H86" s="17">
        <v>5.9500000000000004E-2</v>
      </c>
      <c r="I86" s="17">
        <v>5.9400000000000001E-2</v>
      </c>
      <c r="J86" s="109">
        <v>3000000</v>
      </c>
      <c r="K86" s="25">
        <v>112.1966</v>
      </c>
      <c r="L86" s="83">
        <v>3365.8985299999999</v>
      </c>
      <c r="M86" s="17" t="s">
        <v>249</v>
      </c>
      <c r="N86" s="24">
        <v>1.5164999331452045E-3</v>
      </c>
      <c r="O86" s="24">
        <v>1.3687816475838573E-3</v>
      </c>
    </row>
    <row r="87" spans="1:15" x14ac:dyDescent="0.25">
      <c r="A87" s="16" t="s">
        <v>535</v>
      </c>
      <c r="B87" s="32" t="s">
        <v>536</v>
      </c>
      <c r="C87" s="25" t="s">
        <v>329</v>
      </c>
      <c r="D87" s="25" t="s">
        <v>217</v>
      </c>
      <c r="E87" s="25" t="s">
        <v>537</v>
      </c>
      <c r="F87" s="25">
        <v>3.71</v>
      </c>
      <c r="G87" s="25" t="s">
        <v>255</v>
      </c>
      <c r="H87" s="17">
        <v>5.9500000000000004E-2</v>
      </c>
      <c r="I87" s="17">
        <v>5.9400000000000001E-2</v>
      </c>
      <c r="J87" s="109">
        <v>6600000</v>
      </c>
      <c r="K87" s="25">
        <v>110.7731</v>
      </c>
      <c r="L87" s="83">
        <v>7311.03089</v>
      </c>
      <c r="M87" s="17" t="s">
        <v>249</v>
      </c>
      <c r="N87" s="24">
        <v>3.2939726961726101E-3</v>
      </c>
      <c r="O87" s="24">
        <v>2.9731154453876765E-3</v>
      </c>
    </row>
    <row r="88" spans="1:15" x14ac:dyDescent="0.25">
      <c r="A88" s="16" t="s">
        <v>538</v>
      </c>
      <c r="B88" s="32" t="s">
        <v>539</v>
      </c>
      <c r="C88" s="25" t="s">
        <v>329</v>
      </c>
      <c r="D88" s="25" t="s">
        <v>217</v>
      </c>
      <c r="E88" s="25" t="s">
        <v>540</v>
      </c>
      <c r="F88" s="25">
        <v>3.18</v>
      </c>
      <c r="G88" s="25" t="s">
        <v>255</v>
      </c>
      <c r="H88" s="17">
        <v>5.9500000000000004E-2</v>
      </c>
      <c r="I88" s="17">
        <v>5.9400000000000001E-2</v>
      </c>
      <c r="J88" s="109">
        <v>3400000</v>
      </c>
      <c r="K88" s="25">
        <v>116.46120000000001</v>
      </c>
      <c r="L88" s="83">
        <v>3959.68102</v>
      </c>
      <c r="M88" s="17" t="s">
        <v>249</v>
      </c>
      <c r="N88" s="24">
        <v>1.7840276373709742E-3</v>
      </c>
      <c r="O88" s="24">
        <v>1.6102501790100396E-3</v>
      </c>
    </row>
    <row r="89" spans="1:15" x14ac:dyDescent="0.25">
      <c r="A89" s="16" t="s">
        <v>541</v>
      </c>
      <c r="B89" s="32" t="s">
        <v>542</v>
      </c>
      <c r="C89" s="25" t="s">
        <v>329</v>
      </c>
      <c r="D89" s="25" t="s">
        <v>217</v>
      </c>
      <c r="E89" s="25" t="s">
        <v>543</v>
      </c>
      <c r="F89" s="25">
        <v>3.26</v>
      </c>
      <c r="G89" s="25" t="s">
        <v>255</v>
      </c>
      <c r="H89" s="17">
        <v>5.9500000000000004E-2</v>
      </c>
      <c r="I89" s="17">
        <v>5.9400000000000001E-2</v>
      </c>
      <c r="J89" s="109">
        <v>9520000</v>
      </c>
      <c r="K89" s="25">
        <v>115.6764</v>
      </c>
      <c r="L89" s="83">
        <v>11012.401589999999</v>
      </c>
      <c r="M89" s="17" t="s">
        <v>249</v>
      </c>
      <c r="N89" s="24">
        <v>4.9616190524326784E-3</v>
      </c>
      <c r="O89" s="24">
        <v>4.4783207389841578E-3</v>
      </c>
    </row>
    <row r="90" spans="1:15" x14ac:dyDescent="0.25">
      <c r="A90" s="16" t="s">
        <v>544</v>
      </c>
      <c r="B90" s="32" t="s">
        <v>545</v>
      </c>
      <c r="C90" s="25" t="s">
        <v>329</v>
      </c>
      <c r="D90" s="25" t="s">
        <v>217</v>
      </c>
      <c r="E90" s="25" t="s">
        <v>546</v>
      </c>
      <c r="F90" s="25">
        <v>3.43</v>
      </c>
      <c r="G90" s="25" t="s">
        <v>255</v>
      </c>
      <c r="H90" s="17">
        <v>5.9500000000000004E-2</v>
      </c>
      <c r="I90" s="17">
        <v>5.9299999999999999E-2</v>
      </c>
      <c r="J90" s="109">
        <v>2584000</v>
      </c>
      <c r="K90" s="25">
        <v>114.2453</v>
      </c>
      <c r="L90" s="83">
        <v>2952.0992200000001</v>
      </c>
      <c r="M90" s="17" t="s">
        <v>249</v>
      </c>
      <c r="N90" s="24">
        <v>1.330063348572784E-3</v>
      </c>
      <c r="O90" s="24">
        <v>1.2005053622880962E-3</v>
      </c>
    </row>
    <row r="91" spans="1:15" x14ac:dyDescent="0.25">
      <c r="A91" s="16" t="s">
        <v>547</v>
      </c>
      <c r="B91" s="32" t="s">
        <v>548</v>
      </c>
      <c r="C91" s="25" t="s">
        <v>329</v>
      </c>
      <c r="D91" s="25" t="s">
        <v>217</v>
      </c>
      <c r="E91" s="25" t="s">
        <v>549</v>
      </c>
      <c r="F91" s="25">
        <v>3.51</v>
      </c>
      <c r="G91" s="25" t="s">
        <v>255</v>
      </c>
      <c r="H91" s="17">
        <v>5.9500000000000004E-2</v>
      </c>
      <c r="I91" s="17">
        <v>5.9299999999999999E-2</v>
      </c>
      <c r="J91" s="109">
        <v>816000</v>
      </c>
      <c r="K91" s="25">
        <v>114.1528</v>
      </c>
      <c r="L91" s="83">
        <v>931.48712999999998</v>
      </c>
      <c r="M91" s="17" t="s">
        <v>249</v>
      </c>
      <c r="N91" s="24">
        <v>4.1967996295200807E-4</v>
      </c>
      <c r="O91" s="24">
        <v>3.7880003723836522E-4</v>
      </c>
    </row>
    <row r="92" spans="1:15" x14ac:dyDescent="0.25">
      <c r="A92" s="16" t="s">
        <v>550</v>
      </c>
      <c r="B92" s="32" t="s">
        <v>551</v>
      </c>
      <c r="C92" s="25" t="s">
        <v>329</v>
      </c>
      <c r="D92" s="25" t="s">
        <v>217</v>
      </c>
      <c r="E92" s="25" t="s">
        <v>552</v>
      </c>
      <c r="F92" s="25">
        <v>3.6</v>
      </c>
      <c r="G92" s="25" t="s">
        <v>255</v>
      </c>
      <c r="H92" s="17">
        <v>5.9500000000000004E-2</v>
      </c>
      <c r="I92" s="17">
        <v>5.9299999999999999E-2</v>
      </c>
      <c r="J92" s="109">
        <v>34952000</v>
      </c>
      <c r="K92" s="25">
        <v>113.51110000000001</v>
      </c>
      <c r="L92" s="83">
        <v>39674.430310000003</v>
      </c>
      <c r="M92" s="17" t="s">
        <v>249</v>
      </c>
      <c r="N92" s="24">
        <v>1.7875247983987527E-2</v>
      </c>
      <c r="O92" s="24">
        <v>1.6134066907439643E-2</v>
      </c>
    </row>
    <row r="93" spans="1:15" x14ac:dyDescent="0.25">
      <c r="A93" s="16" t="s">
        <v>553</v>
      </c>
      <c r="B93" s="32" t="s">
        <v>554</v>
      </c>
      <c r="C93" s="25" t="s">
        <v>329</v>
      </c>
      <c r="D93" s="25" t="s">
        <v>217</v>
      </c>
      <c r="E93" s="25" t="s">
        <v>555</v>
      </c>
      <c r="F93" s="25">
        <v>3.68</v>
      </c>
      <c r="G93" s="25" t="s">
        <v>255</v>
      </c>
      <c r="H93" s="17">
        <v>5.9500000000000004E-2</v>
      </c>
      <c r="I93" s="17">
        <v>5.9299999999999999E-2</v>
      </c>
      <c r="J93" s="109">
        <v>26724000</v>
      </c>
      <c r="K93" s="25">
        <v>113.5934</v>
      </c>
      <c r="L93" s="83">
        <v>30356.708460000002</v>
      </c>
      <c r="M93" s="17" t="s">
        <v>249</v>
      </c>
      <c r="N93" s="24">
        <v>1.3677164043949497E-2</v>
      </c>
      <c r="O93" s="24">
        <v>1.2344907325860957E-2</v>
      </c>
    </row>
    <row r="94" spans="1:15" x14ac:dyDescent="0.25">
      <c r="A94" s="16" t="s">
        <v>556</v>
      </c>
      <c r="B94" s="32" t="s">
        <v>557</v>
      </c>
      <c r="C94" s="25" t="s">
        <v>329</v>
      </c>
      <c r="D94" s="25" t="s">
        <v>217</v>
      </c>
      <c r="E94" s="25" t="s">
        <v>558</v>
      </c>
      <c r="F94" s="25">
        <v>3.76</v>
      </c>
      <c r="G94" s="25" t="s">
        <v>255</v>
      </c>
      <c r="H94" s="17">
        <v>5.9500000000000004E-2</v>
      </c>
      <c r="I94" s="17">
        <v>5.9299999999999999E-2</v>
      </c>
      <c r="J94" s="109">
        <v>23256000</v>
      </c>
      <c r="K94" s="25">
        <v>113.31010000000001</v>
      </c>
      <c r="L94" s="83">
        <v>26351.406179999998</v>
      </c>
      <c r="M94" s="17" t="s">
        <v>249</v>
      </c>
      <c r="N94" s="24">
        <v>1.1872581824459256E-2</v>
      </c>
      <c r="O94" s="24">
        <v>1.0716104732726996E-2</v>
      </c>
    </row>
    <row r="95" spans="1:15" x14ac:dyDescent="0.25">
      <c r="A95" s="16" t="s">
        <v>559</v>
      </c>
      <c r="B95" s="32" t="s">
        <v>560</v>
      </c>
      <c r="C95" s="25" t="s">
        <v>329</v>
      </c>
      <c r="D95" s="25" t="s">
        <v>217</v>
      </c>
      <c r="E95" s="25" t="s">
        <v>561</v>
      </c>
      <c r="F95" s="25">
        <v>3.84</v>
      </c>
      <c r="G95" s="25" t="s">
        <v>255</v>
      </c>
      <c r="H95" s="17">
        <v>5.9500000000000004E-2</v>
      </c>
      <c r="I95" s="17">
        <v>5.9400000000000001E-2</v>
      </c>
      <c r="J95" s="109">
        <v>7208000</v>
      </c>
      <c r="K95" s="25">
        <v>112.4164</v>
      </c>
      <c r="L95" s="83">
        <v>8102.9764299999997</v>
      </c>
      <c r="M95" s="17" t="s">
        <v>249</v>
      </c>
      <c r="N95" s="24">
        <v>3.6507824299659348E-3</v>
      </c>
      <c r="O95" s="24">
        <v>3.2951692777822873E-3</v>
      </c>
    </row>
    <row r="96" spans="1:15" x14ac:dyDescent="0.25">
      <c r="A96" s="16" t="s">
        <v>562</v>
      </c>
      <c r="B96" s="32" t="s">
        <v>563</v>
      </c>
      <c r="C96" s="25" t="s">
        <v>329</v>
      </c>
      <c r="D96" s="25" t="s">
        <v>217</v>
      </c>
      <c r="E96" s="25" t="s">
        <v>564</v>
      </c>
      <c r="F96" s="25">
        <v>3.92</v>
      </c>
      <c r="G96" s="25" t="s">
        <v>255</v>
      </c>
      <c r="H96" s="17">
        <v>5.9500000000000004E-2</v>
      </c>
      <c r="I96" s="17">
        <v>5.9400000000000001E-2</v>
      </c>
      <c r="J96" s="109">
        <v>8160000</v>
      </c>
      <c r="K96" s="25">
        <v>111.76479999999999</v>
      </c>
      <c r="L96" s="83">
        <v>9120.0157600000002</v>
      </c>
      <c r="M96" s="17" t="s">
        <v>249</v>
      </c>
      <c r="N96" s="24">
        <v>4.109007793031483E-3</v>
      </c>
      <c r="O96" s="24">
        <v>3.7087601086903668E-3</v>
      </c>
    </row>
    <row r="97" spans="1:15" x14ac:dyDescent="0.25">
      <c r="A97" s="16" t="s">
        <v>565</v>
      </c>
      <c r="B97" s="32" t="s">
        <v>566</v>
      </c>
      <c r="C97" s="25" t="s">
        <v>329</v>
      </c>
      <c r="D97" s="25" t="s">
        <v>217</v>
      </c>
      <c r="E97" s="25" t="s">
        <v>567</v>
      </c>
      <c r="F97" s="25">
        <v>4.01</v>
      </c>
      <c r="G97" s="25" t="s">
        <v>255</v>
      </c>
      <c r="H97" s="17">
        <v>5.9500000000000004E-2</v>
      </c>
      <c r="I97" s="17">
        <v>5.9400000000000001E-2</v>
      </c>
      <c r="J97" s="109">
        <v>3536000</v>
      </c>
      <c r="K97" s="25">
        <v>111.1146</v>
      </c>
      <c r="L97" s="83">
        <v>3929.0155499999996</v>
      </c>
      <c r="M97" s="17" t="s">
        <v>249</v>
      </c>
      <c r="N97" s="24">
        <v>1.7702113613334235E-3</v>
      </c>
      <c r="O97" s="24">
        <v>1.5977797102254283E-3</v>
      </c>
    </row>
    <row r="98" spans="1:15" x14ac:dyDescent="0.25">
      <c r="A98" s="16" t="s">
        <v>568</v>
      </c>
      <c r="B98" s="32" t="s">
        <v>569</v>
      </c>
      <c r="C98" s="25" t="s">
        <v>329</v>
      </c>
      <c r="D98" s="25" t="s">
        <v>217</v>
      </c>
      <c r="E98" s="25" t="s">
        <v>570</v>
      </c>
      <c r="F98" s="25">
        <v>4.09</v>
      </c>
      <c r="G98" s="25" t="s">
        <v>255</v>
      </c>
      <c r="H98" s="17">
        <v>5.9500000000000004E-2</v>
      </c>
      <c r="I98" s="17">
        <v>5.9400000000000001E-2</v>
      </c>
      <c r="J98" s="109">
        <v>4828000</v>
      </c>
      <c r="K98" s="25">
        <v>110.23169999999999</v>
      </c>
      <c r="L98" s="83">
        <v>5321.9909100000004</v>
      </c>
      <c r="M98" s="17" t="s">
        <v>249</v>
      </c>
      <c r="N98" s="24">
        <v>2.397814071719621E-3</v>
      </c>
      <c r="O98" s="24">
        <v>2.1642492847864054E-3</v>
      </c>
    </row>
    <row r="99" spans="1:15" x14ac:dyDescent="0.25">
      <c r="A99" s="16" t="s">
        <v>571</v>
      </c>
      <c r="B99" s="32" t="s">
        <v>572</v>
      </c>
      <c r="C99" s="25" t="s">
        <v>329</v>
      </c>
      <c r="D99" s="25" t="s">
        <v>217</v>
      </c>
      <c r="E99" s="25" t="s">
        <v>573</v>
      </c>
      <c r="F99" s="25">
        <v>3.54</v>
      </c>
      <c r="G99" s="25" t="s">
        <v>255</v>
      </c>
      <c r="H99" s="17">
        <v>5.9500000000000004E-2</v>
      </c>
      <c r="I99" s="17">
        <v>5.9400000000000001E-2</v>
      </c>
      <c r="J99" s="109">
        <v>7068000</v>
      </c>
      <c r="K99" s="25">
        <v>116.12</v>
      </c>
      <c r="L99" s="83">
        <v>8207.3621199999998</v>
      </c>
      <c r="M99" s="17" t="s">
        <v>249</v>
      </c>
      <c r="N99" s="24">
        <v>3.6978132273876017E-3</v>
      </c>
      <c r="O99" s="24">
        <v>3.3376189284383866E-3</v>
      </c>
    </row>
    <row r="100" spans="1:15" x14ac:dyDescent="0.25">
      <c r="A100" s="16" t="s">
        <v>574</v>
      </c>
      <c r="B100" s="32" t="s">
        <v>575</v>
      </c>
      <c r="C100" s="25" t="s">
        <v>329</v>
      </c>
      <c r="D100" s="25" t="s">
        <v>217</v>
      </c>
      <c r="E100" s="25" t="s">
        <v>576</v>
      </c>
      <c r="F100" s="25">
        <v>3.62</v>
      </c>
      <c r="G100" s="25" t="s">
        <v>255</v>
      </c>
      <c r="H100" s="17">
        <v>5.9500000000000004E-2</v>
      </c>
      <c r="I100" s="17">
        <v>5.9400000000000001E-2</v>
      </c>
      <c r="J100" s="109">
        <v>5168000</v>
      </c>
      <c r="K100" s="25">
        <v>115.6764</v>
      </c>
      <c r="L100" s="83">
        <v>5978.16086</v>
      </c>
      <c r="M100" s="17" t="s">
        <v>249</v>
      </c>
      <c r="N100" s="24">
        <v>2.6934503413331592E-3</v>
      </c>
      <c r="O100" s="24">
        <v>2.4310883998847495E-3</v>
      </c>
    </row>
    <row r="101" spans="1:15" x14ac:dyDescent="0.25">
      <c r="A101" s="16" t="s">
        <v>577</v>
      </c>
      <c r="B101" s="32" t="s">
        <v>578</v>
      </c>
      <c r="C101" s="25" t="s">
        <v>329</v>
      </c>
      <c r="D101" s="25" t="s">
        <v>217</v>
      </c>
      <c r="E101" s="25" t="s">
        <v>579</v>
      </c>
      <c r="F101" s="25">
        <v>3.71</v>
      </c>
      <c r="G101" s="25" t="s">
        <v>255</v>
      </c>
      <c r="H101" s="17">
        <v>5.9500000000000004E-2</v>
      </c>
      <c r="I101" s="17">
        <v>5.9400000000000001E-2</v>
      </c>
      <c r="J101" s="109">
        <v>6688000</v>
      </c>
      <c r="K101" s="25">
        <v>115.476</v>
      </c>
      <c r="L101" s="83">
        <v>7723.0383600000005</v>
      </c>
      <c r="M101" s="17" t="s">
        <v>249</v>
      </c>
      <c r="N101" s="24">
        <v>3.4796019702405738E-3</v>
      </c>
      <c r="O101" s="24">
        <v>3.1406630581802277E-3</v>
      </c>
    </row>
    <row r="102" spans="1:15" x14ac:dyDescent="0.25">
      <c r="A102" s="16" t="s">
        <v>580</v>
      </c>
      <c r="B102" s="32" t="s">
        <v>581</v>
      </c>
      <c r="C102" s="25" t="s">
        <v>329</v>
      </c>
      <c r="D102" s="25" t="s">
        <v>217</v>
      </c>
      <c r="E102" s="25" t="s">
        <v>582</v>
      </c>
      <c r="F102" s="25">
        <v>3.79</v>
      </c>
      <c r="G102" s="25" t="s">
        <v>255</v>
      </c>
      <c r="H102" s="17">
        <v>5.9500000000000004E-2</v>
      </c>
      <c r="I102" s="17">
        <v>5.9299999999999999E-2</v>
      </c>
      <c r="J102" s="109">
        <v>10108000</v>
      </c>
      <c r="K102" s="25">
        <v>114.58029999999999</v>
      </c>
      <c r="L102" s="83">
        <v>11581.78284</v>
      </c>
      <c r="M102" s="17" t="s">
        <v>249</v>
      </c>
      <c r="N102" s="24">
        <v>5.2181528189331004E-3</v>
      </c>
      <c r="O102" s="24">
        <v>4.7098662233569016E-3</v>
      </c>
    </row>
    <row r="103" spans="1:15" x14ac:dyDescent="0.25">
      <c r="A103" s="16" t="s">
        <v>583</v>
      </c>
      <c r="B103" s="32" t="s">
        <v>584</v>
      </c>
      <c r="C103" s="25" t="s">
        <v>329</v>
      </c>
      <c r="D103" s="25" t="s">
        <v>217</v>
      </c>
      <c r="E103" s="25" t="s">
        <v>585</v>
      </c>
      <c r="F103" s="25">
        <v>3.87</v>
      </c>
      <c r="G103" s="25" t="s">
        <v>255</v>
      </c>
      <c r="H103" s="17">
        <v>5.9500000000000004E-2</v>
      </c>
      <c r="I103" s="17">
        <v>5.9299999999999999E-2</v>
      </c>
      <c r="J103" s="109">
        <v>4180000</v>
      </c>
      <c r="K103" s="25">
        <v>114.2646</v>
      </c>
      <c r="L103" s="83">
        <v>4776.2627300000004</v>
      </c>
      <c r="M103" s="17" t="s">
        <v>249</v>
      </c>
      <c r="N103" s="24">
        <v>2.1519371562068253E-3</v>
      </c>
      <c r="O103" s="24">
        <v>1.9423225954653997E-3</v>
      </c>
    </row>
    <row r="104" spans="1:15" x14ac:dyDescent="0.25">
      <c r="A104" s="16" t="s">
        <v>586</v>
      </c>
      <c r="B104" s="32" t="s">
        <v>587</v>
      </c>
      <c r="C104" s="25" t="s">
        <v>329</v>
      </c>
      <c r="D104" s="25" t="s">
        <v>217</v>
      </c>
      <c r="E104" s="25" t="s">
        <v>588</v>
      </c>
      <c r="F104" s="25">
        <v>3.96</v>
      </c>
      <c r="G104" s="25" t="s">
        <v>255</v>
      </c>
      <c r="H104" s="17">
        <v>5.9500000000000004E-2</v>
      </c>
      <c r="I104" s="17">
        <v>5.9299999999999999E-2</v>
      </c>
      <c r="J104" s="109">
        <v>27816000</v>
      </c>
      <c r="K104" s="25">
        <v>113.70650000000001</v>
      </c>
      <c r="L104" s="83">
        <v>31628.605489999998</v>
      </c>
      <c r="M104" s="17" t="s">
        <v>249</v>
      </c>
      <c r="N104" s="24">
        <v>1.4250215115980056E-2</v>
      </c>
      <c r="O104" s="24">
        <v>1.2862138994244142E-2</v>
      </c>
    </row>
    <row r="105" spans="1:15" x14ac:dyDescent="0.25">
      <c r="A105" s="16" t="s">
        <v>589</v>
      </c>
      <c r="B105" s="32" t="s">
        <v>590</v>
      </c>
      <c r="C105" s="25" t="s">
        <v>329</v>
      </c>
      <c r="D105" s="25" t="s">
        <v>217</v>
      </c>
      <c r="E105" s="25" t="s">
        <v>591</v>
      </c>
      <c r="F105" s="25">
        <v>4.04</v>
      </c>
      <c r="G105" s="25" t="s">
        <v>255</v>
      </c>
      <c r="H105" s="17">
        <v>5.9500000000000004E-2</v>
      </c>
      <c r="I105" s="17">
        <v>5.9299999999999999E-2</v>
      </c>
      <c r="J105" s="109">
        <v>31996000</v>
      </c>
      <c r="K105" s="25">
        <v>114.17270000000001</v>
      </c>
      <c r="L105" s="83">
        <v>36530.697959999998</v>
      </c>
      <c r="M105" s="17" t="s">
        <v>249</v>
      </c>
      <c r="N105" s="24">
        <v>1.6458844650342939E-2</v>
      </c>
      <c r="O105" s="24">
        <v>1.4855631711832103E-2</v>
      </c>
    </row>
    <row r="106" spans="1:15" x14ac:dyDescent="0.25">
      <c r="A106" s="16" t="s">
        <v>592</v>
      </c>
      <c r="B106" s="32" t="s">
        <v>593</v>
      </c>
      <c r="C106" s="25" t="s">
        <v>329</v>
      </c>
      <c r="D106" s="25" t="s">
        <v>217</v>
      </c>
      <c r="E106" s="25" t="s">
        <v>594</v>
      </c>
      <c r="F106" s="25">
        <v>4.12</v>
      </c>
      <c r="G106" s="25" t="s">
        <v>255</v>
      </c>
      <c r="H106" s="17">
        <v>5.9500000000000004E-2</v>
      </c>
      <c r="I106" s="17">
        <v>5.9400000000000001E-2</v>
      </c>
      <c r="J106" s="109">
        <v>30324000</v>
      </c>
      <c r="K106" s="25">
        <v>114.49</v>
      </c>
      <c r="L106" s="83">
        <v>34717.974070000004</v>
      </c>
      <c r="M106" s="17" t="s">
        <v>249</v>
      </c>
      <c r="N106" s="24">
        <v>1.5642124944298886E-2</v>
      </c>
      <c r="O106" s="24">
        <v>1.4118466532711623E-2</v>
      </c>
    </row>
    <row r="107" spans="1:15" x14ac:dyDescent="0.25">
      <c r="A107" s="16" t="s">
        <v>595</v>
      </c>
      <c r="B107" s="32" t="s">
        <v>596</v>
      </c>
      <c r="C107" s="25" t="s">
        <v>329</v>
      </c>
      <c r="D107" s="25" t="s">
        <v>217</v>
      </c>
      <c r="E107" s="25" t="s">
        <v>597</v>
      </c>
      <c r="F107" s="25">
        <v>4.21</v>
      </c>
      <c r="G107" s="25" t="s">
        <v>255</v>
      </c>
      <c r="H107" s="17">
        <v>5.9500000000000004E-2</v>
      </c>
      <c r="I107" s="17">
        <v>5.9400000000000001E-2</v>
      </c>
      <c r="J107" s="109">
        <v>10336000</v>
      </c>
      <c r="K107" s="25">
        <v>113.5586</v>
      </c>
      <c r="L107" s="83">
        <v>11737.42618</v>
      </c>
      <c r="M107" s="17" t="s">
        <v>249</v>
      </c>
      <c r="N107" s="24">
        <v>5.2882776645280429E-3</v>
      </c>
      <c r="O107" s="24">
        <v>4.7731603914555028E-3</v>
      </c>
    </row>
    <row r="108" spans="1:15" x14ac:dyDescent="0.25">
      <c r="A108" s="16" t="s">
        <v>598</v>
      </c>
      <c r="B108" s="32" t="s">
        <v>599</v>
      </c>
      <c r="C108" s="25" t="s">
        <v>329</v>
      </c>
      <c r="D108" s="25" t="s">
        <v>217</v>
      </c>
      <c r="E108" s="25" t="s">
        <v>600</v>
      </c>
      <c r="F108" s="25">
        <v>4.29</v>
      </c>
      <c r="G108" s="25" t="s">
        <v>255</v>
      </c>
      <c r="H108" s="17">
        <v>5.9500000000000004E-2</v>
      </c>
      <c r="I108" s="17">
        <v>5.9400000000000001E-2</v>
      </c>
      <c r="J108" s="109">
        <v>4712000</v>
      </c>
      <c r="K108" s="25">
        <v>112.3293</v>
      </c>
      <c r="L108" s="83">
        <v>5292.9573399999999</v>
      </c>
      <c r="M108" s="17" t="s">
        <v>249</v>
      </c>
      <c r="N108" s="24">
        <v>2.3847330454879814E-3</v>
      </c>
      <c r="O108" s="24">
        <v>2.1524424470503191E-3</v>
      </c>
    </row>
    <row r="109" spans="1:15" x14ac:dyDescent="0.25">
      <c r="A109" s="16" t="s">
        <v>601</v>
      </c>
      <c r="B109" s="32" t="s">
        <v>602</v>
      </c>
      <c r="C109" s="25" t="s">
        <v>329</v>
      </c>
      <c r="D109" s="25" t="s">
        <v>217</v>
      </c>
      <c r="E109" s="25" t="s">
        <v>603</v>
      </c>
      <c r="F109" s="25">
        <v>4.37</v>
      </c>
      <c r="G109" s="25" t="s">
        <v>255</v>
      </c>
      <c r="H109" s="17">
        <v>5.9500000000000004E-2</v>
      </c>
      <c r="I109" s="17">
        <v>5.9400000000000001E-2</v>
      </c>
      <c r="J109" s="109">
        <v>1596000</v>
      </c>
      <c r="K109" s="25">
        <v>111.5428</v>
      </c>
      <c r="L109" s="83">
        <v>1780.2233100000001</v>
      </c>
      <c r="M109" s="17" t="s">
        <v>249</v>
      </c>
      <c r="N109" s="24">
        <v>8.020766242761736E-4</v>
      </c>
      <c r="O109" s="24">
        <v>7.2394844158566731E-4</v>
      </c>
    </row>
    <row r="110" spans="1:15" x14ac:dyDescent="0.25">
      <c r="A110" s="16" t="s">
        <v>604</v>
      </c>
      <c r="B110" s="32" t="s">
        <v>605</v>
      </c>
      <c r="C110" s="25" t="s">
        <v>329</v>
      </c>
      <c r="D110" s="25" t="s">
        <v>217</v>
      </c>
      <c r="E110" s="25" t="s">
        <v>606</v>
      </c>
      <c r="F110" s="25">
        <v>4.46</v>
      </c>
      <c r="G110" s="25" t="s">
        <v>255</v>
      </c>
      <c r="H110" s="17">
        <v>5.9500000000000004E-2</v>
      </c>
      <c r="I110" s="17">
        <v>5.9400000000000001E-2</v>
      </c>
      <c r="J110" s="109">
        <v>4256000</v>
      </c>
      <c r="K110" s="25">
        <v>110.6666</v>
      </c>
      <c r="L110" s="83">
        <v>4709.9727899999998</v>
      </c>
      <c r="M110" s="17" t="s">
        <v>249</v>
      </c>
      <c r="N110" s="24">
        <v>2.1220703350052364E-3</v>
      </c>
      <c r="O110" s="24">
        <v>1.9153650230719634E-3</v>
      </c>
    </row>
    <row r="111" spans="1:15" x14ac:dyDescent="0.25">
      <c r="A111" s="16" t="s">
        <v>607</v>
      </c>
      <c r="B111" s="32" t="s">
        <v>608</v>
      </c>
      <c r="C111" s="25" t="s">
        <v>329</v>
      </c>
      <c r="D111" s="25" t="s">
        <v>217</v>
      </c>
      <c r="E111" s="25" t="s">
        <v>609</v>
      </c>
      <c r="F111" s="25">
        <v>3.89</v>
      </c>
      <c r="G111" s="25" t="s">
        <v>255</v>
      </c>
      <c r="H111" s="17">
        <v>5.9500000000000004E-2</v>
      </c>
      <c r="I111" s="17">
        <v>5.9400000000000001E-2</v>
      </c>
      <c r="J111" s="109">
        <v>3780000</v>
      </c>
      <c r="K111" s="25">
        <v>116.4769</v>
      </c>
      <c r="L111" s="83">
        <v>4402.82744</v>
      </c>
      <c r="M111" s="17" t="s">
        <v>249</v>
      </c>
      <c r="N111" s="24">
        <v>1.9836865130957687E-3</v>
      </c>
      <c r="O111" s="24">
        <v>1.790460806716778E-3</v>
      </c>
    </row>
    <row r="112" spans="1:15" x14ac:dyDescent="0.25">
      <c r="A112" s="16" t="s">
        <v>610</v>
      </c>
      <c r="B112" s="32" t="s">
        <v>611</v>
      </c>
      <c r="C112" s="25" t="s">
        <v>329</v>
      </c>
      <c r="D112" s="25" t="s">
        <v>217</v>
      </c>
      <c r="E112" s="25" t="s">
        <v>612</v>
      </c>
      <c r="F112" s="25">
        <v>3.97</v>
      </c>
      <c r="G112" s="25" t="s">
        <v>255</v>
      </c>
      <c r="H112" s="17">
        <v>5.9500000000000004E-2</v>
      </c>
      <c r="I112" s="17">
        <v>5.9400000000000001E-2</v>
      </c>
      <c r="J112" s="109">
        <v>11508000</v>
      </c>
      <c r="K112" s="25">
        <v>116.1328</v>
      </c>
      <c r="L112" s="83">
        <v>13364.565939999999</v>
      </c>
      <c r="M112" s="17" t="s">
        <v>249</v>
      </c>
      <c r="N112" s="24">
        <v>6.0213827522972527E-3</v>
      </c>
      <c r="O112" s="24">
        <v>5.4348556332137268E-3</v>
      </c>
    </row>
    <row r="113" spans="1:15" x14ac:dyDescent="0.25">
      <c r="A113" s="16" t="s">
        <v>613</v>
      </c>
      <c r="B113" s="32" t="s">
        <v>614</v>
      </c>
      <c r="C113" s="25" t="s">
        <v>329</v>
      </c>
      <c r="D113" s="25" t="s">
        <v>217</v>
      </c>
      <c r="E113" s="25" t="s">
        <v>615</v>
      </c>
      <c r="F113" s="25">
        <v>4.0599999999999996</v>
      </c>
      <c r="G113" s="25" t="s">
        <v>255</v>
      </c>
      <c r="H113" s="17">
        <v>5.9500000000000004E-2</v>
      </c>
      <c r="I113" s="17">
        <v>5.9400000000000001E-2</v>
      </c>
      <c r="J113" s="109">
        <v>1092000</v>
      </c>
      <c r="K113" s="25">
        <v>116.05629999999999</v>
      </c>
      <c r="L113" s="83">
        <v>1267.33518</v>
      </c>
      <c r="M113" s="17" t="s">
        <v>249</v>
      </c>
      <c r="N113" s="24">
        <v>5.7099573816996963E-4</v>
      </c>
      <c r="O113" s="24">
        <v>5.153765392093934E-4</v>
      </c>
    </row>
    <row r="114" spans="1:15" x14ac:dyDescent="0.25">
      <c r="A114" s="16" t="s">
        <v>616</v>
      </c>
      <c r="B114" s="32" t="s">
        <v>617</v>
      </c>
      <c r="C114" s="25" t="s">
        <v>329</v>
      </c>
      <c r="D114" s="25" t="s">
        <v>217</v>
      </c>
      <c r="E114" s="25" t="s">
        <v>618</v>
      </c>
      <c r="F114" s="25">
        <v>4.22</v>
      </c>
      <c r="G114" s="25" t="s">
        <v>255</v>
      </c>
      <c r="H114" s="17">
        <v>5.9500000000000004E-2</v>
      </c>
      <c r="I114" s="17">
        <v>5.9299999999999999E-2</v>
      </c>
      <c r="J114" s="109">
        <v>6048000</v>
      </c>
      <c r="K114" s="25">
        <v>115.29900000000001</v>
      </c>
      <c r="L114" s="83">
        <v>6973.2887499999997</v>
      </c>
      <c r="M114" s="17" t="s">
        <v>249</v>
      </c>
      <c r="N114" s="24">
        <v>3.1418035418843142E-3</v>
      </c>
      <c r="O114" s="24">
        <v>2.8357686897658727E-3</v>
      </c>
    </row>
    <row r="115" spans="1:15" x14ac:dyDescent="0.25">
      <c r="A115" s="16" t="s">
        <v>619</v>
      </c>
      <c r="B115" s="32" t="s">
        <v>620</v>
      </c>
      <c r="C115" s="25" t="s">
        <v>329</v>
      </c>
      <c r="D115" s="25" t="s">
        <v>217</v>
      </c>
      <c r="E115" s="25" t="s">
        <v>621</v>
      </c>
      <c r="F115" s="25">
        <v>4.3099999999999996</v>
      </c>
      <c r="G115" s="25" t="s">
        <v>255</v>
      </c>
      <c r="H115" s="17">
        <v>5.9500000000000004E-2</v>
      </c>
      <c r="I115" s="17">
        <v>5.9299999999999999E-2</v>
      </c>
      <c r="J115" s="109">
        <v>44520000</v>
      </c>
      <c r="K115" s="25">
        <v>114.8516</v>
      </c>
      <c r="L115" s="83">
        <v>51131.955540000003</v>
      </c>
      <c r="M115" s="17" t="s">
        <v>249</v>
      </c>
      <c r="N115" s="24">
        <v>2.3037416745297301E-2</v>
      </c>
      <c r="O115" s="24">
        <v>2.079340233355928E-2</v>
      </c>
    </row>
    <row r="116" spans="1:15" x14ac:dyDescent="0.25">
      <c r="A116" s="16" t="s">
        <v>622</v>
      </c>
      <c r="B116" s="32" t="s">
        <v>623</v>
      </c>
      <c r="C116" s="25" t="s">
        <v>329</v>
      </c>
      <c r="D116" s="25" t="s">
        <v>217</v>
      </c>
      <c r="E116" s="25" t="s">
        <v>624</v>
      </c>
      <c r="F116" s="25">
        <v>4.3899999999999997</v>
      </c>
      <c r="G116" s="25" t="s">
        <v>255</v>
      </c>
      <c r="H116" s="17">
        <v>5.9500000000000004E-2</v>
      </c>
      <c r="I116" s="17">
        <v>5.9400000000000001E-2</v>
      </c>
      <c r="J116" s="109">
        <v>32340000</v>
      </c>
      <c r="K116" s="25">
        <v>114.8674</v>
      </c>
      <c r="L116" s="83">
        <v>37148.132319999997</v>
      </c>
      <c r="M116" s="17" t="s">
        <v>249</v>
      </c>
      <c r="N116" s="24">
        <v>1.6737028664898349E-2</v>
      </c>
      <c r="O116" s="24">
        <v>1.5106718550316114E-2</v>
      </c>
    </row>
    <row r="117" spans="1:15" x14ac:dyDescent="0.25">
      <c r="A117" s="16" t="s">
        <v>625</v>
      </c>
      <c r="B117" s="32" t="s">
        <v>626</v>
      </c>
      <c r="C117" s="25" t="s">
        <v>329</v>
      </c>
      <c r="D117" s="25" t="s">
        <v>217</v>
      </c>
      <c r="E117" s="25" t="s">
        <v>627</v>
      </c>
      <c r="F117" s="25">
        <v>4.47</v>
      </c>
      <c r="G117" s="25" t="s">
        <v>255</v>
      </c>
      <c r="H117" s="17">
        <v>5.9500000000000004E-2</v>
      </c>
      <c r="I117" s="17">
        <v>5.9299999999999999E-2</v>
      </c>
      <c r="J117" s="109">
        <v>38220000</v>
      </c>
      <c r="K117" s="25">
        <v>114.7046</v>
      </c>
      <c r="L117" s="83">
        <v>43840.118200000004</v>
      </c>
      <c r="M117" s="17" t="s">
        <v>249</v>
      </c>
      <c r="N117" s="24">
        <v>1.975209167086147E-2</v>
      </c>
      <c r="O117" s="24">
        <v>1.7828092167730042E-2</v>
      </c>
    </row>
    <row r="118" spans="1:15" x14ac:dyDescent="0.25">
      <c r="A118" s="16" t="s">
        <v>628</v>
      </c>
      <c r="B118" s="32" t="s">
        <v>629</v>
      </c>
      <c r="C118" s="25" t="s">
        <v>329</v>
      </c>
      <c r="D118" s="25" t="s">
        <v>217</v>
      </c>
      <c r="E118" s="25" t="s">
        <v>630</v>
      </c>
      <c r="F118" s="25">
        <v>4.5599999999999996</v>
      </c>
      <c r="G118" s="25" t="s">
        <v>255</v>
      </c>
      <c r="H118" s="17">
        <v>5.9500000000000004E-2</v>
      </c>
      <c r="I118" s="17">
        <v>5.9400000000000001E-2</v>
      </c>
      <c r="J118" s="109">
        <v>2352000</v>
      </c>
      <c r="K118" s="25">
        <v>114.36899999999999</v>
      </c>
      <c r="L118" s="83">
        <v>2689.9590899999998</v>
      </c>
      <c r="M118" s="17" t="s">
        <v>249</v>
      </c>
      <c r="N118" s="24">
        <v>1.2119565529945834E-3</v>
      </c>
      <c r="O118" s="24">
        <v>1.0939030402510005E-3</v>
      </c>
    </row>
    <row r="119" spans="1:15" x14ac:dyDescent="0.25">
      <c r="A119" s="16" t="s">
        <v>631</v>
      </c>
      <c r="B119" s="32" t="s">
        <v>632</v>
      </c>
      <c r="C119" s="25" t="s">
        <v>329</v>
      </c>
      <c r="D119" s="25" t="s">
        <v>217</v>
      </c>
      <c r="E119" s="25" t="s">
        <v>633</v>
      </c>
      <c r="F119" s="25">
        <v>4.6399999999999997</v>
      </c>
      <c r="G119" s="25" t="s">
        <v>255</v>
      </c>
      <c r="H119" s="17">
        <v>5.9500000000000004E-2</v>
      </c>
      <c r="I119" s="17">
        <v>5.9400000000000001E-2</v>
      </c>
      <c r="J119" s="109">
        <v>9828000</v>
      </c>
      <c r="K119" s="25">
        <v>113.35560000000001</v>
      </c>
      <c r="L119" s="83">
        <v>11140.598039999999</v>
      </c>
      <c r="M119" s="17" t="s">
        <v>249</v>
      </c>
      <c r="N119" s="24">
        <v>5.0193777478067933E-3</v>
      </c>
      <c r="O119" s="24">
        <v>4.530453311158103E-3</v>
      </c>
    </row>
    <row r="120" spans="1:15" x14ac:dyDescent="0.25">
      <c r="A120" s="16" t="s">
        <v>634</v>
      </c>
      <c r="B120" s="32" t="s">
        <v>635</v>
      </c>
      <c r="C120" s="25" t="s">
        <v>329</v>
      </c>
      <c r="D120" s="25" t="s">
        <v>217</v>
      </c>
      <c r="E120" s="25" t="s">
        <v>636</v>
      </c>
      <c r="F120" s="25">
        <v>4.6399999999999997</v>
      </c>
      <c r="G120" s="25" t="s">
        <v>255</v>
      </c>
      <c r="H120" s="17">
        <v>5.9500000000000004E-2</v>
      </c>
      <c r="I120" s="17">
        <v>5.9400000000000001E-2</v>
      </c>
      <c r="J120" s="109">
        <v>35972000</v>
      </c>
      <c r="K120" s="25">
        <v>115.10210000000001</v>
      </c>
      <c r="L120" s="83">
        <v>41404.543229999996</v>
      </c>
      <c r="M120" s="17" t="s">
        <v>249</v>
      </c>
      <c r="N120" s="24">
        <v>1.8654747456157784E-2</v>
      </c>
      <c r="O120" s="24">
        <v>1.683763737815841E-2</v>
      </c>
    </row>
    <row r="121" spans="1:15" x14ac:dyDescent="0.25">
      <c r="A121" s="16" t="s">
        <v>637</v>
      </c>
      <c r="B121" s="32" t="s">
        <v>638</v>
      </c>
      <c r="C121" s="25" t="s">
        <v>329</v>
      </c>
      <c r="D121" s="25" t="s">
        <v>217</v>
      </c>
      <c r="E121" s="25" t="s">
        <v>639</v>
      </c>
      <c r="F121" s="25">
        <v>4.7300000000000004</v>
      </c>
      <c r="G121" s="25" t="s">
        <v>255</v>
      </c>
      <c r="H121" s="17">
        <v>5.9500000000000004E-2</v>
      </c>
      <c r="I121" s="17">
        <v>5.9400000000000001E-2</v>
      </c>
      <c r="J121" s="109">
        <v>38548000</v>
      </c>
      <c r="K121" s="25">
        <v>114.74850000000001</v>
      </c>
      <c r="L121" s="83">
        <v>44233.264889999999</v>
      </c>
      <c r="M121" s="17" t="s">
        <v>249</v>
      </c>
      <c r="N121" s="24">
        <v>1.9929223252157614E-2</v>
      </c>
      <c r="O121" s="24">
        <v>1.7987969825741416E-2</v>
      </c>
    </row>
    <row r="122" spans="1:15" x14ac:dyDescent="0.25">
      <c r="A122" s="16" t="s">
        <v>640</v>
      </c>
      <c r="B122" s="32" t="s">
        <v>641</v>
      </c>
      <c r="C122" s="25" t="s">
        <v>329</v>
      </c>
      <c r="D122" s="25" t="s">
        <v>217</v>
      </c>
      <c r="E122" s="25" t="s">
        <v>642</v>
      </c>
      <c r="F122" s="25">
        <v>4.8099999999999996</v>
      </c>
      <c r="G122" s="25" t="s">
        <v>255</v>
      </c>
      <c r="H122" s="17">
        <v>5.9500000000000004E-2</v>
      </c>
      <c r="I122" s="17">
        <v>5.9400000000000001E-2</v>
      </c>
      <c r="J122" s="109">
        <v>40388000</v>
      </c>
      <c r="K122" s="25">
        <v>114.23719999999999</v>
      </c>
      <c r="L122" s="83">
        <v>46138.15221</v>
      </c>
      <c r="M122" s="17" t="s">
        <v>249</v>
      </c>
      <c r="N122" s="24">
        <v>2.0787467036894981E-2</v>
      </c>
      <c r="O122" s="24">
        <v>1.8762614331834477E-2</v>
      </c>
    </row>
    <row r="123" spans="1:15" x14ac:dyDescent="0.25">
      <c r="A123" s="16" t="s">
        <v>643</v>
      </c>
      <c r="B123" s="32" t="s">
        <v>644</v>
      </c>
      <c r="C123" s="25" t="s">
        <v>329</v>
      </c>
      <c r="D123" s="25" t="s">
        <v>217</v>
      </c>
      <c r="E123" s="25" t="s">
        <v>645</v>
      </c>
      <c r="F123" s="25">
        <v>4.8899999999999997</v>
      </c>
      <c r="G123" s="25" t="s">
        <v>255</v>
      </c>
      <c r="H123" s="17">
        <v>5.9500000000000004E-2</v>
      </c>
      <c r="I123" s="17">
        <v>5.9400000000000001E-2</v>
      </c>
      <c r="J123" s="109">
        <v>5704000</v>
      </c>
      <c r="K123" s="25">
        <v>113.33050000000001</v>
      </c>
      <c r="L123" s="83">
        <v>6464.3745699999999</v>
      </c>
      <c r="M123" s="17" t="s">
        <v>249</v>
      </c>
      <c r="N123" s="24">
        <v>2.9125131122804708E-3</v>
      </c>
      <c r="O123" s="24">
        <v>2.628812840214702E-3</v>
      </c>
    </row>
    <row r="124" spans="1:15" x14ac:dyDescent="0.25">
      <c r="A124" s="16" t="s">
        <v>646</v>
      </c>
      <c r="B124" s="32" t="s">
        <v>647</v>
      </c>
      <c r="C124" s="25" t="s">
        <v>329</v>
      </c>
      <c r="D124" s="25" t="s">
        <v>217</v>
      </c>
      <c r="E124" s="25" t="s">
        <v>648</v>
      </c>
      <c r="F124" s="25">
        <v>4.97</v>
      </c>
      <c r="G124" s="25" t="s">
        <v>255</v>
      </c>
      <c r="H124" s="17">
        <v>5.9500000000000004E-2</v>
      </c>
      <c r="I124" s="17">
        <v>5.9400000000000001E-2</v>
      </c>
      <c r="J124" s="109">
        <v>736000</v>
      </c>
      <c r="K124" s="25">
        <v>112.5595</v>
      </c>
      <c r="L124" s="83">
        <v>828.43835000000001</v>
      </c>
      <c r="M124" s="17" t="s">
        <v>249</v>
      </c>
      <c r="N124" s="24">
        <v>3.7325150808688328E-4</v>
      </c>
      <c r="O124" s="24">
        <v>3.3689405652839223E-4</v>
      </c>
    </row>
    <row r="125" spans="1:15" x14ac:dyDescent="0.25">
      <c r="A125" s="16" t="s">
        <v>649</v>
      </c>
      <c r="B125" s="32" t="s">
        <v>650</v>
      </c>
      <c r="C125" s="25" t="s">
        <v>329</v>
      </c>
      <c r="D125" s="25" t="s">
        <v>217</v>
      </c>
      <c r="E125" s="25" t="s">
        <v>651</v>
      </c>
      <c r="F125" s="25">
        <v>5.0599999999999996</v>
      </c>
      <c r="G125" s="25" t="s">
        <v>255</v>
      </c>
      <c r="H125" s="17">
        <v>5.9500000000000004E-2</v>
      </c>
      <c r="I125" s="17">
        <v>5.9400000000000001E-2</v>
      </c>
      <c r="J125" s="109">
        <v>4048000</v>
      </c>
      <c r="K125" s="25">
        <v>111.56950000000001</v>
      </c>
      <c r="L125" s="83">
        <v>4516.3350899999996</v>
      </c>
      <c r="M125" s="17" t="s">
        <v>249</v>
      </c>
      <c r="N125" s="24">
        <v>2.034827194284535E-3</v>
      </c>
      <c r="O125" s="24">
        <v>1.8366200081292969E-3</v>
      </c>
    </row>
    <row r="126" spans="1:15" x14ac:dyDescent="0.25">
      <c r="A126" s="16" t="s">
        <v>652</v>
      </c>
      <c r="B126" s="32" t="s">
        <v>653</v>
      </c>
      <c r="C126" s="25" t="s">
        <v>329</v>
      </c>
      <c r="D126" s="25" t="s">
        <v>217</v>
      </c>
      <c r="E126" s="25" t="s">
        <v>654</v>
      </c>
      <c r="F126" s="25">
        <v>5.14</v>
      </c>
      <c r="G126" s="25" t="s">
        <v>255</v>
      </c>
      <c r="H126" s="17">
        <v>5.9500000000000004E-2</v>
      </c>
      <c r="I126" s="17">
        <v>5.9400000000000001E-2</v>
      </c>
      <c r="J126" s="109">
        <v>3680000</v>
      </c>
      <c r="K126" s="25">
        <v>111.7856</v>
      </c>
      <c r="L126" s="83">
        <v>4113.7112799999995</v>
      </c>
      <c r="M126" s="17" t="s">
        <v>249</v>
      </c>
      <c r="N126" s="24">
        <v>1.8534257124794172E-3</v>
      </c>
      <c r="O126" s="24">
        <v>1.6728883694312373E-3</v>
      </c>
    </row>
    <row r="127" spans="1:15" x14ac:dyDescent="0.25">
      <c r="A127" s="16" t="s">
        <v>655</v>
      </c>
      <c r="B127" s="32" t="s">
        <v>656</v>
      </c>
      <c r="C127" s="25" t="s">
        <v>329</v>
      </c>
      <c r="D127" s="25" t="s">
        <v>217</v>
      </c>
      <c r="E127" s="25" t="s">
        <v>657</v>
      </c>
      <c r="F127" s="25">
        <v>4.8</v>
      </c>
      <c r="G127" s="25" t="s">
        <v>255</v>
      </c>
      <c r="H127" s="17">
        <v>5.9500000000000004E-2</v>
      </c>
      <c r="I127" s="17">
        <v>5.9400000000000001E-2</v>
      </c>
      <c r="J127" s="109">
        <v>5200000</v>
      </c>
      <c r="K127" s="25">
        <v>115.50239999999999</v>
      </c>
      <c r="L127" s="83">
        <v>6006.1294200000002</v>
      </c>
      <c r="M127" s="17" t="s">
        <v>249</v>
      </c>
      <c r="N127" s="24">
        <v>2.7060515290968819E-3</v>
      </c>
      <c r="O127" s="24">
        <v>2.4424621389609979E-3</v>
      </c>
    </row>
    <row r="128" spans="1:15" x14ac:dyDescent="0.25">
      <c r="A128" s="16" t="s">
        <v>658</v>
      </c>
      <c r="B128" s="32" t="s">
        <v>659</v>
      </c>
      <c r="C128" s="25" t="s">
        <v>329</v>
      </c>
      <c r="D128" s="25" t="s">
        <v>217</v>
      </c>
      <c r="E128" s="25" t="s">
        <v>660</v>
      </c>
      <c r="F128" s="25">
        <v>4.97</v>
      </c>
      <c r="G128" s="25" t="s">
        <v>255</v>
      </c>
      <c r="H128" s="17">
        <v>5.9500000000000004E-2</v>
      </c>
      <c r="I128" s="17">
        <v>5.9400000000000001E-2</v>
      </c>
      <c r="J128" s="109">
        <v>52500000</v>
      </c>
      <c r="K128" s="25">
        <v>114.6254</v>
      </c>
      <c r="L128" s="83">
        <v>60178.356</v>
      </c>
      <c r="M128" s="17" t="s">
        <v>249</v>
      </c>
      <c r="N128" s="24">
        <v>2.7113257288474565E-2</v>
      </c>
      <c r="O128" s="24">
        <v>2.4472225927312168E-2</v>
      </c>
    </row>
    <row r="129" spans="1:15" x14ac:dyDescent="0.25">
      <c r="A129" s="16" t="s">
        <v>661</v>
      </c>
      <c r="B129" s="32" t="s">
        <v>662</v>
      </c>
      <c r="C129" s="25" t="s">
        <v>329</v>
      </c>
      <c r="D129" s="25" t="s">
        <v>217</v>
      </c>
      <c r="E129" s="25" t="s">
        <v>663</v>
      </c>
      <c r="F129" s="25">
        <v>5.05</v>
      </c>
      <c r="G129" s="25" t="s">
        <v>255</v>
      </c>
      <c r="H129" s="17">
        <v>5.9500000000000004E-2</v>
      </c>
      <c r="I129" s="17">
        <v>5.9400000000000001E-2</v>
      </c>
      <c r="J129" s="109">
        <v>56400000</v>
      </c>
      <c r="K129" s="25">
        <v>114.63360000000002</v>
      </c>
      <c r="L129" s="83">
        <v>64653.385759999997</v>
      </c>
      <c r="M129" s="17" t="s">
        <v>249</v>
      </c>
      <c r="N129" s="24">
        <v>2.912947443565719E-2</v>
      </c>
      <c r="O129" s="24">
        <v>2.6292048644273154E-2</v>
      </c>
    </row>
    <row r="130" spans="1:15" x14ac:dyDescent="0.25">
      <c r="A130" s="16" t="s">
        <v>664</v>
      </c>
      <c r="B130" s="32" t="s">
        <v>665</v>
      </c>
      <c r="C130" s="25" t="s">
        <v>329</v>
      </c>
      <c r="D130" s="25" t="s">
        <v>217</v>
      </c>
      <c r="E130" s="25" t="s">
        <v>666</v>
      </c>
      <c r="F130" s="25">
        <v>5.13</v>
      </c>
      <c r="G130" s="25" t="s">
        <v>255</v>
      </c>
      <c r="H130" s="17">
        <v>5.9500000000000004E-2</v>
      </c>
      <c r="I130" s="17">
        <v>5.9400000000000001E-2</v>
      </c>
      <c r="J130" s="109">
        <v>52100000</v>
      </c>
      <c r="K130" s="25">
        <v>114.0087</v>
      </c>
      <c r="L130" s="83">
        <v>59398.578869999998</v>
      </c>
      <c r="M130" s="17" t="s">
        <v>249</v>
      </c>
      <c r="N130" s="24">
        <v>2.6761930011382475E-2</v>
      </c>
      <c r="O130" s="24">
        <v>2.4155120519874465E-2</v>
      </c>
    </row>
    <row r="131" spans="1:15" x14ac:dyDescent="0.25">
      <c r="A131" s="16" t="s">
        <v>667</v>
      </c>
      <c r="B131" s="32" t="s">
        <v>668</v>
      </c>
      <c r="C131" s="25" t="s">
        <v>329</v>
      </c>
      <c r="D131" s="25" t="s">
        <v>217</v>
      </c>
      <c r="E131" s="25" t="s">
        <v>669</v>
      </c>
      <c r="F131" s="25">
        <v>5.58</v>
      </c>
      <c r="G131" s="25" t="s">
        <v>255</v>
      </c>
      <c r="H131" s="17">
        <v>5.9500000000000004E-2</v>
      </c>
      <c r="I131" s="17">
        <v>5.9400000000000001E-2</v>
      </c>
      <c r="J131" s="109">
        <v>5400000</v>
      </c>
      <c r="K131" s="25">
        <v>113.9397</v>
      </c>
      <c r="L131" s="83">
        <v>6152.74442</v>
      </c>
      <c r="M131" s="17" t="s">
        <v>249</v>
      </c>
      <c r="N131" s="24">
        <v>2.7721086712585866E-3</v>
      </c>
      <c r="O131" s="24">
        <v>2.5020848279612238E-3</v>
      </c>
    </row>
    <row r="132" spans="1:15" x14ac:dyDescent="0.25">
      <c r="A132" s="16" t="s">
        <v>670</v>
      </c>
      <c r="B132" s="32" t="s">
        <v>671</v>
      </c>
      <c r="C132" s="25" t="s">
        <v>329</v>
      </c>
      <c r="D132" s="25" t="s">
        <v>217</v>
      </c>
      <c r="E132" s="25" t="s">
        <v>672</v>
      </c>
      <c r="F132" s="25">
        <v>5.66</v>
      </c>
      <c r="G132" s="25" t="s">
        <v>255</v>
      </c>
      <c r="H132" s="17">
        <v>5.9500000000000004E-2</v>
      </c>
      <c r="I132" s="17">
        <v>5.9400000000000001E-2</v>
      </c>
      <c r="J132" s="109">
        <v>57300000</v>
      </c>
      <c r="K132" s="25">
        <v>113.7192</v>
      </c>
      <c r="L132" s="83">
        <v>65161.158259999997</v>
      </c>
      <c r="M132" s="17" t="s">
        <v>249</v>
      </c>
      <c r="N132" s="24">
        <v>2.9358250483253304E-2</v>
      </c>
      <c r="O132" s="24">
        <v>2.6498540216420393E-2</v>
      </c>
    </row>
    <row r="133" spans="1:15" x14ac:dyDescent="0.25">
      <c r="A133" s="16" t="s">
        <v>661</v>
      </c>
      <c r="B133" s="32" t="s">
        <v>673</v>
      </c>
      <c r="C133" s="25" t="s">
        <v>329</v>
      </c>
      <c r="D133" s="25" t="s">
        <v>217</v>
      </c>
      <c r="E133" s="25" t="s">
        <v>674</v>
      </c>
      <c r="F133" s="25">
        <v>5.75</v>
      </c>
      <c r="G133" s="25" t="s">
        <v>255</v>
      </c>
      <c r="H133" s="17">
        <v>5.9500000000000004E-2</v>
      </c>
      <c r="I133" s="17">
        <v>5.9400000000000001E-2</v>
      </c>
      <c r="J133" s="109">
        <v>49600000</v>
      </c>
      <c r="K133" s="25">
        <v>113.2719</v>
      </c>
      <c r="L133" s="83">
        <v>56182.871159999995</v>
      </c>
      <c r="M133" s="17" t="s">
        <v>249</v>
      </c>
      <c r="N133" s="24">
        <v>2.5313098300098084E-2</v>
      </c>
      <c r="O133" s="24">
        <v>2.2847415709937157E-2</v>
      </c>
    </row>
    <row r="134" spans="1:15" x14ac:dyDescent="0.25">
      <c r="A134" s="16" t="s">
        <v>675</v>
      </c>
      <c r="B134" s="32" t="s">
        <v>676</v>
      </c>
      <c r="C134" s="25" t="s">
        <v>329</v>
      </c>
      <c r="D134" s="25" t="s">
        <v>217</v>
      </c>
      <c r="E134" s="25" t="s">
        <v>677</v>
      </c>
      <c r="F134" s="25">
        <v>5.82</v>
      </c>
      <c r="G134" s="25" t="s">
        <v>255</v>
      </c>
      <c r="H134" s="17">
        <v>5.9500000000000004E-2</v>
      </c>
      <c r="I134" s="17">
        <v>5.9400000000000001E-2</v>
      </c>
      <c r="J134" s="109">
        <v>34200000</v>
      </c>
      <c r="K134" s="25">
        <v>112.65460000000002</v>
      </c>
      <c r="L134" s="83">
        <v>38527.905740000002</v>
      </c>
      <c r="M134" s="17" t="s">
        <v>249</v>
      </c>
      <c r="N134" s="24">
        <v>1.7358683263376553E-2</v>
      </c>
      <c r="O134" s="24">
        <v>1.5667819402967194E-2</v>
      </c>
    </row>
    <row r="135" spans="1:15" x14ac:dyDescent="0.25">
      <c r="A135" s="16" t="s">
        <v>678</v>
      </c>
      <c r="B135" s="32" t="s">
        <v>679</v>
      </c>
      <c r="C135" s="25" t="s">
        <v>329</v>
      </c>
      <c r="D135" s="25" t="s">
        <v>217</v>
      </c>
      <c r="E135" s="25" t="s">
        <v>680</v>
      </c>
      <c r="F135" s="25">
        <v>5.91</v>
      </c>
      <c r="G135" s="25" t="s">
        <v>255</v>
      </c>
      <c r="H135" s="17">
        <v>5.9500000000000004E-2</v>
      </c>
      <c r="I135" s="17">
        <v>5.9400000000000001E-2</v>
      </c>
      <c r="J135" s="109">
        <v>28300000</v>
      </c>
      <c r="K135" s="25">
        <v>111.5398</v>
      </c>
      <c r="L135" s="83">
        <v>31565.790850000001</v>
      </c>
      <c r="M135" s="17" t="s">
        <v>249</v>
      </c>
      <c r="N135" s="24">
        <v>1.4221914085360296E-2</v>
      </c>
      <c r="O135" s="24">
        <v>1.2836594692874017E-2</v>
      </c>
    </row>
    <row r="136" spans="1:15" x14ac:dyDescent="0.25">
      <c r="A136" s="16" t="s">
        <v>681</v>
      </c>
      <c r="B136" s="32" t="s">
        <v>682</v>
      </c>
      <c r="C136" s="25" t="s">
        <v>329</v>
      </c>
      <c r="D136" s="25" t="s">
        <v>217</v>
      </c>
      <c r="E136" s="25" t="s">
        <v>683</v>
      </c>
      <c r="F136" s="25">
        <v>5.99</v>
      </c>
      <c r="G136" s="25" t="s">
        <v>255</v>
      </c>
      <c r="H136" s="17">
        <v>5.9500000000000004E-2</v>
      </c>
      <c r="I136" s="17">
        <v>5.9400000000000001E-2</v>
      </c>
      <c r="J136" s="109">
        <v>3500000</v>
      </c>
      <c r="K136" s="25">
        <v>110.6726</v>
      </c>
      <c r="L136" s="83">
        <v>3873.5435200000002</v>
      </c>
      <c r="M136" s="17" t="s">
        <v>249</v>
      </c>
      <c r="N136" s="24">
        <v>1.7452185313248407E-3</v>
      </c>
      <c r="O136" s="24">
        <v>1.575221366311769E-3</v>
      </c>
    </row>
    <row r="137" spans="1:15" x14ac:dyDescent="0.25">
      <c r="A137" s="16" t="s">
        <v>684</v>
      </c>
      <c r="B137" s="32" t="s">
        <v>685</v>
      </c>
      <c r="C137" s="25" t="s">
        <v>329</v>
      </c>
      <c r="D137" s="25" t="s">
        <v>217</v>
      </c>
      <c r="E137" s="25" t="s">
        <v>686</v>
      </c>
      <c r="F137" s="25">
        <v>6.08</v>
      </c>
      <c r="G137" s="25" t="s">
        <v>255</v>
      </c>
      <c r="H137" s="17">
        <v>5.9500000000000004E-2</v>
      </c>
      <c r="I137" s="17">
        <v>5.9400000000000001E-2</v>
      </c>
      <c r="J137" s="109">
        <v>2500000</v>
      </c>
      <c r="K137" s="25">
        <v>109.3609</v>
      </c>
      <c r="L137" s="83">
        <v>2734.02439</v>
      </c>
      <c r="M137" s="17" t="s">
        <v>249</v>
      </c>
      <c r="N137" s="24">
        <v>1.2318100999474748E-3</v>
      </c>
      <c r="O137" s="24">
        <v>1.1118227052075308E-3</v>
      </c>
    </row>
    <row r="138" spans="1:15" x14ac:dyDescent="0.25">
      <c r="A138" s="16" t="s">
        <v>687</v>
      </c>
      <c r="B138" s="32" t="s">
        <v>688</v>
      </c>
      <c r="C138" s="25" t="s">
        <v>329</v>
      </c>
      <c r="D138" s="25" t="s">
        <v>217</v>
      </c>
      <c r="E138" s="25" t="s">
        <v>689</v>
      </c>
      <c r="F138" s="25">
        <v>6.16</v>
      </c>
      <c r="G138" s="25" t="s">
        <v>255</v>
      </c>
      <c r="H138" s="17">
        <v>5.9500000000000004E-2</v>
      </c>
      <c r="I138" s="17">
        <v>5.9400000000000001E-2</v>
      </c>
      <c r="J138" s="109">
        <v>4900000</v>
      </c>
      <c r="K138" s="25">
        <v>108.8287</v>
      </c>
      <c r="L138" s="83">
        <v>5332.6091500000002</v>
      </c>
      <c r="M138" s="17" t="s">
        <v>249</v>
      </c>
      <c r="N138" s="24">
        <v>2.402598101929266E-3</v>
      </c>
      <c r="O138" s="24">
        <v>2.1685673151465306E-3</v>
      </c>
    </row>
    <row r="139" spans="1:15" x14ac:dyDescent="0.25">
      <c r="A139" s="16" t="s">
        <v>690</v>
      </c>
      <c r="B139" s="32" t="s">
        <v>691</v>
      </c>
      <c r="C139" s="25" t="s">
        <v>329</v>
      </c>
      <c r="D139" s="25" t="s">
        <v>217</v>
      </c>
      <c r="E139" s="25" t="s">
        <v>692</v>
      </c>
      <c r="F139" s="25">
        <v>5.98</v>
      </c>
      <c r="G139" s="25" t="s">
        <v>255</v>
      </c>
      <c r="H139" s="17">
        <v>5.9500000000000004E-2</v>
      </c>
      <c r="I139" s="17">
        <v>5.9400000000000001E-2</v>
      </c>
      <c r="J139" s="109">
        <v>8900000</v>
      </c>
      <c r="K139" s="25">
        <v>115.01349999999999</v>
      </c>
      <c r="L139" s="83">
        <v>10236.202369999999</v>
      </c>
      <c r="M139" s="17" t="s">
        <v>249</v>
      </c>
      <c r="N139" s="24">
        <v>4.6119037966856902E-3</v>
      </c>
      <c r="O139" s="24">
        <v>4.1626703301155029E-3</v>
      </c>
    </row>
    <row r="140" spans="1:15" x14ac:dyDescent="0.25">
      <c r="A140" s="16" t="s">
        <v>693</v>
      </c>
      <c r="B140" s="32" t="s">
        <v>694</v>
      </c>
      <c r="C140" s="25" t="s">
        <v>329</v>
      </c>
      <c r="D140" s="25" t="s">
        <v>217</v>
      </c>
      <c r="E140" s="25" t="s">
        <v>695</v>
      </c>
      <c r="F140" s="25">
        <v>6.15</v>
      </c>
      <c r="G140" s="25" t="s">
        <v>255</v>
      </c>
      <c r="H140" s="17">
        <v>5.9500000000000004E-2</v>
      </c>
      <c r="I140" s="17">
        <v>5.9400000000000001E-2</v>
      </c>
      <c r="J140" s="109">
        <v>7200000</v>
      </c>
      <c r="K140" s="25">
        <v>113.68089999999999</v>
      </c>
      <c r="L140" s="83">
        <v>8185.0249699999995</v>
      </c>
      <c r="M140" s="17" t="s">
        <v>249</v>
      </c>
      <c r="N140" s="24">
        <v>3.6877492619472488E-3</v>
      </c>
      <c r="O140" s="24">
        <v>3.3285352675060031E-3</v>
      </c>
    </row>
    <row r="141" spans="1:15" x14ac:dyDescent="0.25">
      <c r="A141" s="16" t="s">
        <v>696</v>
      </c>
      <c r="B141" s="32" t="s">
        <v>697</v>
      </c>
      <c r="C141" s="25" t="s">
        <v>329</v>
      </c>
      <c r="D141" s="25" t="s">
        <v>217</v>
      </c>
      <c r="E141" s="25" t="s">
        <v>698</v>
      </c>
      <c r="F141" s="25">
        <v>6.23</v>
      </c>
      <c r="G141" s="25" t="s">
        <v>255</v>
      </c>
      <c r="H141" s="17">
        <v>5.9500000000000004E-2</v>
      </c>
      <c r="I141" s="17">
        <v>5.9400000000000001E-2</v>
      </c>
      <c r="J141" s="109">
        <v>4000000</v>
      </c>
      <c r="K141" s="25">
        <v>113.6129</v>
      </c>
      <c r="L141" s="83">
        <v>4544.5165199999992</v>
      </c>
      <c r="M141" s="17" t="s">
        <v>249</v>
      </c>
      <c r="N141" s="24">
        <v>2.0475242902694623E-3</v>
      </c>
      <c r="O141" s="24">
        <v>1.8480803132581828E-3</v>
      </c>
    </row>
    <row r="142" spans="1:15" x14ac:dyDescent="0.25">
      <c r="A142" s="16" t="s">
        <v>699</v>
      </c>
      <c r="B142" s="32" t="s">
        <v>700</v>
      </c>
      <c r="C142" s="25" t="s">
        <v>329</v>
      </c>
      <c r="D142" s="25" t="s">
        <v>217</v>
      </c>
      <c r="E142" s="25" t="s">
        <v>701</v>
      </c>
      <c r="F142" s="25">
        <v>6.32</v>
      </c>
      <c r="G142" s="25" t="s">
        <v>255</v>
      </c>
      <c r="H142" s="17">
        <v>5.9500000000000004E-2</v>
      </c>
      <c r="I142" s="17">
        <v>5.9400000000000001E-2</v>
      </c>
      <c r="J142" s="109">
        <v>57000000</v>
      </c>
      <c r="K142" s="25">
        <v>113.0401</v>
      </c>
      <c r="L142" s="83">
        <v>64432.883179999997</v>
      </c>
      <c r="M142" s="17" t="s">
        <v>249</v>
      </c>
      <c r="N142" s="24">
        <v>2.9030127368344278E-2</v>
      </c>
      <c r="O142" s="24">
        <v>2.6202378714517759E-2</v>
      </c>
    </row>
    <row r="143" spans="1:15" x14ac:dyDescent="0.25">
      <c r="A143" s="16" t="s">
        <v>702</v>
      </c>
      <c r="B143" s="32" t="s">
        <v>703</v>
      </c>
      <c r="C143" s="25" t="s">
        <v>329</v>
      </c>
      <c r="D143" s="25" t="s">
        <v>217</v>
      </c>
      <c r="E143" s="25" t="s">
        <v>704</v>
      </c>
      <c r="F143" s="25">
        <v>6.4</v>
      </c>
      <c r="G143" s="25" t="s">
        <v>255</v>
      </c>
      <c r="H143" s="17">
        <v>5.9500000000000004E-2</v>
      </c>
      <c r="I143" s="17">
        <v>5.9400000000000001E-2</v>
      </c>
      <c r="J143" s="109">
        <v>53200000</v>
      </c>
      <c r="K143" s="25">
        <v>112.93339999999999</v>
      </c>
      <c r="L143" s="83">
        <v>60080.591710000001</v>
      </c>
      <c r="M143" s="17" t="s">
        <v>249</v>
      </c>
      <c r="N143" s="24">
        <v>2.7069209751709102E-2</v>
      </c>
      <c r="O143" s="24">
        <v>2.44324689457073E-2</v>
      </c>
    </row>
    <row r="144" spans="1:15" x14ac:dyDescent="0.25">
      <c r="A144" s="16" t="s">
        <v>705</v>
      </c>
      <c r="B144" s="32" t="s">
        <v>706</v>
      </c>
      <c r="C144" s="25" t="s">
        <v>329</v>
      </c>
      <c r="D144" s="25" t="s">
        <v>217</v>
      </c>
      <c r="E144" s="25" t="s">
        <v>707</v>
      </c>
      <c r="F144" s="25">
        <v>6.48</v>
      </c>
      <c r="G144" s="25" t="s">
        <v>255</v>
      </c>
      <c r="H144" s="17">
        <v>5.9500000000000004E-2</v>
      </c>
      <c r="I144" s="17">
        <v>5.9400000000000001E-2</v>
      </c>
      <c r="J144" s="109">
        <v>54200000</v>
      </c>
      <c r="K144" s="25">
        <v>112.5423</v>
      </c>
      <c r="L144" s="83">
        <v>60997.966280000001</v>
      </c>
      <c r="M144" s="17" t="s">
        <v>249</v>
      </c>
      <c r="N144" s="24">
        <v>2.7482531324440562E-2</v>
      </c>
      <c r="O144" s="24">
        <v>2.4805529946858789E-2</v>
      </c>
    </row>
    <row r="145" spans="1:15" x14ac:dyDescent="0.25">
      <c r="A145" s="16" t="s">
        <v>708</v>
      </c>
      <c r="B145" s="32" t="s">
        <v>709</v>
      </c>
      <c r="C145" s="25" t="s">
        <v>329</v>
      </c>
      <c r="D145" s="25" t="s">
        <v>217</v>
      </c>
      <c r="E145" s="25" t="s">
        <v>710</v>
      </c>
      <c r="F145" s="25">
        <v>6.56</v>
      </c>
      <c r="G145" s="25" t="s">
        <v>255</v>
      </c>
      <c r="H145" s="17">
        <v>5.9500000000000004E-2</v>
      </c>
      <c r="I145" s="17">
        <v>5.9400000000000001E-2</v>
      </c>
      <c r="J145" s="109">
        <v>7900000</v>
      </c>
      <c r="K145" s="25">
        <v>111.5398</v>
      </c>
      <c r="L145" s="83">
        <v>8811.6518599999999</v>
      </c>
      <c r="M145" s="17" t="s">
        <v>249</v>
      </c>
      <c r="N145" s="24">
        <v>3.9700749554648094E-3</v>
      </c>
      <c r="O145" s="24">
        <v>3.5833603548548333E-3</v>
      </c>
    </row>
    <row r="146" spans="1:15" x14ac:dyDescent="0.25">
      <c r="A146" s="16" t="s">
        <v>711</v>
      </c>
      <c r="B146" s="32" t="s">
        <v>712</v>
      </c>
      <c r="C146" s="25" t="s">
        <v>329</v>
      </c>
      <c r="D146" s="25" t="s">
        <v>217</v>
      </c>
      <c r="E146" s="25" t="s">
        <v>713</v>
      </c>
      <c r="F146" s="25">
        <v>6.93</v>
      </c>
      <c r="G146" s="25" t="s">
        <v>255</v>
      </c>
      <c r="H146" s="17">
        <v>5.9500000000000004E-2</v>
      </c>
      <c r="I146" s="17">
        <v>5.9400000000000001E-2</v>
      </c>
      <c r="J146" s="109">
        <v>51300000</v>
      </c>
      <c r="K146" s="25">
        <v>113.8306</v>
      </c>
      <c r="L146" s="83">
        <v>58395.13177</v>
      </c>
      <c r="M146" s="17" t="s">
        <v>249</v>
      </c>
      <c r="N146" s="24">
        <v>2.6309828604729333E-2</v>
      </c>
      <c r="O146" s="24">
        <v>2.3747057126828199E-2</v>
      </c>
    </row>
    <row r="147" spans="1:15" x14ac:dyDescent="0.25">
      <c r="A147" s="16" t="s">
        <v>714</v>
      </c>
      <c r="B147" s="32" t="s">
        <v>715</v>
      </c>
      <c r="C147" s="25" t="s">
        <v>329</v>
      </c>
      <c r="D147" s="25" t="s">
        <v>217</v>
      </c>
      <c r="E147" s="25" t="s">
        <v>716</v>
      </c>
      <c r="F147" s="25">
        <v>7.02</v>
      </c>
      <c r="G147" s="25" t="s">
        <v>255</v>
      </c>
      <c r="H147" s="17">
        <v>5.9500000000000004E-2</v>
      </c>
      <c r="I147" s="17">
        <v>5.9400000000000001E-2</v>
      </c>
      <c r="J147" s="109">
        <v>51900000</v>
      </c>
      <c r="K147" s="25">
        <v>113.3862</v>
      </c>
      <c r="L147" s="83">
        <v>58847.443650000001</v>
      </c>
      <c r="M147" s="17" t="s">
        <v>249</v>
      </c>
      <c r="N147" s="24">
        <v>2.6513616963073212E-2</v>
      </c>
      <c r="O147" s="24">
        <v>2.3930994995070516E-2</v>
      </c>
    </row>
    <row r="148" spans="1:15" x14ac:dyDescent="0.25">
      <c r="A148" s="16" t="s">
        <v>717</v>
      </c>
      <c r="B148" s="32" t="s">
        <v>718</v>
      </c>
      <c r="C148" s="25" t="s">
        <v>329</v>
      </c>
      <c r="D148" s="25" t="s">
        <v>217</v>
      </c>
      <c r="E148" s="25" t="s">
        <v>719</v>
      </c>
      <c r="F148" s="25">
        <v>7.1</v>
      </c>
      <c r="G148" s="25" t="s">
        <v>255</v>
      </c>
      <c r="H148" s="17">
        <v>5.9500000000000004E-2</v>
      </c>
      <c r="I148" s="17">
        <v>5.9400000000000001E-2</v>
      </c>
      <c r="J148" s="109">
        <v>55000000</v>
      </c>
      <c r="K148" s="25">
        <v>112.54229999999998</v>
      </c>
      <c r="L148" s="83">
        <v>61898.305260000001</v>
      </c>
      <c r="M148" s="17" t="s">
        <v>249</v>
      </c>
      <c r="N148" s="24">
        <v>2.7888177540691183E-2</v>
      </c>
      <c r="O148" s="24">
        <v>2.5171663227896341E-2</v>
      </c>
    </row>
    <row r="149" spans="1:15" x14ac:dyDescent="0.25">
      <c r="A149" s="16" t="s">
        <v>720</v>
      </c>
      <c r="B149" s="32" t="s">
        <v>721</v>
      </c>
      <c r="C149" s="25" t="s">
        <v>329</v>
      </c>
      <c r="D149" s="25" t="s">
        <v>217</v>
      </c>
      <c r="E149" s="25" t="s">
        <v>722</v>
      </c>
      <c r="F149" s="25">
        <v>7.18</v>
      </c>
      <c r="G149" s="25" t="s">
        <v>255</v>
      </c>
      <c r="H149" s="17">
        <v>5.9500000000000004E-2</v>
      </c>
      <c r="I149" s="17">
        <v>5.9400000000000001E-2</v>
      </c>
      <c r="J149" s="109">
        <v>14200000</v>
      </c>
      <c r="K149" s="25">
        <v>111.3168</v>
      </c>
      <c r="L149" s="83">
        <v>15806.98828</v>
      </c>
      <c r="M149" s="17" t="s">
        <v>249</v>
      </c>
      <c r="N149" s="24">
        <v>7.1218120380613587E-3</v>
      </c>
      <c r="O149" s="24">
        <v>6.428094985156051E-3</v>
      </c>
    </row>
    <row r="150" spans="1:15" x14ac:dyDescent="0.25">
      <c r="A150" s="16" t="s">
        <v>723</v>
      </c>
      <c r="B150" s="32" t="s">
        <v>724</v>
      </c>
      <c r="C150" s="25" t="s">
        <v>329</v>
      </c>
      <c r="D150" s="25" t="s">
        <v>217</v>
      </c>
      <c r="E150" s="25" t="s">
        <v>725</v>
      </c>
      <c r="F150" s="25">
        <v>7.26</v>
      </c>
      <c r="G150" s="25" t="s">
        <v>255</v>
      </c>
      <c r="H150" s="17">
        <v>5.9500000000000004E-2</v>
      </c>
      <c r="I150" s="17">
        <v>5.9400000000000001E-2</v>
      </c>
      <c r="J150" s="109">
        <v>1900000</v>
      </c>
      <c r="K150" s="25">
        <v>110.45099999999999</v>
      </c>
      <c r="L150" s="83">
        <v>2098.5691000000002</v>
      </c>
      <c r="M150" s="17" t="s">
        <v>249</v>
      </c>
      <c r="N150" s="24">
        <v>9.4550678562808378E-4</v>
      </c>
      <c r="O150" s="24">
        <v>8.5340744667860592E-4</v>
      </c>
    </row>
    <row r="151" spans="1:15" x14ac:dyDescent="0.25">
      <c r="A151" s="16" t="s">
        <v>726</v>
      </c>
      <c r="B151" s="32" t="s">
        <v>727</v>
      </c>
      <c r="C151" s="25" t="s">
        <v>329</v>
      </c>
      <c r="D151" s="25" t="s">
        <v>217</v>
      </c>
      <c r="E151" s="25" t="s">
        <v>728</v>
      </c>
      <c r="F151" s="25">
        <v>7.52</v>
      </c>
      <c r="G151" s="25" t="s">
        <v>255</v>
      </c>
      <c r="H151" s="17">
        <v>5.9500000000000004E-2</v>
      </c>
      <c r="I151" s="17">
        <v>5.9400000000000001E-2</v>
      </c>
      <c r="J151" s="109">
        <v>34600000</v>
      </c>
      <c r="K151" s="25">
        <v>110.7248</v>
      </c>
      <c r="L151" s="83">
        <v>38310.786380000005</v>
      </c>
      <c r="M151" s="17" t="s">
        <v>249</v>
      </c>
      <c r="N151" s="24">
        <v>1.726086050015602E-2</v>
      </c>
      <c r="O151" s="24">
        <v>1.5579525298835913E-2</v>
      </c>
    </row>
    <row r="152" spans="1:15" x14ac:dyDescent="0.25">
      <c r="A152" s="16" t="s">
        <v>729</v>
      </c>
      <c r="B152" s="32" t="s">
        <v>730</v>
      </c>
      <c r="C152" s="25" t="s">
        <v>329</v>
      </c>
      <c r="D152" s="25" t="s">
        <v>217</v>
      </c>
      <c r="E152" s="25" t="s">
        <v>731</v>
      </c>
      <c r="F152" s="25">
        <v>7.6</v>
      </c>
      <c r="G152" s="25" t="s">
        <v>255</v>
      </c>
      <c r="H152" s="17">
        <v>5.9500000000000004E-2</v>
      </c>
      <c r="I152" s="17">
        <v>5.9400000000000001E-2</v>
      </c>
      <c r="J152" s="109">
        <v>53300000</v>
      </c>
      <c r="K152" s="25">
        <v>109.9669</v>
      </c>
      <c r="L152" s="83">
        <v>58612.390899999999</v>
      </c>
      <c r="M152" s="17" t="s">
        <v>249</v>
      </c>
      <c r="N152" s="24">
        <v>2.6407714341088767E-2</v>
      </c>
      <c r="O152" s="24">
        <v>2.3835408070049899E-2</v>
      </c>
    </row>
    <row r="153" spans="1:15" x14ac:dyDescent="0.25">
      <c r="A153" s="16" t="s">
        <v>732</v>
      </c>
      <c r="B153" s="32" t="s">
        <v>733</v>
      </c>
      <c r="C153" s="25" t="s">
        <v>329</v>
      </c>
      <c r="D153" s="25" t="s">
        <v>217</v>
      </c>
      <c r="E153" s="25" t="s">
        <v>734</v>
      </c>
      <c r="F153" s="25">
        <v>7.68</v>
      </c>
      <c r="G153" s="25" t="s">
        <v>255</v>
      </c>
      <c r="H153" s="17">
        <v>5.9500000000000004E-2</v>
      </c>
      <c r="I153" s="17">
        <v>5.9400000000000001E-2</v>
      </c>
      <c r="J153" s="109">
        <v>40400000</v>
      </c>
      <c r="K153" s="25">
        <v>108.73650000000001</v>
      </c>
      <c r="L153" s="83">
        <v>43929.585350000001</v>
      </c>
      <c r="M153" s="17" t="s">
        <v>249</v>
      </c>
      <c r="N153" s="24">
        <v>1.9792400945126399E-2</v>
      </c>
      <c r="O153" s="24">
        <v>1.7864475021191054E-2</v>
      </c>
    </row>
    <row r="154" spans="1:15" x14ac:dyDescent="0.25">
      <c r="A154" s="16" t="s">
        <v>735</v>
      </c>
      <c r="B154" s="32" t="s">
        <v>736</v>
      </c>
      <c r="C154" s="25" t="s">
        <v>329</v>
      </c>
      <c r="D154" s="25" t="s">
        <v>217</v>
      </c>
      <c r="E154" s="25" t="s">
        <v>737</v>
      </c>
      <c r="F154" s="25">
        <v>8.07</v>
      </c>
      <c r="G154" s="25" t="s">
        <v>255</v>
      </c>
      <c r="H154" s="17">
        <v>5.9500000000000004E-2</v>
      </c>
      <c r="I154" s="17">
        <v>5.9400000000000001E-2</v>
      </c>
      <c r="J154" s="109">
        <v>8900000</v>
      </c>
      <c r="K154" s="25">
        <v>105.2135</v>
      </c>
      <c r="L154" s="83">
        <v>9364.0089900000003</v>
      </c>
      <c r="M154" s="17" t="s">
        <v>249</v>
      </c>
      <c r="N154" s="24">
        <v>4.2189385332736381E-3</v>
      </c>
      <c r="O154" s="24">
        <v>3.8079827835220729E-3</v>
      </c>
    </row>
    <row r="155" spans="1:15" x14ac:dyDescent="0.25">
      <c r="A155" s="16" t="s">
        <v>738</v>
      </c>
      <c r="B155" s="32" t="s">
        <v>739</v>
      </c>
      <c r="C155" s="25" t="s">
        <v>329</v>
      </c>
      <c r="D155" s="25" t="s">
        <v>217</v>
      </c>
      <c r="E155" s="25" t="s">
        <v>740</v>
      </c>
      <c r="F155" s="25">
        <v>8.15</v>
      </c>
      <c r="G155" s="25" t="s">
        <v>255</v>
      </c>
      <c r="H155" s="17">
        <v>5.9500000000000004E-2</v>
      </c>
      <c r="I155" s="17">
        <v>5.9400000000000001E-2</v>
      </c>
      <c r="J155" s="109">
        <v>62100000</v>
      </c>
      <c r="K155" s="25">
        <v>104.38249999999999</v>
      </c>
      <c r="L155" s="83">
        <v>64821.540380000006</v>
      </c>
      <c r="M155" s="17" t="s">
        <v>249</v>
      </c>
      <c r="N155" s="24">
        <v>2.9205236217456378E-2</v>
      </c>
      <c r="O155" s="24">
        <v>2.636043066938799E-2</v>
      </c>
    </row>
    <row r="156" spans="1:15" x14ac:dyDescent="0.25">
      <c r="A156" s="16" t="s">
        <v>741</v>
      </c>
      <c r="B156" s="32" t="s">
        <v>742</v>
      </c>
      <c r="C156" s="25" t="s">
        <v>329</v>
      </c>
      <c r="D156" s="25" t="s">
        <v>217</v>
      </c>
      <c r="E156" s="25" t="s">
        <v>743</v>
      </c>
      <c r="F156" s="25">
        <v>8.23</v>
      </c>
      <c r="G156" s="25" t="s">
        <v>255</v>
      </c>
      <c r="H156" s="17">
        <v>5.9500000000000004E-2</v>
      </c>
      <c r="I156" s="17">
        <v>5.9400000000000001E-2</v>
      </c>
      <c r="J156" s="109">
        <v>62100000</v>
      </c>
      <c r="K156" s="25">
        <v>103.37220000000001</v>
      </c>
      <c r="L156" s="83">
        <v>64194.141869999999</v>
      </c>
      <c r="M156" s="17" t="s">
        <v>249</v>
      </c>
      <c r="N156" s="24">
        <v>2.8922562871842954E-2</v>
      </c>
      <c r="O156" s="24">
        <v>2.6105291793823173E-2</v>
      </c>
    </row>
    <row r="157" spans="1:15" x14ac:dyDescent="0.25">
      <c r="A157" s="16" t="s">
        <v>744</v>
      </c>
      <c r="B157" s="32" t="s">
        <v>745</v>
      </c>
      <c r="C157" s="25" t="s">
        <v>329</v>
      </c>
      <c r="D157" s="25" t="s">
        <v>217</v>
      </c>
      <c r="E157" s="25" t="s">
        <v>746</v>
      </c>
      <c r="F157" s="25">
        <v>8.32</v>
      </c>
      <c r="G157" s="25" t="s">
        <v>255</v>
      </c>
      <c r="H157" s="17">
        <v>5.9500000000000004E-2</v>
      </c>
      <c r="I157" s="17">
        <v>5.9400000000000001E-2</v>
      </c>
      <c r="J157" s="109">
        <v>5900000</v>
      </c>
      <c r="K157" s="25">
        <v>102.4709</v>
      </c>
      <c r="L157" s="83">
        <v>6045.7833499999997</v>
      </c>
      <c r="M157" s="17" t="s">
        <v>249</v>
      </c>
      <c r="N157" s="24">
        <v>2.7239175407006077E-3</v>
      </c>
      <c r="O157" s="24">
        <v>2.4585878691797797E-3</v>
      </c>
    </row>
    <row r="158" spans="1:15" s="118" customFormat="1" x14ac:dyDescent="0.25">
      <c r="A158" s="91" t="s">
        <v>747</v>
      </c>
      <c r="B158" s="120" t="s">
        <v>249</v>
      </c>
      <c r="C158" s="144" t="s">
        <v>249</v>
      </c>
      <c r="D158" s="144" t="s">
        <v>249</v>
      </c>
      <c r="E158" s="144" t="s">
        <v>249</v>
      </c>
      <c r="F158" s="144" t="s">
        <v>249</v>
      </c>
      <c r="G158" s="144" t="s">
        <v>249</v>
      </c>
      <c r="H158" s="157" t="s">
        <v>249</v>
      </c>
      <c r="I158" s="157" t="s">
        <v>249</v>
      </c>
      <c r="J158" s="143" t="s">
        <v>249</v>
      </c>
      <c r="K158" s="144" t="s">
        <v>249</v>
      </c>
      <c r="L158" s="123">
        <v>0</v>
      </c>
      <c r="M158" s="157"/>
      <c r="N158" s="136">
        <v>0</v>
      </c>
      <c r="O158" s="136">
        <v>0</v>
      </c>
    </row>
    <row r="159" spans="1:15" s="118" customFormat="1" x14ac:dyDescent="0.25">
      <c r="A159" s="91" t="s">
        <v>748</v>
      </c>
      <c r="B159" s="120" t="s">
        <v>249</v>
      </c>
      <c r="C159" s="144" t="s">
        <v>249</v>
      </c>
      <c r="D159" s="144" t="s">
        <v>249</v>
      </c>
      <c r="E159" s="144" t="s">
        <v>249</v>
      </c>
      <c r="F159" s="144" t="s">
        <v>249</v>
      </c>
      <c r="G159" s="144" t="s">
        <v>249</v>
      </c>
      <c r="H159" s="157" t="s">
        <v>249</v>
      </c>
      <c r="I159" s="157" t="s">
        <v>249</v>
      </c>
      <c r="J159" s="143" t="s">
        <v>249</v>
      </c>
      <c r="K159" s="144" t="s">
        <v>249</v>
      </c>
      <c r="L159" s="123">
        <v>0</v>
      </c>
      <c r="M159" s="157"/>
      <c r="N159" s="136">
        <v>0</v>
      </c>
      <c r="O159" s="136">
        <v>0</v>
      </c>
    </row>
    <row r="160" spans="1:15" s="118" customFormat="1" x14ac:dyDescent="0.25">
      <c r="A160" s="91" t="s">
        <v>217</v>
      </c>
      <c r="B160" s="120" t="s">
        <v>249</v>
      </c>
      <c r="C160" s="144" t="s">
        <v>249</v>
      </c>
      <c r="D160" s="144" t="s">
        <v>249</v>
      </c>
      <c r="E160" s="144" t="s">
        <v>249</v>
      </c>
      <c r="F160" s="144" t="s">
        <v>249</v>
      </c>
      <c r="G160" s="144" t="s">
        <v>249</v>
      </c>
      <c r="H160" s="157" t="s">
        <v>249</v>
      </c>
      <c r="I160" s="157" t="s">
        <v>249</v>
      </c>
      <c r="J160" s="143" t="s">
        <v>249</v>
      </c>
      <c r="K160" s="144" t="s">
        <v>249</v>
      </c>
      <c r="L160" s="123">
        <v>0</v>
      </c>
      <c r="M160" s="157"/>
      <c r="N160" s="136">
        <v>0</v>
      </c>
      <c r="O160" s="136">
        <v>0</v>
      </c>
    </row>
    <row r="161" spans="1:15" s="118" customFormat="1" x14ac:dyDescent="0.25">
      <c r="A161" s="91" t="s">
        <v>281</v>
      </c>
      <c r="B161" s="120" t="s">
        <v>249</v>
      </c>
      <c r="C161" s="144" t="s">
        <v>249</v>
      </c>
      <c r="D161" s="144" t="s">
        <v>249</v>
      </c>
      <c r="E161" s="144" t="s">
        <v>249</v>
      </c>
      <c r="F161" s="144" t="s">
        <v>249</v>
      </c>
      <c r="G161" s="144" t="s">
        <v>249</v>
      </c>
      <c r="H161" s="157" t="s">
        <v>249</v>
      </c>
      <c r="I161" s="157" t="s">
        <v>249</v>
      </c>
      <c r="J161" s="143" t="s">
        <v>249</v>
      </c>
      <c r="K161" s="144" t="s">
        <v>249</v>
      </c>
      <c r="L161" s="123">
        <v>0</v>
      </c>
      <c r="M161" s="157"/>
      <c r="N161" s="136">
        <v>0</v>
      </c>
      <c r="O161" s="136">
        <v>0</v>
      </c>
    </row>
    <row r="162" spans="1:15" s="118" customFormat="1" x14ac:dyDescent="0.25">
      <c r="A162" s="91" t="s">
        <v>749</v>
      </c>
      <c r="B162" s="120" t="s">
        <v>249</v>
      </c>
      <c r="C162" s="144" t="s">
        <v>249</v>
      </c>
      <c r="D162" s="144" t="s">
        <v>249</v>
      </c>
      <c r="E162" s="144" t="s">
        <v>249</v>
      </c>
      <c r="F162" s="144" t="s">
        <v>249</v>
      </c>
      <c r="G162" s="144" t="s">
        <v>249</v>
      </c>
      <c r="H162" s="157" t="s">
        <v>249</v>
      </c>
      <c r="I162" s="157" t="s">
        <v>249</v>
      </c>
      <c r="J162" s="143" t="s">
        <v>249</v>
      </c>
      <c r="K162" s="144" t="s">
        <v>249</v>
      </c>
      <c r="L162" s="123">
        <v>0</v>
      </c>
      <c r="M162" s="157"/>
      <c r="N162" s="136">
        <v>0</v>
      </c>
      <c r="O162" s="136">
        <v>0</v>
      </c>
    </row>
    <row r="163" spans="1:15" s="118" customFormat="1" x14ac:dyDescent="0.25">
      <c r="A163" s="91" t="s">
        <v>750</v>
      </c>
      <c r="B163" s="120" t="s">
        <v>249</v>
      </c>
      <c r="C163" s="144" t="s">
        <v>249</v>
      </c>
      <c r="D163" s="144" t="s">
        <v>249</v>
      </c>
      <c r="E163" s="144" t="s">
        <v>249</v>
      </c>
      <c r="F163" s="144" t="s">
        <v>249</v>
      </c>
      <c r="G163" s="144" t="s">
        <v>249</v>
      </c>
      <c r="H163" s="157" t="s">
        <v>249</v>
      </c>
      <c r="I163" s="157" t="s">
        <v>249</v>
      </c>
      <c r="J163" s="143" t="s">
        <v>249</v>
      </c>
      <c r="K163" s="144" t="s">
        <v>249</v>
      </c>
      <c r="L163" s="123">
        <v>0</v>
      </c>
      <c r="M163" s="157"/>
      <c r="N163" s="136">
        <v>0</v>
      </c>
      <c r="O163" s="136">
        <v>0</v>
      </c>
    </row>
    <row r="164" spans="1:15" s="118" customFormat="1" x14ac:dyDescent="0.25">
      <c r="A164" s="77" t="s">
        <v>241</v>
      </c>
      <c r="B164" s="124"/>
      <c r="C164" s="77"/>
      <c r="D164" s="145"/>
      <c r="E164" s="145"/>
      <c r="F164" s="145"/>
      <c r="G164" s="146"/>
      <c r="H164" s="129"/>
      <c r="I164" s="147"/>
      <c r="J164" s="147"/>
      <c r="K164" s="147"/>
      <c r="L164" s="129"/>
      <c r="M164" s="129"/>
      <c r="N164" s="129"/>
    </row>
    <row r="165" spans="1:15" s="118" customFormat="1" x14ac:dyDescent="0.25">
      <c r="A165" s="77" t="s">
        <v>242</v>
      </c>
      <c r="B165" s="124"/>
      <c r="C165" s="77"/>
      <c r="D165" s="145"/>
      <c r="E165" s="145"/>
      <c r="F165" s="145"/>
      <c r="G165" s="146"/>
      <c r="H165" s="129"/>
      <c r="I165" s="147"/>
      <c r="J165" s="147"/>
      <c r="K165" s="147"/>
      <c r="L165" s="129"/>
      <c r="M165" s="129"/>
      <c r="N165" s="129"/>
    </row>
    <row r="166" spans="1:15" s="118" customFormat="1" x14ac:dyDescent="0.25">
      <c r="A166" s="77" t="s">
        <v>243</v>
      </c>
      <c r="B166" s="124"/>
      <c r="C166" s="77"/>
      <c r="D166" s="145"/>
      <c r="E166" s="145"/>
      <c r="F166" s="145"/>
      <c r="G166" s="146"/>
      <c r="H166" s="129"/>
      <c r="I166" s="147"/>
      <c r="J166" s="147"/>
      <c r="K166" s="147"/>
      <c r="L166" s="129"/>
      <c r="M166" s="129"/>
      <c r="N166" s="129"/>
    </row>
    <row r="167" spans="1:15" s="118" customFormat="1" x14ac:dyDescent="0.25">
      <c r="A167" s="77" t="s">
        <v>244</v>
      </c>
      <c r="B167" s="124"/>
      <c r="C167" s="77"/>
      <c r="D167" s="145"/>
      <c r="E167" s="145"/>
      <c r="F167" s="145"/>
      <c r="G167" s="146"/>
      <c r="H167" s="129"/>
      <c r="I167" s="147"/>
      <c r="J167" s="147"/>
      <c r="K167" s="147"/>
      <c r="L167" s="129"/>
      <c r="M167" s="129"/>
      <c r="N167" s="129"/>
    </row>
    <row r="168" spans="1:15" s="118" customFormat="1" x14ac:dyDescent="0.25">
      <c r="A168" s="77" t="s">
        <v>245</v>
      </c>
      <c r="B168" s="124"/>
      <c r="C168" s="77"/>
      <c r="D168" s="145"/>
      <c r="E168" s="145"/>
      <c r="F168" s="145"/>
      <c r="G168" s="146"/>
      <c r="H168" s="129"/>
      <c r="I168" s="147"/>
      <c r="J168" s="147"/>
      <c r="K168" s="147"/>
      <c r="L168" s="129"/>
      <c r="M168" s="129"/>
      <c r="N168" s="129"/>
    </row>
  </sheetData>
  <mergeCells count="2">
    <mergeCell ref="A5:O5"/>
    <mergeCell ref="A4:O4"/>
  </mergeCells>
  <phoneticPr fontId="3" type="noConversion"/>
  <conditionalFormatting sqref="A10:A163 L10:L163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63 H10:K163 M10:N163 H164:H55698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63 B10:E163 G10:G163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/>
    </row>
    <row r="5" spans="1:18" s="7" customFormat="1" x14ac:dyDescent="0.25">
      <c r="A5" s="218" t="s">
        <v>18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20"/>
    </row>
    <row r="6" spans="1:18" s="7" customFormat="1" ht="30" customHeight="1" x14ac:dyDescent="0.25">
      <c r="A6" s="85" t="s">
        <v>156</v>
      </c>
      <c r="B6" s="200" t="s">
        <v>69</v>
      </c>
      <c r="C6" s="200" t="s">
        <v>79</v>
      </c>
      <c r="D6" s="200" t="s">
        <v>74</v>
      </c>
      <c r="E6" s="200" t="s">
        <v>19</v>
      </c>
      <c r="F6" s="200" t="s">
        <v>70</v>
      </c>
      <c r="G6" s="200" t="s">
        <v>5</v>
      </c>
      <c r="H6" s="200" t="s">
        <v>13</v>
      </c>
      <c r="I6" s="200" t="s">
        <v>14</v>
      </c>
      <c r="J6" s="200" t="s">
        <v>6</v>
      </c>
      <c r="K6" s="201" t="s">
        <v>66</v>
      </c>
      <c r="L6" s="201" t="s">
        <v>71</v>
      </c>
      <c r="M6" s="201" t="s">
        <v>67</v>
      </c>
      <c r="N6" s="201" t="s">
        <v>68</v>
      </c>
      <c r="O6" s="201" t="s">
        <v>29</v>
      </c>
      <c r="P6" s="88" t="s">
        <v>17</v>
      </c>
      <c r="Q6" s="88" t="s">
        <v>75</v>
      </c>
      <c r="R6" s="89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8" customFormat="1" ht="12.75" customHeight="1" thickBot="1" x14ac:dyDescent="0.3">
      <c r="A9" s="99" t="s">
        <v>61</v>
      </c>
      <c r="B9" s="66" t="s">
        <v>249</v>
      </c>
      <c r="C9" s="66" t="s">
        <v>249</v>
      </c>
      <c r="D9" s="66" t="s">
        <v>249</v>
      </c>
      <c r="E9" s="66" t="s">
        <v>249</v>
      </c>
      <c r="F9" s="100"/>
      <c r="G9" s="138" t="s">
        <v>249</v>
      </c>
      <c r="H9" s="138" t="s">
        <v>249</v>
      </c>
      <c r="I9" s="138" t="s">
        <v>249</v>
      </c>
      <c r="J9" s="138" t="s">
        <v>249</v>
      </c>
      <c r="K9" s="139" t="s">
        <v>249</v>
      </c>
      <c r="L9" s="139" t="s">
        <v>249</v>
      </c>
      <c r="M9" s="101" t="s">
        <v>249</v>
      </c>
      <c r="N9" s="138" t="s">
        <v>249</v>
      </c>
      <c r="O9" s="102">
        <v>6.0000000000000008E-7</v>
      </c>
      <c r="P9" s="119" t="s">
        <v>249</v>
      </c>
      <c r="Q9" s="105">
        <v>1</v>
      </c>
      <c r="R9" s="58">
        <v>0</v>
      </c>
    </row>
    <row r="10" spans="1:18" s="118" customFormat="1" x14ac:dyDescent="0.25">
      <c r="A10" s="90" t="s">
        <v>137</v>
      </c>
      <c r="B10" s="120" t="s">
        <v>249</v>
      </c>
      <c r="C10" s="120" t="s">
        <v>249</v>
      </c>
      <c r="D10" s="120" t="s">
        <v>249</v>
      </c>
      <c r="E10" s="120" t="s">
        <v>249</v>
      </c>
      <c r="F10" s="121" t="s">
        <v>249</v>
      </c>
      <c r="G10" s="142" t="s">
        <v>249</v>
      </c>
      <c r="H10" s="142" t="s">
        <v>249</v>
      </c>
      <c r="I10" s="142" t="s">
        <v>249</v>
      </c>
      <c r="J10" s="142" t="s">
        <v>249</v>
      </c>
      <c r="K10" s="156" t="s">
        <v>249</v>
      </c>
      <c r="L10" s="156" t="s">
        <v>249</v>
      </c>
      <c r="M10" s="132" t="s">
        <v>249</v>
      </c>
      <c r="N10" s="142" t="s">
        <v>249</v>
      </c>
      <c r="O10" s="122">
        <v>0</v>
      </c>
      <c r="P10" s="156" t="s">
        <v>249</v>
      </c>
      <c r="Q10" s="120">
        <v>0</v>
      </c>
      <c r="R10" s="120">
        <v>0</v>
      </c>
    </row>
    <row r="11" spans="1:18" s="118" customFormat="1" x14ac:dyDescent="0.25">
      <c r="A11" s="91" t="s">
        <v>751</v>
      </c>
      <c r="B11" s="120" t="s">
        <v>249</v>
      </c>
      <c r="C11" s="136" t="s">
        <v>249</v>
      </c>
      <c r="D11" s="136" t="s">
        <v>249</v>
      </c>
      <c r="E11" s="136" t="s">
        <v>249</v>
      </c>
      <c r="F11" s="135" t="s">
        <v>249</v>
      </c>
      <c r="G11" s="144" t="s">
        <v>249</v>
      </c>
      <c r="H11" s="144" t="s">
        <v>249</v>
      </c>
      <c r="I11" s="144" t="s">
        <v>249</v>
      </c>
      <c r="J11" s="144" t="s">
        <v>249</v>
      </c>
      <c r="K11" s="157" t="s">
        <v>249</v>
      </c>
      <c r="L11" s="157" t="s">
        <v>249</v>
      </c>
      <c r="M11" s="134" t="s">
        <v>249</v>
      </c>
      <c r="N11" s="144" t="s">
        <v>249</v>
      </c>
      <c r="O11" s="123">
        <v>0</v>
      </c>
      <c r="P11" s="157"/>
      <c r="Q11" s="136">
        <v>0</v>
      </c>
      <c r="R11" s="136">
        <v>0</v>
      </c>
    </row>
    <row r="12" spans="1:18" s="118" customFormat="1" x14ac:dyDescent="0.25">
      <c r="A12" s="91" t="s">
        <v>752</v>
      </c>
      <c r="B12" s="120" t="s">
        <v>249</v>
      </c>
      <c r="C12" s="136" t="s">
        <v>249</v>
      </c>
      <c r="D12" s="136" t="s">
        <v>249</v>
      </c>
      <c r="E12" s="136" t="s">
        <v>249</v>
      </c>
      <c r="F12" s="135" t="s">
        <v>249</v>
      </c>
      <c r="G12" s="144" t="s">
        <v>249</v>
      </c>
      <c r="H12" s="144" t="s">
        <v>249</v>
      </c>
      <c r="I12" s="144" t="s">
        <v>249</v>
      </c>
      <c r="J12" s="144" t="s">
        <v>249</v>
      </c>
      <c r="K12" s="157" t="s">
        <v>249</v>
      </c>
      <c r="L12" s="157" t="s">
        <v>249</v>
      </c>
      <c r="M12" s="134" t="s">
        <v>249</v>
      </c>
      <c r="N12" s="144" t="s">
        <v>249</v>
      </c>
      <c r="O12" s="123">
        <v>0</v>
      </c>
      <c r="P12" s="157"/>
      <c r="Q12" s="136">
        <v>0</v>
      </c>
      <c r="R12" s="136">
        <v>0</v>
      </c>
    </row>
    <row r="13" spans="1:18" s="118" customFormat="1" x14ac:dyDescent="0.25">
      <c r="A13" s="91" t="s">
        <v>284</v>
      </c>
      <c r="B13" s="120" t="s">
        <v>249</v>
      </c>
      <c r="C13" s="136" t="s">
        <v>249</v>
      </c>
      <c r="D13" s="136" t="s">
        <v>249</v>
      </c>
      <c r="E13" s="136" t="s">
        <v>249</v>
      </c>
      <c r="F13" s="135" t="s">
        <v>249</v>
      </c>
      <c r="G13" s="144" t="s">
        <v>249</v>
      </c>
      <c r="H13" s="144" t="s">
        <v>249</v>
      </c>
      <c r="I13" s="144" t="s">
        <v>249</v>
      </c>
      <c r="J13" s="144" t="s">
        <v>249</v>
      </c>
      <c r="K13" s="157" t="s">
        <v>249</v>
      </c>
      <c r="L13" s="157" t="s">
        <v>249</v>
      </c>
      <c r="M13" s="134" t="s">
        <v>249</v>
      </c>
      <c r="N13" s="135" t="s">
        <v>249</v>
      </c>
      <c r="O13" s="123">
        <v>0</v>
      </c>
      <c r="P13" s="157"/>
      <c r="Q13" s="136">
        <v>0</v>
      </c>
      <c r="R13" s="136">
        <v>0</v>
      </c>
    </row>
    <row r="14" spans="1:18" s="118" customFormat="1" x14ac:dyDescent="0.25">
      <c r="A14" s="91" t="s">
        <v>141</v>
      </c>
      <c r="B14" s="120" t="s">
        <v>249</v>
      </c>
      <c r="C14" s="136" t="s">
        <v>249</v>
      </c>
      <c r="D14" s="136" t="s">
        <v>249</v>
      </c>
      <c r="E14" s="136" t="s">
        <v>249</v>
      </c>
      <c r="F14" s="135" t="s">
        <v>249</v>
      </c>
      <c r="G14" s="144" t="s">
        <v>249</v>
      </c>
      <c r="H14" s="144" t="s">
        <v>249</v>
      </c>
      <c r="I14" s="144" t="s">
        <v>249</v>
      </c>
      <c r="J14" s="144" t="s">
        <v>249</v>
      </c>
      <c r="K14" s="157" t="s">
        <v>249</v>
      </c>
      <c r="L14" s="157" t="s">
        <v>249</v>
      </c>
      <c r="M14" s="134" t="s">
        <v>249</v>
      </c>
      <c r="N14" s="144" t="s">
        <v>249</v>
      </c>
      <c r="O14" s="123">
        <v>0</v>
      </c>
      <c r="P14" s="157"/>
      <c r="Q14" s="136">
        <v>0</v>
      </c>
      <c r="R14" s="136">
        <v>0</v>
      </c>
    </row>
    <row r="15" spans="1:18" s="118" customFormat="1" x14ac:dyDescent="0.25">
      <c r="A15" s="91" t="s">
        <v>281</v>
      </c>
      <c r="B15" s="120" t="s">
        <v>249</v>
      </c>
      <c r="C15" s="136" t="s">
        <v>249</v>
      </c>
      <c r="D15" s="136" t="s">
        <v>249</v>
      </c>
      <c r="E15" s="136" t="s">
        <v>249</v>
      </c>
      <c r="F15" s="135" t="s">
        <v>249</v>
      </c>
      <c r="G15" s="144" t="s">
        <v>249</v>
      </c>
      <c r="H15" s="144" t="s">
        <v>249</v>
      </c>
      <c r="I15" s="144" t="s">
        <v>249</v>
      </c>
      <c r="J15" s="144" t="s">
        <v>249</v>
      </c>
      <c r="K15" s="157" t="s">
        <v>249</v>
      </c>
      <c r="L15" s="157" t="s">
        <v>249</v>
      </c>
      <c r="M15" s="134" t="s">
        <v>249</v>
      </c>
      <c r="N15" s="144" t="s">
        <v>249</v>
      </c>
      <c r="O15" s="123">
        <v>0</v>
      </c>
      <c r="P15" s="157"/>
      <c r="Q15" s="136">
        <v>0</v>
      </c>
      <c r="R15" s="136">
        <v>0</v>
      </c>
    </row>
    <row r="16" spans="1:18" s="118" customFormat="1" x14ac:dyDescent="0.25">
      <c r="A16" s="91" t="s">
        <v>753</v>
      </c>
      <c r="B16" s="120" t="s">
        <v>249</v>
      </c>
      <c r="C16" s="136" t="s">
        <v>249</v>
      </c>
      <c r="D16" s="136" t="s">
        <v>249</v>
      </c>
      <c r="E16" s="136" t="s">
        <v>249</v>
      </c>
      <c r="F16" s="135" t="s">
        <v>249</v>
      </c>
      <c r="G16" s="144" t="s">
        <v>249</v>
      </c>
      <c r="H16" s="144" t="s">
        <v>249</v>
      </c>
      <c r="I16" s="144" t="s">
        <v>249</v>
      </c>
      <c r="J16" s="144" t="s">
        <v>249</v>
      </c>
      <c r="K16" s="157" t="s">
        <v>249</v>
      </c>
      <c r="L16" s="157" t="s">
        <v>249</v>
      </c>
      <c r="M16" s="134" t="s">
        <v>249</v>
      </c>
      <c r="N16" s="144" t="s">
        <v>249</v>
      </c>
      <c r="O16" s="123">
        <v>0</v>
      </c>
      <c r="P16" s="157"/>
      <c r="Q16" s="136">
        <v>0</v>
      </c>
      <c r="R16" s="136">
        <v>0</v>
      </c>
    </row>
    <row r="17" spans="1:18" s="118" customFormat="1" x14ac:dyDescent="0.25">
      <c r="A17" s="91" t="s">
        <v>754</v>
      </c>
      <c r="B17" s="120" t="s">
        <v>249</v>
      </c>
      <c r="C17" s="136" t="s">
        <v>249</v>
      </c>
      <c r="D17" s="136" t="s">
        <v>249</v>
      </c>
      <c r="E17" s="136" t="s">
        <v>249</v>
      </c>
      <c r="F17" s="135" t="s">
        <v>249</v>
      </c>
      <c r="G17" s="144" t="s">
        <v>249</v>
      </c>
      <c r="H17" s="144" t="s">
        <v>249</v>
      </c>
      <c r="I17" s="144" t="s">
        <v>249</v>
      </c>
      <c r="J17" s="144" t="s">
        <v>249</v>
      </c>
      <c r="K17" s="157" t="s">
        <v>249</v>
      </c>
      <c r="L17" s="157" t="s">
        <v>249</v>
      </c>
      <c r="M17" s="134" t="s">
        <v>249</v>
      </c>
      <c r="N17" s="144" t="s">
        <v>249</v>
      </c>
      <c r="O17" s="123">
        <v>0</v>
      </c>
      <c r="P17" s="157"/>
      <c r="Q17" s="136">
        <v>0</v>
      </c>
      <c r="R17" s="136">
        <v>0</v>
      </c>
    </row>
    <row r="18" spans="1:18" s="118" customFormat="1" x14ac:dyDescent="0.25">
      <c r="A18" s="77" t="s">
        <v>241</v>
      </c>
      <c r="B18" s="124"/>
      <c r="C18" s="124"/>
      <c r="D18" s="124"/>
      <c r="E18" s="77"/>
      <c r="F18" s="145"/>
      <c r="G18" s="145"/>
      <c r="H18" s="145"/>
      <c r="I18" s="146"/>
      <c r="J18" s="129"/>
      <c r="K18" s="147"/>
      <c r="L18" s="147"/>
      <c r="M18" s="147"/>
      <c r="N18" s="129"/>
      <c r="O18" s="129"/>
    </row>
    <row r="19" spans="1:18" s="118" customFormat="1" x14ac:dyDescent="0.25">
      <c r="A19" s="77" t="s">
        <v>242</v>
      </c>
      <c r="B19" s="124"/>
      <c r="C19" s="124"/>
      <c r="D19" s="124"/>
      <c r="E19" s="77"/>
      <c r="F19" s="145"/>
      <c r="G19" s="145"/>
      <c r="H19" s="145"/>
      <c r="I19" s="146"/>
      <c r="J19" s="129"/>
      <c r="K19" s="147"/>
      <c r="L19" s="147"/>
      <c r="M19" s="147"/>
      <c r="N19" s="129"/>
      <c r="O19" s="129"/>
    </row>
    <row r="20" spans="1:18" s="118" customFormat="1" x14ac:dyDescent="0.25">
      <c r="A20" s="77" t="s">
        <v>243</v>
      </c>
      <c r="B20" s="124"/>
      <c r="C20" s="124"/>
      <c r="D20" s="124"/>
      <c r="E20" s="77"/>
      <c r="F20" s="145"/>
      <c r="G20" s="145"/>
      <c r="H20" s="145"/>
      <c r="I20" s="146"/>
      <c r="J20" s="129"/>
      <c r="K20" s="147"/>
      <c r="L20" s="147"/>
      <c r="M20" s="147"/>
      <c r="N20" s="129"/>
      <c r="O20" s="129"/>
    </row>
    <row r="21" spans="1:18" s="118" customFormat="1" x14ac:dyDescent="0.25">
      <c r="A21" s="77" t="s">
        <v>244</v>
      </c>
      <c r="B21" s="124"/>
      <c r="C21" s="124"/>
      <c r="D21" s="124"/>
      <c r="E21" s="77"/>
      <c r="F21" s="145"/>
      <c r="G21" s="145"/>
      <c r="H21" s="145"/>
      <c r="I21" s="146"/>
      <c r="J21" s="129"/>
      <c r="K21" s="147"/>
      <c r="L21" s="147"/>
      <c r="M21" s="147"/>
      <c r="N21" s="129"/>
      <c r="O21" s="129"/>
    </row>
    <row r="22" spans="1:18" s="118" customFormat="1" x14ac:dyDescent="0.25">
      <c r="A22" s="77" t="s">
        <v>245</v>
      </c>
      <c r="B22" s="124"/>
      <c r="C22" s="124"/>
      <c r="D22" s="124"/>
      <c r="E22" s="77"/>
      <c r="F22" s="145"/>
      <c r="G22" s="145"/>
      <c r="H22" s="145"/>
      <c r="I22" s="146"/>
      <c r="J22" s="129"/>
      <c r="K22" s="147"/>
      <c r="L22" s="147"/>
      <c r="M22" s="147"/>
      <c r="N22" s="129"/>
      <c r="O22" s="129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8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5.664062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1.33203125" style="61" customWidth="1"/>
    <col min="11" max="11" width="12.5546875" style="63" customWidth="1"/>
    <col min="12" max="12" width="14.109375" style="63" customWidth="1"/>
    <col min="13" max="13" width="13.5546875" style="63" bestFit="1" customWidth="1"/>
    <col min="14" max="14" width="8.88671875" style="61" bestFit="1" customWidth="1"/>
    <col min="15" max="15" width="11.33203125" style="61" bestFit="1" customWidth="1"/>
    <col min="16" max="16" width="22" style="64" customWidth="1"/>
    <col min="17" max="17" width="25.44140625" style="64" customWidth="1"/>
    <col min="18" max="18" width="20.6640625" style="64" customWidth="1"/>
    <col min="19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4"/>
      <c r="Q1" s="64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4"/>
      <c r="Q2" s="64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4"/>
      <c r="Q3" s="64"/>
      <c r="R3" s="43"/>
    </row>
    <row r="4" spans="1:18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/>
    </row>
    <row r="5" spans="1:18" s="7" customFormat="1" x14ac:dyDescent="0.25">
      <c r="A5" s="218" t="s">
        <v>20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20"/>
    </row>
    <row r="6" spans="1:18" s="7" customFormat="1" ht="30" customHeight="1" x14ac:dyDescent="0.25">
      <c r="A6" s="85" t="s">
        <v>156</v>
      </c>
      <c r="B6" s="200" t="s">
        <v>69</v>
      </c>
      <c r="C6" s="200" t="s">
        <v>79</v>
      </c>
      <c r="D6" s="200" t="s">
        <v>74</v>
      </c>
      <c r="E6" s="200" t="s">
        <v>19</v>
      </c>
      <c r="F6" s="200" t="s">
        <v>70</v>
      </c>
      <c r="G6" s="200" t="s">
        <v>5</v>
      </c>
      <c r="H6" s="200" t="s">
        <v>13</v>
      </c>
      <c r="I6" s="200" t="s">
        <v>14</v>
      </c>
      <c r="J6" s="200" t="s">
        <v>6</v>
      </c>
      <c r="K6" s="201" t="s">
        <v>66</v>
      </c>
      <c r="L6" s="201" t="s">
        <v>71</v>
      </c>
      <c r="M6" s="201" t="s">
        <v>67</v>
      </c>
      <c r="N6" s="201" t="s">
        <v>68</v>
      </c>
      <c r="O6" s="201" t="s">
        <v>29</v>
      </c>
      <c r="P6" s="88" t="s">
        <v>17</v>
      </c>
      <c r="Q6" s="88" t="s">
        <v>75</v>
      </c>
      <c r="R6" s="89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8" customFormat="1" ht="12.75" customHeight="1" thickBot="1" x14ac:dyDescent="0.3">
      <c r="A9" s="99" t="s">
        <v>58</v>
      </c>
      <c r="B9" s="66"/>
      <c r="C9" s="66"/>
      <c r="D9" s="66"/>
      <c r="E9" s="66"/>
      <c r="F9" s="100"/>
      <c r="G9" s="100"/>
      <c r="H9" s="100"/>
      <c r="I9" s="100"/>
      <c r="J9" s="100"/>
      <c r="K9" s="66"/>
      <c r="L9" s="66"/>
      <c r="M9" s="101"/>
      <c r="N9" s="100"/>
      <c r="O9" s="104">
        <v>56380.682940599996</v>
      </c>
      <c r="P9" s="66"/>
      <c r="Q9" s="66">
        <v>1</v>
      </c>
      <c r="R9" s="80">
        <v>2.2927858163132905E-2</v>
      </c>
    </row>
    <row r="10" spans="1:18" s="118" customFormat="1" x14ac:dyDescent="0.25">
      <c r="A10" s="90" t="s">
        <v>137</v>
      </c>
      <c r="B10" s="120" t="s">
        <v>249</v>
      </c>
      <c r="C10" s="120" t="s">
        <v>249</v>
      </c>
      <c r="D10" s="120" t="s">
        <v>249</v>
      </c>
      <c r="E10" s="120" t="s">
        <v>249</v>
      </c>
      <c r="F10" s="121" t="s">
        <v>249</v>
      </c>
      <c r="G10" s="121" t="s">
        <v>249</v>
      </c>
      <c r="H10" s="121" t="s">
        <v>249</v>
      </c>
      <c r="I10" s="132" t="s">
        <v>249</v>
      </c>
      <c r="J10" s="121" t="s">
        <v>249</v>
      </c>
      <c r="K10" s="120" t="s">
        <v>249</v>
      </c>
      <c r="L10" s="120" t="s">
        <v>249</v>
      </c>
      <c r="M10" s="132" t="s">
        <v>249</v>
      </c>
      <c r="N10" s="121" t="s">
        <v>249</v>
      </c>
      <c r="O10" s="133">
        <v>56380.682940399995</v>
      </c>
      <c r="P10" s="120" t="s">
        <v>249</v>
      </c>
      <c r="Q10" s="120">
        <v>0.99999999999645273</v>
      </c>
      <c r="R10" s="120">
        <v>2.2927858163051571E-2</v>
      </c>
    </row>
    <row r="11" spans="1:18" s="118" customFormat="1" x14ac:dyDescent="0.25">
      <c r="A11" s="91" t="s">
        <v>751</v>
      </c>
      <c r="B11" s="136" t="s">
        <v>249</v>
      </c>
      <c r="C11" s="136" t="s">
        <v>249</v>
      </c>
      <c r="D11" s="136" t="s">
        <v>249</v>
      </c>
      <c r="E11" s="136" t="s">
        <v>249</v>
      </c>
      <c r="F11" s="121" t="s">
        <v>249</v>
      </c>
      <c r="G11" s="135" t="s">
        <v>249</v>
      </c>
      <c r="H11" s="135" t="s">
        <v>249</v>
      </c>
      <c r="I11" s="132" t="s">
        <v>249</v>
      </c>
      <c r="J11" s="135" t="s">
        <v>249</v>
      </c>
      <c r="K11" s="136" t="s">
        <v>249</v>
      </c>
      <c r="L11" s="136" t="s">
        <v>249</v>
      </c>
      <c r="M11" s="134" t="s">
        <v>249</v>
      </c>
      <c r="N11" s="121" t="s">
        <v>249</v>
      </c>
      <c r="O11" s="123">
        <v>54035.117010099995</v>
      </c>
      <c r="P11" s="136"/>
      <c r="Q11" s="120">
        <v>0.95839770275625824</v>
      </c>
      <c r="R11" s="120">
        <v>2.1974006592667898E-2</v>
      </c>
    </row>
    <row r="12" spans="1:18" x14ac:dyDescent="0.25">
      <c r="A12" s="16" t="s">
        <v>775</v>
      </c>
      <c r="B12" s="24" t="s">
        <v>776</v>
      </c>
      <c r="C12" s="24" t="s">
        <v>249</v>
      </c>
      <c r="D12" s="24" t="s">
        <v>777</v>
      </c>
      <c r="E12" s="24" t="s">
        <v>203</v>
      </c>
      <c r="F12" s="65" t="s">
        <v>253</v>
      </c>
      <c r="G12" s="60" t="s">
        <v>254</v>
      </c>
      <c r="H12" s="60" t="s">
        <v>778</v>
      </c>
      <c r="I12" s="98">
        <v>9.9600000000000009</v>
      </c>
      <c r="J12" s="60" t="s">
        <v>255</v>
      </c>
      <c r="K12" s="24">
        <v>4.0999999999999995E-2</v>
      </c>
      <c r="L12" s="24">
        <v>2.1000000000000001E-2</v>
      </c>
      <c r="M12" s="68">
        <v>22000000</v>
      </c>
      <c r="N12" s="65">
        <v>142.97749999999999</v>
      </c>
      <c r="O12" s="83">
        <v>31455.050859999999</v>
      </c>
      <c r="P12" s="24">
        <v>6.0584646920881459E-3</v>
      </c>
      <c r="Q12" s="32">
        <v>0.55790475069519019</v>
      </c>
      <c r="R12" s="32">
        <v>1.2791560992477344E-2</v>
      </c>
    </row>
    <row r="13" spans="1:18" x14ac:dyDescent="0.25">
      <c r="A13" s="16" t="s">
        <v>765</v>
      </c>
      <c r="B13" s="24" t="s">
        <v>766</v>
      </c>
      <c r="C13" s="24" t="s">
        <v>249</v>
      </c>
      <c r="D13" s="24" t="s">
        <v>767</v>
      </c>
      <c r="E13" s="24" t="s">
        <v>199</v>
      </c>
      <c r="F13" s="65" t="s">
        <v>768</v>
      </c>
      <c r="G13" s="60" t="s">
        <v>759</v>
      </c>
      <c r="H13" s="60" t="s">
        <v>769</v>
      </c>
      <c r="I13" s="98">
        <v>2.61</v>
      </c>
      <c r="J13" s="60" t="s">
        <v>255</v>
      </c>
      <c r="K13" s="24">
        <v>4.1399999999999999E-2</v>
      </c>
      <c r="L13" s="24">
        <v>1.7600000000000001E-2</v>
      </c>
      <c r="M13" s="68">
        <v>15000000</v>
      </c>
      <c r="N13" s="65">
        <v>117.244</v>
      </c>
      <c r="O13" s="83">
        <v>17586.609579999997</v>
      </c>
      <c r="P13" s="24">
        <v>0</v>
      </c>
      <c r="Q13" s="32">
        <v>0.31192615383053118</v>
      </c>
      <c r="R13" s="32">
        <v>7.1517986123979934E-3</v>
      </c>
    </row>
    <row r="14" spans="1:18" x14ac:dyDescent="0.25">
      <c r="A14" s="16" t="s">
        <v>761</v>
      </c>
      <c r="B14" s="24" t="s">
        <v>762</v>
      </c>
      <c r="C14" s="24" t="s">
        <v>249</v>
      </c>
      <c r="D14" s="24" t="s">
        <v>763</v>
      </c>
      <c r="E14" s="24" t="s">
        <v>199</v>
      </c>
      <c r="F14" s="65" t="s">
        <v>764</v>
      </c>
      <c r="G14" s="60" t="s">
        <v>254</v>
      </c>
      <c r="H14" s="60" t="s">
        <v>331</v>
      </c>
      <c r="I14" s="98">
        <v>1.92</v>
      </c>
      <c r="J14" s="60" t="s">
        <v>255</v>
      </c>
      <c r="K14" s="24">
        <v>6.6000000000000003E-2</v>
      </c>
      <c r="L14" s="24">
        <v>1.8600000000000002E-2</v>
      </c>
      <c r="M14" s="68">
        <v>1400000</v>
      </c>
      <c r="N14" s="65">
        <v>138.9992</v>
      </c>
      <c r="O14" s="83">
        <v>1945.98982</v>
      </c>
      <c r="P14" s="24">
        <v>0</v>
      </c>
      <c r="Q14" s="32">
        <v>3.4515187090766571E-2</v>
      </c>
      <c r="R14" s="32">
        <v>7.9135931409109184E-4</v>
      </c>
    </row>
    <row r="15" spans="1:18" x14ac:dyDescent="0.25">
      <c r="A15" s="16" t="s">
        <v>770</v>
      </c>
      <c r="B15" s="24" t="s">
        <v>771</v>
      </c>
      <c r="C15" s="24" t="s">
        <v>249</v>
      </c>
      <c r="D15" s="24" t="s">
        <v>772</v>
      </c>
      <c r="E15" s="24" t="s">
        <v>201</v>
      </c>
      <c r="F15" s="65" t="s">
        <v>773</v>
      </c>
      <c r="G15" s="60" t="s">
        <v>254</v>
      </c>
      <c r="H15" s="60" t="s">
        <v>774</v>
      </c>
      <c r="I15" s="98">
        <v>1.1100000000000001</v>
      </c>
      <c r="J15" s="60" t="s">
        <v>255</v>
      </c>
      <c r="K15" s="24">
        <v>7.7499999999999999E-2</v>
      </c>
      <c r="L15" s="24">
        <v>2.9100000000000001E-2</v>
      </c>
      <c r="M15" s="68">
        <v>684233.66</v>
      </c>
      <c r="N15" s="65">
        <v>138.452</v>
      </c>
      <c r="O15" s="83">
        <v>947.33543999999995</v>
      </c>
      <c r="P15" s="24">
        <v>4.5247494396120228E-3</v>
      </c>
      <c r="Q15" s="32">
        <v>1.6802482527536383E-2</v>
      </c>
      <c r="R15" s="32">
        <v>3.8524493617987302E-4</v>
      </c>
    </row>
    <row r="16" spans="1:18" x14ac:dyDescent="0.25">
      <c r="A16" s="16" t="s">
        <v>755</v>
      </c>
      <c r="B16" s="24" t="s">
        <v>756</v>
      </c>
      <c r="C16" s="24" t="s">
        <v>249</v>
      </c>
      <c r="D16" s="24" t="s">
        <v>757</v>
      </c>
      <c r="E16" s="24" t="s">
        <v>200</v>
      </c>
      <c r="F16" s="65" t="s">
        <v>758</v>
      </c>
      <c r="G16" s="60" t="s">
        <v>759</v>
      </c>
      <c r="H16" s="60" t="s">
        <v>760</v>
      </c>
      <c r="I16" s="98">
        <v>3.97</v>
      </c>
      <c r="J16" s="60" t="s">
        <v>255</v>
      </c>
      <c r="K16" s="24">
        <v>3.3000000000000002E-2</v>
      </c>
      <c r="L16" s="24">
        <v>1.5900000000000001E-2</v>
      </c>
      <c r="M16" s="68">
        <v>1875000</v>
      </c>
      <c r="N16" s="65">
        <v>112.00700000000001</v>
      </c>
      <c r="O16" s="83">
        <v>2100.1313100000002</v>
      </c>
      <c r="P16" s="24">
        <v>9.2364532019704442E-3</v>
      </c>
      <c r="Q16" s="32">
        <v>3.7249128610460404E-2</v>
      </c>
      <c r="R16" s="32">
        <v>8.5404273748093207E-4</v>
      </c>
    </row>
    <row r="17" spans="1:18" s="118" customFormat="1" x14ac:dyDescent="0.25">
      <c r="A17" s="91" t="s">
        <v>752</v>
      </c>
      <c r="B17" s="136" t="s">
        <v>249</v>
      </c>
      <c r="C17" s="136" t="s">
        <v>249</v>
      </c>
      <c r="D17" s="136" t="s">
        <v>249</v>
      </c>
      <c r="E17" s="136" t="s">
        <v>249</v>
      </c>
      <c r="F17" s="121" t="s">
        <v>249</v>
      </c>
      <c r="G17" s="135" t="s">
        <v>249</v>
      </c>
      <c r="H17" s="135" t="s">
        <v>249</v>
      </c>
      <c r="I17" s="132" t="s">
        <v>249</v>
      </c>
      <c r="J17" s="135" t="s">
        <v>249</v>
      </c>
      <c r="K17" s="136" t="s">
        <v>249</v>
      </c>
      <c r="L17" s="136" t="s">
        <v>249</v>
      </c>
      <c r="M17" s="134" t="s">
        <v>249</v>
      </c>
      <c r="N17" s="121" t="s">
        <v>249</v>
      </c>
      <c r="O17" s="123">
        <v>2345.5659301000001</v>
      </c>
      <c r="P17" s="136"/>
      <c r="Q17" s="120">
        <v>4.1602297236647108E-2</v>
      </c>
      <c r="R17" s="120">
        <v>9.5385157030234097E-4</v>
      </c>
    </row>
    <row r="18" spans="1:18" x14ac:dyDescent="0.25">
      <c r="A18" s="16" t="s">
        <v>779</v>
      </c>
      <c r="B18" s="24" t="s">
        <v>780</v>
      </c>
      <c r="C18" s="24" t="s">
        <v>249</v>
      </c>
      <c r="D18" s="24" t="s">
        <v>781</v>
      </c>
      <c r="E18" s="24" t="s">
        <v>199</v>
      </c>
      <c r="F18" s="65" t="s">
        <v>782</v>
      </c>
      <c r="G18" s="60" t="s">
        <v>759</v>
      </c>
      <c r="H18" s="60" t="s">
        <v>783</v>
      </c>
      <c r="I18" s="98">
        <v>0.5</v>
      </c>
      <c r="J18" s="60" t="s">
        <v>255</v>
      </c>
      <c r="K18" s="24">
        <v>5.1799999999999999E-2</v>
      </c>
      <c r="L18" s="24">
        <v>8.0500000000000002E-2</v>
      </c>
      <c r="M18" s="68">
        <v>2286824</v>
      </c>
      <c r="N18" s="65">
        <v>102.56870000000001</v>
      </c>
      <c r="O18" s="83">
        <v>2345.5659300000002</v>
      </c>
      <c r="P18" s="24">
        <v>1.6460260562873391E-2</v>
      </c>
      <c r="Q18" s="32">
        <v>4.1602297234873457E-2</v>
      </c>
      <c r="R18" s="32">
        <v>9.5385157026167482E-4</v>
      </c>
    </row>
    <row r="19" spans="1:18" s="118" customFormat="1" x14ac:dyDescent="0.25">
      <c r="A19" s="91" t="s">
        <v>284</v>
      </c>
      <c r="B19" s="136" t="s">
        <v>249</v>
      </c>
      <c r="C19" s="136" t="s">
        <v>249</v>
      </c>
      <c r="D19" s="136" t="s">
        <v>249</v>
      </c>
      <c r="E19" s="136" t="s">
        <v>249</v>
      </c>
      <c r="F19" s="121" t="s">
        <v>249</v>
      </c>
      <c r="G19" s="135" t="s">
        <v>249</v>
      </c>
      <c r="H19" s="135" t="s">
        <v>249</v>
      </c>
      <c r="I19" s="132" t="s">
        <v>249</v>
      </c>
      <c r="J19" s="135" t="s">
        <v>249</v>
      </c>
      <c r="K19" s="136" t="s">
        <v>249</v>
      </c>
      <c r="L19" s="136" t="s">
        <v>249</v>
      </c>
      <c r="M19" s="134" t="s">
        <v>249</v>
      </c>
      <c r="N19" s="121" t="s">
        <v>249</v>
      </c>
      <c r="O19" s="123">
        <v>0</v>
      </c>
      <c r="P19" s="136"/>
      <c r="Q19" s="120">
        <v>0</v>
      </c>
      <c r="R19" s="120">
        <v>0</v>
      </c>
    </row>
    <row r="20" spans="1:18" s="118" customFormat="1" x14ac:dyDescent="0.25">
      <c r="A20" s="91" t="s">
        <v>141</v>
      </c>
      <c r="B20" s="136" t="s">
        <v>249</v>
      </c>
      <c r="C20" s="136" t="s">
        <v>249</v>
      </c>
      <c r="D20" s="136" t="s">
        <v>249</v>
      </c>
      <c r="E20" s="136" t="s">
        <v>249</v>
      </c>
      <c r="F20" s="121" t="s">
        <v>249</v>
      </c>
      <c r="G20" s="135" t="s">
        <v>249</v>
      </c>
      <c r="H20" s="135" t="s">
        <v>249</v>
      </c>
      <c r="I20" s="132" t="s">
        <v>249</v>
      </c>
      <c r="J20" s="135" t="s">
        <v>249</v>
      </c>
      <c r="K20" s="136" t="s">
        <v>249</v>
      </c>
      <c r="L20" s="136" t="s">
        <v>249</v>
      </c>
      <c r="M20" s="134" t="s">
        <v>249</v>
      </c>
      <c r="N20" s="121" t="s">
        <v>249</v>
      </c>
      <c r="O20" s="123">
        <v>0</v>
      </c>
      <c r="P20" s="136"/>
      <c r="Q20" s="120">
        <v>0</v>
      </c>
      <c r="R20" s="120">
        <v>0</v>
      </c>
    </row>
    <row r="21" spans="1:18" s="118" customFormat="1" x14ac:dyDescent="0.25">
      <c r="A21" s="91" t="s">
        <v>281</v>
      </c>
      <c r="B21" s="136" t="s">
        <v>249</v>
      </c>
      <c r="C21" s="136" t="s">
        <v>249</v>
      </c>
      <c r="D21" s="136" t="s">
        <v>249</v>
      </c>
      <c r="E21" s="136" t="s">
        <v>249</v>
      </c>
      <c r="F21" s="121" t="s">
        <v>249</v>
      </c>
      <c r="G21" s="135" t="s">
        <v>249</v>
      </c>
      <c r="H21" s="135" t="s">
        <v>249</v>
      </c>
      <c r="I21" s="132" t="s">
        <v>249</v>
      </c>
      <c r="J21" s="135" t="s">
        <v>249</v>
      </c>
      <c r="K21" s="136" t="s">
        <v>249</v>
      </c>
      <c r="L21" s="136" t="s">
        <v>249</v>
      </c>
      <c r="M21" s="134" t="s">
        <v>249</v>
      </c>
      <c r="N21" s="121" t="s">
        <v>249</v>
      </c>
      <c r="O21" s="123">
        <v>0</v>
      </c>
      <c r="P21" s="136"/>
      <c r="Q21" s="120">
        <v>0</v>
      </c>
      <c r="R21" s="120">
        <v>0</v>
      </c>
    </row>
    <row r="22" spans="1:18" s="118" customFormat="1" x14ac:dyDescent="0.25">
      <c r="A22" s="91" t="s">
        <v>784</v>
      </c>
      <c r="B22" s="136" t="s">
        <v>249</v>
      </c>
      <c r="C22" s="136" t="s">
        <v>249</v>
      </c>
      <c r="D22" s="136" t="s">
        <v>249</v>
      </c>
      <c r="E22" s="136" t="s">
        <v>249</v>
      </c>
      <c r="F22" s="121" t="s">
        <v>249</v>
      </c>
      <c r="G22" s="135" t="s">
        <v>249</v>
      </c>
      <c r="H22" s="135" t="s">
        <v>249</v>
      </c>
      <c r="I22" s="132" t="s">
        <v>249</v>
      </c>
      <c r="J22" s="135" t="s">
        <v>249</v>
      </c>
      <c r="K22" s="136" t="s">
        <v>249</v>
      </c>
      <c r="L22" s="136" t="s">
        <v>249</v>
      </c>
      <c r="M22" s="134" t="s">
        <v>249</v>
      </c>
      <c r="N22" s="121" t="s">
        <v>249</v>
      </c>
      <c r="O22" s="123">
        <v>0</v>
      </c>
      <c r="P22" s="136"/>
      <c r="Q22" s="120">
        <v>0</v>
      </c>
      <c r="R22" s="120">
        <v>0</v>
      </c>
    </row>
    <row r="23" spans="1:18" s="118" customFormat="1" x14ac:dyDescent="0.25">
      <c r="A23" s="91" t="s">
        <v>785</v>
      </c>
      <c r="B23" s="136" t="s">
        <v>249</v>
      </c>
      <c r="C23" s="136" t="s">
        <v>249</v>
      </c>
      <c r="D23" s="136" t="s">
        <v>249</v>
      </c>
      <c r="E23" s="136" t="s">
        <v>249</v>
      </c>
      <c r="F23" s="121" t="s">
        <v>249</v>
      </c>
      <c r="G23" s="135" t="s">
        <v>249</v>
      </c>
      <c r="H23" s="135" t="s">
        <v>249</v>
      </c>
      <c r="I23" s="132" t="s">
        <v>249</v>
      </c>
      <c r="J23" s="135" t="s">
        <v>249</v>
      </c>
      <c r="K23" s="136" t="s">
        <v>249</v>
      </c>
      <c r="L23" s="136" t="s">
        <v>249</v>
      </c>
      <c r="M23" s="134" t="s">
        <v>249</v>
      </c>
      <c r="N23" s="121" t="s">
        <v>249</v>
      </c>
      <c r="O23" s="123">
        <v>0</v>
      </c>
      <c r="P23" s="136"/>
      <c r="Q23" s="120">
        <v>0</v>
      </c>
      <c r="R23" s="120">
        <v>0</v>
      </c>
    </row>
    <row r="24" spans="1:18" s="118" customFormat="1" x14ac:dyDescent="0.25">
      <c r="A24" s="77" t="s">
        <v>241</v>
      </c>
      <c r="B24" s="124"/>
      <c r="C24" s="124"/>
      <c r="D24" s="124"/>
      <c r="E24" s="77"/>
      <c r="F24" s="125"/>
      <c r="G24" s="125"/>
      <c r="H24" s="125"/>
      <c r="I24" s="126"/>
      <c r="J24" s="127"/>
      <c r="K24" s="128"/>
      <c r="L24" s="128"/>
      <c r="M24" s="128"/>
      <c r="N24" s="127"/>
      <c r="O24" s="127"/>
      <c r="P24" s="137"/>
      <c r="Q24" s="137"/>
      <c r="R24" s="137"/>
    </row>
    <row r="25" spans="1:18" s="118" customFormat="1" x14ac:dyDescent="0.25">
      <c r="A25" s="77" t="s">
        <v>242</v>
      </c>
      <c r="B25" s="124"/>
      <c r="C25" s="124"/>
      <c r="D25" s="124"/>
      <c r="E25" s="77"/>
      <c r="F25" s="125"/>
      <c r="G25" s="125"/>
      <c r="H25" s="125"/>
      <c r="I25" s="126"/>
      <c r="J25" s="127"/>
      <c r="K25" s="128"/>
      <c r="L25" s="128"/>
      <c r="M25" s="128"/>
      <c r="N25" s="127"/>
      <c r="O25" s="127"/>
      <c r="P25" s="137"/>
      <c r="Q25" s="137"/>
      <c r="R25" s="137"/>
    </row>
    <row r="26" spans="1:18" s="118" customFormat="1" x14ac:dyDescent="0.25">
      <c r="A26" s="77" t="s">
        <v>243</v>
      </c>
      <c r="B26" s="124"/>
      <c r="C26" s="124"/>
      <c r="D26" s="124"/>
      <c r="E26" s="77"/>
      <c r="F26" s="125"/>
      <c r="G26" s="125"/>
      <c r="H26" s="125"/>
      <c r="I26" s="126"/>
      <c r="J26" s="127"/>
      <c r="K26" s="128"/>
      <c r="L26" s="128"/>
      <c r="M26" s="128"/>
      <c r="N26" s="127"/>
      <c r="O26" s="127"/>
      <c r="P26" s="137"/>
      <c r="Q26" s="137"/>
      <c r="R26" s="137"/>
    </row>
    <row r="27" spans="1:18" s="118" customFormat="1" x14ac:dyDescent="0.25">
      <c r="A27" s="77" t="s">
        <v>244</v>
      </c>
      <c r="B27" s="124"/>
      <c r="C27" s="124"/>
      <c r="D27" s="124"/>
      <c r="E27" s="77"/>
      <c r="F27" s="125"/>
      <c r="G27" s="125"/>
      <c r="H27" s="125"/>
      <c r="I27" s="126"/>
      <c r="J27" s="127"/>
      <c r="K27" s="128"/>
      <c r="L27" s="128"/>
      <c r="M27" s="128"/>
      <c r="N27" s="127"/>
      <c r="O27" s="127"/>
      <c r="P27" s="137"/>
      <c r="Q27" s="137"/>
      <c r="R27" s="137"/>
    </row>
    <row r="28" spans="1:18" s="118" customFormat="1" x14ac:dyDescent="0.25">
      <c r="A28" s="77" t="s">
        <v>245</v>
      </c>
      <c r="B28" s="124"/>
      <c r="C28" s="124"/>
      <c r="D28" s="124"/>
      <c r="E28" s="77"/>
      <c r="F28" s="125"/>
      <c r="G28" s="125"/>
      <c r="H28" s="125"/>
      <c r="I28" s="126"/>
      <c r="J28" s="127"/>
      <c r="K28" s="128"/>
      <c r="L28" s="128"/>
      <c r="M28" s="128"/>
      <c r="N28" s="127"/>
      <c r="O28" s="127"/>
      <c r="P28" s="137"/>
      <c r="Q28" s="137"/>
      <c r="R28" s="137"/>
    </row>
  </sheetData>
  <sortState xmlns:xlrd2="http://schemas.microsoft.com/office/spreadsheetml/2017/richdata2" ref="A12:Z16">
    <sortCondition ref="A12:A16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23 O9:O23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23 J9:J23 Q9:R23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23 I9:I23 K9:N23 J24:J55558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9" customWidth="1"/>
    <col min="7" max="7" width="10.5546875" style="59" customWidth="1"/>
    <col min="8" max="8" width="8.8867187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236</v>
      </c>
      <c r="B1" s="8" t="s">
        <v>237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224"/>
      <c r="M4" s="13"/>
      <c r="N4" s="13"/>
      <c r="O4" s="12"/>
      <c r="P4" s="12"/>
      <c r="Q4" s="14"/>
    </row>
    <row r="5" spans="1:17" s="7" customFormat="1" x14ac:dyDescent="0.25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20"/>
    </row>
    <row r="6" spans="1:17" s="7" customFormat="1" ht="33.75" customHeight="1" x14ac:dyDescent="0.25">
      <c r="A6" s="85" t="s">
        <v>156</v>
      </c>
      <c r="B6" s="200" t="s">
        <v>69</v>
      </c>
      <c r="C6" s="200" t="s">
        <v>79</v>
      </c>
      <c r="D6" s="200" t="s">
        <v>74</v>
      </c>
      <c r="E6" s="200" t="s">
        <v>19</v>
      </c>
      <c r="F6" s="200" t="s">
        <v>6</v>
      </c>
      <c r="G6" s="201" t="s">
        <v>67</v>
      </c>
      <c r="H6" s="201" t="s">
        <v>68</v>
      </c>
      <c r="I6" s="201" t="s">
        <v>7</v>
      </c>
      <c r="J6" s="201" t="s">
        <v>17</v>
      </c>
      <c r="K6" s="88" t="s">
        <v>75</v>
      </c>
      <c r="L6" s="89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8" customFormat="1" ht="12.75" customHeight="1" thickBot="1" x14ac:dyDescent="0.3">
      <c r="A9" s="99" t="s">
        <v>59</v>
      </c>
      <c r="B9" s="66"/>
      <c r="C9" s="66"/>
      <c r="D9" s="66"/>
      <c r="E9" s="66"/>
      <c r="F9" s="100"/>
      <c r="G9" s="101"/>
      <c r="H9" s="100"/>
      <c r="I9" s="104">
        <v>3.0000000000000004E-7</v>
      </c>
      <c r="J9" s="66"/>
      <c r="K9" s="66">
        <v>1</v>
      </c>
      <c r="L9" s="58">
        <v>0</v>
      </c>
    </row>
    <row r="10" spans="1:17" s="118" customFormat="1" x14ac:dyDescent="0.25">
      <c r="A10" s="90" t="s">
        <v>137</v>
      </c>
      <c r="B10" s="120" t="s">
        <v>249</v>
      </c>
      <c r="C10" s="120" t="s">
        <v>249</v>
      </c>
      <c r="D10" s="120" t="s">
        <v>249</v>
      </c>
      <c r="E10" s="120" t="s">
        <v>249</v>
      </c>
      <c r="F10" s="121" t="s">
        <v>249</v>
      </c>
      <c r="G10" s="132" t="s">
        <v>249</v>
      </c>
      <c r="H10" s="121" t="s">
        <v>249</v>
      </c>
      <c r="I10" s="133">
        <v>0</v>
      </c>
      <c r="J10" s="120" t="s">
        <v>249</v>
      </c>
      <c r="K10" s="120">
        <v>0</v>
      </c>
      <c r="L10" s="120">
        <v>0</v>
      </c>
    </row>
    <row r="11" spans="1:17" s="118" customFormat="1" x14ac:dyDescent="0.25">
      <c r="A11" s="91" t="s">
        <v>281</v>
      </c>
      <c r="B11" s="136" t="s">
        <v>249</v>
      </c>
      <c r="C11" s="136" t="s">
        <v>249</v>
      </c>
      <c r="D11" s="136" t="s">
        <v>249</v>
      </c>
      <c r="E11" s="136" t="s">
        <v>249</v>
      </c>
      <c r="F11" s="135" t="s">
        <v>249</v>
      </c>
      <c r="G11" s="134" t="s">
        <v>249</v>
      </c>
      <c r="H11" s="121" t="s">
        <v>249</v>
      </c>
      <c r="I11" s="122">
        <v>0</v>
      </c>
      <c r="J11" s="120"/>
      <c r="K11" s="120">
        <v>0</v>
      </c>
      <c r="L11" s="120">
        <v>0</v>
      </c>
    </row>
    <row r="12" spans="1:17" s="118" customFormat="1" x14ac:dyDescent="0.25">
      <c r="A12" s="91" t="s">
        <v>143</v>
      </c>
      <c r="B12" s="136" t="s">
        <v>249</v>
      </c>
      <c r="C12" s="136" t="s">
        <v>249</v>
      </c>
      <c r="D12" s="136" t="s">
        <v>249</v>
      </c>
      <c r="E12" s="136" t="s">
        <v>249</v>
      </c>
      <c r="F12" s="135" t="s">
        <v>249</v>
      </c>
      <c r="G12" s="134" t="s">
        <v>249</v>
      </c>
      <c r="H12" s="121" t="s">
        <v>249</v>
      </c>
      <c r="I12" s="122">
        <v>0</v>
      </c>
      <c r="J12" s="120"/>
      <c r="K12" s="120">
        <v>0</v>
      </c>
      <c r="L12" s="120">
        <v>0</v>
      </c>
    </row>
    <row r="13" spans="1:17" s="118" customFormat="1" x14ac:dyDescent="0.25">
      <c r="A13" s="91" t="s">
        <v>144</v>
      </c>
      <c r="B13" s="136" t="s">
        <v>249</v>
      </c>
      <c r="C13" s="136" t="s">
        <v>249</v>
      </c>
      <c r="D13" s="136" t="s">
        <v>249</v>
      </c>
      <c r="E13" s="136" t="s">
        <v>249</v>
      </c>
      <c r="F13" s="135" t="s">
        <v>249</v>
      </c>
      <c r="G13" s="134" t="s">
        <v>249</v>
      </c>
      <c r="H13" s="121" t="s">
        <v>249</v>
      </c>
      <c r="I13" s="122">
        <v>0</v>
      </c>
      <c r="J13" s="120"/>
      <c r="K13" s="120">
        <v>0</v>
      </c>
      <c r="L13" s="120">
        <v>0</v>
      </c>
    </row>
    <row r="14" spans="1:17" s="118" customFormat="1" x14ac:dyDescent="0.25">
      <c r="A14" s="77" t="s">
        <v>241</v>
      </c>
      <c r="B14" s="124"/>
      <c r="C14" s="124"/>
      <c r="D14" s="124"/>
      <c r="E14" s="77"/>
      <c r="F14" s="125"/>
      <c r="G14" s="125"/>
      <c r="H14" s="125"/>
      <c r="I14" s="126"/>
      <c r="J14" s="127"/>
      <c r="K14" s="127"/>
      <c r="L14" s="128"/>
      <c r="M14" s="147"/>
      <c r="N14" s="147"/>
      <c r="O14" s="129"/>
      <c r="P14" s="129"/>
    </row>
    <row r="15" spans="1:17" s="118" customFormat="1" x14ac:dyDescent="0.25">
      <c r="A15" s="77" t="s">
        <v>242</v>
      </c>
      <c r="B15" s="124"/>
      <c r="C15" s="124"/>
      <c r="D15" s="124"/>
      <c r="E15" s="77"/>
      <c r="F15" s="125"/>
      <c r="G15" s="125"/>
      <c r="H15" s="125"/>
      <c r="I15" s="126"/>
      <c r="J15" s="127"/>
      <c r="K15" s="127"/>
      <c r="L15" s="128"/>
      <c r="M15" s="147"/>
      <c r="N15" s="147"/>
      <c r="O15" s="129"/>
      <c r="P15" s="129"/>
    </row>
    <row r="16" spans="1:17" s="118" customFormat="1" x14ac:dyDescent="0.25">
      <c r="A16" s="77" t="s">
        <v>243</v>
      </c>
      <c r="B16" s="124"/>
      <c r="C16" s="124"/>
      <c r="D16" s="124"/>
      <c r="E16" s="77"/>
      <c r="F16" s="125"/>
      <c r="G16" s="125"/>
      <c r="H16" s="125"/>
      <c r="I16" s="126"/>
      <c r="J16" s="127"/>
      <c r="K16" s="127"/>
      <c r="L16" s="128"/>
      <c r="M16" s="147"/>
      <c r="N16" s="147"/>
      <c r="O16" s="129"/>
      <c r="P16" s="129"/>
    </row>
    <row r="17" spans="1:16" s="118" customFormat="1" x14ac:dyDescent="0.25">
      <c r="A17" s="77" t="s">
        <v>244</v>
      </c>
      <c r="B17" s="124"/>
      <c r="C17" s="124"/>
      <c r="D17" s="124"/>
      <c r="E17" s="77"/>
      <c r="F17" s="125"/>
      <c r="G17" s="125"/>
      <c r="H17" s="125"/>
      <c r="I17" s="126"/>
      <c r="J17" s="127"/>
      <c r="K17" s="127"/>
      <c r="L17" s="128"/>
      <c r="M17" s="147"/>
      <c r="N17" s="147"/>
      <c r="O17" s="129"/>
      <c r="P17" s="129"/>
    </row>
    <row r="18" spans="1:16" s="118" customFormat="1" x14ac:dyDescent="0.25">
      <c r="A18" s="77" t="s">
        <v>245</v>
      </c>
      <c r="B18" s="124"/>
      <c r="C18" s="124"/>
      <c r="D18" s="124"/>
      <c r="E18" s="77"/>
      <c r="F18" s="125"/>
      <c r="G18" s="125"/>
      <c r="H18" s="125"/>
      <c r="I18" s="126"/>
      <c r="J18" s="127"/>
      <c r="K18" s="127"/>
      <c r="L18" s="128"/>
      <c r="M18" s="147"/>
      <c r="N18" s="147"/>
      <c r="O18" s="129"/>
      <c r="P18" s="129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34"/>
  <sheetViews>
    <sheetView rightToLeft="1" zoomScale="80" zoomScaleNormal="80" workbookViewId="0"/>
  </sheetViews>
  <sheetFormatPr defaultColWidth="9.109375" defaultRowHeight="13.2" x14ac:dyDescent="0.25"/>
  <cols>
    <col min="1" max="1" width="42.6640625" style="9" bestFit="1" customWidth="1"/>
    <col min="2" max="2" width="15.109375" style="8" bestFit="1" customWidth="1"/>
    <col min="3" max="3" width="12" style="59" bestFit="1" customWidth="1"/>
    <col min="4" max="4" width="14.109375" style="59" customWidth="1"/>
    <col min="5" max="5" width="12.44140625" style="59" bestFit="1" customWidth="1"/>
    <col min="6" max="6" width="10.33203125" style="36" bestFit="1" customWidth="1"/>
    <col min="7" max="7" width="11.33203125" style="61" bestFit="1" customWidth="1"/>
    <col min="8" max="8" width="22.88671875" style="63" bestFit="1" customWidth="1"/>
    <col min="9" max="9" width="26.44140625" style="63" bestFit="1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236</v>
      </c>
      <c r="B1" s="8" t="s">
        <v>237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7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8" t="s">
        <v>30</v>
      </c>
      <c r="B5" s="219"/>
      <c r="C5" s="219"/>
      <c r="D5" s="219"/>
      <c r="E5" s="219"/>
      <c r="F5" s="219"/>
      <c r="G5" s="219"/>
      <c r="H5" s="219"/>
      <c r="I5" s="219"/>
      <c r="J5" s="220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5" t="s">
        <v>156</v>
      </c>
      <c r="B6" s="200" t="s">
        <v>69</v>
      </c>
      <c r="C6" s="200" t="s">
        <v>6</v>
      </c>
      <c r="D6" s="200" t="s">
        <v>13</v>
      </c>
      <c r="E6" s="201" t="s">
        <v>67</v>
      </c>
      <c r="F6" s="201" t="s">
        <v>68</v>
      </c>
      <c r="G6" s="201" t="s">
        <v>29</v>
      </c>
      <c r="H6" s="88" t="s">
        <v>17</v>
      </c>
      <c r="I6" s="88" t="s">
        <v>75</v>
      </c>
      <c r="J6" s="89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8" customFormat="1" ht="12.75" customHeight="1" thickBot="1" x14ac:dyDescent="0.3">
      <c r="A9" s="99" t="s">
        <v>60</v>
      </c>
      <c r="B9" s="66" t="s">
        <v>249</v>
      </c>
      <c r="C9" s="100" t="s">
        <v>249</v>
      </c>
      <c r="D9" s="100" t="s">
        <v>249</v>
      </c>
      <c r="E9" s="101" t="s">
        <v>249</v>
      </c>
      <c r="F9" s="100" t="s">
        <v>249</v>
      </c>
      <c r="G9" s="104">
        <v>40898.1573508</v>
      </c>
      <c r="H9" s="66" t="s">
        <v>249</v>
      </c>
      <c r="I9" s="66">
        <v>1</v>
      </c>
      <c r="J9" s="80">
        <v>1.6631709691430262E-2</v>
      </c>
    </row>
    <row r="10" spans="1:17" s="118" customFormat="1" x14ac:dyDescent="0.25">
      <c r="A10" s="90" t="s">
        <v>786</v>
      </c>
      <c r="B10" s="120" t="s">
        <v>249</v>
      </c>
      <c r="C10" s="121" t="s">
        <v>249</v>
      </c>
      <c r="D10" s="121" t="s">
        <v>249</v>
      </c>
      <c r="E10" s="132" t="s">
        <v>249</v>
      </c>
      <c r="F10" s="121" t="s">
        <v>249</v>
      </c>
      <c r="G10" s="133">
        <v>1767.3532003999999</v>
      </c>
      <c r="H10" s="120" t="s">
        <v>249</v>
      </c>
      <c r="I10" s="120">
        <v>4.3213516570947151E-2</v>
      </c>
      <c r="J10" s="120">
        <v>7.1871466235380404E-4</v>
      </c>
    </row>
    <row r="11" spans="1:17" s="118" customFormat="1" x14ac:dyDescent="0.25">
      <c r="A11" s="91" t="s">
        <v>787</v>
      </c>
      <c r="B11" s="136" t="s">
        <v>249</v>
      </c>
      <c r="C11" s="135" t="s">
        <v>249</v>
      </c>
      <c r="D11" s="135" t="s">
        <v>249</v>
      </c>
      <c r="E11" s="134" t="s">
        <v>249</v>
      </c>
      <c r="F11" s="121" t="s">
        <v>249</v>
      </c>
      <c r="G11" s="123">
        <v>0</v>
      </c>
      <c r="H11" s="120"/>
      <c r="I11" s="136">
        <v>0</v>
      </c>
      <c r="J11" s="136">
        <v>0</v>
      </c>
    </row>
    <row r="12" spans="1:17" s="118" customFormat="1" x14ac:dyDescent="0.25">
      <c r="A12" s="91" t="s">
        <v>788</v>
      </c>
      <c r="B12" s="136" t="s">
        <v>249</v>
      </c>
      <c r="C12" s="135" t="s">
        <v>249</v>
      </c>
      <c r="D12" s="135" t="s">
        <v>249</v>
      </c>
      <c r="E12" s="134" t="s">
        <v>249</v>
      </c>
      <c r="F12" s="121" t="s">
        <v>249</v>
      </c>
      <c r="G12" s="123">
        <v>0</v>
      </c>
      <c r="H12" s="120"/>
      <c r="I12" s="136">
        <v>0</v>
      </c>
      <c r="J12" s="136">
        <v>0</v>
      </c>
    </row>
    <row r="13" spans="1:17" s="118" customFormat="1" x14ac:dyDescent="0.25">
      <c r="A13" s="91" t="s">
        <v>789</v>
      </c>
      <c r="B13" s="136" t="s">
        <v>249</v>
      </c>
      <c r="C13" s="135" t="s">
        <v>249</v>
      </c>
      <c r="D13" s="135" t="s">
        <v>249</v>
      </c>
      <c r="E13" s="134" t="s">
        <v>249</v>
      </c>
      <c r="F13" s="121" t="s">
        <v>249</v>
      </c>
      <c r="G13" s="123">
        <v>0</v>
      </c>
      <c r="H13" s="120"/>
      <c r="I13" s="136">
        <v>0</v>
      </c>
      <c r="J13" s="136">
        <v>0</v>
      </c>
    </row>
    <row r="14" spans="1:17" s="118" customFormat="1" x14ac:dyDescent="0.25">
      <c r="A14" s="91" t="s">
        <v>790</v>
      </c>
      <c r="B14" s="136" t="s">
        <v>249</v>
      </c>
      <c r="C14" s="135" t="s">
        <v>249</v>
      </c>
      <c r="D14" s="135" t="s">
        <v>249</v>
      </c>
      <c r="E14" s="134" t="s">
        <v>249</v>
      </c>
      <c r="F14" s="121" t="s">
        <v>249</v>
      </c>
      <c r="G14" s="123">
        <v>1767.3532001000001</v>
      </c>
      <c r="H14" s="120"/>
      <c r="I14" s="136">
        <v>4.3213516563611859E-2</v>
      </c>
      <c r="J14" s="136">
        <v>7.187146622318056E-4</v>
      </c>
    </row>
    <row r="15" spans="1:17" x14ac:dyDescent="0.25">
      <c r="A15" s="16" t="s">
        <v>791</v>
      </c>
      <c r="B15" s="24" t="s">
        <v>792</v>
      </c>
      <c r="C15" s="60" t="s">
        <v>255</v>
      </c>
      <c r="D15" s="60" t="s">
        <v>793</v>
      </c>
      <c r="E15" s="68">
        <v>2828208.59</v>
      </c>
      <c r="F15" s="65">
        <v>62.49</v>
      </c>
      <c r="G15" s="83">
        <v>1767.3532</v>
      </c>
      <c r="H15" s="32">
        <v>6.6666666666666671E-3</v>
      </c>
      <c r="I15" s="24">
        <v>4.3213516561166759E-2</v>
      </c>
      <c r="J15" s="24">
        <v>7.1871466219113945E-4</v>
      </c>
      <c r="K15" s="14"/>
      <c r="L15" s="14"/>
      <c r="M15" s="14"/>
    </row>
    <row r="16" spans="1:17" s="118" customFormat="1" x14ac:dyDescent="0.25">
      <c r="A16" s="91" t="s">
        <v>794</v>
      </c>
      <c r="B16" s="136" t="s">
        <v>249</v>
      </c>
      <c r="C16" s="135" t="s">
        <v>249</v>
      </c>
      <c r="D16" s="135" t="s">
        <v>249</v>
      </c>
      <c r="E16" s="134" t="s">
        <v>249</v>
      </c>
      <c r="F16" s="121" t="s">
        <v>249</v>
      </c>
      <c r="G16" s="123">
        <v>39130.804150399999</v>
      </c>
      <c r="H16" s="120"/>
      <c r="I16" s="136">
        <v>0.95678648342905281</v>
      </c>
      <c r="J16" s="136">
        <v>1.5912995029076459E-2</v>
      </c>
    </row>
    <row r="17" spans="1:13" s="118" customFormat="1" x14ac:dyDescent="0.25">
      <c r="A17" s="91" t="s">
        <v>787</v>
      </c>
      <c r="B17" s="136" t="s">
        <v>249</v>
      </c>
      <c r="C17" s="135" t="s">
        <v>249</v>
      </c>
      <c r="D17" s="135" t="s">
        <v>249</v>
      </c>
      <c r="E17" s="134" t="s">
        <v>249</v>
      </c>
      <c r="F17" s="121" t="s">
        <v>249</v>
      </c>
      <c r="G17" s="123">
        <v>0</v>
      </c>
      <c r="H17" s="120"/>
      <c r="I17" s="136">
        <v>0</v>
      </c>
      <c r="J17" s="136">
        <v>0</v>
      </c>
    </row>
    <row r="18" spans="1:13" s="118" customFormat="1" x14ac:dyDescent="0.25">
      <c r="A18" s="91" t="s">
        <v>788</v>
      </c>
      <c r="B18" s="136" t="s">
        <v>249</v>
      </c>
      <c r="C18" s="135" t="s">
        <v>249</v>
      </c>
      <c r="D18" s="135" t="s">
        <v>249</v>
      </c>
      <c r="E18" s="134" t="s">
        <v>249</v>
      </c>
      <c r="F18" s="121" t="s">
        <v>249</v>
      </c>
      <c r="G18" s="123">
        <v>1080.2515401000001</v>
      </c>
      <c r="H18" s="120"/>
      <c r="I18" s="136">
        <v>2.6413208077670756E-2</v>
      </c>
      <c r="J18" s="136">
        <v>4.3929680876716076E-4</v>
      </c>
    </row>
    <row r="19" spans="1:13" x14ac:dyDescent="0.25">
      <c r="A19" s="16" t="s">
        <v>795</v>
      </c>
      <c r="B19" s="24" t="s">
        <v>796</v>
      </c>
      <c r="C19" s="60" t="s">
        <v>125</v>
      </c>
      <c r="D19" s="60" t="s">
        <v>797</v>
      </c>
      <c r="E19" s="68">
        <v>280757.71999999997</v>
      </c>
      <c r="F19" s="65">
        <v>103989.97</v>
      </c>
      <c r="G19" s="83">
        <v>1080.25154</v>
      </c>
      <c r="H19" s="32">
        <v>0</v>
      </c>
      <c r="I19" s="24">
        <v>2.6413208075225656E-2</v>
      </c>
      <c r="J19" s="24">
        <v>4.3929680872649456E-4</v>
      </c>
      <c r="K19" s="14"/>
      <c r="L19" s="14"/>
      <c r="M19" s="14"/>
    </row>
    <row r="20" spans="1:13" s="118" customFormat="1" x14ac:dyDescent="0.25">
      <c r="A20" s="91" t="s">
        <v>789</v>
      </c>
      <c r="B20" s="136" t="s">
        <v>249</v>
      </c>
      <c r="C20" s="135" t="s">
        <v>249</v>
      </c>
      <c r="D20" s="135" t="s">
        <v>249</v>
      </c>
      <c r="E20" s="134" t="s">
        <v>249</v>
      </c>
      <c r="F20" s="121" t="s">
        <v>249</v>
      </c>
      <c r="G20" s="123">
        <v>20788.128030100001</v>
      </c>
      <c r="H20" s="120"/>
      <c r="I20" s="136">
        <v>0.50829008876345783</v>
      </c>
      <c r="J20" s="136">
        <v>8.4537331953451512E-3</v>
      </c>
    </row>
    <row r="21" spans="1:13" x14ac:dyDescent="0.25">
      <c r="A21" s="16" t="s">
        <v>804</v>
      </c>
      <c r="B21" s="24" t="s">
        <v>805</v>
      </c>
      <c r="C21" s="60" t="s">
        <v>125</v>
      </c>
      <c r="D21" s="60" t="s">
        <v>806</v>
      </c>
      <c r="E21" s="68">
        <v>1193222.1100000001</v>
      </c>
      <c r="F21" s="65">
        <v>109.46000000000001</v>
      </c>
      <c r="G21" s="83">
        <v>4832.5998899999995</v>
      </c>
      <c r="H21" s="32">
        <v>7.9697172011661804E-3</v>
      </c>
      <c r="I21" s="24">
        <v>0.1181618000182463</v>
      </c>
      <c r="J21" s="24">
        <v>1.9652327545203116E-3</v>
      </c>
      <c r="K21" s="14"/>
      <c r="L21" s="14"/>
      <c r="M21" s="14"/>
    </row>
    <row r="22" spans="1:13" x14ac:dyDescent="0.25">
      <c r="A22" s="16" t="s">
        <v>798</v>
      </c>
      <c r="B22" s="24" t="s">
        <v>799</v>
      </c>
      <c r="C22" s="60" t="s">
        <v>125</v>
      </c>
      <c r="D22" s="60" t="s">
        <v>800</v>
      </c>
      <c r="E22" s="68">
        <v>2229272.6800000002</v>
      </c>
      <c r="F22" s="65">
        <v>108.38000000000001</v>
      </c>
      <c r="G22" s="83">
        <v>8940.2348299999994</v>
      </c>
      <c r="H22" s="32">
        <v>2.3887485000000002E-3</v>
      </c>
      <c r="I22" s="24">
        <v>0.21859749702941378</v>
      </c>
      <c r="J22" s="24">
        <v>3.635650109866499E-3</v>
      </c>
      <c r="K22" s="14"/>
      <c r="L22" s="14"/>
      <c r="M22" s="14"/>
    </row>
    <row r="23" spans="1:13" x14ac:dyDescent="0.25">
      <c r="A23" s="16" t="s">
        <v>801</v>
      </c>
      <c r="B23" s="24" t="s">
        <v>802</v>
      </c>
      <c r="C23" s="60" t="s">
        <v>125</v>
      </c>
      <c r="D23" s="60" t="s">
        <v>803</v>
      </c>
      <c r="E23" s="68">
        <v>1857817.35</v>
      </c>
      <c r="F23" s="65">
        <v>102.05</v>
      </c>
      <c r="G23" s="83">
        <v>7015.29331</v>
      </c>
      <c r="H23" s="32">
        <v>7.0622801939358854E-3</v>
      </c>
      <c r="I23" s="24">
        <v>0.1715307917133527</v>
      </c>
      <c r="J23" s="24">
        <v>2.852850330917674E-3</v>
      </c>
      <c r="K23" s="14"/>
      <c r="L23" s="14"/>
      <c r="M23" s="14"/>
    </row>
    <row r="24" spans="1:13" s="118" customFormat="1" x14ac:dyDescent="0.25">
      <c r="A24" s="91" t="s">
        <v>790</v>
      </c>
      <c r="B24" s="136" t="s">
        <v>249</v>
      </c>
      <c r="C24" s="135" t="s">
        <v>249</v>
      </c>
      <c r="D24" s="135" t="s">
        <v>249</v>
      </c>
      <c r="E24" s="134" t="s">
        <v>249</v>
      </c>
      <c r="F24" s="121" t="s">
        <v>249</v>
      </c>
      <c r="G24" s="123">
        <v>17262.4245801</v>
      </c>
      <c r="H24" s="120"/>
      <c r="I24" s="136">
        <v>0.42208318658547911</v>
      </c>
      <c r="J24" s="136">
        <v>7.0199650249234804E-3</v>
      </c>
    </row>
    <row r="25" spans="1:13" x14ac:dyDescent="0.25">
      <c r="A25" s="16" t="s">
        <v>807</v>
      </c>
      <c r="B25" s="24" t="s">
        <v>808</v>
      </c>
      <c r="C25" s="60" t="s">
        <v>126</v>
      </c>
      <c r="D25" s="60" t="s">
        <v>809</v>
      </c>
      <c r="E25" s="68">
        <v>1531048.66</v>
      </c>
      <c r="F25" s="65">
        <v>112.94</v>
      </c>
      <c r="G25" s="83">
        <v>6949.1595099999995</v>
      </c>
      <c r="H25" s="32">
        <v>2.6982175824175826E-3</v>
      </c>
      <c r="I25" s="24">
        <v>0.16991375553656987</v>
      </c>
      <c r="J25" s="24">
        <v>2.8259562546648818E-3</v>
      </c>
      <c r="K25" s="14"/>
      <c r="L25" s="14"/>
      <c r="M25" s="14"/>
    </row>
    <row r="26" spans="1:13" x14ac:dyDescent="0.25">
      <c r="A26" s="16" t="s">
        <v>810</v>
      </c>
      <c r="B26" s="24" t="s">
        <v>811</v>
      </c>
      <c r="C26" s="60" t="s">
        <v>125</v>
      </c>
      <c r="D26" s="60" t="s">
        <v>812</v>
      </c>
      <c r="E26" s="68">
        <v>473525.51</v>
      </c>
      <c r="F26" s="65">
        <v>106.05</v>
      </c>
      <c r="G26" s="83">
        <v>1858.0868700000001</v>
      </c>
      <c r="H26" s="32">
        <v>9.6526666666666664E-4</v>
      </c>
      <c r="I26" s="24">
        <v>4.5432043650828549E-2</v>
      </c>
      <c r="J26" s="24">
        <v>7.5561256068896793E-4</v>
      </c>
      <c r="K26" s="14"/>
      <c r="L26" s="14"/>
      <c r="M26" s="14"/>
    </row>
    <row r="27" spans="1:13" x14ac:dyDescent="0.25">
      <c r="A27" s="16" t="s">
        <v>813</v>
      </c>
      <c r="B27" s="24" t="s">
        <v>814</v>
      </c>
      <c r="C27" s="60" t="s">
        <v>125</v>
      </c>
      <c r="D27" s="60" t="s">
        <v>815</v>
      </c>
      <c r="E27" s="68">
        <v>443852.35</v>
      </c>
      <c r="F27" s="65">
        <v>100</v>
      </c>
      <c r="G27" s="83">
        <v>1642.25369</v>
      </c>
      <c r="H27" s="32">
        <v>8.8770471999999995E-4</v>
      </c>
      <c r="I27" s="24">
        <v>4.0154711028023274E-2</v>
      </c>
      <c r="J27" s="24">
        <v>6.6784149656135634E-4</v>
      </c>
      <c r="K27" s="14"/>
      <c r="L27" s="14"/>
      <c r="M27" s="14"/>
    </row>
    <row r="28" spans="1:13" x14ac:dyDescent="0.25">
      <c r="A28" s="16" t="s">
        <v>816</v>
      </c>
      <c r="B28" s="24" t="s">
        <v>817</v>
      </c>
      <c r="C28" s="60" t="s">
        <v>125</v>
      </c>
      <c r="D28" s="60" t="s">
        <v>743</v>
      </c>
      <c r="E28" s="68">
        <v>1323106.43</v>
      </c>
      <c r="F28" s="65">
        <v>100</v>
      </c>
      <c r="G28" s="83">
        <v>4895.4937900000004</v>
      </c>
      <c r="H28" s="32">
        <v>0</v>
      </c>
      <c r="I28" s="24">
        <v>0.11969961746709941</v>
      </c>
      <c r="J28" s="24">
        <v>1.9908092878880524E-3</v>
      </c>
      <c r="K28" s="14"/>
      <c r="L28" s="14"/>
      <c r="M28" s="14"/>
    </row>
    <row r="29" spans="1:13" x14ac:dyDescent="0.25">
      <c r="A29" s="16" t="s">
        <v>818</v>
      </c>
      <c r="B29" s="24" t="s">
        <v>819</v>
      </c>
      <c r="C29" s="60" t="s">
        <v>125</v>
      </c>
      <c r="D29" s="60" t="s">
        <v>820</v>
      </c>
      <c r="E29" s="68">
        <v>518224.52</v>
      </c>
      <c r="F29" s="65">
        <v>100</v>
      </c>
      <c r="G29" s="83">
        <v>1917.4307200000001</v>
      </c>
      <c r="H29" s="32">
        <v>0</v>
      </c>
      <c r="I29" s="24">
        <v>4.6883058900512871E-2</v>
      </c>
      <c r="J29" s="24">
        <v>7.7974542507955585E-4</v>
      </c>
      <c r="K29" s="14"/>
      <c r="L29" s="14"/>
      <c r="M29" s="14"/>
    </row>
    <row r="30" spans="1:13" s="118" customFormat="1" x14ac:dyDescent="0.25">
      <c r="A30" s="77" t="s">
        <v>241</v>
      </c>
      <c r="B30" s="124"/>
      <c r="C30" s="125"/>
      <c r="D30" s="125"/>
      <c r="E30" s="125"/>
      <c r="F30" s="126"/>
      <c r="G30" s="127"/>
      <c r="H30" s="128"/>
      <c r="I30" s="128"/>
      <c r="J30" s="128"/>
      <c r="K30" s="147"/>
      <c r="L30" s="129"/>
      <c r="M30" s="129"/>
    </row>
    <row r="31" spans="1:13" s="118" customFormat="1" x14ac:dyDescent="0.25">
      <c r="A31" s="77" t="s">
        <v>242</v>
      </c>
      <c r="B31" s="124"/>
      <c r="C31" s="125"/>
      <c r="D31" s="125"/>
      <c r="E31" s="125"/>
      <c r="F31" s="126"/>
      <c r="G31" s="127"/>
      <c r="H31" s="128"/>
      <c r="I31" s="128"/>
      <c r="J31" s="128"/>
      <c r="K31" s="147"/>
      <c r="L31" s="129"/>
      <c r="M31" s="129"/>
    </row>
    <row r="32" spans="1:13" s="118" customFormat="1" x14ac:dyDescent="0.25">
      <c r="A32" s="77" t="s">
        <v>243</v>
      </c>
      <c r="B32" s="124"/>
      <c r="C32" s="125"/>
      <c r="D32" s="125"/>
      <c r="E32" s="125"/>
      <c r="F32" s="126"/>
      <c r="G32" s="127"/>
      <c r="H32" s="128"/>
      <c r="I32" s="128"/>
      <c r="J32" s="128"/>
      <c r="K32" s="147"/>
      <c r="L32" s="129"/>
      <c r="M32" s="129"/>
    </row>
    <row r="33" spans="1:13" s="118" customFormat="1" x14ac:dyDescent="0.25">
      <c r="A33" s="77" t="s">
        <v>244</v>
      </c>
      <c r="B33" s="124"/>
      <c r="C33" s="125"/>
      <c r="D33" s="125"/>
      <c r="E33" s="125"/>
      <c r="F33" s="126"/>
      <c r="G33" s="127"/>
      <c r="H33" s="128"/>
      <c r="I33" s="128"/>
      <c r="J33" s="128"/>
      <c r="K33" s="147"/>
      <c r="L33" s="129"/>
      <c r="M33" s="129"/>
    </row>
    <row r="34" spans="1:13" s="118" customFormat="1" x14ac:dyDescent="0.25">
      <c r="A34" s="77" t="s">
        <v>245</v>
      </c>
      <c r="B34" s="124"/>
      <c r="C34" s="125"/>
      <c r="D34" s="125"/>
      <c r="E34" s="125"/>
      <c r="F34" s="126"/>
      <c r="G34" s="127"/>
      <c r="H34" s="128"/>
      <c r="I34" s="128"/>
      <c r="J34" s="128"/>
      <c r="K34" s="147"/>
      <c r="L34" s="129"/>
      <c r="M34" s="129"/>
    </row>
  </sheetData>
  <mergeCells count="2">
    <mergeCell ref="A5:J5"/>
    <mergeCell ref="A4:J4"/>
  </mergeCells>
  <phoneticPr fontId="3" type="noConversion"/>
  <conditionalFormatting sqref="A10:A29 G10:G29">
    <cfRule type="expression" dxfId="52" priority="337" stopIfTrue="1">
      <formula>#REF!&gt;0</formula>
    </cfRule>
  </conditionalFormatting>
  <conditionalFormatting sqref="B10:D29 I10:J29">
    <cfRule type="expression" dxfId="51" priority="335" stopIfTrue="1">
      <formula>OR(LEFT(#REF!,3)="TIR",LEFT(#REF!,2)="IR")</formula>
    </cfRule>
  </conditionalFormatting>
  <conditionalFormatting sqref="F11:F2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8" t="s">
        <v>31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5" t="s">
        <v>156</v>
      </c>
      <c r="B6" s="200" t="s">
        <v>69</v>
      </c>
      <c r="C6" s="200" t="s">
        <v>19</v>
      </c>
      <c r="D6" s="200" t="s">
        <v>6</v>
      </c>
      <c r="E6" s="200" t="s">
        <v>13</v>
      </c>
      <c r="F6" s="201" t="s">
        <v>67</v>
      </c>
      <c r="G6" s="201" t="s">
        <v>68</v>
      </c>
      <c r="H6" s="201" t="s">
        <v>29</v>
      </c>
      <c r="I6" s="88" t="s">
        <v>17</v>
      </c>
      <c r="J6" s="88" t="s">
        <v>75</v>
      </c>
      <c r="K6" s="89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8" customFormat="1" ht="12.75" customHeight="1" thickBot="1" x14ac:dyDescent="0.3">
      <c r="A9" s="99" t="s">
        <v>55</v>
      </c>
      <c r="B9" s="66" t="s">
        <v>249</v>
      </c>
      <c r="C9" s="66" t="s">
        <v>249</v>
      </c>
      <c r="D9" s="138" t="s">
        <v>249</v>
      </c>
      <c r="E9" s="138" t="s">
        <v>249</v>
      </c>
      <c r="F9" s="140" t="s">
        <v>249</v>
      </c>
      <c r="G9" s="138" t="s">
        <v>249</v>
      </c>
      <c r="H9" s="152">
        <v>2.0000000000000002E-7</v>
      </c>
      <c r="I9" s="69"/>
      <c r="J9" s="82">
        <v>1</v>
      </c>
      <c r="K9" s="81">
        <v>0</v>
      </c>
    </row>
    <row r="10" spans="1:18" s="118" customFormat="1" x14ac:dyDescent="0.25">
      <c r="A10" s="90" t="s">
        <v>821</v>
      </c>
      <c r="B10" s="120" t="s">
        <v>249</v>
      </c>
      <c r="C10" s="120" t="s">
        <v>249</v>
      </c>
      <c r="D10" s="142" t="s">
        <v>249</v>
      </c>
      <c r="E10" s="142" t="s">
        <v>249</v>
      </c>
      <c r="F10" s="141" t="s">
        <v>249</v>
      </c>
      <c r="G10" s="142" t="s">
        <v>249</v>
      </c>
      <c r="H10" s="122">
        <v>0</v>
      </c>
      <c r="I10" s="120" t="s">
        <v>249</v>
      </c>
      <c r="J10" s="120">
        <v>0</v>
      </c>
      <c r="K10" s="120">
        <v>0</v>
      </c>
    </row>
    <row r="11" spans="1:18" s="118" customFormat="1" x14ac:dyDescent="0.25">
      <c r="A11" s="91" t="s">
        <v>822</v>
      </c>
      <c r="B11" s="136" t="s">
        <v>249</v>
      </c>
      <c r="C11" s="136" t="s">
        <v>249</v>
      </c>
      <c r="D11" s="144" t="s">
        <v>249</v>
      </c>
      <c r="E11" s="144" t="s">
        <v>249</v>
      </c>
      <c r="F11" s="143" t="s">
        <v>249</v>
      </c>
      <c r="G11" s="144" t="s">
        <v>249</v>
      </c>
      <c r="H11" s="123">
        <v>0</v>
      </c>
      <c r="I11" s="136"/>
      <c r="J11" s="120">
        <v>0</v>
      </c>
      <c r="K11" s="120">
        <v>0</v>
      </c>
    </row>
    <row r="12" spans="1:18" s="118" customFormat="1" x14ac:dyDescent="0.25">
      <c r="A12" s="77" t="s">
        <v>241</v>
      </c>
      <c r="B12" s="124"/>
      <c r="C12" s="77"/>
      <c r="D12" s="145"/>
      <c r="E12" s="145"/>
      <c r="F12" s="145"/>
      <c r="G12" s="146"/>
      <c r="H12" s="129"/>
      <c r="I12" s="147"/>
      <c r="J12" s="147"/>
      <c r="K12" s="147"/>
      <c r="L12" s="147"/>
      <c r="M12" s="129"/>
      <c r="N12" s="129"/>
    </row>
    <row r="13" spans="1:18" s="118" customFormat="1" x14ac:dyDescent="0.25">
      <c r="A13" s="77" t="s">
        <v>242</v>
      </c>
      <c r="B13" s="124"/>
      <c r="C13" s="77"/>
      <c r="D13" s="145"/>
      <c r="E13" s="145"/>
      <c r="F13" s="145"/>
      <c r="G13" s="146"/>
      <c r="H13" s="129"/>
      <c r="I13" s="147"/>
      <c r="J13" s="147"/>
      <c r="K13" s="147"/>
      <c r="L13" s="147"/>
      <c r="M13" s="129"/>
      <c r="N13" s="129"/>
    </row>
    <row r="14" spans="1:18" s="118" customFormat="1" x14ac:dyDescent="0.25">
      <c r="A14" s="77" t="s">
        <v>243</v>
      </c>
      <c r="B14" s="124"/>
      <c r="C14" s="77"/>
      <c r="D14" s="145"/>
      <c r="E14" s="145"/>
      <c r="F14" s="145"/>
      <c r="G14" s="146"/>
      <c r="H14" s="129"/>
      <c r="I14" s="147"/>
      <c r="J14" s="147"/>
      <c r="K14" s="147"/>
      <c r="L14" s="147"/>
      <c r="M14" s="129"/>
      <c r="N14" s="129"/>
    </row>
    <row r="15" spans="1:18" s="118" customFormat="1" x14ac:dyDescent="0.25">
      <c r="A15" s="77" t="s">
        <v>244</v>
      </c>
      <c r="B15" s="124"/>
      <c r="C15" s="77"/>
      <c r="D15" s="145"/>
      <c r="E15" s="145"/>
      <c r="F15" s="145"/>
      <c r="G15" s="146"/>
      <c r="H15" s="129"/>
      <c r="I15" s="147"/>
      <c r="J15" s="147"/>
      <c r="K15" s="147"/>
      <c r="L15" s="147"/>
      <c r="M15" s="129"/>
      <c r="N15" s="129"/>
    </row>
    <row r="16" spans="1:18" s="118" customFormat="1" x14ac:dyDescent="0.25">
      <c r="A16" s="77" t="s">
        <v>245</v>
      </c>
      <c r="B16" s="124"/>
      <c r="C16" s="77"/>
      <c r="D16" s="145"/>
      <c r="E16" s="145"/>
      <c r="F16" s="145"/>
      <c r="G16" s="146"/>
      <c r="H16" s="129"/>
      <c r="I16" s="147"/>
      <c r="J16" s="147"/>
      <c r="K16" s="147"/>
      <c r="L16" s="147"/>
      <c r="M16" s="129"/>
      <c r="N16" s="129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8" customWidth="1"/>
    <col min="4" max="4" width="11.33203125" style="59" customWidth="1"/>
    <col min="5" max="5" width="14.109375" style="59" customWidth="1"/>
    <col min="6" max="6" width="10.5546875" style="59" customWidth="1"/>
    <col min="7" max="7" width="7" style="36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8" t="s">
        <v>32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5" t="s">
        <v>156</v>
      </c>
      <c r="B6" s="200" t="s">
        <v>69</v>
      </c>
      <c r="C6" s="200" t="s">
        <v>19</v>
      </c>
      <c r="D6" s="200" t="s">
        <v>6</v>
      </c>
      <c r="E6" s="200" t="s">
        <v>13</v>
      </c>
      <c r="F6" s="201" t="s">
        <v>67</v>
      </c>
      <c r="G6" s="201" t="s">
        <v>68</v>
      </c>
      <c r="H6" s="201" t="s">
        <v>29</v>
      </c>
      <c r="I6" s="88" t="s">
        <v>17</v>
      </c>
      <c r="J6" s="88" t="s">
        <v>75</v>
      </c>
      <c r="K6" s="89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8" customFormat="1" ht="12.75" customHeight="1" thickBot="1" x14ac:dyDescent="0.3">
      <c r="A9" s="99" t="s">
        <v>56</v>
      </c>
      <c r="B9" s="66" t="s">
        <v>249</v>
      </c>
      <c r="C9" s="66" t="s">
        <v>249</v>
      </c>
      <c r="D9" s="100" t="s">
        <v>249</v>
      </c>
      <c r="E9" s="100" t="s">
        <v>249</v>
      </c>
      <c r="F9" s="101" t="s">
        <v>249</v>
      </c>
      <c r="G9" s="100" t="s">
        <v>249</v>
      </c>
      <c r="H9" s="107">
        <v>9.9999999999999995E-7</v>
      </c>
      <c r="I9" s="66" t="s">
        <v>249</v>
      </c>
      <c r="J9" s="66">
        <v>1</v>
      </c>
      <c r="K9" s="80">
        <v>0</v>
      </c>
    </row>
    <row r="10" spans="1:18" s="118" customFormat="1" x14ac:dyDescent="0.25">
      <c r="A10" s="90" t="s">
        <v>823</v>
      </c>
      <c r="B10" s="120" t="s">
        <v>249</v>
      </c>
      <c r="C10" s="120" t="s">
        <v>249</v>
      </c>
      <c r="D10" s="121" t="s">
        <v>249</v>
      </c>
      <c r="E10" s="121" t="s">
        <v>249</v>
      </c>
      <c r="F10" s="132" t="s">
        <v>249</v>
      </c>
      <c r="G10" s="121" t="s">
        <v>249</v>
      </c>
      <c r="H10" s="122">
        <v>0</v>
      </c>
      <c r="I10" s="120" t="s">
        <v>249</v>
      </c>
      <c r="J10" s="120">
        <v>0</v>
      </c>
      <c r="K10" s="120">
        <v>0</v>
      </c>
    </row>
    <row r="11" spans="1:18" s="118" customFormat="1" x14ac:dyDescent="0.25">
      <c r="A11" s="91" t="s">
        <v>303</v>
      </c>
      <c r="B11" s="136" t="s">
        <v>249</v>
      </c>
      <c r="C11" s="136" t="s">
        <v>249</v>
      </c>
      <c r="D11" s="135" t="s">
        <v>249</v>
      </c>
      <c r="E11" s="135" t="s">
        <v>249</v>
      </c>
      <c r="F11" s="134" t="s">
        <v>249</v>
      </c>
      <c r="G11" s="135" t="s">
        <v>249</v>
      </c>
      <c r="H11" s="123">
        <v>0</v>
      </c>
      <c r="I11" s="136"/>
      <c r="J11" s="136">
        <v>0</v>
      </c>
      <c r="K11" s="136">
        <v>0</v>
      </c>
    </row>
    <row r="12" spans="1:18" s="118" customFormat="1" x14ac:dyDescent="0.25">
      <c r="A12" s="91" t="s">
        <v>824</v>
      </c>
      <c r="B12" s="136" t="s">
        <v>249</v>
      </c>
      <c r="C12" s="136" t="s">
        <v>249</v>
      </c>
      <c r="D12" s="135" t="s">
        <v>249</v>
      </c>
      <c r="E12" s="135" t="s">
        <v>249</v>
      </c>
      <c r="F12" s="134" t="s">
        <v>249</v>
      </c>
      <c r="G12" s="135" t="s">
        <v>249</v>
      </c>
      <c r="H12" s="123">
        <v>0</v>
      </c>
      <c r="I12" s="136"/>
      <c r="J12" s="136">
        <v>0</v>
      </c>
      <c r="K12" s="136">
        <v>0</v>
      </c>
    </row>
    <row r="13" spans="1:18" s="118" customFormat="1" x14ac:dyDescent="0.25">
      <c r="A13" s="91" t="s">
        <v>825</v>
      </c>
      <c r="B13" s="136" t="s">
        <v>249</v>
      </c>
      <c r="C13" s="136" t="s">
        <v>249</v>
      </c>
      <c r="D13" s="135" t="s">
        <v>249</v>
      </c>
      <c r="E13" s="135" t="s">
        <v>249</v>
      </c>
      <c r="F13" s="134" t="s">
        <v>249</v>
      </c>
      <c r="G13" s="135" t="s">
        <v>249</v>
      </c>
      <c r="H13" s="123">
        <v>0</v>
      </c>
      <c r="I13" s="136"/>
      <c r="J13" s="136">
        <v>0</v>
      </c>
      <c r="K13" s="136">
        <v>0</v>
      </c>
    </row>
    <row r="14" spans="1:18" s="118" customFormat="1" x14ac:dyDescent="0.25">
      <c r="A14" s="91" t="s">
        <v>310</v>
      </c>
      <c r="B14" s="136" t="s">
        <v>249</v>
      </c>
      <c r="C14" s="136" t="s">
        <v>249</v>
      </c>
      <c r="D14" s="135" t="s">
        <v>249</v>
      </c>
      <c r="E14" s="135" t="s">
        <v>249</v>
      </c>
      <c r="F14" s="134" t="s">
        <v>249</v>
      </c>
      <c r="G14" s="135" t="s">
        <v>249</v>
      </c>
      <c r="H14" s="123">
        <v>0</v>
      </c>
      <c r="I14" s="136"/>
      <c r="J14" s="136">
        <v>0</v>
      </c>
      <c r="K14" s="136">
        <v>0</v>
      </c>
    </row>
    <row r="15" spans="1:18" s="118" customFormat="1" x14ac:dyDescent="0.25">
      <c r="A15" s="91" t="s">
        <v>141</v>
      </c>
      <c r="B15" s="136" t="s">
        <v>249</v>
      </c>
      <c r="C15" s="136" t="s">
        <v>249</v>
      </c>
      <c r="D15" s="135" t="s">
        <v>249</v>
      </c>
      <c r="E15" s="135" t="s">
        <v>249</v>
      </c>
      <c r="F15" s="134" t="s">
        <v>249</v>
      </c>
      <c r="G15" s="135" t="s">
        <v>249</v>
      </c>
      <c r="H15" s="123">
        <v>0</v>
      </c>
      <c r="I15" s="136"/>
      <c r="J15" s="136">
        <v>0</v>
      </c>
      <c r="K15" s="136">
        <v>0</v>
      </c>
    </row>
    <row r="16" spans="1:18" s="118" customFormat="1" x14ac:dyDescent="0.25">
      <c r="A16" s="91" t="s">
        <v>826</v>
      </c>
      <c r="B16" s="136" t="s">
        <v>249</v>
      </c>
      <c r="C16" s="136" t="s">
        <v>249</v>
      </c>
      <c r="D16" s="135" t="s">
        <v>249</v>
      </c>
      <c r="E16" s="135" t="s">
        <v>249</v>
      </c>
      <c r="F16" s="134" t="s">
        <v>249</v>
      </c>
      <c r="G16" s="135" t="s">
        <v>249</v>
      </c>
      <c r="H16" s="123">
        <v>0</v>
      </c>
      <c r="I16" s="136"/>
      <c r="J16" s="136">
        <v>0</v>
      </c>
      <c r="K16" s="136">
        <v>0</v>
      </c>
    </row>
    <row r="17" spans="1:14" s="118" customFormat="1" x14ac:dyDescent="0.25">
      <c r="A17" s="91" t="s">
        <v>303</v>
      </c>
      <c r="B17" s="136" t="s">
        <v>249</v>
      </c>
      <c r="C17" s="136" t="s">
        <v>249</v>
      </c>
      <c r="D17" s="135" t="s">
        <v>249</v>
      </c>
      <c r="E17" s="135" t="s">
        <v>249</v>
      </c>
      <c r="F17" s="134" t="s">
        <v>249</v>
      </c>
      <c r="G17" s="135" t="s">
        <v>249</v>
      </c>
      <c r="H17" s="123">
        <v>0</v>
      </c>
      <c r="I17" s="136"/>
      <c r="J17" s="136">
        <v>0</v>
      </c>
      <c r="K17" s="136">
        <v>0</v>
      </c>
    </row>
    <row r="18" spans="1:14" s="118" customFormat="1" x14ac:dyDescent="0.25">
      <c r="A18" s="91" t="s">
        <v>311</v>
      </c>
      <c r="B18" s="136" t="s">
        <v>249</v>
      </c>
      <c r="C18" s="136" t="s">
        <v>249</v>
      </c>
      <c r="D18" s="135" t="s">
        <v>249</v>
      </c>
      <c r="E18" s="135" t="s">
        <v>249</v>
      </c>
      <c r="F18" s="134" t="s">
        <v>249</v>
      </c>
      <c r="G18" s="135" t="s">
        <v>249</v>
      </c>
      <c r="H18" s="123">
        <v>0</v>
      </c>
      <c r="I18" s="136"/>
      <c r="J18" s="136">
        <v>0</v>
      </c>
      <c r="K18" s="136">
        <v>0</v>
      </c>
    </row>
    <row r="19" spans="1:14" s="118" customFormat="1" x14ac:dyDescent="0.25">
      <c r="A19" s="91" t="s">
        <v>310</v>
      </c>
      <c r="B19" s="136" t="s">
        <v>249</v>
      </c>
      <c r="C19" s="136" t="s">
        <v>249</v>
      </c>
      <c r="D19" s="135" t="s">
        <v>249</v>
      </c>
      <c r="E19" s="135" t="s">
        <v>249</v>
      </c>
      <c r="F19" s="134" t="s">
        <v>249</v>
      </c>
      <c r="G19" s="135" t="s">
        <v>249</v>
      </c>
      <c r="H19" s="123">
        <v>0</v>
      </c>
      <c r="I19" s="136"/>
      <c r="J19" s="136">
        <v>0</v>
      </c>
      <c r="K19" s="136">
        <v>0</v>
      </c>
    </row>
    <row r="20" spans="1:14" s="118" customFormat="1" x14ac:dyDescent="0.25">
      <c r="A20" s="91" t="s">
        <v>312</v>
      </c>
      <c r="B20" s="136" t="s">
        <v>249</v>
      </c>
      <c r="C20" s="136" t="s">
        <v>249</v>
      </c>
      <c r="D20" s="135" t="s">
        <v>249</v>
      </c>
      <c r="E20" s="135" t="s">
        <v>249</v>
      </c>
      <c r="F20" s="134" t="s">
        <v>249</v>
      </c>
      <c r="G20" s="135" t="s">
        <v>249</v>
      </c>
      <c r="H20" s="123">
        <v>0</v>
      </c>
      <c r="I20" s="136"/>
      <c r="J20" s="136">
        <v>0</v>
      </c>
      <c r="K20" s="136">
        <v>0</v>
      </c>
    </row>
    <row r="21" spans="1:14" s="118" customFormat="1" x14ac:dyDescent="0.25">
      <c r="A21" s="91" t="s">
        <v>141</v>
      </c>
      <c r="B21" s="136" t="s">
        <v>249</v>
      </c>
      <c r="C21" s="136" t="s">
        <v>249</v>
      </c>
      <c r="D21" s="135" t="s">
        <v>249</v>
      </c>
      <c r="E21" s="135" t="s">
        <v>249</v>
      </c>
      <c r="F21" s="134" t="s">
        <v>249</v>
      </c>
      <c r="G21" s="135" t="s">
        <v>249</v>
      </c>
      <c r="H21" s="123">
        <v>0</v>
      </c>
      <c r="I21" s="136"/>
      <c r="J21" s="136">
        <v>0</v>
      </c>
      <c r="K21" s="136">
        <v>0</v>
      </c>
    </row>
    <row r="22" spans="1:14" s="118" customFormat="1" x14ac:dyDescent="0.25">
      <c r="A22" s="77" t="s">
        <v>241</v>
      </c>
      <c r="B22" s="124"/>
      <c r="C22" s="124"/>
      <c r="D22" s="125"/>
      <c r="E22" s="125"/>
      <c r="F22" s="125"/>
      <c r="G22" s="126"/>
      <c r="H22" s="127"/>
      <c r="I22" s="128"/>
      <c r="J22" s="128"/>
      <c r="K22" s="128"/>
      <c r="L22" s="147"/>
      <c r="M22" s="129"/>
      <c r="N22" s="129"/>
    </row>
    <row r="23" spans="1:14" s="118" customFormat="1" x14ac:dyDescent="0.25">
      <c r="A23" s="77" t="s">
        <v>242</v>
      </c>
      <c r="B23" s="124"/>
      <c r="C23" s="124"/>
      <c r="D23" s="125"/>
      <c r="E23" s="125"/>
      <c r="F23" s="125"/>
      <c r="G23" s="126"/>
      <c r="H23" s="127"/>
      <c r="I23" s="128"/>
      <c r="J23" s="128"/>
      <c r="K23" s="128"/>
      <c r="L23" s="147"/>
      <c r="M23" s="129"/>
      <c r="N23" s="129"/>
    </row>
    <row r="24" spans="1:14" s="118" customFormat="1" x14ac:dyDescent="0.25">
      <c r="A24" s="77" t="s">
        <v>243</v>
      </c>
      <c r="B24" s="124"/>
      <c r="C24" s="124"/>
      <c r="D24" s="125"/>
      <c r="E24" s="125"/>
      <c r="F24" s="125"/>
      <c r="G24" s="126"/>
      <c r="H24" s="127"/>
      <c r="I24" s="128"/>
      <c r="J24" s="128"/>
      <c r="K24" s="128"/>
      <c r="L24" s="147"/>
      <c r="M24" s="129"/>
      <c r="N24" s="129"/>
    </row>
    <row r="25" spans="1:14" s="118" customFormat="1" x14ac:dyDescent="0.25">
      <c r="A25" s="77" t="s">
        <v>244</v>
      </c>
      <c r="B25" s="124"/>
      <c r="C25" s="124"/>
      <c r="D25" s="125"/>
      <c r="E25" s="125"/>
      <c r="F25" s="125"/>
      <c r="G25" s="126"/>
      <c r="H25" s="127"/>
      <c r="I25" s="128"/>
      <c r="J25" s="128"/>
      <c r="K25" s="128"/>
      <c r="L25" s="147"/>
      <c r="M25" s="129"/>
      <c r="N25" s="129"/>
    </row>
    <row r="26" spans="1:14" s="118" customFormat="1" x14ac:dyDescent="0.25">
      <c r="A26" s="77" t="s">
        <v>245</v>
      </c>
      <c r="B26" s="124"/>
      <c r="C26" s="124"/>
      <c r="D26" s="125"/>
      <c r="E26" s="125"/>
      <c r="F26" s="125"/>
      <c r="G26" s="126"/>
      <c r="H26" s="127"/>
      <c r="I26" s="128"/>
      <c r="J26" s="128"/>
      <c r="K26" s="128"/>
      <c r="L26" s="147"/>
      <c r="M26" s="129"/>
      <c r="N26" s="129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7"/>
  <sheetViews>
    <sheetView rightToLeft="1" zoomScale="85" workbookViewId="0"/>
  </sheetViews>
  <sheetFormatPr defaultColWidth="9.109375" defaultRowHeight="13.2" x14ac:dyDescent="0.25"/>
  <cols>
    <col min="1" max="1" width="28.109375" style="9" bestFit="1" customWidth="1"/>
    <col min="2" max="2" width="12.6640625" style="8" bestFit="1" customWidth="1"/>
    <col min="3" max="3" width="11.109375" style="9" customWidth="1"/>
    <col min="4" max="4" width="11.33203125" style="59" bestFit="1" customWidth="1"/>
    <col min="5" max="5" width="13.44140625" style="59" customWidth="1"/>
    <col min="6" max="6" width="12.6640625" style="59" bestFit="1" customWidth="1"/>
    <col min="7" max="7" width="6.6640625" style="36" customWidth="1"/>
    <col min="8" max="8" width="9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236</v>
      </c>
      <c r="B1" s="8" t="s">
        <v>237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7"/>
      <c r="K4" s="13"/>
      <c r="L4" s="13"/>
      <c r="M4" s="12"/>
      <c r="N4" s="12"/>
      <c r="O4" s="12"/>
    </row>
    <row r="5" spans="1:15" s="7" customFormat="1" x14ac:dyDescent="0.25">
      <c r="A5" s="218" t="s">
        <v>33</v>
      </c>
      <c r="B5" s="219"/>
      <c r="C5" s="219"/>
      <c r="D5" s="219"/>
      <c r="E5" s="219"/>
      <c r="F5" s="219"/>
      <c r="G5" s="219"/>
      <c r="H5" s="219"/>
      <c r="I5" s="219"/>
      <c r="J5" s="220"/>
      <c r="K5" s="13"/>
      <c r="L5" s="13"/>
      <c r="M5" s="12"/>
      <c r="N5" s="12"/>
      <c r="O5" s="12"/>
    </row>
    <row r="6" spans="1:15" s="7" customFormat="1" x14ac:dyDescent="0.25">
      <c r="A6" s="85" t="s">
        <v>156</v>
      </c>
      <c r="B6" s="200" t="s">
        <v>69</v>
      </c>
      <c r="C6" s="200" t="s">
        <v>19</v>
      </c>
      <c r="D6" s="200" t="s">
        <v>6</v>
      </c>
      <c r="E6" s="200" t="s">
        <v>13</v>
      </c>
      <c r="F6" s="201" t="s">
        <v>67</v>
      </c>
      <c r="G6" s="201" t="s">
        <v>68</v>
      </c>
      <c r="H6" s="201" t="s">
        <v>29</v>
      </c>
      <c r="I6" s="88" t="s">
        <v>75</v>
      </c>
      <c r="J6" s="89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8" customFormat="1" ht="12.75" customHeight="1" thickBot="1" x14ac:dyDescent="0.3">
      <c r="A9" s="99" t="s">
        <v>62</v>
      </c>
      <c r="B9" s="66"/>
      <c r="C9" s="66"/>
      <c r="D9" s="100"/>
      <c r="E9" s="100"/>
      <c r="F9" s="101"/>
      <c r="G9" s="100"/>
      <c r="H9" s="102">
        <v>-586.92793909999841</v>
      </c>
      <c r="I9" s="66">
        <v>1</v>
      </c>
      <c r="J9" s="80">
        <v>-2.3868104885927557E-4</v>
      </c>
    </row>
    <row r="10" spans="1:15" s="118" customFormat="1" x14ac:dyDescent="0.25">
      <c r="A10" s="90" t="s">
        <v>827</v>
      </c>
      <c r="B10" s="120" t="s">
        <v>249</v>
      </c>
      <c r="C10" s="120" t="s">
        <v>249</v>
      </c>
      <c r="D10" s="121" t="s">
        <v>249</v>
      </c>
      <c r="E10" s="121" t="s">
        <v>249</v>
      </c>
      <c r="F10" s="132" t="s">
        <v>249</v>
      </c>
      <c r="G10" s="121" t="s">
        <v>249</v>
      </c>
      <c r="H10" s="122">
        <v>-586.92793949999782</v>
      </c>
      <c r="I10" s="120">
        <v>1.0000000006815135</v>
      </c>
      <c r="J10" s="120">
        <v>-2.3868104902193996E-4</v>
      </c>
    </row>
    <row r="11" spans="1:15" s="118" customFormat="1" x14ac:dyDescent="0.25">
      <c r="A11" s="91" t="s">
        <v>303</v>
      </c>
      <c r="B11" s="136" t="s">
        <v>249</v>
      </c>
      <c r="C11" s="136" t="s">
        <v>249</v>
      </c>
      <c r="D11" s="135" t="s">
        <v>249</v>
      </c>
      <c r="E11" s="135" t="s">
        <v>249</v>
      </c>
      <c r="F11" s="134" t="s">
        <v>249</v>
      </c>
      <c r="G11" s="135" t="s">
        <v>249</v>
      </c>
      <c r="H11" s="123">
        <v>0</v>
      </c>
      <c r="I11" s="136">
        <v>0</v>
      </c>
      <c r="J11" s="136">
        <v>0</v>
      </c>
    </row>
    <row r="12" spans="1:15" s="118" customFormat="1" x14ac:dyDescent="0.25">
      <c r="A12" s="91" t="s">
        <v>310</v>
      </c>
      <c r="B12" s="136" t="s">
        <v>249</v>
      </c>
      <c r="C12" s="136" t="s">
        <v>249</v>
      </c>
      <c r="D12" s="135" t="s">
        <v>249</v>
      </c>
      <c r="E12" s="135" t="s">
        <v>249</v>
      </c>
      <c r="F12" s="134" t="s">
        <v>249</v>
      </c>
      <c r="G12" s="135" t="s">
        <v>249</v>
      </c>
      <c r="H12" s="123">
        <v>0</v>
      </c>
      <c r="I12" s="136">
        <v>0</v>
      </c>
      <c r="J12" s="136">
        <v>0</v>
      </c>
    </row>
    <row r="13" spans="1:15" s="118" customFormat="1" x14ac:dyDescent="0.25">
      <c r="A13" s="91" t="s">
        <v>828</v>
      </c>
      <c r="B13" s="136" t="s">
        <v>249</v>
      </c>
      <c r="C13" s="136" t="s">
        <v>249</v>
      </c>
      <c r="D13" s="135" t="s">
        <v>249</v>
      </c>
      <c r="E13" s="135" t="s">
        <v>249</v>
      </c>
      <c r="F13" s="134" t="s">
        <v>249</v>
      </c>
      <c r="G13" s="135" t="s">
        <v>249</v>
      </c>
      <c r="H13" s="123">
        <v>0</v>
      </c>
      <c r="I13" s="136">
        <v>0</v>
      </c>
      <c r="J13" s="136">
        <v>0</v>
      </c>
    </row>
    <row r="14" spans="1:15" s="118" customFormat="1" x14ac:dyDescent="0.25">
      <c r="A14" s="91" t="s">
        <v>825</v>
      </c>
      <c r="B14" s="136" t="s">
        <v>249</v>
      </c>
      <c r="C14" s="136" t="s">
        <v>249</v>
      </c>
      <c r="D14" s="135" t="s">
        <v>249</v>
      </c>
      <c r="E14" s="135" t="s">
        <v>249</v>
      </c>
      <c r="F14" s="134" t="s">
        <v>249</v>
      </c>
      <c r="G14" s="135" t="s">
        <v>249</v>
      </c>
      <c r="H14" s="123">
        <v>90.404790099999872</v>
      </c>
      <c r="I14" s="136">
        <v>-0.15403047644763262</v>
      </c>
      <c r="J14" s="136">
        <v>3.6764155674814899E-5</v>
      </c>
    </row>
    <row r="15" spans="1:15" x14ac:dyDescent="0.25">
      <c r="A15" s="16" t="s">
        <v>829</v>
      </c>
      <c r="B15" s="24" t="s">
        <v>830</v>
      </c>
      <c r="C15" s="24" t="s">
        <v>199</v>
      </c>
      <c r="D15" s="60" t="s">
        <v>125</v>
      </c>
      <c r="E15" s="60" t="s">
        <v>831</v>
      </c>
      <c r="F15" s="68">
        <v>1824559.8</v>
      </c>
      <c r="G15" s="60">
        <v>0.98480000000000001</v>
      </c>
      <c r="H15" s="83">
        <v>6648.2722599999997</v>
      </c>
      <c r="I15" s="24">
        <v>-11.327237667701645</v>
      </c>
      <c r="J15" s="24">
        <v>2.7035969672053232E-3</v>
      </c>
      <c r="K15" s="14"/>
      <c r="L15" s="14"/>
      <c r="M15" s="14"/>
      <c r="N15" s="14"/>
    </row>
    <row r="16" spans="1:15" x14ac:dyDescent="0.25">
      <c r="A16" s="16" t="s">
        <v>832</v>
      </c>
      <c r="B16" s="24" t="s">
        <v>833</v>
      </c>
      <c r="C16" s="24" t="s">
        <v>199</v>
      </c>
      <c r="D16" s="60" t="s">
        <v>126</v>
      </c>
      <c r="E16" s="60" t="s">
        <v>831</v>
      </c>
      <c r="F16" s="68">
        <v>-1648500</v>
      </c>
      <c r="G16" s="60">
        <v>0.9899</v>
      </c>
      <c r="H16" s="83">
        <v>-6557.8674700000001</v>
      </c>
      <c r="I16" s="24">
        <v>11.173207191424391</v>
      </c>
      <c r="J16" s="24">
        <v>-2.6668328115711745E-3</v>
      </c>
      <c r="K16" s="14"/>
      <c r="L16" s="14"/>
      <c r="M16" s="14"/>
      <c r="N16" s="14"/>
    </row>
    <row r="17" spans="1:14" s="118" customFormat="1" x14ac:dyDescent="0.25">
      <c r="A17" s="91" t="s">
        <v>824</v>
      </c>
      <c r="B17" s="136" t="s">
        <v>249</v>
      </c>
      <c r="C17" s="136" t="s">
        <v>249</v>
      </c>
      <c r="D17" s="135" t="s">
        <v>249</v>
      </c>
      <c r="E17" s="135" t="s">
        <v>249</v>
      </c>
      <c r="F17" s="134" t="s">
        <v>249</v>
      </c>
      <c r="G17" s="135" t="s">
        <v>249</v>
      </c>
      <c r="H17" s="123">
        <v>-677.33272989999989</v>
      </c>
      <c r="I17" s="136">
        <v>1.1540304776402861</v>
      </c>
      <c r="J17" s="136">
        <v>-2.7544520481875422E-4</v>
      </c>
    </row>
    <row r="18" spans="1:14" x14ac:dyDescent="0.25">
      <c r="A18" s="16" t="s">
        <v>834</v>
      </c>
      <c r="B18" s="24" t="s">
        <v>835</v>
      </c>
      <c r="C18" s="24" t="s">
        <v>199</v>
      </c>
      <c r="D18" s="60" t="s">
        <v>255</v>
      </c>
      <c r="E18" s="60" t="s">
        <v>836</v>
      </c>
      <c r="F18" s="68">
        <v>1812500</v>
      </c>
      <c r="G18" s="60">
        <v>0.99819999999999998</v>
      </c>
      <c r="H18" s="83">
        <v>1809.3530000000001</v>
      </c>
      <c r="I18" s="24">
        <v>-3.0827515261489871</v>
      </c>
      <c r="J18" s="24">
        <v>7.3579436763377272E-4</v>
      </c>
      <c r="K18" s="14"/>
      <c r="L18" s="14"/>
      <c r="M18" s="14"/>
      <c r="N18" s="14"/>
    </row>
    <row r="19" spans="1:14" x14ac:dyDescent="0.25">
      <c r="A19" s="16" t="s">
        <v>837</v>
      </c>
      <c r="B19" s="24" t="s">
        <v>838</v>
      </c>
      <c r="C19" s="24" t="s">
        <v>199</v>
      </c>
      <c r="D19" s="60" t="s">
        <v>125</v>
      </c>
      <c r="E19" s="60" t="s">
        <v>836</v>
      </c>
      <c r="F19" s="68">
        <v>-500000</v>
      </c>
      <c r="G19" s="60">
        <v>0.99780000000000002</v>
      </c>
      <c r="H19" s="83">
        <v>-1846.1077700000001</v>
      </c>
      <c r="I19" s="24">
        <v>3.145373813403467</v>
      </c>
      <c r="J19" s="24">
        <v>-7.5074112083763891E-4</v>
      </c>
      <c r="K19" s="14"/>
      <c r="L19" s="14"/>
      <c r="M19" s="14"/>
      <c r="N19" s="14"/>
    </row>
    <row r="20" spans="1:14" x14ac:dyDescent="0.25">
      <c r="A20" s="16" t="s">
        <v>842</v>
      </c>
      <c r="B20" s="24" t="s">
        <v>843</v>
      </c>
      <c r="C20" s="24" t="s">
        <v>199</v>
      </c>
      <c r="D20" s="60" t="s">
        <v>255</v>
      </c>
      <c r="E20" s="60" t="s">
        <v>844</v>
      </c>
      <c r="F20" s="68">
        <v>23637125</v>
      </c>
      <c r="G20" s="60">
        <v>0.98409999999999997</v>
      </c>
      <c r="H20" s="83">
        <v>23261.880840000002</v>
      </c>
      <c r="I20" s="24">
        <v>-39.633282538347068</v>
      </c>
      <c r="J20" s="24">
        <v>9.4597134459886902E-3</v>
      </c>
      <c r="K20" s="14"/>
      <c r="L20" s="14"/>
      <c r="M20" s="14"/>
      <c r="N20" s="14"/>
    </row>
    <row r="21" spans="1:14" x14ac:dyDescent="0.25">
      <c r="A21" s="16" t="s">
        <v>845</v>
      </c>
      <c r="B21" s="24" t="s">
        <v>846</v>
      </c>
      <c r="C21" s="24" t="s">
        <v>199</v>
      </c>
      <c r="D21" s="60" t="s">
        <v>125</v>
      </c>
      <c r="E21" s="60" t="s">
        <v>844</v>
      </c>
      <c r="F21" s="68">
        <v>-6575000</v>
      </c>
      <c r="G21" s="60">
        <v>0.97770000000000001</v>
      </c>
      <c r="H21" s="83">
        <v>-23786.3449</v>
      </c>
      <c r="I21" s="24">
        <v>40.526857413661773</v>
      </c>
      <c r="J21" s="24">
        <v>-9.6729928344631011E-3</v>
      </c>
      <c r="K21" s="14"/>
      <c r="L21" s="14"/>
      <c r="M21" s="14"/>
      <c r="N21" s="14"/>
    </row>
    <row r="22" spans="1:14" x14ac:dyDescent="0.25">
      <c r="A22" s="16" t="s">
        <v>834</v>
      </c>
      <c r="B22" s="24" t="s">
        <v>839</v>
      </c>
      <c r="C22" s="24" t="s">
        <v>199</v>
      </c>
      <c r="D22" s="60" t="s">
        <v>255</v>
      </c>
      <c r="E22" s="60" t="s">
        <v>840</v>
      </c>
      <c r="F22" s="68">
        <v>7304500</v>
      </c>
      <c r="G22" s="60">
        <v>0.99819999999999998</v>
      </c>
      <c r="H22" s="83">
        <v>7291.8174000000008</v>
      </c>
      <c r="I22" s="24">
        <v>-12.423701299994939</v>
      </c>
      <c r="J22" s="24">
        <v>2.9653020569971374E-3</v>
      </c>
      <c r="K22" s="14"/>
      <c r="L22" s="14"/>
      <c r="M22" s="14"/>
      <c r="N22" s="14"/>
    </row>
    <row r="23" spans="1:14" x14ac:dyDescent="0.25">
      <c r="A23" s="16" t="s">
        <v>837</v>
      </c>
      <c r="B23" s="24" t="s">
        <v>841</v>
      </c>
      <c r="C23" s="24" t="s">
        <v>199</v>
      </c>
      <c r="D23" s="60" t="s">
        <v>125</v>
      </c>
      <c r="E23" s="60" t="s">
        <v>840</v>
      </c>
      <c r="F23" s="68">
        <v>-2000000</v>
      </c>
      <c r="G23" s="60">
        <v>0.99780000000000002</v>
      </c>
      <c r="H23" s="83">
        <v>-7384.4310999999998</v>
      </c>
      <c r="I23" s="24">
        <v>12.5814952876896</v>
      </c>
      <c r="J23" s="24">
        <v>-3.0029644914837872E-3</v>
      </c>
      <c r="K23" s="14"/>
      <c r="L23" s="14"/>
      <c r="M23" s="14"/>
      <c r="N23" s="14"/>
    </row>
    <row r="24" spans="1:14" x14ac:dyDescent="0.25">
      <c r="A24" s="16" t="s">
        <v>842</v>
      </c>
      <c r="B24" s="24" t="s">
        <v>847</v>
      </c>
      <c r="C24" s="24" t="s">
        <v>199</v>
      </c>
      <c r="D24" s="60" t="s">
        <v>255</v>
      </c>
      <c r="E24" s="60" t="s">
        <v>848</v>
      </c>
      <c r="F24" s="68">
        <v>794200</v>
      </c>
      <c r="G24" s="60">
        <v>0.98429999999999995</v>
      </c>
      <c r="H24" s="83">
        <v>781.76022999999998</v>
      </c>
      <c r="I24" s="24">
        <v>-1.3319526604897347</v>
      </c>
      <c r="J24" s="24">
        <v>3.179118580365925E-4</v>
      </c>
      <c r="K24" s="14"/>
      <c r="L24" s="14"/>
      <c r="M24" s="14"/>
      <c r="N24" s="14"/>
    </row>
    <row r="25" spans="1:14" x14ac:dyDescent="0.25">
      <c r="A25" s="16" t="s">
        <v>845</v>
      </c>
      <c r="B25" s="24" t="s">
        <v>849</v>
      </c>
      <c r="C25" s="24" t="s">
        <v>199</v>
      </c>
      <c r="D25" s="60" t="s">
        <v>125</v>
      </c>
      <c r="E25" s="60" t="s">
        <v>848</v>
      </c>
      <c r="F25" s="68">
        <v>-220000</v>
      </c>
      <c r="G25" s="60">
        <v>0.97770000000000001</v>
      </c>
      <c r="H25" s="83">
        <v>-795.89427999999998</v>
      </c>
      <c r="I25" s="24">
        <v>1.3560340664995993</v>
      </c>
      <c r="J25" s="24">
        <v>-3.2365963328103299E-4</v>
      </c>
      <c r="K25" s="14"/>
      <c r="L25" s="14"/>
      <c r="M25" s="14"/>
      <c r="N25" s="14"/>
    </row>
    <row r="26" spans="1:14" x14ac:dyDescent="0.25">
      <c r="A26" s="16" t="s">
        <v>834</v>
      </c>
      <c r="B26" s="24" t="s">
        <v>850</v>
      </c>
      <c r="C26" s="24" t="s">
        <v>199</v>
      </c>
      <c r="D26" s="60" t="s">
        <v>255</v>
      </c>
      <c r="E26" s="60" t="s">
        <v>851</v>
      </c>
      <c r="F26" s="68">
        <v>2209800</v>
      </c>
      <c r="G26" s="60">
        <v>0.99819999999999998</v>
      </c>
      <c r="H26" s="83">
        <v>2205.9645499999997</v>
      </c>
      <c r="I26" s="24">
        <v>-3.7584929989576734</v>
      </c>
      <c r="J26" s="24">
        <v>8.9708105112146154E-4</v>
      </c>
      <c r="K26" s="14"/>
      <c r="L26" s="14"/>
      <c r="M26" s="14"/>
      <c r="N26" s="14"/>
    </row>
    <row r="27" spans="1:14" x14ac:dyDescent="0.25">
      <c r="A27" s="16" t="s">
        <v>837</v>
      </c>
      <c r="B27" s="24" t="s">
        <v>852</v>
      </c>
      <c r="C27" s="24" t="s">
        <v>199</v>
      </c>
      <c r="D27" s="60" t="s">
        <v>125</v>
      </c>
      <c r="E27" s="60" t="s">
        <v>851</v>
      </c>
      <c r="F27" s="68">
        <v>-600000</v>
      </c>
      <c r="G27" s="60">
        <v>0.99780000000000002</v>
      </c>
      <c r="H27" s="83">
        <v>-2215.3307</v>
      </c>
      <c r="I27" s="24">
        <v>3.7744509204946213</v>
      </c>
      <c r="J27" s="24">
        <v>-9.0088990457151425E-4</v>
      </c>
      <c r="K27" s="14"/>
      <c r="L27" s="14"/>
      <c r="M27" s="14"/>
      <c r="N27" s="14"/>
    </row>
    <row r="28" spans="1:14" s="118" customFormat="1" x14ac:dyDescent="0.25">
      <c r="A28" s="91" t="s">
        <v>853</v>
      </c>
      <c r="B28" s="136" t="s">
        <v>249</v>
      </c>
      <c r="C28" s="136" t="s">
        <v>249</v>
      </c>
      <c r="D28" s="135" t="s">
        <v>249</v>
      </c>
      <c r="E28" s="135" t="s">
        <v>249</v>
      </c>
      <c r="F28" s="134" t="s">
        <v>249</v>
      </c>
      <c r="G28" s="135" t="s">
        <v>249</v>
      </c>
      <c r="H28" s="123">
        <v>0</v>
      </c>
      <c r="I28" s="136">
        <v>0</v>
      </c>
      <c r="J28" s="136">
        <v>0</v>
      </c>
    </row>
    <row r="29" spans="1:14" s="118" customFormat="1" x14ac:dyDescent="0.25">
      <c r="A29" s="91" t="s">
        <v>303</v>
      </c>
      <c r="B29" s="136" t="s">
        <v>249</v>
      </c>
      <c r="C29" s="136" t="s">
        <v>249</v>
      </c>
      <c r="D29" s="135" t="s">
        <v>249</v>
      </c>
      <c r="E29" s="135" t="s">
        <v>249</v>
      </c>
      <c r="F29" s="134" t="s">
        <v>249</v>
      </c>
      <c r="G29" s="135" t="s">
        <v>249</v>
      </c>
      <c r="H29" s="123">
        <v>0</v>
      </c>
      <c r="I29" s="136">
        <v>0</v>
      </c>
      <c r="J29" s="136">
        <v>0</v>
      </c>
    </row>
    <row r="30" spans="1:14" s="118" customFormat="1" x14ac:dyDescent="0.25">
      <c r="A30" s="91" t="s">
        <v>311</v>
      </c>
      <c r="B30" s="136" t="s">
        <v>249</v>
      </c>
      <c r="C30" s="136" t="s">
        <v>249</v>
      </c>
      <c r="D30" s="135" t="s">
        <v>249</v>
      </c>
      <c r="E30" s="135" t="s">
        <v>249</v>
      </c>
      <c r="F30" s="134" t="s">
        <v>249</v>
      </c>
      <c r="G30" s="135" t="s">
        <v>249</v>
      </c>
      <c r="H30" s="123">
        <v>0</v>
      </c>
      <c r="I30" s="136">
        <v>0</v>
      </c>
      <c r="J30" s="136">
        <v>0</v>
      </c>
    </row>
    <row r="31" spans="1:14" s="118" customFormat="1" x14ac:dyDescent="0.25">
      <c r="A31" s="91" t="s">
        <v>310</v>
      </c>
      <c r="B31" s="136" t="s">
        <v>249</v>
      </c>
      <c r="C31" s="136" t="s">
        <v>249</v>
      </c>
      <c r="D31" s="135" t="s">
        <v>249</v>
      </c>
      <c r="E31" s="135" t="s">
        <v>249</v>
      </c>
      <c r="F31" s="134" t="s">
        <v>249</v>
      </c>
      <c r="G31" s="135" t="s">
        <v>249</v>
      </c>
      <c r="H31" s="123">
        <v>0</v>
      </c>
      <c r="I31" s="136">
        <v>0</v>
      </c>
      <c r="J31" s="136">
        <v>0</v>
      </c>
    </row>
    <row r="32" spans="1:14" s="118" customFormat="1" x14ac:dyDescent="0.25">
      <c r="A32" s="91" t="s">
        <v>141</v>
      </c>
      <c r="B32" s="136" t="s">
        <v>249</v>
      </c>
      <c r="C32" s="136" t="s">
        <v>249</v>
      </c>
      <c r="D32" s="135" t="s">
        <v>249</v>
      </c>
      <c r="E32" s="135" t="s">
        <v>249</v>
      </c>
      <c r="F32" s="134" t="s">
        <v>249</v>
      </c>
      <c r="G32" s="135" t="s">
        <v>249</v>
      </c>
      <c r="H32" s="123">
        <v>0</v>
      </c>
      <c r="I32" s="136">
        <v>0</v>
      </c>
      <c r="J32" s="136">
        <v>0</v>
      </c>
    </row>
    <row r="33" spans="1:14" s="118" customFormat="1" x14ac:dyDescent="0.25">
      <c r="A33" s="77" t="s">
        <v>241</v>
      </c>
      <c r="B33" s="124"/>
      <c r="C33" s="77"/>
      <c r="D33" s="125"/>
      <c r="E33" s="125"/>
      <c r="F33" s="125"/>
      <c r="G33" s="126"/>
      <c r="H33" s="127"/>
      <c r="I33" s="127"/>
      <c r="J33" s="128"/>
      <c r="K33" s="147"/>
      <c r="L33" s="147"/>
      <c r="M33" s="129"/>
      <c r="N33" s="129"/>
    </row>
    <row r="34" spans="1:14" s="118" customFormat="1" x14ac:dyDescent="0.25">
      <c r="A34" s="77" t="s">
        <v>242</v>
      </c>
      <c r="B34" s="124"/>
      <c r="C34" s="77"/>
      <c r="D34" s="125"/>
      <c r="E34" s="125"/>
      <c r="F34" s="125"/>
      <c r="G34" s="126"/>
      <c r="H34" s="127"/>
      <c r="I34" s="127"/>
      <c r="J34" s="128"/>
      <c r="K34" s="147"/>
      <c r="L34" s="147"/>
      <c r="M34" s="129"/>
      <c r="N34" s="129"/>
    </row>
    <row r="35" spans="1:14" s="118" customFormat="1" x14ac:dyDescent="0.25">
      <c r="A35" s="77" t="s">
        <v>243</v>
      </c>
      <c r="B35" s="124"/>
      <c r="C35" s="77"/>
      <c r="D35" s="125"/>
      <c r="E35" s="125"/>
      <c r="F35" s="125"/>
      <c r="G35" s="126"/>
      <c r="H35" s="127"/>
      <c r="I35" s="127"/>
      <c r="J35" s="128"/>
      <c r="K35" s="147"/>
      <c r="L35" s="147"/>
      <c r="M35" s="129"/>
      <c r="N35" s="129"/>
    </row>
    <row r="36" spans="1:14" s="118" customFormat="1" x14ac:dyDescent="0.25">
      <c r="A36" s="77" t="s">
        <v>244</v>
      </c>
      <c r="B36" s="124"/>
      <c r="C36" s="77"/>
      <c r="D36" s="125"/>
      <c r="E36" s="125"/>
      <c r="F36" s="125"/>
      <c r="G36" s="126"/>
      <c r="H36" s="127"/>
      <c r="I36" s="127"/>
      <c r="J36" s="128"/>
      <c r="K36" s="147"/>
      <c r="L36" s="147"/>
      <c r="M36" s="129"/>
      <c r="N36" s="129"/>
    </row>
    <row r="37" spans="1:14" s="118" customFormat="1" x14ac:dyDescent="0.25">
      <c r="A37" s="77" t="s">
        <v>245</v>
      </c>
      <c r="B37" s="124"/>
      <c r="C37" s="77"/>
      <c r="D37" s="125"/>
      <c r="E37" s="125"/>
      <c r="F37" s="125"/>
      <c r="G37" s="126"/>
      <c r="H37" s="127"/>
      <c r="I37" s="127"/>
      <c r="J37" s="128"/>
      <c r="K37" s="147"/>
      <c r="L37" s="147"/>
      <c r="M37" s="129"/>
      <c r="N37" s="129"/>
    </row>
  </sheetData>
  <mergeCells count="2">
    <mergeCell ref="A5:J5"/>
    <mergeCell ref="A4:J4"/>
  </mergeCells>
  <phoneticPr fontId="3" type="noConversion"/>
  <conditionalFormatting sqref="B10:E32 I10:J32">
    <cfRule type="expression" dxfId="45" priority="355" stopIfTrue="1">
      <formula>OR(LEFT(#REF!,3)="TIR",LEFT(#REF!,2)="IR")</formula>
    </cfRule>
  </conditionalFormatting>
  <conditionalFormatting sqref="H10:I32 A10:A32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4" customWidth="1"/>
    <col min="15" max="15" width="25.44140625" style="64" customWidth="1"/>
    <col min="16" max="16" width="20.6640625" style="64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237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4"/>
      <c r="O1" s="64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4"/>
      <c r="O2" s="64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4"/>
      <c r="O3" s="64"/>
      <c r="P3" s="43"/>
    </row>
    <row r="4" spans="1:16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7"/>
    </row>
    <row r="5" spans="1:16" s="7" customFormat="1" x14ac:dyDescent="0.25">
      <c r="A5" s="218" t="s">
        <v>34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20"/>
    </row>
    <row r="6" spans="1:16" s="7" customFormat="1" ht="31.5" customHeight="1" x14ac:dyDescent="0.25">
      <c r="A6" s="85" t="s">
        <v>156</v>
      </c>
      <c r="B6" s="200" t="s">
        <v>69</v>
      </c>
      <c r="C6" s="200" t="s">
        <v>27</v>
      </c>
      <c r="D6" s="200" t="s">
        <v>70</v>
      </c>
      <c r="E6" s="200" t="s">
        <v>5</v>
      </c>
      <c r="F6" s="200" t="s">
        <v>13</v>
      </c>
      <c r="G6" s="200" t="s">
        <v>14</v>
      </c>
      <c r="H6" s="200" t="s">
        <v>6</v>
      </c>
      <c r="I6" s="201" t="s">
        <v>66</v>
      </c>
      <c r="J6" s="201" t="s">
        <v>71</v>
      </c>
      <c r="K6" s="201" t="s">
        <v>67</v>
      </c>
      <c r="L6" s="201" t="s">
        <v>68</v>
      </c>
      <c r="M6" s="201" t="s">
        <v>7</v>
      </c>
      <c r="N6" s="88" t="s">
        <v>17</v>
      </c>
      <c r="O6" s="88" t="s">
        <v>75</v>
      </c>
      <c r="P6" s="89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8" customFormat="1" ht="12.75" customHeight="1" thickBot="1" x14ac:dyDescent="0.3">
      <c r="A9" s="99" t="s">
        <v>57</v>
      </c>
      <c r="B9" s="66" t="s">
        <v>249</v>
      </c>
      <c r="C9" s="66" t="s">
        <v>249</v>
      </c>
      <c r="D9" s="100"/>
      <c r="E9" s="100" t="s">
        <v>249</v>
      </c>
      <c r="F9" s="100" t="s">
        <v>249</v>
      </c>
      <c r="G9" s="100" t="s">
        <v>249</v>
      </c>
      <c r="H9" s="100" t="s">
        <v>249</v>
      </c>
      <c r="I9" s="66" t="s">
        <v>249</v>
      </c>
      <c r="J9" s="66" t="s">
        <v>249</v>
      </c>
      <c r="K9" s="101" t="s">
        <v>249</v>
      </c>
      <c r="L9" s="100" t="s">
        <v>249</v>
      </c>
      <c r="M9" s="102">
        <v>1.2000000000000002E-6</v>
      </c>
      <c r="N9" s="66" t="s">
        <v>249</v>
      </c>
      <c r="O9" s="66">
        <v>0</v>
      </c>
      <c r="P9" s="80">
        <v>0</v>
      </c>
    </row>
    <row r="10" spans="1:16" s="118" customFormat="1" x14ac:dyDescent="0.25">
      <c r="A10" s="90" t="s">
        <v>137</v>
      </c>
      <c r="B10" s="120" t="s">
        <v>249</v>
      </c>
      <c r="C10" s="120" t="s">
        <v>249</v>
      </c>
      <c r="D10" s="121" t="s">
        <v>249</v>
      </c>
      <c r="E10" s="121" t="s">
        <v>249</v>
      </c>
      <c r="F10" s="121" t="s">
        <v>249</v>
      </c>
      <c r="G10" s="121" t="s">
        <v>249</v>
      </c>
      <c r="H10" s="121" t="s">
        <v>249</v>
      </c>
      <c r="I10" s="120" t="s">
        <v>249</v>
      </c>
      <c r="J10" s="120" t="s">
        <v>249</v>
      </c>
      <c r="K10" s="132" t="s">
        <v>249</v>
      </c>
      <c r="L10" s="121" t="s">
        <v>249</v>
      </c>
      <c r="M10" s="122">
        <v>0</v>
      </c>
      <c r="N10" s="120" t="s">
        <v>249</v>
      </c>
      <c r="O10" s="120">
        <v>0</v>
      </c>
      <c r="P10" s="120">
        <v>0</v>
      </c>
    </row>
    <row r="11" spans="1:16" s="118" customFormat="1" x14ac:dyDescent="0.25">
      <c r="A11" s="91" t="s">
        <v>315</v>
      </c>
      <c r="B11" s="136" t="s">
        <v>249</v>
      </c>
      <c r="C11" s="136" t="s">
        <v>249</v>
      </c>
      <c r="D11" s="135" t="s">
        <v>249</v>
      </c>
      <c r="E11" s="135" t="s">
        <v>249</v>
      </c>
      <c r="F11" s="135" t="s">
        <v>249</v>
      </c>
      <c r="G11" s="135" t="s">
        <v>249</v>
      </c>
      <c r="H11" s="135" t="s">
        <v>249</v>
      </c>
      <c r="I11" s="136" t="s">
        <v>249</v>
      </c>
      <c r="J11" s="136" t="s">
        <v>249</v>
      </c>
      <c r="K11" s="134" t="s">
        <v>249</v>
      </c>
      <c r="L11" s="121" t="s">
        <v>249</v>
      </c>
      <c r="M11" s="123">
        <v>0</v>
      </c>
      <c r="N11" s="136"/>
      <c r="O11" s="136">
        <v>0</v>
      </c>
      <c r="P11" s="136">
        <v>0</v>
      </c>
    </row>
    <row r="12" spans="1:16" s="118" customFormat="1" x14ac:dyDescent="0.25">
      <c r="A12" s="91" t="s">
        <v>316</v>
      </c>
      <c r="B12" s="136" t="s">
        <v>249</v>
      </c>
      <c r="C12" s="136" t="s">
        <v>249</v>
      </c>
      <c r="D12" s="135" t="s">
        <v>249</v>
      </c>
      <c r="E12" s="135" t="s">
        <v>249</v>
      </c>
      <c r="F12" s="135" t="s">
        <v>249</v>
      </c>
      <c r="G12" s="135" t="s">
        <v>249</v>
      </c>
      <c r="H12" s="135" t="s">
        <v>249</v>
      </c>
      <c r="I12" s="136" t="s">
        <v>249</v>
      </c>
      <c r="J12" s="136" t="s">
        <v>249</v>
      </c>
      <c r="K12" s="134" t="s">
        <v>249</v>
      </c>
      <c r="L12" s="121" t="s">
        <v>249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1" t="s">
        <v>317</v>
      </c>
      <c r="B13" s="136" t="s">
        <v>249</v>
      </c>
      <c r="C13" s="136" t="s">
        <v>249</v>
      </c>
      <c r="D13" s="135" t="s">
        <v>249</v>
      </c>
      <c r="E13" s="135" t="s">
        <v>249</v>
      </c>
      <c r="F13" s="135" t="s">
        <v>249</v>
      </c>
      <c r="G13" s="135" t="s">
        <v>249</v>
      </c>
      <c r="H13" s="135" t="s">
        <v>249</v>
      </c>
      <c r="I13" s="136" t="s">
        <v>249</v>
      </c>
      <c r="J13" s="136" t="s">
        <v>249</v>
      </c>
      <c r="K13" s="134" t="s">
        <v>249</v>
      </c>
      <c r="L13" s="121" t="s">
        <v>249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1" t="s">
        <v>318</v>
      </c>
      <c r="B14" s="136" t="s">
        <v>249</v>
      </c>
      <c r="C14" s="136" t="s">
        <v>249</v>
      </c>
      <c r="D14" s="135" t="s">
        <v>249</v>
      </c>
      <c r="E14" s="135" t="s">
        <v>249</v>
      </c>
      <c r="F14" s="135" t="s">
        <v>249</v>
      </c>
      <c r="G14" s="135" t="s">
        <v>249</v>
      </c>
      <c r="H14" s="135" t="s">
        <v>249</v>
      </c>
      <c r="I14" s="136" t="s">
        <v>249</v>
      </c>
      <c r="J14" s="136" t="s">
        <v>249</v>
      </c>
      <c r="K14" s="134" t="s">
        <v>249</v>
      </c>
      <c r="L14" s="121" t="s">
        <v>249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1" t="s">
        <v>319</v>
      </c>
      <c r="B15" s="136" t="s">
        <v>249</v>
      </c>
      <c r="C15" s="136" t="s">
        <v>249</v>
      </c>
      <c r="D15" s="135" t="s">
        <v>249</v>
      </c>
      <c r="E15" s="135" t="s">
        <v>249</v>
      </c>
      <c r="F15" s="135" t="s">
        <v>249</v>
      </c>
      <c r="G15" s="135" t="s">
        <v>249</v>
      </c>
      <c r="H15" s="135" t="s">
        <v>249</v>
      </c>
      <c r="I15" s="136" t="s">
        <v>249</v>
      </c>
      <c r="J15" s="136" t="s">
        <v>249</v>
      </c>
      <c r="K15" s="134" t="s">
        <v>249</v>
      </c>
      <c r="L15" s="121" t="s">
        <v>249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1" t="s">
        <v>320</v>
      </c>
      <c r="B16" s="136" t="s">
        <v>249</v>
      </c>
      <c r="C16" s="136" t="s">
        <v>249</v>
      </c>
      <c r="D16" s="135" t="s">
        <v>249</v>
      </c>
      <c r="E16" s="135" t="s">
        <v>249</v>
      </c>
      <c r="F16" s="135" t="s">
        <v>249</v>
      </c>
      <c r="G16" s="135" t="s">
        <v>249</v>
      </c>
      <c r="H16" s="135" t="s">
        <v>249</v>
      </c>
      <c r="I16" s="136" t="s">
        <v>249</v>
      </c>
      <c r="J16" s="136" t="s">
        <v>249</v>
      </c>
      <c r="K16" s="134" t="s">
        <v>249</v>
      </c>
      <c r="L16" s="121" t="s">
        <v>249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1" t="s">
        <v>321</v>
      </c>
      <c r="B17" s="136" t="s">
        <v>249</v>
      </c>
      <c r="C17" s="136" t="s">
        <v>249</v>
      </c>
      <c r="D17" s="135" t="s">
        <v>249</v>
      </c>
      <c r="E17" s="135" t="s">
        <v>249</v>
      </c>
      <c r="F17" s="135" t="s">
        <v>249</v>
      </c>
      <c r="G17" s="135" t="s">
        <v>249</v>
      </c>
      <c r="H17" s="135" t="s">
        <v>249</v>
      </c>
      <c r="I17" s="136" t="s">
        <v>249</v>
      </c>
      <c r="J17" s="136" t="s">
        <v>249</v>
      </c>
      <c r="K17" s="134" t="s">
        <v>249</v>
      </c>
      <c r="L17" s="121" t="s">
        <v>249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1" t="s">
        <v>281</v>
      </c>
      <c r="B18" s="136" t="s">
        <v>249</v>
      </c>
      <c r="C18" s="136" t="s">
        <v>249</v>
      </c>
      <c r="D18" s="135" t="s">
        <v>249</v>
      </c>
      <c r="E18" s="135" t="s">
        <v>249</v>
      </c>
      <c r="F18" s="135" t="s">
        <v>249</v>
      </c>
      <c r="G18" s="135" t="s">
        <v>249</v>
      </c>
      <c r="H18" s="135" t="s">
        <v>249</v>
      </c>
      <c r="I18" s="136" t="s">
        <v>249</v>
      </c>
      <c r="J18" s="136" t="s">
        <v>249</v>
      </c>
      <c r="K18" s="134" t="s">
        <v>249</v>
      </c>
      <c r="L18" s="121" t="s">
        <v>249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1" t="s">
        <v>315</v>
      </c>
      <c r="B19" s="136" t="s">
        <v>249</v>
      </c>
      <c r="C19" s="136" t="s">
        <v>249</v>
      </c>
      <c r="D19" s="135" t="s">
        <v>249</v>
      </c>
      <c r="E19" s="135" t="s">
        <v>249</v>
      </c>
      <c r="F19" s="135" t="s">
        <v>249</v>
      </c>
      <c r="G19" s="135" t="s">
        <v>249</v>
      </c>
      <c r="H19" s="135" t="s">
        <v>249</v>
      </c>
      <c r="I19" s="136" t="s">
        <v>249</v>
      </c>
      <c r="J19" s="136" t="s">
        <v>249</v>
      </c>
      <c r="K19" s="134" t="s">
        <v>249</v>
      </c>
      <c r="L19" s="121" t="s">
        <v>249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1" t="s">
        <v>316</v>
      </c>
      <c r="B20" s="136" t="s">
        <v>249</v>
      </c>
      <c r="C20" s="136" t="s">
        <v>249</v>
      </c>
      <c r="D20" s="135" t="s">
        <v>249</v>
      </c>
      <c r="E20" s="135" t="s">
        <v>249</v>
      </c>
      <c r="F20" s="135" t="s">
        <v>249</v>
      </c>
      <c r="G20" s="135" t="s">
        <v>249</v>
      </c>
      <c r="H20" s="135" t="s">
        <v>249</v>
      </c>
      <c r="I20" s="136" t="s">
        <v>249</v>
      </c>
      <c r="J20" s="136" t="s">
        <v>249</v>
      </c>
      <c r="K20" s="134" t="s">
        <v>249</v>
      </c>
      <c r="L20" s="121" t="s">
        <v>249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1" t="s">
        <v>317</v>
      </c>
      <c r="B21" s="136" t="s">
        <v>249</v>
      </c>
      <c r="C21" s="136" t="s">
        <v>249</v>
      </c>
      <c r="D21" s="135" t="s">
        <v>249</v>
      </c>
      <c r="E21" s="135" t="s">
        <v>249</v>
      </c>
      <c r="F21" s="135" t="s">
        <v>249</v>
      </c>
      <c r="G21" s="135" t="s">
        <v>249</v>
      </c>
      <c r="H21" s="135" t="s">
        <v>249</v>
      </c>
      <c r="I21" s="136" t="s">
        <v>249</v>
      </c>
      <c r="J21" s="136" t="s">
        <v>249</v>
      </c>
      <c r="K21" s="134" t="s">
        <v>249</v>
      </c>
      <c r="L21" s="121" t="s">
        <v>249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1" t="s">
        <v>318</v>
      </c>
      <c r="B22" s="136" t="s">
        <v>249</v>
      </c>
      <c r="C22" s="136" t="s">
        <v>249</v>
      </c>
      <c r="D22" s="135" t="s">
        <v>249</v>
      </c>
      <c r="E22" s="135" t="s">
        <v>249</v>
      </c>
      <c r="F22" s="135" t="s">
        <v>249</v>
      </c>
      <c r="G22" s="135" t="s">
        <v>249</v>
      </c>
      <c r="H22" s="135" t="s">
        <v>249</v>
      </c>
      <c r="I22" s="136" t="s">
        <v>249</v>
      </c>
      <c r="J22" s="136" t="s">
        <v>249</v>
      </c>
      <c r="K22" s="134" t="s">
        <v>249</v>
      </c>
      <c r="L22" s="121" t="s">
        <v>249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1" t="s">
        <v>319</v>
      </c>
      <c r="B23" s="136" t="s">
        <v>249</v>
      </c>
      <c r="C23" s="136" t="s">
        <v>249</v>
      </c>
      <c r="D23" s="135" t="s">
        <v>249</v>
      </c>
      <c r="E23" s="135" t="s">
        <v>249</v>
      </c>
      <c r="F23" s="135" t="s">
        <v>249</v>
      </c>
      <c r="G23" s="135" t="s">
        <v>249</v>
      </c>
      <c r="H23" s="135" t="s">
        <v>249</v>
      </c>
      <c r="I23" s="136" t="s">
        <v>249</v>
      </c>
      <c r="J23" s="136" t="s">
        <v>249</v>
      </c>
      <c r="K23" s="134" t="s">
        <v>249</v>
      </c>
      <c r="L23" s="121" t="s">
        <v>249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1" t="s">
        <v>320</v>
      </c>
      <c r="B24" s="136" t="s">
        <v>249</v>
      </c>
      <c r="C24" s="136" t="s">
        <v>249</v>
      </c>
      <c r="D24" s="135" t="s">
        <v>249</v>
      </c>
      <c r="E24" s="135" t="s">
        <v>249</v>
      </c>
      <c r="F24" s="135" t="s">
        <v>249</v>
      </c>
      <c r="G24" s="135" t="s">
        <v>249</v>
      </c>
      <c r="H24" s="135" t="s">
        <v>249</v>
      </c>
      <c r="I24" s="136" t="s">
        <v>249</v>
      </c>
      <c r="J24" s="136" t="s">
        <v>249</v>
      </c>
      <c r="K24" s="134" t="s">
        <v>249</v>
      </c>
      <c r="L24" s="121" t="s">
        <v>249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1" t="s">
        <v>321</v>
      </c>
      <c r="B25" s="136" t="s">
        <v>249</v>
      </c>
      <c r="C25" s="136" t="s">
        <v>249</v>
      </c>
      <c r="D25" s="135" t="s">
        <v>249</v>
      </c>
      <c r="E25" s="135" t="s">
        <v>249</v>
      </c>
      <c r="F25" s="135" t="s">
        <v>249</v>
      </c>
      <c r="G25" s="135" t="s">
        <v>249</v>
      </c>
      <c r="H25" s="135" t="s">
        <v>249</v>
      </c>
      <c r="I25" s="136" t="s">
        <v>249</v>
      </c>
      <c r="J25" s="136" t="s">
        <v>249</v>
      </c>
      <c r="K25" s="134" t="s">
        <v>249</v>
      </c>
      <c r="L25" s="121" t="s">
        <v>249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77" t="s">
        <v>241</v>
      </c>
      <c r="B26" s="124"/>
      <c r="C26" s="77"/>
      <c r="D26" s="125"/>
      <c r="E26" s="125"/>
      <c r="F26" s="125"/>
      <c r="G26" s="126"/>
      <c r="H26" s="127"/>
      <c r="I26" s="128"/>
      <c r="J26" s="128"/>
      <c r="K26" s="128"/>
      <c r="L26" s="127"/>
      <c r="M26" s="127"/>
      <c r="N26" s="137"/>
      <c r="O26" s="137"/>
      <c r="P26" s="137"/>
    </row>
    <row r="27" spans="1:16" s="118" customFormat="1" x14ac:dyDescent="0.25">
      <c r="A27" s="77" t="s">
        <v>242</v>
      </c>
      <c r="B27" s="124"/>
      <c r="C27" s="77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7" t="s">
        <v>243</v>
      </c>
      <c r="B28" s="124"/>
      <c r="C28" s="77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7" t="s">
        <v>244</v>
      </c>
      <c r="B29" s="124"/>
      <c r="C29" s="77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7" t="s">
        <v>245</v>
      </c>
      <c r="B30" s="124"/>
      <c r="C30" s="77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143"/>
  <sheetViews>
    <sheetView rightToLeft="1" zoomScale="80" zoomScaleNormal="80" workbookViewId="0">
      <selection activeCell="V23" sqref="V23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1.33203125" style="59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9.3320312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236</v>
      </c>
      <c r="B1" s="9" t="s">
        <v>237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15" t="s">
        <v>35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7"/>
      <c r="R4" s="12"/>
      <c r="S4" s="12"/>
      <c r="T4" s="12"/>
    </row>
    <row r="5" spans="1:20" s="7" customFormat="1" ht="33.75" customHeight="1" x14ac:dyDescent="0.25">
      <c r="A5" s="85" t="s">
        <v>156</v>
      </c>
      <c r="B5" s="200" t="s">
        <v>80</v>
      </c>
      <c r="C5" s="200" t="s">
        <v>69</v>
      </c>
      <c r="D5" s="200" t="s">
        <v>74</v>
      </c>
      <c r="E5" s="200" t="s">
        <v>70</v>
      </c>
      <c r="F5" s="200" t="s">
        <v>13</v>
      </c>
      <c r="G5" s="200" t="s">
        <v>5</v>
      </c>
      <c r="H5" s="200" t="s">
        <v>14</v>
      </c>
      <c r="I5" s="200" t="s">
        <v>159</v>
      </c>
      <c r="J5" s="200" t="s">
        <v>6</v>
      </c>
      <c r="K5" s="201" t="s">
        <v>36</v>
      </c>
      <c r="L5" s="201" t="s">
        <v>71</v>
      </c>
      <c r="M5" s="201" t="s">
        <v>67</v>
      </c>
      <c r="N5" s="201" t="s">
        <v>68</v>
      </c>
      <c r="O5" s="201" t="s">
        <v>29</v>
      </c>
      <c r="P5" s="88" t="s">
        <v>75</v>
      </c>
      <c r="Q5" s="89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8" customFormat="1" ht="12.75" customHeight="1" thickBot="1" x14ac:dyDescent="0.3">
      <c r="A8" s="99" t="s">
        <v>121</v>
      </c>
      <c r="B8" s="66" t="s">
        <v>249</v>
      </c>
      <c r="C8" s="66" t="s">
        <v>249</v>
      </c>
      <c r="D8" s="66"/>
      <c r="E8" s="100" t="s">
        <v>249</v>
      </c>
      <c r="F8" s="100"/>
      <c r="G8" s="100" t="s">
        <v>249</v>
      </c>
      <c r="H8" s="101" t="s">
        <v>249</v>
      </c>
      <c r="I8" s="101"/>
      <c r="J8" s="100" t="s">
        <v>249</v>
      </c>
      <c r="K8" s="66" t="s">
        <v>249</v>
      </c>
      <c r="L8" s="66" t="s">
        <v>249</v>
      </c>
      <c r="M8" s="110" t="s">
        <v>249</v>
      </c>
      <c r="N8" s="100" t="s">
        <v>249</v>
      </c>
      <c r="O8" s="102">
        <v>55749.826311299978</v>
      </c>
      <c r="P8" s="66">
        <v>1</v>
      </c>
      <c r="Q8" s="80">
        <v>2.2671313003275552E-2</v>
      </c>
    </row>
    <row r="9" spans="1:20" s="118" customFormat="1" x14ac:dyDescent="0.25">
      <c r="A9" s="90" t="s">
        <v>137</v>
      </c>
      <c r="B9" s="130" t="s">
        <v>249</v>
      </c>
      <c r="C9" s="130" t="s">
        <v>249</v>
      </c>
      <c r="D9" s="130" t="s">
        <v>249</v>
      </c>
      <c r="E9" s="130" t="s">
        <v>249</v>
      </c>
      <c r="F9" s="130" t="s">
        <v>249</v>
      </c>
      <c r="G9" s="130" t="s">
        <v>249</v>
      </c>
      <c r="H9" s="131" t="s">
        <v>249</v>
      </c>
      <c r="I9" s="130" t="s">
        <v>249</v>
      </c>
      <c r="J9" s="131" t="s">
        <v>249</v>
      </c>
      <c r="K9" s="130" t="s">
        <v>249</v>
      </c>
      <c r="L9" s="130" t="s">
        <v>249</v>
      </c>
      <c r="M9" s="158" t="s">
        <v>249</v>
      </c>
      <c r="N9" s="121" t="s">
        <v>249</v>
      </c>
      <c r="O9" s="122">
        <v>55749.826310899982</v>
      </c>
      <c r="P9" s="120">
        <v>0.99999999999282507</v>
      </c>
      <c r="Q9" s="120">
        <v>2.267131300311289E-2</v>
      </c>
    </row>
    <row r="10" spans="1:20" s="118" customFormat="1" x14ac:dyDescent="0.25">
      <c r="A10" s="91" t="s">
        <v>854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0" t="s">
        <v>249</v>
      </c>
      <c r="H10" s="131" t="s">
        <v>249</v>
      </c>
      <c r="I10" s="130" t="s">
        <v>249</v>
      </c>
      <c r="J10" s="131" t="s">
        <v>249</v>
      </c>
      <c r="K10" s="130" t="s">
        <v>249</v>
      </c>
      <c r="L10" s="130" t="s">
        <v>249</v>
      </c>
      <c r="M10" s="159" t="s">
        <v>249</v>
      </c>
      <c r="N10" s="135" t="s">
        <v>249</v>
      </c>
      <c r="O10" s="123">
        <v>0</v>
      </c>
      <c r="P10" s="136">
        <v>0</v>
      </c>
      <c r="Q10" s="136">
        <v>0</v>
      </c>
    </row>
    <row r="11" spans="1:20" s="118" customFormat="1" x14ac:dyDescent="0.25">
      <c r="A11" s="91" t="s">
        <v>855</v>
      </c>
      <c r="B11" s="130" t="s">
        <v>249</v>
      </c>
      <c r="C11" s="130" t="s">
        <v>249</v>
      </c>
      <c r="D11" s="130"/>
      <c r="E11" s="130" t="s">
        <v>249</v>
      </c>
      <c r="F11" s="130" t="s">
        <v>249</v>
      </c>
      <c r="G11" s="130" t="s">
        <v>249</v>
      </c>
      <c r="H11" s="131" t="s">
        <v>249</v>
      </c>
      <c r="I11" s="130" t="s">
        <v>249</v>
      </c>
      <c r="J11" s="131" t="s">
        <v>249</v>
      </c>
      <c r="K11" s="130" t="s">
        <v>249</v>
      </c>
      <c r="L11" s="130" t="s">
        <v>249</v>
      </c>
      <c r="M11" s="159" t="s">
        <v>249</v>
      </c>
      <c r="N11" s="135" t="s">
        <v>249</v>
      </c>
      <c r="O11" s="123">
        <v>3137.4113600999999</v>
      </c>
      <c r="P11" s="136">
        <v>5.627661228182293E-2</v>
      </c>
      <c r="Q11" s="136">
        <v>1.2758646918051891E-3</v>
      </c>
    </row>
    <row r="12" spans="1:20" x14ac:dyDescent="0.25">
      <c r="A12" s="16" t="s">
        <v>1132</v>
      </c>
      <c r="B12" s="116" t="s">
        <v>1134</v>
      </c>
      <c r="C12" s="116" t="s">
        <v>856</v>
      </c>
      <c r="D12" s="116"/>
      <c r="E12" s="116" t="s">
        <v>857</v>
      </c>
      <c r="F12" s="116" t="s">
        <v>858</v>
      </c>
      <c r="G12" s="116" t="s">
        <v>857</v>
      </c>
      <c r="H12" s="117">
        <v>5.86</v>
      </c>
      <c r="I12" s="116" t="s">
        <v>217</v>
      </c>
      <c r="J12" s="117" t="s">
        <v>255</v>
      </c>
      <c r="K12" s="116">
        <v>5.2999999999999999E-2</v>
      </c>
      <c r="L12" s="116">
        <v>5.7800000000000004E-2</v>
      </c>
      <c r="M12" s="111">
        <v>176688.51</v>
      </c>
      <c r="N12" s="60">
        <v>98.46</v>
      </c>
      <c r="O12" s="83">
        <v>193.29310999999998</v>
      </c>
      <c r="P12" s="24">
        <v>3.4671517884320518E-3</v>
      </c>
      <c r="Q12" s="24">
        <v>7.8604883425409671E-5</v>
      </c>
      <c r="R12" s="14"/>
    </row>
    <row r="13" spans="1:20" x14ac:dyDescent="0.25">
      <c r="A13" s="16" t="s">
        <v>1132</v>
      </c>
      <c r="B13" s="116" t="s">
        <v>1134</v>
      </c>
      <c r="C13" s="116" t="s">
        <v>859</v>
      </c>
      <c r="D13" s="116"/>
      <c r="E13" s="116" t="s">
        <v>857</v>
      </c>
      <c r="F13" s="116" t="s">
        <v>858</v>
      </c>
      <c r="G13" s="116" t="s">
        <v>857</v>
      </c>
      <c r="H13" s="117">
        <v>7.16</v>
      </c>
      <c r="I13" s="116" t="s">
        <v>217</v>
      </c>
      <c r="J13" s="117" t="s">
        <v>255</v>
      </c>
      <c r="K13" s="116">
        <v>0.05</v>
      </c>
      <c r="L13" s="116">
        <v>5.5500000000000001E-2</v>
      </c>
      <c r="M13" s="111">
        <v>138192.26999999999</v>
      </c>
      <c r="N13" s="60">
        <v>112.48</v>
      </c>
      <c r="O13" s="83">
        <v>152.77574999999999</v>
      </c>
      <c r="P13" s="24">
        <v>2.7403807349447068E-3</v>
      </c>
      <c r="Q13" s="24">
        <v>6.2128029390077745E-5</v>
      </c>
      <c r="R13" s="14"/>
    </row>
    <row r="14" spans="1:20" x14ac:dyDescent="0.25">
      <c r="A14" s="16" t="s">
        <v>1132</v>
      </c>
      <c r="B14" s="116" t="s">
        <v>1134</v>
      </c>
      <c r="C14" s="116" t="s">
        <v>860</v>
      </c>
      <c r="D14" s="116"/>
      <c r="E14" s="116" t="s">
        <v>857</v>
      </c>
      <c r="F14" s="116" t="s">
        <v>858</v>
      </c>
      <c r="G14" s="116" t="s">
        <v>857</v>
      </c>
      <c r="H14" s="117">
        <v>6.58</v>
      </c>
      <c r="I14" s="116" t="s">
        <v>217</v>
      </c>
      <c r="J14" s="117" t="s">
        <v>255</v>
      </c>
      <c r="K14" s="116">
        <v>3.5000000000000003E-2</v>
      </c>
      <c r="L14" s="116">
        <v>7.1300000000000002E-2</v>
      </c>
      <c r="M14" s="111">
        <v>65225.67</v>
      </c>
      <c r="N14" s="60">
        <v>98.06</v>
      </c>
      <c r="O14" s="83">
        <v>67.44225999999999</v>
      </c>
      <c r="P14" s="24">
        <v>1.2097304056771575E-3</v>
      </c>
      <c r="Q14" s="24">
        <v>2.7426176676686351E-5</v>
      </c>
      <c r="R14" s="14"/>
    </row>
    <row r="15" spans="1:20" x14ac:dyDescent="0.25">
      <c r="A15" s="16" t="s">
        <v>1132</v>
      </c>
      <c r="B15" s="116" t="s">
        <v>1134</v>
      </c>
      <c r="C15" s="116" t="s">
        <v>861</v>
      </c>
      <c r="D15" s="116"/>
      <c r="E15" s="116" t="s">
        <v>857</v>
      </c>
      <c r="F15" s="116" t="s">
        <v>858</v>
      </c>
      <c r="G15" s="116" t="s">
        <v>857</v>
      </c>
      <c r="H15" s="117">
        <v>7.01</v>
      </c>
      <c r="I15" s="116" t="s">
        <v>217</v>
      </c>
      <c r="J15" s="117" t="s">
        <v>255</v>
      </c>
      <c r="K15" s="116">
        <v>8.6979999542236328E-2</v>
      </c>
      <c r="L15" s="116">
        <v>7.0599999999999996E-2</v>
      </c>
      <c r="M15" s="111">
        <v>345509.25</v>
      </c>
      <c r="N15" s="60">
        <v>106.38</v>
      </c>
      <c r="O15" s="83">
        <v>371.87620000000004</v>
      </c>
      <c r="P15" s="24">
        <v>6.6704458938309568E-3</v>
      </c>
      <c r="Q15" s="24">
        <v>1.5122776673045583E-4</v>
      </c>
      <c r="R15" s="14"/>
    </row>
    <row r="16" spans="1:20" x14ac:dyDescent="0.25">
      <c r="A16" s="16" t="s">
        <v>1132</v>
      </c>
      <c r="B16" s="116" t="s">
        <v>1134</v>
      </c>
      <c r="C16" s="116" t="s">
        <v>862</v>
      </c>
      <c r="D16" s="116"/>
      <c r="E16" s="116" t="s">
        <v>857</v>
      </c>
      <c r="F16" s="116" t="s">
        <v>863</v>
      </c>
      <c r="G16" s="116" t="s">
        <v>857</v>
      </c>
      <c r="H16" s="117">
        <v>0</v>
      </c>
      <c r="I16" s="116" t="s">
        <v>217</v>
      </c>
      <c r="J16" s="117" t="s">
        <v>255</v>
      </c>
      <c r="K16" s="116">
        <v>9.0768001079559332E-2</v>
      </c>
      <c r="L16" s="116">
        <v>0</v>
      </c>
      <c r="M16" s="111">
        <v>-1.1599999999999999</v>
      </c>
      <c r="N16" s="60">
        <v>8266.2800000000007</v>
      </c>
      <c r="O16" s="83">
        <v>-9.6299999999999997E-2</v>
      </c>
      <c r="P16" s="24">
        <v>-1.727359641665482E-6</v>
      </c>
      <c r="Q16" s="24">
        <v>-3.9161511105424046E-8</v>
      </c>
      <c r="R16" s="14"/>
    </row>
    <row r="17" spans="1:18" x14ac:dyDescent="0.25">
      <c r="A17" s="16" t="s">
        <v>1132</v>
      </c>
      <c r="B17" s="116" t="s">
        <v>1134</v>
      </c>
      <c r="C17" s="116" t="s">
        <v>864</v>
      </c>
      <c r="D17" s="116"/>
      <c r="E17" s="116" t="s">
        <v>857</v>
      </c>
      <c r="F17" s="116" t="s">
        <v>863</v>
      </c>
      <c r="G17" s="116" t="s">
        <v>857</v>
      </c>
      <c r="H17" s="117">
        <v>0</v>
      </c>
      <c r="I17" s="116" t="s">
        <v>217</v>
      </c>
      <c r="J17" s="117" t="s">
        <v>255</v>
      </c>
      <c r="K17" s="116">
        <v>9.0768001079559332E-2</v>
      </c>
      <c r="L17" s="116">
        <v>0</v>
      </c>
      <c r="M17" s="111">
        <v>-1.17</v>
      </c>
      <c r="N17" s="60">
        <v>12277.2</v>
      </c>
      <c r="O17" s="83">
        <v>-0.14413000000000001</v>
      </c>
      <c r="P17" s="24">
        <v>-2.5852995343016194E-6</v>
      </c>
      <c r="Q17" s="24">
        <v>-5.8612134949374537E-8</v>
      </c>
      <c r="R17" s="14"/>
    </row>
    <row r="18" spans="1:18" x14ac:dyDescent="0.25">
      <c r="A18" s="16" t="s">
        <v>1132</v>
      </c>
      <c r="B18" s="116" t="s">
        <v>1134</v>
      </c>
      <c r="C18" s="116" t="s">
        <v>865</v>
      </c>
      <c r="D18" s="116"/>
      <c r="E18" s="116" t="s">
        <v>857</v>
      </c>
      <c r="F18" s="116" t="s">
        <v>863</v>
      </c>
      <c r="G18" s="116" t="s">
        <v>857</v>
      </c>
      <c r="H18" s="117">
        <v>0</v>
      </c>
      <c r="I18" s="116" t="s">
        <v>217</v>
      </c>
      <c r="J18" s="117" t="s">
        <v>255</v>
      </c>
      <c r="K18" s="116">
        <v>9.0768001079559332E-2</v>
      </c>
      <c r="L18" s="116">
        <v>0</v>
      </c>
      <c r="M18" s="111">
        <v>-1.1499999999999999</v>
      </c>
      <c r="N18" s="60">
        <v>10768.24</v>
      </c>
      <c r="O18" s="83">
        <v>-0.12415000000000001</v>
      </c>
      <c r="P18" s="24">
        <v>-2.2269127675261642E-6</v>
      </c>
      <c r="Q18" s="24">
        <v>-5.0487036383576282E-8</v>
      </c>
      <c r="R18" s="14"/>
    </row>
    <row r="19" spans="1:18" x14ac:dyDescent="0.25">
      <c r="A19" s="16" t="s">
        <v>1132</v>
      </c>
      <c r="B19" s="116" t="s">
        <v>1134</v>
      </c>
      <c r="C19" s="116" t="s">
        <v>866</v>
      </c>
      <c r="D19" s="116"/>
      <c r="E19" s="116" t="s">
        <v>857</v>
      </c>
      <c r="F19" s="116" t="s">
        <v>867</v>
      </c>
      <c r="G19" s="116" t="s">
        <v>857</v>
      </c>
      <c r="H19" s="117">
        <v>7.69</v>
      </c>
      <c r="I19" s="116" t="s">
        <v>217</v>
      </c>
      <c r="J19" s="117" t="s">
        <v>255</v>
      </c>
      <c r="K19" s="116">
        <v>4.4299999999999999E-2</v>
      </c>
      <c r="L19" s="116">
        <v>7.0199999999999999E-2</v>
      </c>
      <c r="M19" s="111">
        <v>161287.6</v>
      </c>
      <c r="N19" s="60">
        <v>81.37</v>
      </c>
      <c r="O19" s="83">
        <v>153.68817000000001</v>
      </c>
      <c r="P19" s="24">
        <v>2.7567470639607863E-3</v>
      </c>
      <c r="Q19" s="24">
        <v>6.249907555791588E-5</v>
      </c>
      <c r="R19" s="14"/>
    </row>
    <row r="20" spans="1:18" x14ac:dyDescent="0.25">
      <c r="A20" s="16" t="s">
        <v>1132</v>
      </c>
      <c r="B20" s="116" t="s">
        <v>1134</v>
      </c>
      <c r="C20" s="116" t="s">
        <v>868</v>
      </c>
      <c r="D20" s="116"/>
      <c r="E20" s="116" t="s">
        <v>857</v>
      </c>
      <c r="F20" s="116" t="s">
        <v>867</v>
      </c>
      <c r="G20" s="116" t="s">
        <v>857</v>
      </c>
      <c r="H20" s="117">
        <v>7.72</v>
      </c>
      <c r="I20" s="116" t="s">
        <v>217</v>
      </c>
      <c r="J20" s="117" t="s">
        <v>255</v>
      </c>
      <c r="K20" s="116">
        <v>4.4299999999999999E-2</v>
      </c>
      <c r="L20" s="116">
        <v>6.3899999999999998E-2</v>
      </c>
      <c r="M20" s="111">
        <v>409507.83</v>
      </c>
      <c r="N20" s="60">
        <v>106.68</v>
      </c>
      <c r="O20" s="83">
        <v>419.27686999999997</v>
      </c>
      <c r="P20" s="24">
        <v>7.5206847759275693E-3</v>
      </c>
      <c r="Q20" s="24">
        <v>1.7050379855402319E-4</v>
      </c>
      <c r="R20" s="14"/>
    </row>
    <row r="21" spans="1:18" x14ac:dyDescent="0.25">
      <c r="A21" s="16" t="s">
        <v>1132</v>
      </c>
      <c r="B21" s="116" t="s">
        <v>1134</v>
      </c>
      <c r="C21" s="116" t="s">
        <v>869</v>
      </c>
      <c r="D21" s="116"/>
      <c r="E21" s="116" t="s">
        <v>857</v>
      </c>
      <c r="F21" s="116" t="s">
        <v>867</v>
      </c>
      <c r="G21" s="116" t="s">
        <v>857</v>
      </c>
      <c r="H21" s="117">
        <v>8.24</v>
      </c>
      <c r="I21" s="116" t="s">
        <v>217</v>
      </c>
      <c r="J21" s="117" t="s">
        <v>255</v>
      </c>
      <c r="K21" s="116">
        <v>4.4299999999999999E-2</v>
      </c>
      <c r="L21" s="116">
        <v>5.7300000000000004E-2</v>
      </c>
      <c r="M21" s="111">
        <v>49623.58</v>
      </c>
      <c r="N21" s="60">
        <v>106.46</v>
      </c>
      <c r="O21" s="83">
        <v>50.807339999999996</v>
      </c>
      <c r="P21" s="24">
        <v>9.113452608138765E-4</v>
      </c>
      <c r="Q21" s="24">
        <v>2.066139366196319E-5</v>
      </c>
      <c r="R21" s="14"/>
    </row>
    <row r="22" spans="1:18" x14ac:dyDescent="0.25">
      <c r="A22" s="16" t="s">
        <v>1132</v>
      </c>
      <c r="B22" s="116" t="s">
        <v>1134</v>
      </c>
      <c r="C22" s="116" t="s">
        <v>870</v>
      </c>
      <c r="D22" s="116"/>
      <c r="E22" s="116" t="s">
        <v>857</v>
      </c>
      <c r="F22" s="116" t="s">
        <v>867</v>
      </c>
      <c r="G22" s="116" t="s">
        <v>857</v>
      </c>
      <c r="H22" s="117">
        <v>8.01</v>
      </c>
      <c r="I22" s="116" t="s">
        <v>217</v>
      </c>
      <c r="J22" s="117" t="s">
        <v>255</v>
      </c>
      <c r="K22" s="116">
        <v>0.10679181098937988</v>
      </c>
      <c r="L22" s="116">
        <v>6.5199999999999994E-2</v>
      </c>
      <c r="M22" s="111">
        <v>277991.34000000003</v>
      </c>
      <c r="N22" s="60">
        <v>107.14</v>
      </c>
      <c r="O22" s="83">
        <v>291.63984999999997</v>
      </c>
      <c r="P22" s="24">
        <v>5.2312243695885243E-3</v>
      </c>
      <c r="Q22" s="24">
        <v>1.1859872507330427E-4</v>
      </c>
      <c r="R22" s="14"/>
    </row>
    <row r="23" spans="1:18" x14ac:dyDescent="0.25">
      <c r="A23" s="16" t="s">
        <v>1132</v>
      </c>
      <c r="B23" s="116" t="s">
        <v>1134</v>
      </c>
      <c r="C23" s="116" t="s">
        <v>871</v>
      </c>
      <c r="D23" s="116"/>
      <c r="E23" s="116" t="s">
        <v>857</v>
      </c>
      <c r="F23" s="116" t="s">
        <v>858</v>
      </c>
      <c r="G23" s="116" t="s">
        <v>857</v>
      </c>
      <c r="H23" s="117">
        <v>7.69</v>
      </c>
      <c r="I23" s="116" t="s">
        <v>217</v>
      </c>
      <c r="J23" s="117" t="s">
        <v>255</v>
      </c>
      <c r="K23" s="116">
        <v>5.2999999999999999E-2</v>
      </c>
      <c r="L23" s="116">
        <v>2.4799999999999999E-2</v>
      </c>
      <c r="M23" s="111">
        <v>364427.86</v>
      </c>
      <c r="N23" s="60">
        <v>131.88999999999999</v>
      </c>
      <c r="O23" s="83">
        <v>483.81855999999999</v>
      </c>
      <c r="P23" s="24">
        <v>8.6783868580759035E-3</v>
      </c>
      <c r="Q23" s="24">
        <v>1.9675042482295192E-4</v>
      </c>
      <c r="R23" s="14"/>
    </row>
    <row r="24" spans="1:18" x14ac:dyDescent="0.25">
      <c r="A24" s="16" t="s">
        <v>1132</v>
      </c>
      <c r="B24" s="116" t="s">
        <v>1134</v>
      </c>
      <c r="C24" s="116" t="s">
        <v>872</v>
      </c>
      <c r="D24" s="116"/>
      <c r="E24" s="116" t="s">
        <v>857</v>
      </c>
      <c r="F24" s="116" t="s">
        <v>858</v>
      </c>
      <c r="G24" s="116" t="s">
        <v>857</v>
      </c>
      <c r="H24" s="117">
        <v>7.99</v>
      </c>
      <c r="I24" s="116" t="s">
        <v>217</v>
      </c>
      <c r="J24" s="117" t="s">
        <v>255</v>
      </c>
      <c r="K24" s="116">
        <v>5.2999999999999999E-2</v>
      </c>
      <c r="L24" s="116">
        <v>3.2599999999999997E-2</v>
      </c>
      <c r="M24" s="111">
        <v>237433.22</v>
      </c>
      <c r="N24" s="60">
        <v>132.58000000000001</v>
      </c>
      <c r="O24" s="83">
        <v>326.11971999999997</v>
      </c>
      <c r="P24" s="24">
        <v>5.8496993009267634E-3</v>
      </c>
      <c r="Q24" s="24">
        <v>1.3262036382635285E-4</v>
      </c>
      <c r="R24" s="14"/>
    </row>
    <row r="25" spans="1:18" x14ac:dyDescent="0.25">
      <c r="A25" s="16" t="s">
        <v>1132</v>
      </c>
      <c r="B25" s="116" t="s">
        <v>1134</v>
      </c>
      <c r="C25" s="116" t="s">
        <v>873</v>
      </c>
      <c r="D25" s="116"/>
      <c r="E25" s="116" t="s">
        <v>857</v>
      </c>
      <c r="F25" s="116" t="s">
        <v>867</v>
      </c>
      <c r="G25" s="116" t="s">
        <v>857</v>
      </c>
      <c r="H25" s="117">
        <v>9.0500000000000007</v>
      </c>
      <c r="I25" s="116" t="s">
        <v>217</v>
      </c>
      <c r="J25" s="117" t="s">
        <v>255</v>
      </c>
      <c r="K25" s="116">
        <v>4.4400000000000002E-2</v>
      </c>
      <c r="L25" s="116">
        <v>2.9900000000000003E-2</v>
      </c>
      <c r="M25" s="111">
        <v>320938.8</v>
      </c>
      <c r="N25" s="60">
        <v>108.84</v>
      </c>
      <c r="O25" s="83">
        <v>436.54840999999999</v>
      </c>
      <c r="P25" s="24">
        <v>7.8304891491924808E-3</v>
      </c>
      <c r="Q25" s="24">
        <v>1.7752747047009563E-4</v>
      </c>
      <c r="R25" s="14"/>
    </row>
    <row r="26" spans="1:18" x14ac:dyDescent="0.25">
      <c r="A26" s="16" t="s">
        <v>1132</v>
      </c>
      <c r="B26" s="116" t="s">
        <v>1134</v>
      </c>
      <c r="C26" s="116" t="s">
        <v>874</v>
      </c>
      <c r="D26" s="116"/>
      <c r="E26" s="116" t="s">
        <v>857</v>
      </c>
      <c r="F26" s="116" t="s">
        <v>867</v>
      </c>
      <c r="G26" s="116" t="s">
        <v>857</v>
      </c>
      <c r="H26" s="117">
        <v>9.6</v>
      </c>
      <c r="I26" s="116" t="s">
        <v>217</v>
      </c>
      <c r="J26" s="117" t="s">
        <v>255</v>
      </c>
      <c r="K26" s="116">
        <v>4.4299999999999999E-2</v>
      </c>
      <c r="L26" s="116">
        <v>9.8999999999999991E-3</v>
      </c>
      <c r="M26" s="111">
        <v>79809.91</v>
      </c>
      <c r="N26" s="60">
        <v>134.15</v>
      </c>
      <c r="O26" s="83">
        <v>116.63663000000001</v>
      </c>
      <c r="P26" s="24">
        <v>2.0921433790432962E-3</v>
      </c>
      <c r="Q26" s="24">
        <v>4.7431637394021143E-5</v>
      </c>
      <c r="R26" s="14"/>
    </row>
    <row r="27" spans="1:18" x14ac:dyDescent="0.25">
      <c r="A27" s="16" t="s">
        <v>1132</v>
      </c>
      <c r="B27" s="116" t="s">
        <v>1134</v>
      </c>
      <c r="C27" s="116" t="s">
        <v>875</v>
      </c>
      <c r="D27" s="116"/>
      <c r="E27" s="116" t="s">
        <v>857</v>
      </c>
      <c r="F27" s="116" t="s">
        <v>867</v>
      </c>
      <c r="G27" s="116" t="s">
        <v>857</v>
      </c>
      <c r="H27" s="117">
        <v>9.31</v>
      </c>
      <c r="I27" s="116" t="s">
        <v>217</v>
      </c>
      <c r="J27" s="117" t="s">
        <v>255</v>
      </c>
      <c r="K27" s="116">
        <v>4.4299999999999999E-2</v>
      </c>
      <c r="L27" s="116">
        <v>2.2400000000000003E-2</v>
      </c>
      <c r="M27" s="111">
        <v>47310.17</v>
      </c>
      <c r="N27" s="60">
        <v>127.45</v>
      </c>
      <c r="O27" s="83">
        <v>69.140520000000009</v>
      </c>
      <c r="P27" s="24">
        <v>1.2401925633620469E-3</v>
      </c>
      <c r="Q27" s="24">
        <v>2.8116793788315616E-5</v>
      </c>
      <c r="R27" s="14"/>
    </row>
    <row r="28" spans="1:18" x14ac:dyDescent="0.25">
      <c r="A28" s="16" t="s">
        <v>1132</v>
      </c>
      <c r="B28" s="116" t="s">
        <v>1134</v>
      </c>
      <c r="C28" s="116" t="s">
        <v>876</v>
      </c>
      <c r="D28" s="116"/>
      <c r="E28" s="116" t="s">
        <v>857</v>
      </c>
      <c r="F28" s="116" t="s">
        <v>867</v>
      </c>
      <c r="G28" s="116" t="s">
        <v>857</v>
      </c>
      <c r="H28" s="117">
        <v>9.31</v>
      </c>
      <c r="I28" s="116" t="s">
        <v>217</v>
      </c>
      <c r="J28" s="117" t="s">
        <v>255</v>
      </c>
      <c r="K28" s="116">
        <v>4.4299999999999999E-2</v>
      </c>
      <c r="L28" s="116">
        <v>2.2400000000000003E-2</v>
      </c>
      <c r="M28" s="111">
        <v>3224.81</v>
      </c>
      <c r="N28" s="60">
        <v>127.45</v>
      </c>
      <c r="O28" s="83">
        <v>4.7125500000000002</v>
      </c>
      <c r="P28" s="24">
        <v>8.4530308196580146E-5</v>
      </c>
      <c r="Q28" s="24">
        <v>1.9164130753880178E-6</v>
      </c>
      <c r="R28" s="14"/>
    </row>
    <row r="29" spans="1:18" s="118" customFormat="1" x14ac:dyDescent="0.25">
      <c r="A29" s="91" t="s">
        <v>877</v>
      </c>
      <c r="B29" s="130" t="s">
        <v>249</v>
      </c>
      <c r="C29" s="130" t="s">
        <v>249</v>
      </c>
      <c r="D29" s="130"/>
      <c r="E29" s="130" t="s">
        <v>249</v>
      </c>
      <c r="F29" s="130" t="s">
        <v>249</v>
      </c>
      <c r="G29" s="130" t="s">
        <v>249</v>
      </c>
      <c r="H29" s="131" t="s">
        <v>249</v>
      </c>
      <c r="I29" s="130" t="s">
        <v>249</v>
      </c>
      <c r="J29" s="131" t="s">
        <v>249</v>
      </c>
      <c r="K29" s="130" t="s">
        <v>249</v>
      </c>
      <c r="L29" s="130" t="s">
        <v>249</v>
      </c>
      <c r="M29" s="159" t="s">
        <v>249</v>
      </c>
      <c r="N29" s="135" t="s">
        <v>249</v>
      </c>
      <c r="O29" s="123">
        <v>52612.414950099977</v>
      </c>
      <c r="P29" s="136">
        <v>0.94372338769844599</v>
      </c>
      <c r="Q29" s="136">
        <v>2.1395448311023035E-2</v>
      </c>
    </row>
    <row r="30" spans="1:18" x14ac:dyDescent="0.25">
      <c r="A30" s="16" t="s">
        <v>1116</v>
      </c>
      <c r="B30" s="116" t="s">
        <v>878</v>
      </c>
      <c r="C30" s="116" t="s">
        <v>977</v>
      </c>
      <c r="D30" s="116"/>
      <c r="E30" s="116" t="s">
        <v>764</v>
      </c>
      <c r="F30" s="116" t="s">
        <v>978</v>
      </c>
      <c r="G30" s="116" t="s">
        <v>254</v>
      </c>
      <c r="H30" s="117">
        <v>0.56000000000000005</v>
      </c>
      <c r="I30" s="116" t="s">
        <v>219</v>
      </c>
      <c r="J30" s="117" t="s">
        <v>255</v>
      </c>
      <c r="K30" s="116">
        <v>0.03</v>
      </c>
      <c r="L30" s="116">
        <v>2.5699999999999997E-2</v>
      </c>
      <c r="M30" s="111">
        <v>357799.35</v>
      </c>
      <c r="N30" s="60">
        <v>112.16</v>
      </c>
      <c r="O30" s="83">
        <v>401.29005000000001</v>
      </c>
      <c r="P30" s="24">
        <v>7.1980502281611984E-3</v>
      </c>
      <c r="Q30" s="24">
        <v>1.6318924973594156E-4</v>
      </c>
      <c r="R30" s="14"/>
    </row>
    <row r="31" spans="1:18" x14ac:dyDescent="0.25">
      <c r="A31" s="16" t="s">
        <v>1117</v>
      </c>
      <c r="B31" s="116" t="s">
        <v>878</v>
      </c>
      <c r="C31" s="116" t="s">
        <v>979</v>
      </c>
      <c r="D31" s="116"/>
      <c r="E31" s="116" t="s">
        <v>764</v>
      </c>
      <c r="F31" s="116" t="s">
        <v>978</v>
      </c>
      <c r="G31" s="116" t="s">
        <v>254</v>
      </c>
      <c r="H31" s="117">
        <v>0.56000000000000005</v>
      </c>
      <c r="I31" s="116" t="s">
        <v>219</v>
      </c>
      <c r="J31" s="117" t="s">
        <v>255</v>
      </c>
      <c r="K31" s="116">
        <v>0.03</v>
      </c>
      <c r="L31" s="116">
        <v>2.5699999999999997E-2</v>
      </c>
      <c r="M31" s="111">
        <v>357799.35</v>
      </c>
      <c r="N31" s="60">
        <v>112.16</v>
      </c>
      <c r="O31" s="83">
        <v>401.29005000000001</v>
      </c>
      <c r="P31" s="24">
        <v>7.1980502281611984E-3</v>
      </c>
      <c r="Q31" s="24">
        <v>1.6318924973594156E-4</v>
      </c>
      <c r="R31" s="14"/>
    </row>
    <row r="32" spans="1:18" x14ac:dyDescent="0.25">
      <c r="A32" s="16" t="s">
        <v>1118</v>
      </c>
      <c r="B32" s="116" t="s">
        <v>878</v>
      </c>
      <c r="C32" s="116" t="s">
        <v>975</v>
      </c>
      <c r="D32" s="116"/>
      <c r="E32" s="116" t="s">
        <v>758</v>
      </c>
      <c r="F32" s="116" t="s">
        <v>976</v>
      </c>
      <c r="G32" s="116" t="s">
        <v>759</v>
      </c>
      <c r="H32" s="117">
        <v>2.57</v>
      </c>
      <c r="I32" s="116" t="s">
        <v>203</v>
      </c>
      <c r="J32" s="117" t="s">
        <v>255</v>
      </c>
      <c r="K32" s="116">
        <v>2.5600000000000001E-2</v>
      </c>
      <c r="L32" s="116">
        <v>2.6499999999999999E-2</v>
      </c>
      <c r="M32" s="111">
        <v>337805.94</v>
      </c>
      <c r="N32" s="60">
        <v>110.49</v>
      </c>
      <c r="O32" s="83">
        <v>373.83853000000005</v>
      </c>
      <c r="P32" s="24">
        <v>6.7056447478873382E-3</v>
      </c>
      <c r="Q32" s="24">
        <v>1.5202577096812462E-4</v>
      </c>
      <c r="R32" s="14"/>
    </row>
    <row r="33" spans="1:18" x14ac:dyDescent="0.25">
      <c r="A33" s="16" t="s">
        <v>1119</v>
      </c>
      <c r="B33" s="116" t="s">
        <v>878</v>
      </c>
      <c r="C33" s="116" t="s">
        <v>879</v>
      </c>
      <c r="D33" s="116"/>
      <c r="E33" s="116" t="s">
        <v>880</v>
      </c>
      <c r="F33" s="116" t="s">
        <v>881</v>
      </c>
      <c r="G33" s="116" t="s">
        <v>254</v>
      </c>
      <c r="H33" s="117">
        <v>7.37</v>
      </c>
      <c r="I33" s="116" t="s">
        <v>210</v>
      </c>
      <c r="J33" s="117" t="s">
        <v>255</v>
      </c>
      <c r="K33" s="116">
        <v>7.1999999880790713E-2</v>
      </c>
      <c r="L33" s="116">
        <v>6.3899999999999998E-2</v>
      </c>
      <c r="M33" s="111">
        <v>267867.19</v>
      </c>
      <c r="N33" s="60">
        <v>98.3</v>
      </c>
      <c r="O33" s="83">
        <v>268.11671000000001</v>
      </c>
      <c r="P33" s="24">
        <v>4.8092833240927103E-3</v>
      </c>
      <c r="Q33" s="24">
        <v>1.0903276756193935E-4</v>
      </c>
      <c r="R33" s="14"/>
    </row>
    <row r="34" spans="1:18" x14ac:dyDescent="0.25">
      <c r="A34" s="16" t="s">
        <v>1119</v>
      </c>
      <c r="B34" s="116" t="s">
        <v>878</v>
      </c>
      <c r="C34" s="116" t="s">
        <v>909</v>
      </c>
      <c r="D34" s="116"/>
      <c r="E34" s="116" t="s">
        <v>880</v>
      </c>
      <c r="F34" s="116" t="s">
        <v>910</v>
      </c>
      <c r="G34" s="116" t="s">
        <v>254</v>
      </c>
      <c r="H34" s="117">
        <v>7.32</v>
      </c>
      <c r="I34" s="116" t="s">
        <v>210</v>
      </c>
      <c r="J34" s="117" t="s">
        <v>255</v>
      </c>
      <c r="K34" s="116">
        <v>7.1999999880790713E-2</v>
      </c>
      <c r="L34" s="116">
        <v>6.5599999999999992E-2</v>
      </c>
      <c r="M34" s="111">
        <v>378874.24</v>
      </c>
      <c r="N34" s="60">
        <v>97.13</v>
      </c>
      <c r="O34" s="83">
        <v>379.22715999999997</v>
      </c>
      <c r="P34" s="24">
        <v>6.802302089381292E-3</v>
      </c>
      <c r="Q34" s="24">
        <v>1.5421711981119854E-4</v>
      </c>
      <c r="R34" s="14"/>
    </row>
    <row r="35" spans="1:18" x14ac:dyDescent="0.25">
      <c r="A35" s="16" t="s">
        <v>1119</v>
      </c>
      <c r="B35" s="116" t="s">
        <v>878</v>
      </c>
      <c r="C35" s="116" t="s">
        <v>913</v>
      </c>
      <c r="D35" s="116"/>
      <c r="E35" s="116" t="s">
        <v>880</v>
      </c>
      <c r="F35" s="116" t="s">
        <v>914</v>
      </c>
      <c r="G35" s="116" t="s">
        <v>254</v>
      </c>
      <c r="H35" s="117">
        <v>7.27</v>
      </c>
      <c r="I35" s="116" t="s">
        <v>210</v>
      </c>
      <c r="J35" s="117" t="s">
        <v>255</v>
      </c>
      <c r="K35" s="116">
        <v>7.1999999880790713E-2</v>
      </c>
      <c r="L35" s="116">
        <v>6.7599999999999993E-2</v>
      </c>
      <c r="M35" s="111">
        <v>306211.40999999997</v>
      </c>
      <c r="N35" s="60">
        <v>95.84</v>
      </c>
      <c r="O35" s="83">
        <v>306.49664000000001</v>
      </c>
      <c r="P35" s="24">
        <v>5.4977147065635957E-3</v>
      </c>
      <c r="Q35" s="24">
        <v>1.2464041091521451E-4</v>
      </c>
      <c r="R35" s="14"/>
    </row>
    <row r="36" spans="1:18" x14ac:dyDescent="0.25">
      <c r="A36" s="16" t="s">
        <v>1119</v>
      </c>
      <c r="B36" s="116" t="s">
        <v>878</v>
      </c>
      <c r="C36" s="116" t="s">
        <v>919</v>
      </c>
      <c r="D36" s="116"/>
      <c r="E36" s="116" t="s">
        <v>880</v>
      </c>
      <c r="F36" s="116" t="s">
        <v>920</v>
      </c>
      <c r="G36" s="116" t="s">
        <v>254</v>
      </c>
      <c r="H36" s="117">
        <v>7.25</v>
      </c>
      <c r="I36" s="116" t="s">
        <v>210</v>
      </c>
      <c r="J36" s="117" t="s">
        <v>255</v>
      </c>
      <c r="K36" s="116">
        <v>7.1999999880790713E-2</v>
      </c>
      <c r="L36" s="116">
        <v>6.8000000000000005E-2</v>
      </c>
      <c r="M36" s="111">
        <v>529992.46</v>
      </c>
      <c r="N36" s="60">
        <v>95.57</v>
      </c>
      <c r="O36" s="83">
        <v>530.48615000000007</v>
      </c>
      <c r="P36" s="24">
        <v>9.5154762821651213E-3</v>
      </c>
      <c r="Q36" s="24">
        <v>2.1572834116821027E-4</v>
      </c>
      <c r="R36" s="14"/>
    </row>
    <row r="37" spans="1:18" x14ac:dyDescent="0.25">
      <c r="A37" s="16" t="s">
        <v>1119</v>
      </c>
      <c r="B37" s="116" t="s">
        <v>878</v>
      </c>
      <c r="C37" s="116" t="s">
        <v>921</v>
      </c>
      <c r="D37" s="116"/>
      <c r="E37" s="116" t="s">
        <v>880</v>
      </c>
      <c r="F37" s="116" t="s">
        <v>922</v>
      </c>
      <c r="G37" s="116" t="s">
        <v>254</v>
      </c>
      <c r="H37" s="117">
        <v>7.38</v>
      </c>
      <c r="I37" s="116" t="s">
        <v>210</v>
      </c>
      <c r="J37" s="117" t="s">
        <v>255</v>
      </c>
      <c r="K37" s="116">
        <v>7.1999999880790713E-2</v>
      </c>
      <c r="L37" s="116">
        <v>6.3099999999999989E-2</v>
      </c>
      <c r="M37" s="111">
        <v>1058005.71</v>
      </c>
      <c r="N37" s="60">
        <v>98.85</v>
      </c>
      <c r="O37" s="83">
        <v>1059.0492199999999</v>
      </c>
      <c r="P37" s="24">
        <v>1.8996457748341727E-2</v>
      </c>
      <c r="Q37" s="24">
        <v>4.3067463956615441E-4</v>
      </c>
      <c r="R37" s="14"/>
    </row>
    <row r="38" spans="1:18" x14ac:dyDescent="0.25">
      <c r="A38" s="16" t="s">
        <v>1119</v>
      </c>
      <c r="B38" s="116" t="s">
        <v>878</v>
      </c>
      <c r="C38" s="116" t="s">
        <v>927</v>
      </c>
      <c r="D38" s="116"/>
      <c r="E38" s="116" t="s">
        <v>880</v>
      </c>
      <c r="F38" s="116" t="s">
        <v>928</v>
      </c>
      <c r="G38" s="116" t="s">
        <v>254</v>
      </c>
      <c r="H38" s="117">
        <v>7.39</v>
      </c>
      <c r="I38" s="116" t="s">
        <v>210</v>
      </c>
      <c r="J38" s="117" t="s">
        <v>255</v>
      </c>
      <c r="K38" s="116">
        <v>7.1999999880790713E-2</v>
      </c>
      <c r="L38" s="116">
        <v>6.2400000000000004E-2</v>
      </c>
      <c r="M38" s="111">
        <v>435906</v>
      </c>
      <c r="N38" s="60">
        <v>99.36</v>
      </c>
      <c r="O38" s="83">
        <v>436.33593000000002</v>
      </c>
      <c r="P38" s="24">
        <v>7.8266778368699368E-3</v>
      </c>
      <c r="Q38" s="24">
        <v>1.7744106301547798E-4</v>
      </c>
      <c r="R38" s="14"/>
    </row>
    <row r="39" spans="1:18" x14ac:dyDescent="0.25">
      <c r="A39" s="16" t="s">
        <v>1119</v>
      </c>
      <c r="B39" s="116" t="s">
        <v>878</v>
      </c>
      <c r="C39" s="116" t="s">
        <v>931</v>
      </c>
      <c r="D39" s="116"/>
      <c r="E39" s="116" t="s">
        <v>880</v>
      </c>
      <c r="F39" s="116" t="s">
        <v>932</v>
      </c>
      <c r="G39" s="116" t="s">
        <v>254</v>
      </c>
      <c r="H39" s="117">
        <v>7.43</v>
      </c>
      <c r="I39" s="116" t="s">
        <v>210</v>
      </c>
      <c r="J39" s="117" t="s">
        <v>255</v>
      </c>
      <c r="K39" s="116">
        <v>7.1999999880790713E-2</v>
      </c>
      <c r="L39" s="116">
        <v>6.0199999999999997E-2</v>
      </c>
      <c r="M39" s="111">
        <v>546085.13</v>
      </c>
      <c r="N39" s="60">
        <v>100.83</v>
      </c>
      <c r="O39" s="83">
        <v>546.62373000000002</v>
      </c>
      <c r="P39" s="24">
        <v>9.8049405023743434E-3</v>
      </c>
      <c r="Q39" s="24">
        <v>2.2229087510782259E-4</v>
      </c>
      <c r="R39" s="14"/>
    </row>
    <row r="40" spans="1:18" x14ac:dyDescent="0.25">
      <c r="A40" s="16" t="s">
        <v>1119</v>
      </c>
      <c r="B40" s="116" t="s">
        <v>878</v>
      </c>
      <c r="C40" s="116" t="s">
        <v>946</v>
      </c>
      <c r="D40" s="116"/>
      <c r="E40" s="116" t="s">
        <v>880</v>
      </c>
      <c r="F40" s="116" t="s">
        <v>947</v>
      </c>
      <c r="G40" s="116" t="s">
        <v>254</v>
      </c>
      <c r="H40" s="117">
        <v>7.29</v>
      </c>
      <c r="I40" s="116" t="s">
        <v>210</v>
      </c>
      <c r="J40" s="117" t="s">
        <v>255</v>
      </c>
      <c r="K40" s="116">
        <v>7.1999999880790713E-2</v>
      </c>
      <c r="L40" s="116">
        <v>6.2400000000000004E-2</v>
      </c>
      <c r="M40" s="111">
        <v>375510.33</v>
      </c>
      <c r="N40" s="60">
        <v>99.36</v>
      </c>
      <c r="O40" s="83">
        <v>375.86011999999999</v>
      </c>
      <c r="P40" s="24">
        <v>6.7419065648966258E-3</v>
      </c>
      <c r="Q40" s="24">
        <v>1.5284787397160969E-4</v>
      </c>
      <c r="R40" s="14"/>
    </row>
    <row r="41" spans="1:18" x14ac:dyDescent="0.25">
      <c r="A41" s="16" t="s">
        <v>1119</v>
      </c>
      <c r="B41" s="116" t="s">
        <v>878</v>
      </c>
      <c r="C41" s="116" t="s">
        <v>948</v>
      </c>
      <c r="D41" s="116"/>
      <c r="E41" s="116" t="s">
        <v>880</v>
      </c>
      <c r="F41" s="116" t="s">
        <v>949</v>
      </c>
      <c r="G41" s="116" t="s">
        <v>254</v>
      </c>
      <c r="H41" s="117">
        <v>7.26</v>
      </c>
      <c r="I41" s="116" t="s">
        <v>210</v>
      </c>
      <c r="J41" s="117" t="s">
        <v>255</v>
      </c>
      <c r="K41" s="116">
        <v>7.1999999880790713E-2</v>
      </c>
      <c r="L41" s="116">
        <v>6.3399999999999998E-2</v>
      </c>
      <c r="M41" s="111">
        <v>305873.43</v>
      </c>
      <c r="N41" s="60">
        <v>98.63</v>
      </c>
      <c r="O41" s="83">
        <v>306.17510999999996</v>
      </c>
      <c r="P41" s="24">
        <v>5.4919473343353013E-3</v>
      </c>
      <c r="Q41" s="24">
        <v>1.2450965701422042E-4</v>
      </c>
      <c r="R41" s="14"/>
    </row>
    <row r="42" spans="1:18" x14ac:dyDescent="0.25">
      <c r="A42" s="16" t="s">
        <v>1119</v>
      </c>
      <c r="B42" s="116" t="s">
        <v>878</v>
      </c>
      <c r="C42" s="116" t="s">
        <v>958</v>
      </c>
      <c r="D42" s="116"/>
      <c r="E42" s="116" t="s">
        <v>880</v>
      </c>
      <c r="F42" s="116" t="s">
        <v>959</v>
      </c>
      <c r="G42" s="116" t="s">
        <v>254</v>
      </c>
      <c r="H42" s="117">
        <v>7.25</v>
      </c>
      <c r="I42" s="116" t="s">
        <v>210</v>
      </c>
      <c r="J42" s="117" t="s">
        <v>255</v>
      </c>
      <c r="K42" s="116">
        <v>7.1999999880790713E-2</v>
      </c>
      <c r="L42" s="116">
        <v>6.0299999999999999E-2</v>
      </c>
      <c r="M42" s="111">
        <v>673195.25</v>
      </c>
      <c r="N42" s="60">
        <v>100.8</v>
      </c>
      <c r="O42" s="83">
        <v>673.82232999999997</v>
      </c>
      <c r="P42" s="24">
        <v>1.2086536848338528E-2</v>
      </c>
      <c r="Q42" s="24">
        <v>2.7401766001430638E-4</v>
      </c>
      <c r="R42" s="14"/>
    </row>
    <row r="43" spans="1:18" x14ac:dyDescent="0.25">
      <c r="A43" s="16" t="s">
        <v>1119</v>
      </c>
      <c r="B43" s="116" t="s">
        <v>878</v>
      </c>
      <c r="C43" s="116" t="s">
        <v>962</v>
      </c>
      <c r="D43" s="116"/>
      <c r="E43" s="116" t="s">
        <v>880</v>
      </c>
      <c r="F43" s="116" t="s">
        <v>963</v>
      </c>
      <c r="G43" s="116" t="s">
        <v>254</v>
      </c>
      <c r="H43" s="117">
        <v>7.25</v>
      </c>
      <c r="I43" s="116" t="s">
        <v>210</v>
      </c>
      <c r="J43" s="117" t="s">
        <v>255</v>
      </c>
      <c r="K43" s="116">
        <v>7.1999999880790713E-2</v>
      </c>
      <c r="L43" s="116">
        <v>6.0199999999999997E-2</v>
      </c>
      <c r="M43" s="111">
        <v>464884.65</v>
      </c>
      <c r="N43" s="60">
        <v>100.82</v>
      </c>
      <c r="O43" s="83">
        <v>465.34315999999995</v>
      </c>
      <c r="P43" s="24">
        <v>8.3469885161898561E-3</v>
      </c>
      <c r="Q43" s="24">
        <v>1.8923718928528678E-4</v>
      </c>
      <c r="R43" s="14"/>
    </row>
    <row r="44" spans="1:18" x14ac:dyDescent="0.25">
      <c r="A44" s="16" t="s">
        <v>1119</v>
      </c>
      <c r="B44" s="116" t="s">
        <v>878</v>
      </c>
      <c r="C44" s="116" t="s">
        <v>882</v>
      </c>
      <c r="D44" s="116"/>
      <c r="E44" s="116" t="s">
        <v>880</v>
      </c>
      <c r="F44" s="116" t="s">
        <v>883</v>
      </c>
      <c r="G44" s="116" t="s">
        <v>254</v>
      </c>
      <c r="H44" s="117">
        <v>7.46</v>
      </c>
      <c r="I44" s="116" t="s">
        <v>210</v>
      </c>
      <c r="J44" s="117" t="s">
        <v>255</v>
      </c>
      <c r="K44" s="116">
        <v>7.1999999880790713E-2</v>
      </c>
      <c r="L44" s="116">
        <v>6.0199999999999997E-2</v>
      </c>
      <c r="M44" s="111">
        <v>254316.92</v>
      </c>
      <c r="N44" s="60">
        <v>100.84</v>
      </c>
      <c r="O44" s="83">
        <v>254.55381</v>
      </c>
      <c r="P44" s="24">
        <v>4.5660018486623384E-3</v>
      </c>
      <c r="Q44" s="24">
        <v>1.035172570845587E-4</v>
      </c>
      <c r="R44" s="14"/>
    </row>
    <row r="45" spans="1:18" x14ac:dyDescent="0.25">
      <c r="A45" s="16" t="s">
        <v>1119</v>
      </c>
      <c r="B45" s="116" t="s">
        <v>878</v>
      </c>
      <c r="C45" s="116" t="s">
        <v>974</v>
      </c>
      <c r="D45" s="116"/>
      <c r="E45" s="116" t="s">
        <v>880</v>
      </c>
      <c r="F45" s="116" t="s">
        <v>851</v>
      </c>
      <c r="G45" s="116" t="s">
        <v>254</v>
      </c>
      <c r="H45" s="117">
        <v>2.21</v>
      </c>
      <c r="I45" s="116" t="s">
        <v>210</v>
      </c>
      <c r="J45" s="117" t="s">
        <v>255</v>
      </c>
      <c r="K45" s="116">
        <v>7.1999999880790713E-2</v>
      </c>
      <c r="L45" s="116">
        <v>6.3899999999999998E-2</v>
      </c>
      <c r="M45" s="111">
        <v>238937.43</v>
      </c>
      <c r="N45" s="60">
        <v>100</v>
      </c>
      <c r="O45" s="83">
        <v>238.93743000000001</v>
      </c>
      <c r="P45" s="24">
        <v>4.2858865365033357E-3</v>
      </c>
      <c r="Q45" s="24">
        <v>9.71666751655917E-5</v>
      </c>
      <c r="R45" s="14"/>
    </row>
    <row r="46" spans="1:18" x14ac:dyDescent="0.25">
      <c r="A46" s="16" t="s">
        <v>1119</v>
      </c>
      <c r="B46" s="116" t="s">
        <v>878</v>
      </c>
      <c r="C46" s="116" t="s">
        <v>884</v>
      </c>
      <c r="D46" s="116"/>
      <c r="E46" s="116" t="s">
        <v>880</v>
      </c>
      <c r="F46" s="116" t="s">
        <v>885</v>
      </c>
      <c r="G46" s="116" t="s">
        <v>254</v>
      </c>
      <c r="H46" s="117">
        <v>7.46</v>
      </c>
      <c r="I46" s="116" t="s">
        <v>210</v>
      </c>
      <c r="J46" s="117" t="s">
        <v>255</v>
      </c>
      <c r="K46" s="116">
        <v>7.1999999880790713E-2</v>
      </c>
      <c r="L46" s="116">
        <v>6.0299999999999999E-2</v>
      </c>
      <c r="M46" s="111">
        <v>927508.06</v>
      </c>
      <c r="N46" s="60">
        <v>100.8</v>
      </c>
      <c r="O46" s="83">
        <v>928.37204000000008</v>
      </c>
      <c r="P46" s="24">
        <v>1.6652465154170848E-2</v>
      </c>
      <c r="Q46" s="24">
        <v>3.775332497863466E-4</v>
      </c>
      <c r="R46" s="14"/>
    </row>
    <row r="47" spans="1:18" x14ac:dyDescent="0.25">
      <c r="A47" s="16" t="s">
        <v>1119</v>
      </c>
      <c r="B47" s="116" t="s">
        <v>878</v>
      </c>
      <c r="C47" s="116" t="s">
        <v>886</v>
      </c>
      <c r="D47" s="116"/>
      <c r="E47" s="116" t="s">
        <v>880</v>
      </c>
      <c r="F47" s="116" t="s">
        <v>887</v>
      </c>
      <c r="G47" s="116" t="s">
        <v>254</v>
      </c>
      <c r="H47" s="117">
        <v>7.44</v>
      </c>
      <c r="I47" s="116" t="s">
        <v>210</v>
      </c>
      <c r="J47" s="117" t="s">
        <v>255</v>
      </c>
      <c r="K47" s="116">
        <v>7.1999999880790713E-2</v>
      </c>
      <c r="L47" s="116">
        <v>6.13E-2</v>
      </c>
      <c r="M47" s="111">
        <v>525242.03</v>
      </c>
      <c r="N47" s="60">
        <v>100.13</v>
      </c>
      <c r="O47" s="83">
        <v>525.73129000000006</v>
      </c>
      <c r="P47" s="24">
        <v>9.430187047837298E-3</v>
      </c>
      <c r="Q47" s="24">
        <v>2.1379472224095444E-4</v>
      </c>
      <c r="R47" s="14"/>
    </row>
    <row r="48" spans="1:18" x14ac:dyDescent="0.25">
      <c r="A48" s="16" t="s">
        <v>1119</v>
      </c>
      <c r="B48" s="116" t="s">
        <v>878</v>
      </c>
      <c r="C48" s="116" t="s">
        <v>888</v>
      </c>
      <c r="D48" s="116"/>
      <c r="E48" s="116" t="s">
        <v>880</v>
      </c>
      <c r="F48" s="116" t="s">
        <v>889</v>
      </c>
      <c r="G48" s="116" t="s">
        <v>254</v>
      </c>
      <c r="H48" s="117">
        <v>7.3</v>
      </c>
      <c r="I48" s="116" t="s">
        <v>210</v>
      </c>
      <c r="J48" s="117" t="s">
        <v>255</v>
      </c>
      <c r="K48" s="116">
        <v>7.1999999880790713E-2</v>
      </c>
      <c r="L48" s="116">
        <v>6.6199999999999995E-2</v>
      </c>
      <c r="M48" s="111">
        <v>784660.07</v>
      </c>
      <c r="N48" s="60">
        <v>96.77</v>
      </c>
      <c r="O48" s="83">
        <v>785.39098000000001</v>
      </c>
      <c r="P48" s="24">
        <v>1.4087774473313622E-2</v>
      </c>
      <c r="Q48" s="24">
        <v>3.1938834460404857E-4</v>
      </c>
      <c r="R48" s="14"/>
    </row>
    <row r="49" spans="1:18" x14ac:dyDescent="0.25">
      <c r="A49" s="16" t="s">
        <v>1119</v>
      </c>
      <c r="B49" s="116" t="s">
        <v>878</v>
      </c>
      <c r="C49" s="116" t="s">
        <v>895</v>
      </c>
      <c r="D49" s="116"/>
      <c r="E49" s="116" t="s">
        <v>880</v>
      </c>
      <c r="F49" s="116" t="s">
        <v>896</v>
      </c>
      <c r="G49" s="116" t="s">
        <v>254</v>
      </c>
      <c r="H49" s="117">
        <v>7.33</v>
      </c>
      <c r="I49" s="116" t="s">
        <v>210</v>
      </c>
      <c r="J49" s="117" t="s">
        <v>255</v>
      </c>
      <c r="K49" s="116">
        <v>7.1999999880790713E-2</v>
      </c>
      <c r="L49" s="116">
        <v>6.5099999999999991E-2</v>
      </c>
      <c r="M49" s="111">
        <v>667598.37</v>
      </c>
      <c r="N49" s="60">
        <v>97.46</v>
      </c>
      <c r="O49" s="83">
        <v>668.25681999999995</v>
      </c>
      <c r="P49" s="24">
        <v>1.19867067615339E-2</v>
      </c>
      <c r="Q49" s="24">
        <v>2.717543808692145E-4</v>
      </c>
      <c r="R49" s="14"/>
    </row>
    <row r="50" spans="1:18" x14ac:dyDescent="0.25">
      <c r="A50" s="16" t="s">
        <v>1119</v>
      </c>
      <c r="B50" s="116" t="s">
        <v>878</v>
      </c>
      <c r="C50" s="116" t="s">
        <v>899</v>
      </c>
      <c r="D50" s="116"/>
      <c r="E50" s="116" t="s">
        <v>880</v>
      </c>
      <c r="F50" s="116" t="s">
        <v>900</v>
      </c>
      <c r="G50" s="116" t="s">
        <v>254</v>
      </c>
      <c r="H50" s="117">
        <v>7.36</v>
      </c>
      <c r="I50" s="116" t="s">
        <v>210</v>
      </c>
      <c r="J50" s="117" t="s">
        <v>255</v>
      </c>
      <c r="K50" s="116">
        <v>7.1999999880790713E-2</v>
      </c>
      <c r="L50" s="116">
        <v>6.4199999999999993E-2</v>
      </c>
      <c r="M50" s="111">
        <v>690190.84</v>
      </c>
      <c r="N50" s="60">
        <v>98.1</v>
      </c>
      <c r="O50" s="83">
        <v>690.83375000000001</v>
      </c>
      <c r="P50" s="24">
        <v>1.2391675377470626E-2</v>
      </c>
      <c r="Q50" s="24">
        <v>2.8093555111761932E-4</v>
      </c>
      <c r="R50" s="14"/>
    </row>
    <row r="51" spans="1:18" x14ac:dyDescent="0.25">
      <c r="A51" s="16" t="s">
        <v>1119</v>
      </c>
      <c r="B51" s="116" t="s">
        <v>878</v>
      </c>
      <c r="C51" s="116" t="s">
        <v>903</v>
      </c>
      <c r="D51" s="116"/>
      <c r="E51" s="116" t="s">
        <v>880</v>
      </c>
      <c r="F51" s="116" t="s">
        <v>904</v>
      </c>
      <c r="G51" s="116" t="s">
        <v>254</v>
      </c>
      <c r="H51" s="117">
        <v>7.35</v>
      </c>
      <c r="I51" s="116" t="s">
        <v>210</v>
      </c>
      <c r="J51" s="117" t="s">
        <v>255</v>
      </c>
      <c r="K51" s="116">
        <v>7.1999999880790713E-2</v>
      </c>
      <c r="L51" s="116">
        <v>6.4299999999999996E-2</v>
      </c>
      <c r="M51" s="111">
        <v>565271.89</v>
      </c>
      <c r="N51" s="60">
        <v>98.05</v>
      </c>
      <c r="O51" s="83">
        <v>565.79843999999991</v>
      </c>
      <c r="P51" s="24">
        <v>1.0148882560470288E-2</v>
      </c>
      <c r="Q51" s="24">
        <v>2.300884931619065E-4</v>
      </c>
      <c r="R51" s="14"/>
    </row>
    <row r="52" spans="1:18" x14ac:dyDescent="0.25">
      <c r="A52" s="16" t="s">
        <v>1119</v>
      </c>
      <c r="B52" s="116" t="s">
        <v>878</v>
      </c>
      <c r="C52" s="116" t="s">
        <v>907</v>
      </c>
      <c r="D52" s="116"/>
      <c r="E52" s="116" t="s">
        <v>880</v>
      </c>
      <c r="F52" s="116" t="s">
        <v>908</v>
      </c>
      <c r="G52" s="116" t="s">
        <v>254</v>
      </c>
      <c r="H52" s="117">
        <v>7.33</v>
      </c>
      <c r="I52" s="116" t="s">
        <v>210</v>
      </c>
      <c r="J52" s="117" t="s">
        <v>255</v>
      </c>
      <c r="K52" s="116">
        <v>7.1999999880790713E-2</v>
      </c>
      <c r="L52" s="116">
        <v>6.5299999999999997E-2</v>
      </c>
      <c r="M52" s="111">
        <v>205025.12</v>
      </c>
      <c r="N52" s="60">
        <v>97.34</v>
      </c>
      <c r="O52" s="83">
        <v>205.21610000000001</v>
      </c>
      <c r="P52" s="24">
        <v>3.681017746209634E-3</v>
      </c>
      <c r="Q52" s="24">
        <v>8.3453505494930557E-5</v>
      </c>
      <c r="R52" s="14"/>
    </row>
    <row r="53" spans="1:18" x14ac:dyDescent="0.25">
      <c r="A53" s="16" t="s">
        <v>1120</v>
      </c>
      <c r="B53" s="116" t="s">
        <v>878</v>
      </c>
      <c r="C53" s="116" t="s">
        <v>890</v>
      </c>
      <c r="D53" s="116"/>
      <c r="E53" s="116" t="s">
        <v>891</v>
      </c>
      <c r="F53" s="116" t="s">
        <v>892</v>
      </c>
      <c r="G53" s="116" t="s">
        <v>254</v>
      </c>
      <c r="H53" s="117">
        <v>9.73</v>
      </c>
      <c r="I53" s="116" t="s">
        <v>203</v>
      </c>
      <c r="J53" s="117" t="s">
        <v>255</v>
      </c>
      <c r="K53" s="116">
        <v>7.399999976158142E-2</v>
      </c>
      <c r="L53" s="116">
        <v>6.8900000000000003E-2</v>
      </c>
      <c r="M53" s="111">
        <v>6038030.5</v>
      </c>
      <c r="N53" s="60">
        <v>97.55</v>
      </c>
      <c r="O53" s="83">
        <v>6038.0304999999998</v>
      </c>
      <c r="P53" s="24">
        <v>0.10830581724657583</v>
      </c>
      <c r="Q53" s="24">
        <v>2.4554350828726802E-3</v>
      </c>
      <c r="R53" s="14"/>
    </row>
    <row r="54" spans="1:18" x14ac:dyDescent="0.25">
      <c r="A54" s="16" t="s">
        <v>1120</v>
      </c>
      <c r="B54" s="116" t="s">
        <v>878</v>
      </c>
      <c r="C54" s="116" t="s">
        <v>901</v>
      </c>
      <c r="D54" s="116"/>
      <c r="E54" s="116" t="s">
        <v>891</v>
      </c>
      <c r="F54" s="116" t="s">
        <v>902</v>
      </c>
      <c r="G54" s="116" t="s">
        <v>254</v>
      </c>
      <c r="H54" s="117">
        <v>9.73</v>
      </c>
      <c r="I54" s="116" t="s">
        <v>203</v>
      </c>
      <c r="J54" s="117" t="s">
        <v>255</v>
      </c>
      <c r="K54" s="116">
        <v>7.399999976158142E-2</v>
      </c>
      <c r="L54" s="116">
        <v>6.88E-2</v>
      </c>
      <c r="M54" s="111">
        <v>1042213.59</v>
      </c>
      <c r="N54" s="60">
        <v>97.64</v>
      </c>
      <c r="O54" s="83">
        <v>1042.2135900000001</v>
      </c>
      <c r="P54" s="24">
        <v>1.8694472412889886E-2</v>
      </c>
      <c r="Q54" s="24">
        <v>4.2382823550372655E-4</v>
      </c>
      <c r="R54" s="14"/>
    </row>
    <row r="55" spans="1:18" x14ac:dyDescent="0.25">
      <c r="A55" s="16" t="s">
        <v>1120</v>
      </c>
      <c r="B55" s="116" t="s">
        <v>878</v>
      </c>
      <c r="C55" s="116" t="s">
        <v>941</v>
      </c>
      <c r="D55" s="116"/>
      <c r="E55" s="116" t="s">
        <v>891</v>
      </c>
      <c r="F55" s="116" t="s">
        <v>942</v>
      </c>
      <c r="G55" s="116" t="s">
        <v>254</v>
      </c>
      <c r="H55" s="117">
        <v>9.74</v>
      </c>
      <c r="I55" s="116" t="s">
        <v>203</v>
      </c>
      <c r="J55" s="117" t="s">
        <v>255</v>
      </c>
      <c r="K55" s="116">
        <v>7.399999976158142E-2</v>
      </c>
      <c r="L55" s="116">
        <v>6.5000000000000002E-2</v>
      </c>
      <c r="M55" s="111">
        <v>3172086.6</v>
      </c>
      <c r="N55" s="60">
        <v>101.11</v>
      </c>
      <c r="O55" s="83">
        <v>3172.0866000000001</v>
      </c>
      <c r="P55" s="24">
        <v>5.6898591616904234E-2</v>
      </c>
      <c r="Q55" s="24">
        <v>1.2899657799923863E-3</v>
      </c>
      <c r="R55" s="14"/>
    </row>
    <row r="56" spans="1:18" x14ac:dyDescent="0.25">
      <c r="A56" s="16" t="s">
        <v>1121</v>
      </c>
      <c r="B56" s="116" t="s">
        <v>1134</v>
      </c>
      <c r="C56" s="116" t="s">
        <v>985</v>
      </c>
      <c r="D56" s="116"/>
      <c r="E56" s="116" t="s">
        <v>986</v>
      </c>
      <c r="F56" s="116" t="s">
        <v>987</v>
      </c>
      <c r="G56" s="116" t="s">
        <v>759</v>
      </c>
      <c r="H56" s="117">
        <v>6.3</v>
      </c>
      <c r="I56" s="116" t="s">
        <v>220</v>
      </c>
      <c r="J56" s="117" t="s">
        <v>255</v>
      </c>
      <c r="K56" s="116">
        <v>1.24E-2</v>
      </c>
      <c r="L56" s="116">
        <v>3.44E-2</v>
      </c>
      <c r="M56" s="111">
        <v>5243445</v>
      </c>
      <c r="N56" s="60">
        <v>95.79</v>
      </c>
      <c r="O56" s="83">
        <v>5769.2611200000001</v>
      </c>
      <c r="P56" s="24">
        <v>0.10348482680080788</v>
      </c>
      <c r="Q56" s="24">
        <v>2.3461368994908741E-3</v>
      </c>
      <c r="R56" s="14"/>
    </row>
    <row r="57" spans="1:18" x14ac:dyDescent="0.25">
      <c r="A57" s="16" t="s">
        <v>1121</v>
      </c>
      <c r="B57" s="116" t="s">
        <v>1134</v>
      </c>
      <c r="C57" s="116" t="s">
        <v>988</v>
      </c>
      <c r="D57" s="116"/>
      <c r="E57" s="116" t="s">
        <v>986</v>
      </c>
      <c r="F57" s="116" t="s">
        <v>989</v>
      </c>
      <c r="G57" s="116" t="s">
        <v>759</v>
      </c>
      <c r="H57" s="117">
        <v>5.75</v>
      </c>
      <c r="I57" s="116" t="s">
        <v>220</v>
      </c>
      <c r="J57" s="117" t="s">
        <v>255</v>
      </c>
      <c r="K57" s="116">
        <v>9.4999999999999998E-3</v>
      </c>
      <c r="L57" s="116">
        <v>1.4800000000000001E-2</v>
      </c>
      <c r="M57" s="111">
        <v>5739999.0599999996</v>
      </c>
      <c r="N57" s="60">
        <v>106.91</v>
      </c>
      <c r="O57" s="83">
        <v>6344.0026900000003</v>
      </c>
      <c r="P57" s="24">
        <v>0.11379412474894346</v>
      </c>
      <c r="Q57" s="24">
        <v>2.5798622201170826E-3</v>
      </c>
      <c r="R57" s="14"/>
    </row>
    <row r="58" spans="1:18" x14ac:dyDescent="0.25">
      <c r="A58" s="16" t="s">
        <v>1121</v>
      </c>
      <c r="B58" s="116" t="s">
        <v>1134</v>
      </c>
      <c r="C58" s="116" t="s">
        <v>1007</v>
      </c>
      <c r="D58" s="116"/>
      <c r="E58" s="116" t="s">
        <v>986</v>
      </c>
      <c r="F58" s="116" t="s">
        <v>743</v>
      </c>
      <c r="G58" s="116" t="s">
        <v>759</v>
      </c>
      <c r="H58" s="117">
        <v>3.25</v>
      </c>
      <c r="I58" s="116" t="s">
        <v>220</v>
      </c>
      <c r="J58" s="117" t="s">
        <v>255</v>
      </c>
      <c r="K58" s="116">
        <v>2.6000000000000002E-2</v>
      </c>
      <c r="L58" s="116">
        <v>2.4E-2</v>
      </c>
      <c r="M58" s="111">
        <v>1521622.11</v>
      </c>
      <c r="N58" s="60">
        <v>103.03</v>
      </c>
      <c r="O58" s="83">
        <v>1556.5890300000001</v>
      </c>
      <c r="P58" s="24">
        <v>2.7920966449441541E-2</v>
      </c>
      <c r="Q58" s="24">
        <v>6.3300496972924455E-4</v>
      </c>
      <c r="R58" s="14"/>
    </row>
    <row r="59" spans="1:18" x14ac:dyDescent="0.25">
      <c r="A59" s="16" t="s">
        <v>1122</v>
      </c>
      <c r="B59" s="116" t="s">
        <v>1134</v>
      </c>
      <c r="C59" s="116" t="s">
        <v>990</v>
      </c>
      <c r="D59" s="116"/>
      <c r="E59" s="116" t="s">
        <v>986</v>
      </c>
      <c r="F59" s="116" t="s">
        <v>991</v>
      </c>
      <c r="G59" s="116" t="s">
        <v>759</v>
      </c>
      <c r="H59" s="117">
        <v>14.21</v>
      </c>
      <c r="I59" s="116" t="s">
        <v>222</v>
      </c>
      <c r="J59" s="117" t="s">
        <v>255</v>
      </c>
      <c r="K59" s="116">
        <v>2.7200000000000002E-2</v>
      </c>
      <c r="L59" s="116">
        <v>3.95E-2</v>
      </c>
      <c r="M59" s="111">
        <v>3220212.16</v>
      </c>
      <c r="N59" s="60">
        <v>90.34</v>
      </c>
      <c r="O59" s="83">
        <v>3532.2396200000003</v>
      </c>
      <c r="P59" s="24">
        <v>6.3358755599998123E-2</v>
      </c>
      <c r="Q59" s="24">
        <v>1.4364261797055952E-3</v>
      </c>
      <c r="R59" s="14"/>
    </row>
    <row r="60" spans="1:18" x14ac:dyDescent="0.25">
      <c r="A60" s="16" t="s">
        <v>1122</v>
      </c>
      <c r="B60" s="116" t="s">
        <v>1134</v>
      </c>
      <c r="C60" s="116" t="s">
        <v>999</v>
      </c>
      <c r="D60" s="116"/>
      <c r="E60" s="116" t="s">
        <v>986</v>
      </c>
      <c r="F60" s="116" t="s">
        <v>1000</v>
      </c>
      <c r="G60" s="116" t="s">
        <v>759</v>
      </c>
      <c r="H60" s="117">
        <v>13.71</v>
      </c>
      <c r="I60" s="116" t="s">
        <v>222</v>
      </c>
      <c r="J60" s="117" t="s">
        <v>255</v>
      </c>
      <c r="K60" s="116">
        <v>3.4300000000000004E-2</v>
      </c>
      <c r="L60" s="116">
        <v>3.5900000000000001E-2</v>
      </c>
      <c r="M60" s="111">
        <v>786487.33</v>
      </c>
      <c r="N60" s="60">
        <v>99.26</v>
      </c>
      <c r="O60" s="83">
        <v>812.61381999999992</v>
      </c>
      <c r="P60" s="24">
        <v>1.4576078057399985E-2</v>
      </c>
      <c r="Q60" s="24">
        <v>3.3045882799949172E-4</v>
      </c>
      <c r="R60" s="14"/>
    </row>
    <row r="61" spans="1:18" x14ac:dyDescent="0.25">
      <c r="A61" s="16" t="s">
        <v>1122</v>
      </c>
      <c r="B61" s="116" t="s">
        <v>1134</v>
      </c>
      <c r="C61" s="116" t="s">
        <v>992</v>
      </c>
      <c r="D61" s="116"/>
      <c r="E61" s="116" t="s">
        <v>986</v>
      </c>
      <c r="F61" s="116" t="s">
        <v>991</v>
      </c>
      <c r="G61" s="116" t="s">
        <v>759</v>
      </c>
      <c r="H61" s="117">
        <v>0</v>
      </c>
      <c r="I61" s="116" t="s">
        <v>222</v>
      </c>
      <c r="J61" s="117" t="s">
        <v>255</v>
      </c>
      <c r="K61" s="116">
        <v>2.7000000000000003E-2</v>
      </c>
      <c r="L61" s="116">
        <v>0</v>
      </c>
      <c r="M61" s="111">
        <v>-25253.66</v>
      </c>
      <c r="N61" s="60">
        <v>89.0749</v>
      </c>
      <c r="O61" s="83">
        <v>-22.494679999999999</v>
      </c>
      <c r="P61" s="24">
        <v>-4.0349327501744224E-4</v>
      </c>
      <c r="Q61" s="24">
        <v>-9.1477223326371778E-6</v>
      </c>
      <c r="R61" s="14"/>
    </row>
    <row r="62" spans="1:18" x14ac:dyDescent="0.25">
      <c r="A62" s="16" t="s">
        <v>1122</v>
      </c>
      <c r="B62" s="116" t="s">
        <v>1134</v>
      </c>
      <c r="C62" s="116" t="s">
        <v>1001</v>
      </c>
      <c r="D62" s="116"/>
      <c r="E62" s="116" t="s">
        <v>986</v>
      </c>
      <c r="F62" s="116" t="s">
        <v>1000</v>
      </c>
      <c r="G62" s="116" t="s">
        <v>759</v>
      </c>
      <c r="H62" s="117">
        <v>0</v>
      </c>
      <c r="I62" s="116" t="s">
        <v>222</v>
      </c>
      <c r="J62" s="117" t="s">
        <v>255</v>
      </c>
      <c r="K62" s="116">
        <v>2.7000000000000003E-2</v>
      </c>
      <c r="L62" s="116">
        <v>0</v>
      </c>
      <c r="M62" s="111">
        <v>-4716.57</v>
      </c>
      <c r="N62" s="60">
        <v>95.793300000000002</v>
      </c>
      <c r="O62" s="83">
        <v>-4.51816</v>
      </c>
      <c r="P62" s="24">
        <v>-8.1043481189899426E-5</v>
      </c>
      <c r="Q62" s="24">
        <v>-1.8373621289312846E-6</v>
      </c>
      <c r="R62" s="14"/>
    </row>
    <row r="63" spans="1:18" x14ac:dyDescent="0.25">
      <c r="A63" s="16" t="s">
        <v>1123</v>
      </c>
      <c r="B63" s="116" t="s">
        <v>1134</v>
      </c>
      <c r="C63" s="116" t="s">
        <v>982</v>
      </c>
      <c r="D63" s="116"/>
      <c r="E63" s="116" t="s">
        <v>983</v>
      </c>
      <c r="F63" s="116" t="s">
        <v>984</v>
      </c>
      <c r="G63" s="116" t="s">
        <v>254</v>
      </c>
      <c r="H63" s="117">
        <v>6.96</v>
      </c>
      <c r="I63" s="116" t="s">
        <v>203</v>
      </c>
      <c r="J63" s="117" t="s">
        <v>255</v>
      </c>
      <c r="K63" s="116">
        <v>4.4500000000000005E-2</v>
      </c>
      <c r="L63" s="116">
        <v>7.2700000000000001E-2</v>
      </c>
      <c r="M63" s="111">
        <v>1874397.04</v>
      </c>
      <c r="N63" s="60">
        <v>91.07</v>
      </c>
      <c r="O63" s="83">
        <v>2059.4943899999998</v>
      </c>
      <c r="P63" s="24">
        <v>3.694171849971413E-2</v>
      </c>
      <c r="Q63" s="24">
        <v>8.3751726298591394E-4</v>
      </c>
      <c r="R63" s="14"/>
    </row>
    <row r="64" spans="1:18" x14ac:dyDescent="0.25">
      <c r="A64" s="16" t="s">
        <v>1124</v>
      </c>
      <c r="B64" s="116" t="s">
        <v>1134</v>
      </c>
      <c r="C64" s="116" t="s">
        <v>938</v>
      </c>
      <c r="D64" s="116"/>
      <c r="E64" s="116" t="s">
        <v>939</v>
      </c>
      <c r="F64" s="116" t="s">
        <v>940</v>
      </c>
      <c r="G64" s="116" t="s">
        <v>254</v>
      </c>
      <c r="H64" s="117">
        <v>2.0099999999999998</v>
      </c>
      <c r="I64" s="116" t="s">
        <v>220</v>
      </c>
      <c r="J64" s="117" t="s">
        <v>255</v>
      </c>
      <c r="K64" s="116">
        <v>0.09</v>
      </c>
      <c r="L64" s="116">
        <v>0.1072</v>
      </c>
      <c r="M64" s="111">
        <v>1212879.32</v>
      </c>
      <c r="N64" s="60">
        <v>99.32</v>
      </c>
      <c r="O64" s="83">
        <v>1238.7319199999999</v>
      </c>
      <c r="P64" s="24">
        <v>2.2219475861378967E-2</v>
      </c>
      <c r="Q64" s="24">
        <v>5.0374469202204826E-4</v>
      </c>
      <c r="R64" s="14"/>
    </row>
    <row r="65" spans="1:18" x14ac:dyDescent="0.25">
      <c r="A65" s="16" t="s">
        <v>1125</v>
      </c>
      <c r="B65" s="116" t="s">
        <v>1134</v>
      </c>
      <c r="C65" s="116" t="s">
        <v>993</v>
      </c>
      <c r="D65" s="116"/>
      <c r="E65" s="116" t="s">
        <v>939</v>
      </c>
      <c r="F65" s="116" t="s">
        <v>994</v>
      </c>
      <c r="G65" s="116" t="s">
        <v>254</v>
      </c>
      <c r="H65" s="117">
        <v>4.7300000000000004</v>
      </c>
      <c r="I65" s="116" t="s">
        <v>222</v>
      </c>
      <c r="J65" s="117" t="s">
        <v>255</v>
      </c>
      <c r="K65" s="116">
        <v>1.37E-2</v>
      </c>
      <c r="L65" s="116">
        <v>5.4400000000000004E-2</v>
      </c>
      <c r="M65" s="111">
        <v>380841</v>
      </c>
      <c r="N65" s="60">
        <v>89.71</v>
      </c>
      <c r="O65" s="83">
        <v>410.96833000000004</v>
      </c>
      <c r="P65" s="24">
        <v>7.3716522039944093E-3</v>
      </c>
      <c r="Q65" s="24">
        <v>1.6712503446804337E-4</v>
      </c>
      <c r="R65" s="14"/>
    </row>
    <row r="66" spans="1:18" x14ac:dyDescent="0.25">
      <c r="A66" s="16" t="s">
        <v>1125</v>
      </c>
      <c r="B66" s="116" t="s">
        <v>1134</v>
      </c>
      <c r="C66" s="116" t="s">
        <v>1002</v>
      </c>
      <c r="D66" s="116"/>
      <c r="E66" s="116" t="s">
        <v>939</v>
      </c>
      <c r="F66" s="116" t="s">
        <v>1003</v>
      </c>
      <c r="G66" s="116" t="s">
        <v>254</v>
      </c>
      <c r="H66" s="117">
        <v>4.49</v>
      </c>
      <c r="I66" s="116" t="s">
        <v>220</v>
      </c>
      <c r="J66" s="117" t="s">
        <v>255</v>
      </c>
      <c r="K66" s="116">
        <v>3.6400000000000002E-2</v>
      </c>
      <c r="L66" s="116">
        <v>3.95E-2</v>
      </c>
      <c r="M66" s="111">
        <v>77776.14</v>
      </c>
      <c r="N66" s="60">
        <v>102.18</v>
      </c>
      <c r="O66" s="83">
        <v>80.394759999999991</v>
      </c>
      <c r="P66" s="24">
        <v>1.442062968072507E-3</v>
      </c>
      <c r="Q66" s="24">
        <v>3.2693460919604364E-5</v>
      </c>
      <c r="R66" s="14"/>
    </row>
    <row r="67" spans="1:18" x14ac:dyDescent="0.25">
      <c r="A67" s="16" t="s">
        <v>1125</v>
      </c>
      <c r="B67" s="116" t="s">
        <v>1134</v>
      </c>
      <c r="C67" s="116" t="s">
        <v>1008</v>
      </c>
      <c r="D67" s="116"/>
      <c r="E67" s="116" t="s">
        <v>939</v>
      </c>
      <c r="F67" s="116" t="s">
        <v>1009</v>
      </c>
      <c r="G67" s="116" t="s">
        <v>254</v>
      </c>
      <c r="H67" s="117">
        <v>4.47</v>
      </c>
      <c r="I67" s="116" t="s">
        <v>220</v>
      </c>
      <c r="J67" s="117" t="s">
        <v>255</v>
      </c>
      <c r="K67" s="116">
        <v>3.9100000000000003E-2</v>
      </c>
      <c r="L67" s="116">
        <v>3.4300000000000004E-2</v>
      </c>
      <c r="M67" s="111">
        <v>77653.490000000005</v>
      </c>
      <c r="N67" s="60">
        <v>104.55</v>
      </c>
      <c r="O67" s="83">
        <v>79.461449999999999</v>
      </c>
      <c r="P67" s="24">
        <v>1.4253219293688434E-3</v>
      </c>
      <c r="Q67" s="24">
        <v>3.231391959115366E-5</v>
      </c>
      <c r="R67" s="14"/>
    </row>
    <row r="68" spans="1:18" x14ac:dyDescent="0.25">
      <c r="A68" s="16" t="s">
        <v>1125</v>
      </c>
      <c r="B68" s="116" t="s">
        <v>1134</v>
      </c>
      <c r="C68" s="116" t="s">
        <v>1018</v>
      </c>
      <c r="D68" s="116"/>
      <c r="E68" s="116" t="s">
        <v>939</v>
      </c>
      <c r="F68" s="116" t="s">
        <v>1019</v>
      </c>
      <c r="G68" s="116" t="s">
        <v>254</v>
      </c>
      <c r="H68" s="117">
        <v>4.4800000000000004</v>
      </c>
      <c r="I68" s="116" t="s">
        <v>220</v>
      </c>
      <c r="J68" s="117" t="s">
        <v>255</v>
      </c>
      <c r="K68" s="116">
        <v>3.9900000000000005E-2</v>
      </c>
      <c r="L68" s="116">
        <v>3.95E-2</v>
      </c>
      <c r="M68" s="111">
        <v>78629.56</v>
      </c>
      <c r="N68" s="60">
        <v>100.94</v>
      </c>
      <c r="O68" s="83">
        <v>79.039119999999997</v>
      </c>
      <c r="P68" s="24">
        <v>1.4177464797586192E-3</v>
      </c>
      <c r="Q68" s="24">
        <v>3.214217420189973E-5</v>
      </c>
      <c r="R68" s="14"/>
    </row>
    <row r="69" spans="1:18" x14ac:dyDescent="0.25">
      <c r="A69" s="16" t="s">
        <v>1126</v>
      </c>
      <c r="B69" s="116" t="s">
        <v>1134</v>
      </c>
      <c r="C69" s="116" t="s">
        <v>995</v>
      </c>
      <c r="D69" s="116"/>
      <c r="E69" s="116" t="s">
        <v>939</v>
      </c>
      <c r="F69" s="116" t="s">
        <v>996</v>
      </c>
      <c r="G69" s="116" t="s">
        <v>254</v>
      </c>
      <c r="H69" s="117">
        <v>4.5599999999999996</v>
      </c>
      <c r="I69" s="116" t="s">
        <v>222</v>
      </c>
      <c r="J69" s="117" t="s">
        <v>255</v>
      </c>
      <c r="K69" s="116">
        <v>3.0699999999999998E-2</v>
      </c>
      <c r="L69" s="116">
        <v>3.9599999999999996E-2</v>
      </c>
      <c r="M69" s="111">
        <v>681433.1</v>
      </c>
      <c r="N69" s="60">
        <v>101.22</v>
      </c>
      <c r="O69" s="83">
        <v>716.40243000000009</v>
      </c>
      <c r="P69" s="24">
        <v>1.2850307837726695E-2</v>
      </c>
      <c r="Q69" s="24">
        <v>2.9133335117754701E-4</v>
      </c>
      <c r="R69" s="14"/>
    </row>
    <row r="70" spans="1:18" x14ac:dyDescent="0.25">
      <c r="A70" s="16" t="s">
        <v>1126</v>
      </c>
      <c r="B70" s="116" t="s">
        <v>1134</v>
      </c>
      <c r="C70" s="116" t="s">
        <v>997</v>
      </c>
      <c r="D70" s="116"/>
      <c r="E70" s="116" t="s">
        <v>939</v>
      </c>
      <c r="F70" s="116" t="s">
        <v>998</v>
      </c>
      <c r="G70" s="116" t="s">
        <v>254</v>
      </c>
      <c r="H70" s="117">
        <v>4.59</v>
      </c>
      <c r="I70" s="116" t="s">
        <v>222</v>
      </c>
      <c r="J70" s="117" t="s">
        <v>255</v>
      </c>
      <c r="K70" s="116">
        <v>2.6000000000000002E-2</v>
      </c>
      <c r="L70" s="116">
        <v>5.0599999999999999E-2</v>
      </c>
      <c r="M70" s="111">
        <v>1638.12</v>
      </c>
      <c r="N70" s="60">
        <v>94.17</v>
      </c>
      <c r="O70" s="83">
        <v>1.7143299999999999</v>
      </c>
      <c r="P70" s="24">
        <v>3.0750409704012316E-5</v>
      </c>
      <c r="Q70" s="24">
        <v>6.9715216337862519E-7</v>
      </c>
      <c r="R70" s="14"/>
    </row>
    <row r="71" spans="1:18" x14ac:dyDescent="0.25">
      <c r="A71" s="16" t="s">
        <v>1126</v>
      </c>
      <c r="B71" s="116" t="s">
        <v>1134</v>
      </c>
      <c r="C71" s="116" t="s">
        <v>1004</v>
      </c>
      <c r="D71" s="116"/>
      <c r="E71" s="116" t="s">
        <v>939</v>
      </c>
      <c r="F71" s="116" t="s">
        <v>1003</v>
      </c>
      <c r="G71" s="116" t="s">
        <v>254</v>
      </c>
      <c r="H71" s="117">
        <v>4.6100000000000003</v>
      </c>
      <c r="I71" s="116" t="s">
        <v>220</v>
      </c>
      <c r="J71" s="117" t="s">
        <v>255</v>
      </c>
      <c r="K71" s="116">
        <v>3.6400000000000002E-2</v>
      </c>
      <c r="L71" s="116">
        <v>3.0699999999999998E-2</v>
      </c>
      <c r="M71" s="111">
        <v>180149.62</v>
      </c>
      <c r="N71" s="60">
        <v>101.12</v>
      </c>
      <c r="O71" s="83">
        <v>185.70141000000001</v>
      </c>
      <c r="P71" s="24">
        <v>3.3309773731503094E-3</v>
      </c>
      <c r="Q71" s="24">
        <v>7.5517630633519257E-5</v>
      </c>
      <c r="R71" s="14"/>
    </row>
    <row r="72" spans="1:18" x14ac:dyDescent="0.25">
      <c r="A72" s="16" t="s">
        <v>1126</v>
      </c>
      <c r="B72" s="116" t="s">
        <v>1134</v>
      </c>
      <c r="C72" s="116" t="s">
        <v>1016</v>
      </c>
      <c r="D72" s="116"/>
      <c r="E72" s="116" t="s">
        <v>939</v>
      </c>
      <c r="F72" s="116" t="s">
        <v>1017</v>
      </c>
      <c r="G72" s="116" t="s">
        <v>254</v>
      </c>
      <c r="H72" s="117">
        <v>4.47</v>
      </c>
      <c r="I72" s="116" t="s">
        <v>220</v>
      </c>
      <c r="J72" s="117" t="s">
        <v>255</v>
      </c>
      <c r="K72" s="116">
        <v>3.9399999999999998E-2</v>
      </c>
      <c r="L72" s="116">
        <v>4.0899999999999999E-2</v>
      </c>
      <c r="M72" s="111">
        <v>221704.92</v>
      </c>
      <c r="N72" s="60">
        <v>101.1</v>
      </c>
      <c r="O72" s="83">
        <v>225.07923000000002</v>
      </c>
      <c r="P72" s="24">
        <v>4.0373081835840359E-3</v>
      </c>
      <c r="Q72" s="24">
        <v>9.1531077520719568E-5</v>
      </c>
      <c r="R72" s="14"/>
    </row>
    <row r="73" spans="1:18" x14ac:dyDescent="0.25">
      <c r="A73" s="16" t="s">
        <v>1127</v>
      </c>
      <c r="B73" s="116" t="s">
        <v>1134</v>
      </c>
      <c r="C73" s="116" t="s">
        <v>1013</v>
      </c>
      <c r="D73" s="116"/>
      <c r="E73" s="116" t="s">
        <v>1014</v>
      </c>
      <c r="F73" s="116" t="s">
        <v>1015</v>
      </c>
      <c r="G73" s="116" t="s">
        <v>330</v>
      </c>
      <c r="H73" s="117">
        <v>3.17</v>
      </c>
      <c r="I73" s="116" t="s">
        <v>220</v>
      </c>
      <c r="J73" s="117" t="s">
        <v>255</v>
      </c>
      <c r="K73" s="116">
        <v>4.7800000000000002E-2</v>
      </c>
      <c r="L73" s="116">
        <v>6.3200000000000006E-2</v>
      </c>
      <c r="M73" s="111">
        <v>381350</v>
      </c>
      <c r="N73" s="60">
        <v>99.74</v>
      </c>
      <c r="O73" s="83">
        <v>397.95758000000001</v>
      </c>
      <c r="P73" s="24">
        <v>7.1382747952945221E-3</v>
      </c>
      <c r="Q73" s="24">
        <v>1.6183406218751484E-4</v>
      </c>
      <c r="R73" s="14"/>
    </row>
    <row r="74" spans="1:18" x14ac:dyDescent="0.25">
      <c r="A74" s="16" t="s">
        <v>1128</v>
      </c>
      <c r="B74" s="116" t="s">
        <v>1134</v>
      </c>
      <c r="C74" s="116" t="s">
        <v>971</v>
      </c>
      <c r="D74" s="116"/>
      <c r="E74" s="116" t="s">
        <v>857</v>
      </c>
      <c r="F74" s="116" t="s">
        <v>972</v>
      </c>
      <c r="G74" s="116" t="s">
        <v>857</v>
      </c>
      <c r="H74" s="117">
        <v>5.89</v>
      </c>
      <c r="I74" s="116" t="s">
        <v>220</v>
      </c>
      <c r="J74" s="117" t="s">
        <v>255</v>
      </c>
      <c r="K74" s="116">
        <v>7.4999999999999997E-2</v>
      </c>
      <c r="L74" s="116">
        <v>8.2100000000000006E-2</v>
      </c>
      <c r="M74" s="111">
        <v>514502</v>
      </c>
      <c r="N74" s="60">
        <v>100.94</v>
      </c>
      <c r="O74" s="83">
        <v>516.08778999999993</v>
      </c>
      <c r="P74" s="24">
        <v>9.2572089304499526E-3</v>
      </c>
      <c r="Q74" s="24">
        <v>2.0987308119894859E-4</v>
      </c>
      <c r="R74" s="14"/>
    </row>
    <row r="75" spans="1:18" x14ac:dyDescent="0.25">
      <c r="A75" s="16" t="s">
        <v>1128</v>
      </c>
      <c r="B75" s="116" t="s">
        <v>1134</v>
      </c>
      <c r="C75" s="116" t="s">
        <v>966</v>
      </c>
      <c r="D75" s="116"/>
      <c r="E75" s="116" t="s">
        <v>857</v>
      </c>
      <c r="F75" s="116" t="s">
        <v>967</v>
      </c>
      <c r="G75" s="116" t="s">
        <v>857</v>
      </c>
      <c r="H75" s="117">
        <v>7.77</v>
      </c>
      <c r="I75" s="116" t="s">
        <v>220</v>
      </c>
      <c r="J75" s="117" t="s">
        <v>255</v>
      </c>
      <c r="K75" s="116">
        <v>7.4999999999999997E-2</v>
      </c>
      <c r="L75" s="116">
        <v>8.1099999999999992E-2</v>
      </c>
      <c r="M75" s="111">
        <v>37402</v>
      </c>
      <c r="N75" s="60">
        <v>102.23</v>
      </c>
      <c r="O75" s="83">
        <v>37.647930000000002</v>
      </c>
      <c r="P75" s="24">
        <v>6.7530129672115427E-4</v>
      </c>
      <c r="Q75" s="24">
        <v>1.530996706948315E-5</v>
      </c>
      <c r="R75" s="14"/>
    </row>
    <row r="76" spans="1:18" x14ac:dyDescent="0.25">
      <c r="A76" s="16" t="s">
        <v>1128</v>
      </c>
      <c r="B76" s="116" t="s">
        <v>1134</v>
      </c>
      <c r="C76" s="116" t="s">
        <v>917</v>
      </c>
      <c r="D76" s="116"/>
      <c r="E76" s="116" t="s">
        <v>857</v>
      </c>
      <c r="F76" s="116" t="s">
        <v>918</v>
      </c>
      <c r="G76" s="116" t="s">
        <v>857</v>
      </c>
      <c r="H76" s="117">
        <v>5.77</v>
      </c>
      <c r="I76" s="116" t="s">
        <v>220</v>
      </c>
      <c r="J76" s="117" t="s">
        <v>255</v>
      </c>
      <c r="K76" s="116">
        <v>7.4999999999999997E-2</v>
      </c>
      <c r="L76" s="116">
        <v>8.5000000000000006E-2</v>
      </c>
      <c r="M76" s="111">
        <v>39620.129999999997</v>
      </c>
      <c r="N76" s="60">
        <v>92.26</v>
      </c>
      <c r="O76" s="83">
        <v>40.328949999999999</v>
      </c>
      <c r="P76" s="24">
        <v>7.2339149138883846E-4</v>
      </c>
      <c r="Q76" s="24">
        <v>1.6400234925182669E-5</v>
      </c>
      <c r="R76" s="14"/>
    </row>
    <row r="77" spans="1:18" x14ac:dyDescent="0.25">
      <c r="A77" s="16" t="s">
        <v>1128</v>
      </c>
      <c r="B77" s="116" t="s">
        <v>1134</v>
      </c>
      <c r="C77" s="116" t="s">
        <v>911</v>
      </c>
      <c r="D77" s="116"/>
      <c r="E77" s="116" t="s">
        <v>857</v>
      </c>
      <c r="F77" s="116" t="s">
        <v>912</v>
      </c>
      <c r="G77" s="116" t="s">
        <v>857</v>
      </c>
      <c r="H77" s="117">
        <v>5.7</v>
      </c>
      <c r="I77" s="116" t="s">
        <v>220</v>
      </c>
      <c r="J77" s="117" t="s">
        <v>255</v>
      </c>
      <c r="K77" s="116">
        <v>7.4999999999999997E-2</v>
      </c>
      <c r="L77" s="116">
        <v>8.4399999999999989E-2</v>
      </c>
      <c r="M77" s="111">
        <v>171349.62</v>
      </c>
      <c r="N77" s="60">
        <v>92.69</v>
      </c>
      <c r="O77" s="83">
        <v>174.41513</v>
      </c>
      <c r="P77" s="24">
        <v>3.1285322581291642E-3</v>
      </c>
      <c r="Q77" s="24">
        <v>7.0927934064890749E-5</v>
      </c>
      <c r="R77" s="14"/>
    </row>
    <row r="78" spans="1:18" x14ac:dyDescent="0.25">
      <c r="A78" s="16" t="s">
        <v>1128</v>
      </c>
      <c r="B78" s="116" t="s">
        <v>1134</v>
      </c>
      <c r="C78" s="116" t="s">
        <v>923</v>
      </c>
      <c r="D78" s="116"/>
      <c r="E78" s="116" t="s">
        <v>857</v>
      </c>
      <c r="F78" s="116" t="s">
        <v>924</v>
      </c>
      <c r="G78" s="116" t="s">
        <v>857</v>
      </c>
      <c r="H78" s="117">
        <v>6.7</v>
      </c>
      <c r="I78" s="116" t="s">
        <v>220</v>
      </c>
      <c r="J78" s="117" t="s">
        <v>255</v>
      </c>
      <c r="K78" s="116">
        <v>7.4999999999999997E-2</v>
      </c>
      <c r="L78" s="116">
        <v>8.3699999999999997E-2</v>
      </c>
      <c r="M78" s="111">
        <v>34893.82</v>
      </c>
      <c r="N78" s="60">
        <v>94.59</v>
      </c>
      <c r="O78" s="83">
        <v>35.518080000000005</v>
      </c>
      <c r="P78" s="24">
        <v>6.3709759025385186E-4</v>
      </c>
      <c r="Q78" s="24">
        <v>1.4443838882277673E-5</v>
      </c>
      <c r="R78" s="14"/>
    </row>
    <row r="79" spans="1:18" x14ac:dyDescent="0.25">
      <c r="A79" s="16" t="s">
        <v>1128</v>
      </c>
      <c r="B79" s="116" t="s">
        <v>1134</v>
      </c>
      <c r="C79" s="116" t="s">
        <v>893</v>
      </c>
      <c r="D79" s="116"/>
      <c r="E79" s="116" t="s">
        <v>857</v>
      </c>
      <c r="F79" s="116" t="s">
        <v>894</v>
      </c>
      <c r="G79" s="116" t="s">
        <v>857</v>
      </c>
      <c r="H79" s="117">
        <v>5.99</v>
      </c>
      <c r="I79" s="116" t="s">
        <v>220</v>
      </c>
      <c r="J79" s="117" t="s">
        <v>255</v>
      </c>
      <c r="K79" s="116">
        <v>7.4999999999999997E-2</v>
      </c>
      <c r="L79" s="116">
        <v>8.9499999999999996E-2</v>
      </c>
      <c r="M79" s="111">
        <v>203143.96</v>
      </c>
      <c r="N79" s="60">
        <v>94.73</v>
      </c>
      <c r="O79" s="83">
        <v>206.77828</v>
      </c>
      <c r="P79" s="24">
        <v>3.7090389994289172E-3</v>
      </c>
      <c r="Q79" s="24">
        <v>8.4088784097408962E-5</v>
      </c>
      <c r="R79" s="14"/>
    </row>
    <row r="80" spans="1:18" x14ac:dyDescent="0.25">
      <c r="A80" s="16" t="s">
        <v>1128</v>
      </c>
      <c r="B80" s="116" t="s">
        <v>1134</v>
      </c>
      <c r="C80" s="116" t="s">
        <v>897</v>
      </c>
      <c r="D80" s="116"/>
      <c r="E80" s="116" t="s">
        <v>857</v>
      </c>
      <c r="F80" s="116" t="s">
        <v>898</v>
      </c>
      <c r="G80" s="116" t="s">
        <v>857</v>
      </c>
      <c r="H80" s="117">
        <v>5.56</v>
      </c>
      <c r="I80" s="116" t="s">
        <v>220</v>
      </c>
      <c r="J80" s="117" t="s">
        <v>255</v>
      </c>
      <c r="K80" s="116">
        <v>7.4999999999999997E-2</v>
      </c>
      <c r="L80" s="116">
        <v>7.4499999999999997E-2</v>
      </c>
      <c r="M80" s="111">
        <v>137756.42000000001</v>
      </c>
      <c r="N80" s="60">
        <v>97.79</v>
      </c>
      <c r="O80" s="83">
        <v>140.22092999999998</v>
      </c>
      <c r="P80" s="24">
        <v>2.515181468315687E-3</v>
      </c>
      <c r="Q80" s="24">
        <v>5.7022466328223124E-5</v>
      </c>
      <c r="R80" s="14"/>
    </row>
    <row r="81" spans="1:18" x14ac:dyDescent="0.25">
      <c r="A81" s="16" t="s">
        <v>1128</v>
      </c>
      <c r="B81" s="116" t="s">
        <v>1134</v>
      </c>
      <c r="C81" s="116" t="s">
        <v>969</v>
      </c>
      <c r="D81" s="116"/>
      <c r="E81" s="116" t="s">
        <v>857</v>
      </c>
      <c r="F81" s="116" t="s">
        <v>970</v>
      </c>
      <c r="G81" s="116" t="s">
        <v>857</v>
      </c>
      <c r="H81" s="117">
        <v>7.77</v>
      </c>
      <c r="I81" s="116" t="s">
        <v>220</v>
      </c>
      <c r="J81" s="117" t="s">
        <v>255</v>
      </c>
      <c r="K81" s="116">
        <v>7.4999999999999997E-2</v>
      </c>
      <c r="L81" s="116">
        <v>8.1099999999999992E-2</v>
      </c>
      <c r="M81" s="111">
        <v>51855</v>
      </c>
      <c r="N81" s="60">
        <v>102.22</v>
      </c>
      <c r="O81" s="83">
        <v>52.185300000000005</v>
      </c>
      <c r="P81" s="24">
        <v>9.3606210911947754E-4</v>
      </c>
      <c r="Q81" s="24">
        <v>2.1221757066353952E-5</v>
      </c>
      <c r="R81" s="14"/>
    </row>
    <row r="82" spans="1:18" x14ac:dyDescent="0.25">
      <c r="A82" s="16" t="s">
        <v>1128</v>
      </c>
      <c r="B82" s="116" t="s">
        <v>1134</v>
      </c>
      <c r="C82" s="116" t="s">
        <v>933</v>
      </c>
      <c r="D82" s="116"/>
      <c r="E82" s="116" t="s">
        <v>857</v>
      </c>
      <c r="F82" s="116" t="s">
        <v>934</v>
      </c>
      <c r="G82" s="116" t="s">
        <v>857</v>
      </c>
      <c r="H82" s="117">
        <v>5.86</v>
      </c>
      <c r="I82" s="116" t="s">
        <v>220</v>
      </c>
      <c r="J82" s="117" t="s">
        <v>255</v>
      </c>
      <c r="K82" s="116">
        <v>7.4999999999999997E-2</v>
      </c>
      <c r="L82" s="116">
        <v>6.8699999999999997E-2</v>
      </c>
      <c r="M82" s="111">
        <v>65083.18</v>
      </c>
      <c r="N82" s="60">
        <v>100.76</v>
      </c>
      <c r="O82" s="83">
        <v>66.247539999999987</v>
      </c>
      <c r="P82" s="24">
        <v>1.1883003837551368E-3</v>
      </c>
      <c r="Q82" s="24">
        <v>2.6940329942025164E-5</v>
      </c>
      <c r="R82" s="14"/>
    </row>
    <row r="83" spans="1:18" x14ac:dyDescent="0.25">
      <c r="A83" s="16" t="s">
        <v>1128</v>
      </c>
      <c r="B83" s="116" t="s">
        <v>1134</v>
      </c>
      <c r="C83" s="116" t="s">
        <v>929</v>
      </c>
      <c r="D83" s="116"/>
      <c r="E83" s="116" t="s">
        <v>857</v>
      </c>
      <c r="F83" s="116" t="s">
        <v>930</v>
      </c>
      <c r="G83" s="116" t="s">
        <v>857</v>
      </c>
      <c r="H83" s="117">
        <v>6.47</v>
      </c>
      <c r="I83" s="116" t="s">
        <v>220</v>
      </c>
      <c r="J83" s="117" t="s">
        <v>255</v>
      </c>
      <c r="K83" s="116">
        <v>7.4999999999999997E-2</v>
      </c>
      <c r="L83" s="116">
        <v>7.0000000000000007E-2</v>
      </c>
      <c r="M83" s="111">
        <v>171731.99</v>
      </c>
      <c r="N83" s="60">
        <v>102.77</v>
      </c>
      <c r="O83" s="83">
        <v>174.80434</v>
      </c>
      <c r="P83" s="24">
        <v>3.1355136251710394E-3</v>
      </c>
      <c r="Q83" s="24">
        <v>7.1086210822287853E-5</v>
      </c>
      <c r="R83" s="14"/>
    </row>
    <row r="84" spans="1:18" x14ac:dyDescent="0.25">
      <c r="A84" s="16" t="s">
        <v>1128</v>
      </c>
      <c r="B84" s="116" t="s">
        <v>1134</v>
      </c>
      <c r="C84" s="116" t="s">
        <v>973</v>
      </c>
      <c r="D84" s="116"/>
      <c r="E84" s="116" t="s">
        <v>857</v>
      </c>
      <c r="F84" s="116" t="s">
        <v>972</v>
      </c>
      <c r="G84" s="116" t="s">
        <v>857</v>
      </c>
      <c r="H84" s="117">
        <v>5.78</v>
      </c>
      <c r="I84" s="116" t="s">
        <v>220</v>
      </c>
      <c r="J84" s="117" t="s">
        <v>255</v>
      </c>
      <c r="K84" s="116">
        <v>7.4999999999999997E-2</v>
      </c>
      <c r="L84" s="116">
        <v>8.2200000000000009E-2</v>
      </c>
      <c r="M84" s="111">
        <v>8178.89</v>
      </c>
      <c r="N84" s="60">
        <v>100.93</v>
      </c>
      <c r="O84" s="83">
        <v>8.2040900000000008</v>
      </c>
      <c r="P84" s="24">
        <v>1.4715902349523744E-4</v>
      </c>
      <c r="Q84" s="24">
        <v>3.3362882829169096E-6</v>
      </c>
      <c r="R84" s="14"/>
    </row>
    <row r="85" spans="1:18" x14ac:dyDescent="0.25">
      <c r="A85" s="16" t="s">
        <v>1128</v>
      </c>
      <c r="B85" s="116" t="s">
        <v>1134</v>
      </c>
      <c r="C85" s="116" t="s">
        <v>905</v>
      </c>
      <c r="D85" s="116"/>
      <c r="E85" s="116" t="s">
        <v>857</v>
      </c>
      <c r="F85" s="116" t="s">
        <v>906</v>
      </c>
      <c r="G85" s="116" t="s">
        <v>857</v>
      </c>
      <c r="H85" s="117">
        <v>6</v>
      </c>
      <c r="I85" s="116" t="s">
        <v>220</v>
      </c>
      <c r="J85" s="117" t="s">
        <v>255</v>
      </c>
      <c r="K85" s="116">
        <v>7.4999999999999997E-2</v>
      </c>
      <c r="L85" s="116">
        <v>8.6899999999999991E-2</v>
      </c>
      <c r="M85" s="111">
        <v>143523.57999999999</v>
      </c>
      <c r="N85" s="60">
        <v>95.32</v>
      </c>
      <c r="O85" s="83">
        <v>146.09126999999998</v>
      </c>
      <c r="P85" s="24">
        <v>2.6204793748458481E-3</v>
      </c>
      <c r="Q85" s="24">
        <v>5.940970812575807E-5</v>
      </c>
      <c r="R85" s="14"/>
    </row>
    <row r="86" spans="1:18" x14ac:dyDescent="0.25">
      <c r="A86" s="16" t="s">
        <v>1128</v>
      </c>
      <c r="B86" s="116" t="s">
        <v>1134</v>
      </c>
      <c r="C86" s="116" t="s">
        <v>915</v>
      </c>
      <c r="D86" s="116"/>
      <c r="E86" s="116" t="s">
        <v>857</v>
      </c>
      <c r="F86" s="116" t="s">
        <v>916</v>
      </c>
      <c r="G86" s="116" t="s">
        <v>857</v>
      </c>
      <c r="H86" s="117">
        <v>5.51</v>
      </c>
      <c r="I86" s="116" t="s">
        <v>220</v>
      </c>
      <c r="J86" s="117" t="s">
        <v>255</v>
      </c>
      <c r="K86" s="116">
        <v>7.4999999999999997E-2</v>
      </c>
      <c r="L86" s="116">
        <v>8.4100000000000008E-2</v>
      </c>
      <c r="M86" s="111">
        <v>226717.43</v>
      </c>
      <c r="N86" s="60">
        <v>93.11</v>
      </c>
      <c r="O86" s="83">
        <v>230.77348999999998</v>
      </c>
      <c r="P86" s="24">
        <v>4.1394476946240155E-3</v>
      </c>
      <c r="Q86" s="24">
        <v>9.3846714345508455E-5</v>
      </c>
      <c r="R86" s="14"/>
    </row>
    <row r="87" spans="1:18" x14ac:dyDescent="0.25">
      <c r="A87" s="16" t="s">
        <v>1128</v>
      </c>
      <c r="B87" s="116" t="s">
        <v>1134</v>
      </c>
      <c r="C87" s="116" t="s">
        <v>956</v>
      </c>
      <c r="D87" s="116"/>
      <c r="E87" s="116" t="s">
        <v>857</v>
      </c>
      <c r="F87" s="116" t="s">
        <v>957</v>
      </c>
      <c r="G87" s="116" t="s">
        <v>857</v>
      </c>
      <c r="H87" s="117">
        <v>5.89</v>
      </c>
      <c r="I87" s="116" t="s">
        <v>220</v>
      </c>
      <c r="J87" s="117" t="s">
        <v>255</v>
      </c>
      <c r="K87" s="116">
        <v>7.4999999999999997E-2</v>
      </c>
      <c r="L87" s="116">
        <v>6.480000000000001E-2</v>
      </c>
      <c r="M87" s="111">
        <v>62841.64</v>
      </c>
      <c r="N87" s="60">
        <v>102.91</v>
      </c>
      <c r="O87" s="83">
        <v>63.965900000000005</v>
      </c>
      <c r="P87" s="24">
        <v>1.1473739782223269E-3</v>
      </c>
      <c r="Q87" s="24">
        <v>2.601247459209184E-5</v>
      </c>
      <c r="R87" s="14"/>
    </row>
    <row r="88" spans="1:18" x14ac:dyDescent="0.25">
      <c r="A88" s="16" t="s">
        <v>1128</v>
      </c>
      <c r="B88" s="116" t="s">
        <v>1134</v>
      </c>
      <c r="C88" s="116" t="s">
        <v>953</v>
      </c>
      <c r="D88" s="116"/>
      <c r="E88" s="116" t="s">
        <v>857</v>
      </c>
      <c r="F88" s="116" t="s">
        <v>954</v>
      </c>
      <c r="G88" s="116" t="s">
        <v>857</v>
      </c>
      <c r="H88" s="117">
        <v>5.78</v>
      </c>
      <c r="I88" s="116" t="s">
        <v>220</v>
      </c>
      <c r="J88" s="117" t="s">
        <v>255</v>
      </c>
      <c r="K88" s="116">
        <v>7.4999999999999997E-2</v>
      </c>
      <c r="L88" s="116">
        <v>6.9500000000000006E-2</v>
      </c>
      <c r="M88" s="111">
        <v>162563.91</v>
      </c>
      <c r="N88" s="60">
        <v>100.31</v>
      </c>
      <c r="O88" s="83">
        <v>165.47224</v>
      </c>
      <c r="P88" s="24">
        <v>2.968121175410017E-3</v>
      </c>
      <c r="Q88" s="24">
        <v>6.7291204199370646E-5</v>
      </c>
      <c r="R88" s="14"/>
    </row>
    <row r="89" spans="1:18" x14ac:dyDescent="0.25">
      <c r="A89" s="16" t="s">
        <v>1128</v>
      </c>
      <c r="B89" s="116" t="s">
        <v>1134</v>
      </c>
      <c r="C89" s="116" t="s">
        <v>925</v>
      </c>
      <c r="D89" s="116"/>
      <c r="E89" s="116" t="s">
        <v>857</v>
      </c>
      <c r="F89" s="116" t="s">
        <v>926</v>
      </c>
      <c r="G89" s="116" t="s">
        <v>857</v>
      </c>
      <c r="H89" s="117">
        <v>6.09</v>
      </c>
      <c r="I89" s="116" t="s">
        <v>220</v>
      </c>
      <c r="J89" s="117" t="s">
        <v>255</v>
      </c>
      <c r="K89" s="116">
        <v>7.4999999999999997E-2</v>
      </c>
      <c r="L89" s="116">
        <v>8.3900000000000002E-2</v>
      </c>
      <c r="M89" s="111">
        <v>141626.91</v>
      </c>
      <c r="N89" s="60">
        <v>95.33</v>
      </c>
      <c r="O89" s="83">
        <v>144.16067000000001</v>
      </c>
      <c r="P89" s="24">
        <v>2.5858496705447129E-3</v>
      </c>
      <c r="Q89" s="24">
        <v>5.8624607260336153E-5</v>
      </c>
      <c r="R89" s="14"/>
    </row>
    <row r="90" spans="1:18" x14ac:dyDescent="0.25">
      <c r="A90" s="16" t="s">
        <v>1128</v>
      </c>
      <c r="B90" s="116" t="s">
        <v>1134</v>
      </c>
      <c r="C90" s="116" t="s">
        <v>955</v>
      </c>
      <c r="D90" s="116"/>
      <c r="E90" s="116" t="s">
        <v>857</v>
      </c>
      <c r="F90" s="116" t="s">
        <v>954</v>
      </c>
      <c r="G90" s="116" t="s">
        <v>857</v>
      </c>
      <c r="H90" s="117">
        <v>5.98</v>
      </c>
      <c r="I90" s="116" t="s">
        <v>220</v>
      </c>
      <c r="J90" s="117" t="s">
        <v>255</v>
      </c>
      <c r="K90" s="116">
        <v>7.4999999999999997E-2</v>
      </c>
      <c r="L90" s="116">
        <v>6.8000000000000005E-2</v>
      </c>
      <c r="M90" s="111">
        <v>142361.28</v>
      </c>
      <c r="N90" s="60">
        <v>105.16</v>
      </c>
      <c r="O90" s="83">
        <v>144.90817999999999</v>
      </c>
      <c r="P90" s="24">
        <v>2.5992579634392231E-3</v>
      </c>
      <c r="Q90" s="24">
        <v>5.8928590865387185E-5</v>
      </c>
      <c r="R90" s="14"/>
    </row>
    <row r="91" spans="1:18" x14ac:dyDescent="0.25">
      <c r="A91" s="16" t="s">
        <v>1128</v>
      </c>
      <c r="B91" s="116" t="s">
        <v>1134</v>
      </c>
      <c r="C91" s="116" t="s">
        <v>960</v>
      </c>
      <c r="D91" s="116"/>
      <c r="E91" s="116" t="s">
        <v>857</v>
      </c>
      <c r="F91" s="116" t="s">
        <v>961</v>
      </c>
      <c r="G91" s="116" t="s">
        <v>857</v>
      </c>
      <c r="H91" s="117">
        <v>5.98</v>
      </c>
      <c r="I91" s="116" t="s">
        <v>220</v>
      </c>
      <c r="J91" s="117" t="s">
        <v>255</v>
      </c>
      <c r="K91" s="116">
        <v>7.4999999999999997E-2</v>
      </c>
      <c r="L91" s="116">
        <v>6.8099999999999994E-2</v>
      </c>
      <c r="M91" s="111">
        <v>64565.25</v>
      </c>
      <c r="N91" s="60">
        <v>104.39</v>
      </c>
      <c r="O91" s="83">
        <v>65.543009999999995</v>
      </c>
      <c r="P91" s="24">
        <v>1.1756630349665327E-3</v>
      </c>
      <c r="Q91" s="24">
        <v>2.6653824652107157E-5</v>
      </c>
      <c r="R91" s="14"/>
    </row>
    <row r="92" spans="1:18" x14ac:dyDescent="0.25">
      <c r="A92" s="16" t="s">
        <v>1128</v>
      </c>
      <c r="B92" s="116" t="s">
        <v>1134</v>
      </c>
      <c r="C92" s="116" t="s">
        <v>968</v>
      </c>
      <c r="D92" s="116"/>
      <c r="E92" s="116" t="s">
        <v>857</v>
      </c>
      <c r="F92" s="116" t="s">
        <v>967</v>
      </c>
      <c r="G92" s="116" t="s">
        <v>857</v>
      </c>
      <c r="H92" s="117">
        <v>5.86</v>
      </c>
      <c r="I92" s="116" t="s">
        <v>220</v>
      </c>
      <c r="J92" s="117" t="s">
        <v>255</v>
      </c>
      <c r="K92" s="116">
        <v>7.4999999999999997E-2</v>
      </c>
      <c r="L92" s="116">
        <v>8.1099999999999992E-2</v>
      </c>
      <c r="M92" s="111">
        <v>64565.25</v>
      </c>
      <c r="N92" s="60">
        <v>101.89</v>
      </c>
      <c r="O92" s="83">
        <v>64.989779999999996</v>
      </c>
      <c r="P92" s="24">
        <v>1.1657395959783854E-3</v>
      </c>
      <c r="Q92" s="24">
        <v>2.642884726073796E-5</v>
      </c>
      <c r="R92" s="14"/>
    </row>
    <row r="93" spans="1:18" x14ac:dyDescent="0.25">
      <c r="A93" s="16" t="s">
        <v>1128</v>
      </c>
      <c r="B93" s="116" t="s">
        <v>1134</v>
      </c>
      <c r="C93" s="116" t="s">
        <v>964</v>
      </c>
      <c r="D93" s="116"/>
      <c r="E93" s="116" t="s">
        <v>857</v>
      </c>
      <c r="F93" s="116" t="s">
        <v>965</v>
      </c>
      <c r="G93" s="116" t="s">
        <v>857</v>
      </c>
      <c r="H93" s="117">
        <v>4.49</v>
      </c>
      <c r="I93" s="116" t="s">
        <v>220</v>
      </c>
      <c r="J93" s="117" t="s">
        <v>255</v>
      </c>
      <c r="K93" s="116">
        <v>7.4999999999999997E-2</v>
      </c>
      <c r="L93" s="116">
        <v>9.2699999999999991E-2</v>
      </c>
      <c r="M93" s="111">
        <v>1095173.3799999999</v>
      </c>
      <c r="N93" s="60">
        <v>91.43</v>
      </c>
      <c r="O93" s="83">
        <v>1114.76648</v>
      </c>
      <c r="P93" s="24">
        <v>1.9995873597440195E-2</v>
      </c>
      <c r="Q93" s="24">
        <v>4.5333270910150026E-4</v>
      </c>
      <c r="R93" s="14"/>
    </row>
    <row r="94" spans="1:18" x14ac:dyDescent="0.25">
      <c r="A94" s="16" t="s">
        <v>1129</v>
      </c>
      <c r="B94" s="116" t="s">
        <v>1134</v>
      </c>
      <c r="C94" s="116" t="s">
        <v>1048</v>
      </c>
      <c r="D94" s="116"/>
      <c r="E94" s="116" t="s">
        <v>857</v>
      </c>
      <c r="F94" s="116" t="s">
        <v>1049</v>
      </c>
      <c r="G94" s="116" t="s">
        <v>857</v>
      </c>
      <c r="H94" s="117">
        <v>5.19</v>
      </c>
      <c r="I94" s="116" t="s">
        <v>220</v>
      </c>
      <c r="J94" s="117" t="s">
        <v>255</v>
      </c>
      <c r="K94" s="116">
        <v>0.05</v>
      </c>
      <c r="L94" s="116">
        <v>6.5199999999999994E-2</v>
      </c>
      <c r="M94" s="111">
        <v>440617.64</v>
      </c>
      <c r="N94" s="60">
        <v>96.87</v>
      </c>
      <c r="O94" s="83">
        <v>457.82729</v>
      </c>
      <c r="P94" s="24">
        <v>8.2121742845179518E-3</v>
      </c>
      <c r="Q94" s="24">
        <v>1.8618077364175698E-4</v>
      </c>
      <c r="R94" s="14"/>
    </row>
    <row r="95" spans="1:18" x14ac:dyDescent="0.25">
      <c r="A95" s="16" t="s">
        <v>1129</v>
      </c>
      <c r="B95" s="116" t="s">
        <v>1134</v>
      </c>
      <c r="C95" s="116" t="s">
        <v>1050</v>
      </c>
      <c r="D95" s="116"/>
      <c r="E95" s="116" t="s">
        <v>857</v>
      </c>
      <c r="F95" s="116" t="s">
        <v>1011</v>
      </c>
      <c r="G95" s="116" t="s">
        <v>857</v>
      </c>
      <c r="H95" s="117">
        <v>5.19</v>
      </c>
      <c r="I95" s="116" t="s">
        <v>220</v>
      </c>
      <c r="J95" s="117" t="s">
        <v>255</v>
      </c>
      <c r="K95" s="116">
        <v>0.05</v>
      </c>
      <c r="L95" s="116">
        <v>6.1699999999999998E-2</v>
      </c>
      <c r="M95" s="111">
        <v>318221.81</v>
      </c>
      <c r="N95" s="60">
        <v>97.64</v>
      </c>
      <c r="O95" s="83">
        <v>327.32211000000001</v>
      </c>
      <c r="P95" s="24">
        <v>5.8712669017527462E-3</v>
      </c>
      <c r="Q95" s="24">
        <v>1.3310932965540843E-4</v>
      </c>
      <c r="R95" s="14"/>
    </row>
    <row r="96" spans="1:18" x14ac:dyDescent="0.25">
      <c r="A96" s="16" t="s">
        <v>1129</v>
      </c>
      <c r="B96" s="116" t="s">
        <v>1134</v>
      </c>
      <c r="C96" s="116" t="s">
        <v>1051</v>
      </c>
      <c r="D96" s="116"/>
      <c r="E96" s="116" t="s">
        <v>857</v>
      </c>
      <c r="F96" s="116" t="s">
        <v>965</v>
      </c>
      <c r="G96" s="116" t="s">
        <v>857</v>
      </c>
      <c r="H96" s="117">
        <v>5.19</v>
      </c>
      <c r="I96" s="116" t="s">
        <v>201</v>
      </c>
      <c r="J96" s="117" t="s">
        <v>255</v>
      </c>
      <c r="K96" s="116">
        <v>0.05</v>
      </c>
      <c r="L96" s="116">
        <v>4.3299999999999998E-2</v>
      </c>
      <c r="M96" s="111">
        <v>150568.97</v>
      </c>
      <c r="N96" s="60">
        <v>106.08</v>
      </c>
      <c r="O96" s="83">
        <v>154.48022</v>
      </c>
      <c r="P96" s="24">
        <v>2.7709542831111616E-3</v>
      </c>
      <c r="Q96" s="24">
        <v>6.2821171870180171E-5</v>
      </c>
      <c r="R96" s="14"/>
    </row>
    <row r="97" spans="1:18" x14ac:dyDescent="0.25">
      <c r="A97" s="16" t="s">
        <v>1129</v>
      </c>
      <c r="B97" s="116" t="s">
        <v>1134</v>
      </c>
      <c r="C97" s="116" t="s">
        <v>1010</v>
      </c>
      <c r="D97" s="116"/>
      <c r="E97" s="116" t="s">
        <v>857</v>
      </c>
      <c r="F97" s="116" t="s">
        <v>1011</v>
      </c>
      <c r="G97" s="116" t="s">
        <v>857</v>
      </c>
      <c r="H97" s="117">
        <v>5.21</v>
      </c>
      <c r="I97" s="116" t="s">
        <v>220</v>
      </c>
      <c r="J97" s="117" t="s">
        <v>255</v>
      </c>
      <c r="K97" s="116">
        <v>0.04</v>
      </c>
      <c r="L97" s="116">
        <v>4.5999999999999999E-2</v>
      </c>
      <c r="M97" s="111">
        <v>63336.43</v>
      </c>
      <c r="N97" s="60">
        <v>100.97</v>
      </c>
      <c r="O97" s="83">
        <v>65.0608</v>
      </c>
      <c r="P97" s="24">
        <v>1.1670135012925192E-3</v>
      </c>
      <c r="Q97" s="24">
        <v>2.6457728366851222E-5</v>
      </c>
      <c r="R97" s="14"/>
    </row>
    <row r="98" spans="1:18" x14ac:dyDescent="0.25">
      <c r="A98" s="16" t="s">
        <v>1129</v>
      </c>
      <c r="B98" s="116" t="s">
        <v>1134</v>
      </c>
      <c r="C98" s="116" t="s">
        <v>1012</v>
      </c>
      <c r="D98" s="116"/>
      <c r="E98" s="116" t="s">
        <v>857</v>
      </c>
      <c r="F98" s="116" t="s">
        <v>965</v>
      </c>
      <c r="G98" s="116" t="s">
        <v>857</v>
      </c>
      <c r="H98" s="117">
        <v>5.19</v>
      </c>
      <c r="I98" s="116" t="s">
        <v>201</v>
      </c>
      <c r="J98" s="117" t="s">
        <v>255</v>
      </c>
      <c r="K98" s="116">
        <v>0.04</v>
      </c>
      <c r="L98" s="116">
        <v>4.2999999999999997E-2</v>
      </c>
      <c r="M98" s="111">
        <v>66903.41</v>
      </c>
      <c r="N98" s="60">
        <v>106.52</v>
      </c>
      <c r="O98" s="83">
        <v>68.475960000000001</v>
      </c>
      <c r="P98" s="24">
        <v>1.2282721674797498E-3</v>
      </c>
      <c r="Q98" s="24">
        <v>2.7846542762145098E-5</v>
      </c>
      <c r="R98" s="14"/>
    </row>
    <row r="99" spans="1:18" x14ac:dyDescent="0.25">
      <c r="A99" s="16" t="s">
        <v>1129</v>
      </c>
      <c r="B99" s="116" t="s">
        <v>1134</v>
      </c>
      <c r="C99" s="116" t="s">
        <v>1044</v>
      </c>
      <c r="D99" s="116"/>
      <c r="E99" s="116" t="s">
        <v>857</v>
      </c>
      <c r="F99" s="116" t="s">
        <v>1043</v>
      </c>
      <c r="G99" s="116" t="s">
        <v>857</v>
      </c>
      <c r="H99" s="117">
        <v>1.32</v>
      </c>
      <c r="I99" s="116" t="s">
        <v>220</v>
      </c>
      <c r="J99" s="117" t="s">
        <v>255</v>
      </c>
      <c r="K99" s="116">
        <v>6.5000000000000002E-2</v>
      </c>
      <c r="L99" s="116">
        <v>7.5399999999999995E-2</v>
      </c>
      <c r="M99" s="111">
        <v>54746.15</v>
      </c>
      <c r="N99" s="60">
        <v>103.89</v>
      </c>
      <c r="O99" s="83">
        <v>61.181660000000001</v>
      </c>
      <c r="P99" s="24">
        <v>1.0974322979657254E-3</v>
      </c>
      <c r="Q99" s="24">
        <v>2.4880231127084925E-5</v>
      </c>
      <c r="R99" s="14"/>
    </row>
    <row r="100" spans="1:18" x14ac:dyDescent="0.25">
      <c r="A100" s="16" t="s">
        <v>1129</v>
      </c>
      <c r="B100" s="116" t="s">
        <v>1134</v>
      </c>
      <c r="C100" s="116" t="s">
        <v>1047</v>
      </c>
      <c r="D100" s="116"/>
      <c r="E100" s="116" t="s">
        <v>857</v>
      </c>
      <c r="F100" s="116" t="s">
        <v>1046</v>
      </c>
      <c r="G100" s="116" t="s">
        <v>857</v>
      </c>
      <c r="H100" s="117">
        <v>1.33</v>
      </c>
      <c r="I100" s="116" t="s">
        <v>220</v>
      </c>
      <c r="J100" s="117" t="s">
        <v>255</v>
      </c>
      <c r="K100" s="116">
        <v>6.5000000000000002E-2</v>
      </c>
      <c r="L100" s="116">
        <v>6.5599999999999992E-2</v>
      </c>
      <c r="M100" s="111">
        <v>104621.14</v>
      </c>
      <c r="N100" s="60">
        <v>103.88</v>
      </c>
      <c r="O100" s="83">
        <v>113.67364000000001</v>
      </c>
      <c r="P100" s="24">
        <v>2.0389954107706233E-3</v>
      </c>
      <c r="Q100" s="24">
        <v>4.6226703169823212E-5</v>
      </c>
      <c r="R100" s="14"/>
    </row>
    <row r="101" spans="1:18" x14ac:dyDescent="0.25">
      <c r="A101" s="16" t="s">
        <v>1129</v>
      </c>
      <c r="B101" s="116" t="s">
        <v>1134</v>
      </c>
      <c r="C101" s="116" t="s">
        <v>1024</v>
      </c>
      <c r="D101" s="116"/>
      <c r="E101" s="116" t="s">
        <v>857</v>
      </c>
      <c r="F101" s="116" t="s">
        <v>1021</v>
      </c>
      <c r="G101" s="116" t="s">
        <v>857</v>
      </c>
      <c r="H101" s="117">
        <v>1.39</v>
      </c>
      <c r="I101" s="116" t="s">
        <v>220</v>
      </c>
      <c r="J101" s="117" t="s">
        <v>255</v>
      </c>
      <c r="K101" s="116">
        <v>6.5000000000000002E-2</v>
      </c>
      <c r="L101" s="116">
        <v>7.5199999999999989E-2</v>
      </c>
      <c r="M101" s="111">
        <v>18001.099999999999</v>
      </c>
      <c r="N101" s="60">
        <v>109.66</v>
      </c>
      <c r="O101" s="83">
        <v>23.648949999999999</v>
      </c>
      <c r="P101" s="24">
        <v>4.2419773414086091E-4</v>
      </c>
      <c r="Q101" s="24">
        <v>9.6171196059877248E-6</v>
      </c>
      <c r="R101" s="14"/>
    </row>
    <row r="102" spans="1:18" x14ac:dyDescent="0.25">
      <c r="A102" s="16" t="s">
        <v>1129</v>
      </c>
      <c r="B102" s="116" t="s">
        <v>1134</v>
      </c>
      <c r="C102" s="116" t="s">
        <v>1025</v>
      </c>
      <c r="D102" s="116"/>
      <c r="E102" s="116" t="s">
        <v>857</v>
      </c>
      <c r="F102" s="116" t="s">
        <v>713</v>
      </c>
      <c r="G102" s="116" t="s">
        <v>857</v>
      </c>
      <c r="H102" s="117">
        <v>1.39</v>
      </c>
      <c r="I102" s="116" t="s">
        <v>220</v>
      </c>
      <c r="J102" s="117" t="s">
        <v>255</v>
      </c>
      <c r="K102" s="116">
        <v>6.5000000000000002E-2</v>
      </c>
      <c r="L102" s="116">
        <v>7.5300000000000006E-2</v>
      </c>
      <c r="M102" s="111">
        <v>56931.4</v>
      </c>
      <c r="N102" s="60">
        <v>109.79</v>
      </c>
      <c r="O102" s="83">
        <v>73.637770000000003</v>
      </c>
      <c r="P102" s="24">
        <v>1.3208609761188495E-3</v>
      </c>
      <c r="Q102" s="24">
        <v>2.9945652623402509E-5</v>
      </c>
      <c r="R102" s="14"/>
    </row>
    <row r="103" spans="1:18" x14ac:dyDescent="0.25">
      <c r="A103" s="16" t="s">
        <v>1129</v>
      </c>
      <c r="B103" s="116" t="s">
        <v>1134</v>
      </c>
      <c r="C103" s="116" t="s">
        <v>1029</v>
      </c>
      <c r="D103" s="116"/>
      <c r="E103" s="116" t="s">
        <v>857</v>
      </c>
      <c r="F103" s="116" t="s">
        <v>1028</v>
      </c>
      <c r="G103" s="116" t="s">
        <v>857</v>
      </c>
      <c r="H103" s="117">
        <v>1.39</v>
      </c>
      <c r="I103" s="116" t="s">
        <v>220</v>
      </c>
      <c r="J103" s="117" t="s">
        <v>255</v>
      </c>
      <c r="K103" s="116">
        <v>6.5000000000000002E-2</v>
      </c>
      <c r="L103" s="116">
        <v>7.5300000000000006E-2</v>
      </c>
      <c r="M103" s="111">
        <v>63158.59</v>
      </c>
      <c r="N103" s="60">
        <v>109.82</v>
      </c>
      <c r="O103" s="83">
        <v>80.315759999999997</v>
      </c>
      <c r="P103" s="24">
        <v>1.4406459232989704E-3</v>
      </c>
      <c r="Q103" s="24">
        <v>3.2661334654003867E-5</v>
      </c>
      <c r="R103" s="14"/>
    </row>
    <row r="104" spans="1:18" x14ac:dyDescent="0.25">
      <c r="A104" s="16" t="s">
        <v>1129</v>
      </c>
      <c r="B104" s="116" t="s">
        <v>1134</v>
      </c>
      <c r="C104" s="116" t="s">
        <v>1032</v>
      </c>
      <c r="D104" s="116"/>
      <c r="E104" s="116" t="s">
        <v>857</v>
      </c>
      <c r="F104" s="116" t="s">
        <v>1031</v>
      </c>
      <c r="G104" s="116" t="s">
        <v>857</v>
      </c>
      <c r="H104" s="117">
        <v>1.39</v>
      </c>
      <c r="I104" s="116" t="s">
        <v>220</v>
      </c>
      <c r="J104" s="117" t="s">
        <v>255</v>
      </c>
      <c r="K104" s="116">
        <v>6.5000000000000002E-2</v>
      </c>
      <c r="L104" s="116">
        <v>7.5300000000000006E-2</v>
      </c>
      <c r="M104" s="111">
        <v>135763.09</v>
      </c>
      <c r="N104" s="60">
        <v>108.55</v>
      </c>
      <c r="O104" s="83">
        <v>167.71137999999999</v>
      </c>
      <c r="P104" s="24">
        <v>3.0082852467292159E-3</v>
      </c>
      <c r="Q104" s="24">
        <v>6.8201776431734085E-5</v>
      </c>
      <c r="R104" s="14"/>
    </row>
    <row r="105" spans="1:18" x14ac:dyDescent="0.25">
      <c r="A105" s="16" t="s">
        <v>1129</v>
      </c>
      <c r="B105" s="116" t="s">
        <v>1134</v>
      </c>
      <c r="C105" s="116" t="s">
        <v>1035</v>
      </c>
      <c r="D105" s="116"/>
      <c r="E105" s="116" t="s">
        <v>857</v>
      </c>
      <c r="F105" s="116" t="s">
        <v>1034</v>
      </c>
      <c r="G105" s="116" t="s">
        <v>857</v>
      </c>
      <c r="H105" s="117">
        <v>1.39</v>
      </c>
      <c r="I105" s="116" t="s">
        <v>220</v>
      </c>
      <c r="J105" s="117" t="s">
        <v>255</v>
      </c>
      <c r="K105" s="116">
        <v>6.5000000000000002E-2</v>
      </c>
      <c r="L105" s="116">
        <v>7.5399999999999995E-2</v>
      </c>
      <c r="M105" s="111">
        <v>83219.92</v>
      </c>
      <c r="N105" s="60">
        <v>107.7</v>
      </c>
      <c r="O105" s="83">
        <v>100.42867</v>
      </c>
      <c r="P105" s="24">
        <v>1.801416733376334E-3</v>
      </c>
      <c r="Q105" s="24">
        <v>4.0840482611713046E-5</v>
      </c>
      <c r="R105" s="14"/>
    </row>
    <row r="106" spans="1:18" x14ac:dyDescent="0.25">
      <c r="A106" s="16" t="s">
        <v>1129</v>
      </c>
      <c r="B106" s="116" t="s">
        <v>1134</v>
      </c>
      <c r="C106" s="116" t="s">
        <v>1038</v>
      </c>
      <c r="D106" s="116"/>
      <c r="E106" s="116" t="s">
        <v>857</v>
      </c>
      <c r="F106" s="116" t="s">
        <v>1037</v>
      </c>
      <c r="G106" s="116" t="s">
        <v>857</v>
      </c>
      <c r="H106" s="117">
        <v>1.39</v>
      </c>
      <c r="I106" s="116" t="s">
        <v>220</v>
      </c>
      <c r="J106" s="117" t="s">
        <v>255</v>
      </c>
      <c r="K106" s="116">
        <v>6.5000000000000002E-2</v>
      </c>
      <c r="L106" s="116">
        <v>7.5399999999999995E-2</v>
      </c>
      <c r="M106" s="111">
        <v>45088.27</v>
      </c>
      <c r="N106" s="60">
        <v>107.64</v>
      </c>
      <c r="O106" s="83">
        <v>53.563300000000005</v>
      </c>
      <c r="P106" s="24">
        <v>9.6077967491610308E-4</v>
      </c>
      <c r="Q106" s="24">
        <v>2.1782136737208307E-5</v>
      </c>
      <c r="R106" s="14"/>
    </row>
    <row r="107" spans="1:18" x14ac:dyDescent="0.25">
      <c r="A107" s="16" t="s">
        <v>1129</v>
      </c>
      <c r="B107" s="116" t="s">
        <v>1134</v>
      </c>
      <c r="C107" s="116" t="s">
        <v>1041</v>
      </c>
      <c r="D107" s="116"/>
      <c r="E107" s="116" t="s">
        <v>857</v>
      </c>
      <c r="F107" s="116" t="s">
        <v>1040</v>
      </c>
      <c r="G107" s="116" t="s">
        <v>857</v>
      </c>
      <c r="H107" s="117">
        <v>1.39</v>
      </c>
      <c r="I107" s="116" t="s">
        <v>220</v>
      </c>
      <c r="J107" s="117" t="s">
        <v>255</v>
      </c>
      <c r="K107" s="116">
        <v>6.5000000000000002E-2</v>
      </c>
      <c r="L107" s="116">
        <v>7.5300000000000006E-2</v>
      </c>
      <c r="M107" s="111">
        <v>86610.36</v>
      </c>
      <c r="N107" s="60">
        <v>106.56</v>
      </c>
      <c r="O107" s="83">
        <v>100.19211</v>
      </c>
      <c r="P107" s="24">
        <v>1.7971734914569945E-3</v>
      </c>
      <c r="Q107" s="24">
        <v>4.0744282746011088E-5</v>
      </c>
      <c r="R107" s="14"/>
    </row>
    <row r="108" spans="1:18" x14ac:dyDescent="0.25">
      <c r="A108" s="16" t="s">
        <v>1129</v>
      </c>
      <c r="B108" s="116" t="s">
        <v>1134</v>
      </c>
      <c r="C108" s="116" t="s">
        <v>1020</v>
      </c>
      <c r="D108" s="116"/>
      <c r="E108" s="116" t="s">
        <v>857</v>
      </c>
      <c r="F108" s="116" t="s">
        <v>1021</v>
      </c>
      <c r="G108" s="116" t="s">
        <v>857</v>
      </c>
      <c r="H108" s="117">
        <v>1.32</v>
      </c>
      <c r="I108" s="116" t="s">
        <v>220</v>
      </c>
      <c r="J108" s="117" t="s">
        <v>255</v>
      </c>
      <c r="K108" s="116">
        <v>6.5000000000000002E-2</v>
      </c>
      <c r="L108" s="116">
        <v>7.4900000000000008E-2</v>
      </c>
      <c r="M108" s="111">
        <v>61522.43</v>
      </c>
      <c r="N108" s="60">
        <v>110.84</v>
      </c>
      <c r="O108" s="83">
        <v>68.908020000000008</v>
      </c>
      <c r="P108" s="24">
        <v>1.2360221467817018E-3</v>
      </c>
      <c r="Q108" s="24">
        <v>2.8022244968668564E-5</v>
      </c>
      <c r="R108" s="14"/>
    </row>
    <row r="109" spans="1:18" x14ac:dyDescent="0.25">
      <c r="A109" s="16" t="s">
        <v>1129</v>
      </c>
      <c r="B109" s="116" t="s">
        <v>1134</v>
      </c>
      <c r="C109" s="116" t="s">
        <v>1042</v>
      </c>
      <c r="D109" s="116"/>
      <c r="E109" s="116" t="s">
        <v>857</v>
      </c>
      <c r="F109" s="116" t="s">
        <v>1043</v>
      </c>
      <c r="G109" s="116" t="s">
        <v>857</v>
      </c>
      <c r="H109" s="117">
        <v>1.32</v>
      </c>
      <c r="I109" s="116" t="s">
        <v>220</v>
      </c>
      <c r="J109" s="117" t="s">
        <v>255</v>
      </c>
      <c r="K109" s="116">
        <v>6.5000000000000002E-2</v>
      </c>
      <c r="L109" s="116">
        <v>7.4999999999999997E-2</v>
      </c>
      <c r="M109" s="111">
        <v>68655.14</v>
      </c>
      <c r="N109" s="60">
        <v>105.16</v>
      </c>
      <c r="O109" s="83">
        <v>72.960830000000001</v>
      </c>
      <c r="P109" s="24">
        <v>1.3087185167644461E-3</v>
      </c>
      <c r="Q109" s="24">
        <v>2.9670367126749285E-5</v>
      </c>
      <c r="R109" s="14"/>
    </row>
    <row r="110" spans="1:18" x14ac:dyDescent="0.25">
      <c r="A110" s="16" t="s">
        <v>1129</v>
      </c>
      <c r="B110" s="116" t="s">
        <v>1134</v>
      </c>
      <c r="C110" s="116" t="s">
        <v>1045</v>
      </c>
      <c r="D110" s="116"/>
      <c r="E110" s="116" t="s">
        <v>857</v>
      </c>
      <c r="F110" s="116" t="s">
        <v>1046</v>
      </c>
      <c r="G110" s="116" t="s">
        <v>857</v>
      </c>
      <c r="H110" s="117">
        <v>1.32</v>
      </c>
      <c r="I110" s="116" t="s">
        <v>220</v>
      </c>
      <c r="J110" s="117" t="s">
        <v>255</v>
      </c>
      <c r="K110" s="116">
        <v>6.5000000000000002E-2</v>
      </c>
      <c r="L110" s="116">
        <v>7.4900000000000008E-2</v>
      </c>
      <c r="M110" s="111">
        <v>85309.81</v>
      </c>
      <c r="N110" s="60">
        <v>103.89</v>
      </c>
      <c r="O110" s="83">
        <v>89.556440000000009</v>
      </c>
      <c r="P110" s="24">
        <v>1.6063985473233255E-3</v>
      </c>
      <c r="Q110" s="24">
        <v>3.6419164274374273E-5</v>
      </c>
      <c r="R110" s="14"/>
    </row>
    <row r="111" spans="1:18" x14ac:dyDescent="0.25">
      <c r="A111" s="16" t="s">
        <v>1129</v>
      </c>
      <c r="B111" s="116" t="s">
        <v>1134</v>
      </c>
      <c r="C111" s="116" t="s">
        <v>1022</v>
      </c>
      <c r="D111" s="116"/>
      <c r="E111" s="116" t="s">
        <v>857</v>
      </c>
      <c r="F111" s="116" t="s">
        <v>1021</v>
      </c>
      <c r="G111" s="116" t="s">
        <v>857</v>
      </c>
      <c r="H111" s="117">
        <v>1.32</v>
      </c>
      <c r="I111" s="116" t="s">
        <v>220</v>
      </c>
      <c r="J111" s="117" t="s">
        <v>255</v>
      </c>
      <c r="K111" s="116">
        <v>6.5000000000000002E-2</v>
      </c>
      <c r="L111" s="116">
        <v>7.4900000000000008E-2</v>
      </c>
      <c r="M111" s="111">
        <v>19034.740000000002</v>
      </c>
      <c r="N111" s="60">
        <v>111.17</v>
      </c>
      <c r="O111" s="83">
        <v>21.383700000000001</v>
      </c>
      <c r="P111" s="24">
        <v>3.8356532055537043E-4</v>
      </c>
      <c r="Q111" s="24">
        <v>8.695929439512525E-6</v>
      </c>
      <c r="R111" s="14"/>
    </row>
    <row r="112" spans="1:18" x14ac:dyDescent="0.25">
      <c r="A112" s="16" t="s">
        <v>1129</v>
      </c>
      <c r="B112" s="116" t="s">
        <v>1134</v>
      </c>
      <c r="C112" s="116" t="s">
        <v>1023</v>
      </c>
      <c r="D112" s="116"/>
      <c r="E112" s="116" t="s">
        <v>857</v>
      </c>
      <c r="F112" s="116" t="s">
        <v>1021</v>
      </c>
      <c r="G112" s="116" t="s">
        <v>857</v>
      </c>
      <c r="H112" s="117">
        <v>1.32</v>
      </c>
      <c r="I112" s="116" t="s">
        <v>220</v>
      </c>
      <c r="J112" s="117" t="s">
        <v>255</v>
      </c>
      <c r="K112" s="116">
        <v>6.5000000000000002E-2</v>
      </c>
      <c r="L112" s="116">
        <v>7.4900000000000008E-2</v>
      </c>
      <c r="M112" s="111">
        <v>47896.12</v>
      </c>
      <c r="N112" s="60">
        <v>111.06</v>
      </c>
      <c r="O112" s="83">
        <v>53.752989999999997</v>
      </c>
      <c r="P112" s="24">
        <v>9.6418219672739604E-4</v>
      </c>
      <c r="Q112" s="24">
        <v>2.1859276374192604E-5</v>
      </c>
      <c r="R112" s="14"/>
    </row>
    <row r="113" spans="1:18" x14ac:dyDescent="0.25">
      <c r="A113" s="16" t="s">
        <v>1129</v>
      </c>
      <c r="B113" s="116" t="s">
        <v>1134</v>
      </c>
      <c r="C113" s="116" t="s">
        <v>1026</v>
      </c>
      <c r="D113" s="116"/>
      <c r="E113" s="116" t="s">
        <v>857</v>
      </c>
      <c r="F113" s="116" t="s">
        <v>713</v>
      </c>
      <c r="G113" s="116" t="s">
        <v>857</v>
      </c>
      <c r="H113" s="117">
        <v>1.32</v>
      </c>
      <c r="I113" s="116" t="s">
        <v>220</v>
      </c>
      <c r="J113" s="117" t="s">
        <v>255</v>
      </c>
      <c r="K113" s="116">
        <v>6.5000000000000002E-2</v>
      </c>
      <c r="L113" s="116">
        <v>7.4900000000000008E-2</v>
      </c>
      <c r="M113" s="111">
        <v>55391.75</v>
      </c>
      <c r="N113" s="60">
        <v>111.06</v>
      </c>
      <c r="O113" s="83">
        <v>62.165210000000002</v>
      </c>
      <c r="P113" s="24">
        <v>1.1150745053962558E-3</v>
      </c>
      <c r="Q113" s="24">
        <v>2.5280203133811196E-5</v>
      </c>
      <c r="R113" s="14"/>
    </row>
    <row r="114" spans="1:18" x14ac:dyDescent="0.25">
      <c r="A114" s="16" t="s">
        <v>1129</v>
      </c>
      <c r="B114" s="116" t="s">
        <v>1134</v>
      </c>
      <c r="C114" s="116" t="s">
        <v>1027</v>
      </c>
      <c r="D114" s="116"/>
      <c r="E114" s="116" t="s">
        <v>857</v>
      </c>
      <c r="F114" s="116" t="s">
        <v>1028</v>
      </c>
      <c r="G114" s="116" t="s">
        <v>857</v>
      </c>
      <c r="H114" s="117">
        <v>1.32</v>
      </c>
      <c r="I114" s="116" t="s">
        <v>220</v>
      </c>
      <c r="J114" s="117" t="s">
        <v>255</v>
      </c>
      <c r="K114" s="116">
        <v>6.5000000000000002E-2</v>
      </c>
      <c r="L114" s="116">
        <v>7.4900000000000008E-2</v>
      </c>
      <c r="M114" s="111">
        <v>75772.42</v>
      </c>
      <c r="N114" s="60">
        <v>110.95</v>
      </c>
      <c r="O114" s="83">
        <v>84.953299999999999</v>
      </c>
      <c r="P114" s="24">
        <v>1.5238307564517156E-3</v>
      </c>
      <c r="Q114" s="24">
        <v>3.4547244043535E-5</v>
      </c>
      <c r="R114" s="14"/>
    </row>
    <row r="115" spans="1:18" x14ac:dyDescent="0.25">
      <c r="A115" s="16" t="s">
        <v>1129</v>
      </c>
      <c r="B115" s="116" t="s">
        <v>1134</v>
      </c>
      <c r="C115" s="116" t="s">
        <v>1030</v>
      </c>
      <c r="D115" s="116"/>
      <c r="E115" s="116" t="s">
        <v>857</v>
      </c>
      <c r="F115" s="116" t="s">
        <v>1031</v>
      </c>
      <c r="G115" s="116" t="s">
        <v>857</v>
      </c>
      <c r="H115" s="117">
        <v>1.32</v>
      </c>
      <c r="I115" s="116" t="s">
        <v>220</v>
      </c>
      <c r="J115" s="117" t="s">
        <v>255</v>
      </c>
      <c r="K115" s="116">
        <v>6.5000000000000002E-2</v>
      </c>
      <c r="L115" s="116">
        <v>7.4900000000000008E-2</v>
      </c>
      <c r="M115" s="111">
        <v>42029.440000000002</v>
      </c>
      <c r="N115" s="60">
        <v>109.53</v>
      </c>
      <c r="O115" s="83">
        <v>46.517160000000004</v>
      </c>
      <c r="P115" s="24">
        <v>8.3439111971854516E-4</v>
      </c>
      <c r="Q115" s="24">
        <v>1.8916742242292703E-5</v>
      </c>
      <c r="R115" s="14"/>
    </row>
    <row r="116" spans="1:18" x14ac:dyDescent="0.25">
      <c r="A116" s="16" t="s">
        <v>1129</v>
      </c>
      <c r="B116" s="116" t="s">
        <v>1134</v>
      </c>
      <c r="C116" s="116" t="s">
        <v>1033</v>
      </c>
      <c r="D116" s="116"/>
      <c r="E116" s="116" t="s">
        <v>857</v>
      </c>
      <c r="F116" s="116" t="s">
        <v>1034</v>
      </c>
      <c r="G116" s="116" t="s">
        <v>857</v>
      </c>
      <c r="H116" s="117">
        <v>1.32</v>
      </c>
      <c r="I116" s="116" t="s">
        <v>220</v>
      </c>
      <c r="J116" s="117" t="s">
        <v>255</v>
      </c>
      <c r="K116" s="116">
        <v>6.5000000000000002E-2</v>
      </c>
      <c r="L116" s="116">
        <v>7.4900000000000008E-2</v>
      </c>
      <c r="M116" s="111">
        <v>89166.86</v>
      </c>
      <c r="N116" s="60">
        <v>108.67</v>
      </c>
      <c r="O116" s="83">
        <v>97.914450000000002</v>
      </c>
      <c r="P116" s="24">
        <v>1.7563184762811293E-3</v>
      </c>
      <c r="Q116" s="24">
        <v>3.9818045909205478E-5</v>
      </c>
      <c r="R116" s="14"/>
    </row>
    <row r="117" spans="1:18" x14ac:dyDescent="0.25">
      <c r="A117" s="16" t="s">
        <v>1129</v>
      </c>
      <c r="B117" s="116" t="s">
        <v>1134</v>
      </c>
      <c r="C117" s="116" t="s">
        <v>1036</v>
      </c>
      <c r="D117" s="116"/>
      <c r="E117" s="116" t="s">
        <v>857</v>
      </c>
      <c r="F117" s="116" t="s">
        <v>1037</v>
      </c>
      <c r="G117" s="116" t="s">
        <v>857</v>
      </c>
      <c r="H117" s="117">
        <v>1.32</v>
      </c>
      <c r="I117" s="116" t="s">
        <v>220</v>
      </c>
      <c r="J117" s="117" t="s">
        <v>255</v>
      </c>
      <c r="K117" s="116">
        <v>6.5000000000000002E-2</v>
      </c>
      <c r="L117" s="116">
        <v>7.4900000000000008E-2</v>
      </c>
      <c r="M117" s="111">
        <v>57149.13</v>
      </c>
      <c r="N117" s="60">
        <v>108.46</v>
      </c>
      <c r="O117" s="83">
        <v>62.632980000000003</v>
      </c>
      <c r="P117" s="24">
        <v>1.1234650248103978E-3</v>
      </c>
      <c r="Q117" s="24">
        <v>2.5470427225709266E-5</v>
      </c>
      <c r="R117" s="14"/>
    </row>
    <row r="118" spans="1:18" x14ac:dyDescent="0.25">
      <c r="A118" s="16" t="s">
        <v>1129</v>
      </c>
      <c r="B118" s="116" t="s">
        <v>1134</v>
      </c>
      <c r="C118" s="116" t="s">
        <v>1039</v>
      </c>
      <c r="D118" s="116"/>
      <c r="E118" s="116" t="s">
        <v>857</v>
      </c>
      <c r="F118" s="116" t="s">
        <v>1040</v>
      </c>
      <c r="G118" s="116" t="s">
        <v>857</v>
      </c>
      <c r="H118" s="117">
        <v>1.32</v>
      </c>
      <c r="I118" s="116" t="s">
        <v>220</v>
      </c>
      <c r="J118" s="117" t="s">
        <v>255</v>
      </c>
      <c r="K118" s="116">
        <v>6.5000000000000002E-2</v>
      </c>
      <c r="L118" s="116">
        <v>7.4900000000000008E-2</v>
      </c>
      <c r="M118" s="111">
        <v>106019.3</v>
      </c>
      <c r="N118" s="60">
        <v>107.2</v>
      </c>
      <c r="O118" s="83">
        <v>114.84542999999999</v>
      </c>
      <c r="P118" s="24">
        <v>2.0600141309628059E-3</v>
      </c>
      <c r="Q118" s="24">
        <v>4.6703225154228449E-5</v>
      </c>
      <c r="R118" s="14"/>
    </row>
    <row r="119" spans="1:18" x14ac:dyDescent="0.25">
      <c r="A119" s="16" t="s">
        <v>1130</v>
      </c>
      <c r="B119" s="116" t="s">
        <v>1134</v>
      </c>
      <c r="C119" s="116" t="s">
        <v>935</v>
      </c>
      <c r="D119" s="116"/>
      <c r="E119" s="116" t="s">
        <v>857</v>
      </c>
      <c r="F119" s="116" t="s">
        <v>936</v>
      </c>
      <c r="G119" s="116" t="s">
        <v>857</v>
      </c>
      <c r="H119" s="117">
        <v>3.53</v>
      </c>
      <c r="I119" s="116" t="s">
        <v>201</v>
      </c>
      <c r="J119" s="117" t="s">
        <v>255</v>
      </c>
      <c r="K119" s="116">
        <v>8.7499999999999994E-2</v>
      </c>
      <c r="L119" s="116">
        <v>9.8000000000000004E-2</v>
      </c>
      <c r="M119" s="111">
        <v>262462.02</v>
      </c>
      <c r="N119" s="60">
        <v>91.49</v>
      </c>
      <c r="O119" s="83">
        <v>267.11083000000002</v>
      </c>
      <c r="P119" s="24">
        <v>4.7912405772977109E-3</v>
      </c>
      <c r="Q119" s="24">
        <v>1.0862371480191107E-4</v>
      </c>
      <c r="R119" s="14"/>
    </row>
    <row r="120" spans="1:18" x14ac:dyDescent="0.25">
      <c r="A120" s="16" t="s">
        <v>1130</v>
      </c>
      <c r="B120" s="116" t="s">
        <v>1134</v>
      </c>
      <c r="C120" s="116" t="s">
        <v>943</v>
      </c>
      <c r="D120" s="116"/>
      <c r="E120" s="116" t="s">
        <v>857</v>
      </c>
      <c r="F120" s="116" t="s">
        <v>944</v>
      </c>
      <c r="G120" s="116" t="s">
        <v>857</v>
      </c>
      <c r="H120" s="117">
        <v>3.49</v>
      </c>
      <c r="I120" s="116" t="s">
        <v>201</v>
      </c>
      <c r="J120" s="117" t="s">
        <v>255</v>
      </c>
      <c r="K120" s="116">
        <v>8.7499999999999994E-2</v>
      </c>
      <c r="L120" s="116">
        <v>0.1152</v>
      </c>
      <c r="M120" s="111">
        <v>99059</v>
      </c>
      <c r="N120" s="60">
        <v>90.19</v>
      </c>
      <c r="O120" s="83">
        <v>99.415199999999999</v>
      </c>
      <c r="P120" s="24">
        <v>1.783237842659421E-3</v>
      </c>
      <c r="Q120" s="24">
        <v>4.0428343290217575E-5</v>
      </c>
      <c r="R120" s="14"/>
    </row>
    <row r="121" spans="1:18" x14ac:dyDescent="0.25">
      <c r="A121" s="16" t="s">
        <v>1130</v>
      </c>
      <c r="B121" s="116" t="s">
        <v>1134</v>
      </c>
      <c r="C121" s="116" t="s">
        <v>950</v>
      </c>
      <c r="D121" s="116"/>
      <c r="E121" s="116" t="s">
        <v>857</v>
      </c>
      <c r="F121" s="116" t="s">
        <v>951</v>
      </c>
      <c r="G121" s="116" t="s">
        <v>857</v>
      </c>
      <c r="H121" s="117">
        <v>3.71</v>
      </c>
      <c r="I121" s="116" t="s">
        <v>201</v>
      </c>
      <c r="J121" s="117" t="s">
        <v>255</v>
      </c>
      <c r="K121" s="116">
        <v>8.7499999999999994E-2</v>
      </c>
      <c r="L121" s="116">
        <v>8.6400000000000005E-2</v>
      </c>
      <c r="M121" s="111">
        <v>99059</v>
      </c>
      <c r="N121" s="60">
        <v>100.1</v>
      </c>
      <c r="O121" s="83">
        <v>100.81356</v>
      </c>
      <c r="P121" s="24">
        <v>1.8083206113875554E-3</v>
      </c>
      <c r="Q121" s="24">
        <v>4.0997002591041884E-5</v>
      </c>
      <c r="R121" s="14"/>
    </row>
    <row r="122" spans="1:18" x14ac:dyDescent="0.25">
      <c r="A122" s="16" t="s">
        <v>1130</v>
      </c>
      <c r="B122" s="116" t="s">
        <v>1134</v>
      </c>
      <c r="C122" s="116" t="s">
        <v>937</v>
      </c>
      <c r="D122" s="116"/>
      <c r="E122" s="116" t="s">
        <v>857</v>
      </c>
      <c r="F122" s="116" t="s">
        <v>936</v>
      </c>
      <c r="G122" s="116" t="s">
        <v>857</v>
      </c>
      <c r="H122" s="117">
        <v>3.13</v>
      </c>
      <c r="I122" s="116" t="s">
        <v>201</v>
      </c>
      <c r="J122" s="117" t="s">
        <v>255</v>
      </c>
      <c r="K122" s="116">
        <v>0.13349999904632567</v>
      </c>
      <c r="L122" s="116">
        <v>0.18579999999999999</v>
      </c>
      <c r="M122" s="111">
        <v>30877.88</v>
      </c>
      <c r="N122" s="60">
        <v>85.07</v>
      </c>
      <c r="O122" s="83">
        <v>31.716650000000001</v>
      </c>
      <c r="P122" s="24">
        <v>5.6891029261505214E-4</v>
      </c>
      <c r="Q122" s="24">
        <v>1.289794331466093E-5</v>
      </c>
      <c r="R122" s="14"/>
    </row>
    <row r="123" spans="1:18" x14ac:dyDescent="0.25">
      <c r="A123" s="16" t="s">
        <v>1130</v>
      </c>
      <c r="B123" s="116" t="s">
        <v>1134</v>
      </c>
      <c r="C123" s="116" t="s">
        <v>945</v>
      </c>
      <c r="D123" s="116"/>
      <c r="E123" s="116" t="s">
        <v>857</v>
      </c>
      <c r="F123" s="116" t="s">
        <v>944</v>
      </c>
      <c r="G123" s="116" t="s">
        <v>857</v>
      </c>
      <c r="H123" s="117">
        <v>3.13</v>
      </c>
      <c r="I123" s="116" t="s">
        <v>201</v>
      </c>
      <c r="J123" s="117" t="s">
        <v>255</v>
      </c>
      <c r="K123" s="116">
        <v>0.13349999904632567</v>
      </c>
      <c r="L123" s="116">
        <v>0.2014</v>
      </c>
      <c r="M123" s="111">
        <v>11654</v>
      </c>
      <c r="N123" s="60">
        <v>83.97</v>
      </c>
      <c r="O123" s="83">
        <v>11.717930000000001</v>
      </c>
      <c r="P123" s="24">
        <v>2.1018774004009558E-4</v>
      </c>
      <c r="Q123" s="24">
        <v>4.7652320439001207E-6</v>
      </c>
      <c r="R123" s="14"/>
    </row>
    <row r="124" spans="1:18" x14ac:dyDescent="0.25">
      <c r="A124" s="16" t="s">
        <v>1130</v>
      </c>
      <c r="B124" s="116" t="s">
        <v>1134</v>
      </c>
      <c r="C124" s="116" t="s">
        <v>952</v>
      </c>
      <c r="D124" s="116"/>
      <c r="E124" s="116" t="s">
        <v>857</v>
      </c>
      <c r="F124" s="116" t="s">
        <v>951</v>
      </c>
      <c r="G124" s="116" t="s">
        <v>857</v>
      </c>
      <c r="H124" s="117">
        <v>3.32</v>
      </c>
      <c r="I124" s="116" t="s">
        <v>201</v>
      </c>
      <c r="J124" s="117" t="s">
        <v>255</v>
      </c>
      <c r="K124" s="116">
        <v>0.13349999904632567</v>
      </c>
      <c r="L124" s="116">
        <v>0.14810000000000001</v>
      </c>
      <c r="M124" s="111">
        <v>11654</v>
      </c>
      <c r="N124" s="60">
        <v>98.89</v>
      </c>
      <c r="O124" s="83">
        <v>11.97057</v>
      </c>
      <c r="P124" s="24">
        <v>2.1471941335131432E-4</v>
      </c>
      <c r="Q124" s="24">
        <v>4.8679710279673513E-6</v>
      </c>
      <c r="R124" s="14"/>
    </row>
    <row r="125" spans="1:18" x14ac:dyDescent="0.25">
      <c r="A125" s="16" t="s">
        <v>1126</v>
      </c>
      <c r="B125" s="116" t="s">
        <v>1134</v>
      </c>
      <c r="C125" s="116" t="s">
        <v>1005</v>
      </c>
      <c r="D125" s="116"/>
      <c r="E125" s="116" t="s">
        <v>857</v>
      </c>
      <c r="F125" s="116" t="s">
        <v>1006</v>
      </c>
      <c r="G125" s="116" t="s">
        <v>857</v>
      </c>
      <c r="H125" s="117">
        <v>4.4800000000000004</v>
      </c>
      <c r="I125" s="116" t="s">
        <v>220</v>
      </c>
      <c r="J125" s="117" t="s">
        <v>255</v>
      </c>
      <c r="K125" s="116">
        <v>3.7400000000000003E-2</v>
      </c>
      <c r="L125" s="116">
        <v>3.8699999999999998E-2</v>
      </c>
      <c r="M125" s="111">
        <v>445179.56</v>
      </c>
      <c r="N125" s="60">
        <v>102.43</v>
      </c>
      <c r="O125" s="83">
        <v>457.58307000000002</v>
      </c>
      <c r="P125" s="24">
        <v>8.2077936430674063E-3</v>
      </c>
      <c r="Q125" s="24">
        <v>1.8608145874827653E-4</v>
      </c>
      <c r="R125" s="14"/>
    </row>
    <row r="126" spans="1:18" x14ac:dyDescent="0.25">
      <c r="A126" s="16" t="s">
        <v>1131</v>
      </c>
      <c r="B126" s="116" t="s">
        <v>1134</v>
      </c>
      <c r="C126" s="116" t="s">
        <v>980</v>
      </c>
      <c r="D126" s="116"/>
      <c r="E126" s="116" t="s">
        <v>857</v>
      </c>
      <c r="F126" s="116" t="s">
        <v>981</v>
      </c>
      <c r="G126" s="116" t="s">
        <v>857</v>
      </c>
      <c r="H126" s="117">
        <v>1.05</v>
      </c>
      <c r="I126" s="116" t="s">
        <v>201</v>
      </c>
      <c r="J126" s="117" t="s">
        <v>255</v>
      </c>
      <c r="K126" s="116">
        <v>3.5000000000000003E-2</v>
      </c>
      <c r="L126" s="116">
        <v>3.8800000000000001E-2</v>
      </c>
      <c r="M126" s="111">
        <v>286406.65999999997</v>
      </c>
      <c r="N126" s="60">
        <v>109.21</v>
      </c>
      <c r="O126" s="83">
        <v>313.85300000000001</v>
      </c>
      <c r="P126" s="24">
        <v>5.6296677634022491E-3</v>
      </c>
      <c r="Q126" s="24">
        <v>1.276319599685426E-4</v>
      </c>
      <c r="R126" s="14"/>
    </row>
    <row r="127" spans="1:18" s="118" customFormat="1" x14ac:dyDescent="0.25">
      <c r="A127" s="91" t="s">
        <v>1052</v>
      </c>
      <c r="B127" s="130" t="s">
        <v>249</v>
      </c>
      <c r="C127" s="130" t="s">
        <v>249</v>
      </c>
      <c r="D127" s="130"/>
      <c r="E127" s="130" t="s">
        <v>249</v>
      </c>
      <c r="F127" s="130" t="s">
        <v>249</v>
      </c>
      <c r="G127" s="130" t="s">
        <v>249</v>
      </c>
      <c r="H127" s="131" t="s">
        <v>249</v>
      </c>
      <c r="I127" s="130" t="s">
        <v>249</v>
      </c>
      <c r="J127" s="131" t="s">
        <v>249</v>
      </c>
      <c r="K127" s="130" t="s">
        <v>249</v>
      </c>
      <c r="L127" s="130" t="s">
        <v>249</v>
      </c>
      <c r="M127" s="159" t="s">
        <v>249</v>
      </c>
      <c r="N127" s="135" t="s">
        <v>249</v>
      </c>
      <c r="O127" s="123">
        <v>0</v>
      </c>
      <c r="P127" s="136">
        <v>0</v>
      </c>
      <c r="Q127" s="136">
        <v>0</v>
      </c>
    </row>
    <row r="128" spans="1:18" s="118" customFormat="1" x14ac:dyDescent="0.25">
      <c r="A128" s="91" t="s">
        <v>1053</v>
      </c>
      <c r="B128" s="130" t="s">
        <v>249</v>
      </c>
      <c r="C128" s="130" t="s">
        <v>249</v>
      </c>
      <c r="D128" s="130"/>
      <c r="E128" s="130" t="s">
        <v>249</v>
      </c>
      <c r="F128" s="130" t="s">
        <v>249</v>
      </c>
      <c r="G128" s="130" t="s">
        <v>249</v>
      </c>
      <c r="H128" s="131" t="s">
        <v>249</v>
      </c>
      <c r="I128" s="130" t="s">
        <v>249</v>
      </c>
      <c r="J128" s="131" t="s">
        <v>249</v>
      </c>
      <c r="K128" s="130" t="s">
        <v>249</v>
      </c>
      <c r="L128" s="130" t="s">
        <v>249</v>
      </c>
      <c r="M128" s="159">
        <v>0</v>
      </c>
      <c r="N128" s="135" t="s">
        <v>249</v>
      </c>
      <c r="O128" s="123">
        <v>0</v>
      </c>
      <c r="P128" s="136">
        <v>0</v>
      </c>
      <c r="Q128" s="136">
        <v>0</v>
      </c>
    </row>
    <row r="129" spans="1:18" s="118" customFormat="1" x14ac:dyDescent="0.25">
      <c r="A129" s="91" t="s">
        <v>1054</v>
      </c>
      <c r="B129" s="130" t="s">
        <v>249</v>
      </c>
      <c r="C129" s="130" t="s">
        <v>249</v>
      </c>
      <c r="D129" s="130"/>
      <c r="E129" s="130" t="s">
        <v>249</v>
      </c>
      <c r="F129" s="130" t="s">
        <v>249</v>
      </c>
      <c r="G129" s="130" t="s">
        <v>249</v>
      </c>
      <c r="H129" s="131" t="s">
        <v>249</v>
      </c>
      <c r="I129" s="130" t="s">
        <v>249</v>
      </c>
      <c r="J129" s="131" t="s">
        <v>249</v>
      </c>
      <c r="K129" s="130" t="s">
        <v>249</v>
      </c>
      <c r="L129" s="130" t="s">
        <v>249</v>
      </c>
      <c r="M129" s="159" t="s">
        <v>249</v>
      </c>
      <c r="N129" s="135" t="s">
        <v>249</v>
      </c>
      <c r="O129" s="123">
        <v>0</v>
      </c>
      <c r="P129" s="136">
        <v>0</v>
      </c>
      <c r="Q129" s="136">
        <v>0</v>
      </c>
    </row>
    <row r="130" spans="1:18" s="118" customFormat="1" x14ac:dyDescent="0.25">
      <c r="A130" s="91" t="s">
        <v>1055</v>
      </c>
      <c r="B130" s="130" t="s">
        <v>249</v>
      </c>
      <c r="C130" s="130" t="s">
        <v>249</v>
      </c>
      <c r="D130" s="130"/>
      <c r="E130" s="130" t="s">
        <v>249</v>
      </c>
      <c r="F130" s="130" t="s">
        <v>249</v>
      </c>
      <c r="G130" s="130" t="s">
        <v>249</v>
      </c>
      <c r="H130" s="131" t="s">
        <v>249</v>
      </c>
      <c r="I130" s="130" t="s">
        <v>249</v>
      </c>
      <c r="J130" s="131" t="s">
        <v>249</v>
      </c>
      <c r="K130" s="130" t="s">
        <v>249</v>
      </c>
      <c r="L130" s="130" t="s">
        <v>249</v>
      </c>
      <c r="M130" s="159" t="s">
        <v>249</v>
      </c>
      <c r="N130" s="135" t="s">
        <v>249</v>
      </c>
      <c r="O130" s="123">
        <v>0</v>
      </c>
      <c r="P130" s="136">
        <v>0</v>
      </c>
      <c r="Q130" s="136">
        <v>0</v>
      </c>
    </row>
    <row r="131" spans="1:18" s="118" customFormat="1" x14ac:dyDescent="0.25">
      <c r="A131" s="91" t="s">
        <v>1056</v>
      </c>
      <c r="B131" s="130" t="s">
        <v>249</v>
      </c>
      <c r="C131" s="130" t="s">
        <v>249</v>
      </c>
      <c r="D131" s="130"/>
      <c r="E131" s="130" t="s">
        <v>249</v>
      </c>
      <c r="F131" s="130" t="s">
        <v>249</v>
      </c>
      <c r="G131" s="130" t="s">
        <v>249</v>
      </c>
      <c r="H131" s="131" t="s">
        <v>249</v>
      </c>
      <c r="I131" s="130" t="s">
        <v>249</v>
      </c>
      <c r="J131" s="131" t="s">
        <v>249</v>
      </c>
      <c r="K131" s="130" t="s">
        <v>249</v>
      </c>
      <c r="L131" s="130" t="s">
        <v>249</v>
      </c>
      <c r="M131" s="159" t="s">
        <v>249</v>
      </c>
      <c r="N131" s="135" t="s">
        <v>249</v>
      </c>
      <c r="O131" s="123">
        <v>0</v>
      </c>
      <c r="P131" s="136">
        <v>0</v>
      </c>
      <c r="Q131" s="136">
        <v>0</v>
      </c>
    </row>
    <row r="132" spans="1:18" s="118" customFormat="1" x14ac:dyDescent="0.25">
      <c r="A132" s="91" t="s">
        <v>1057</v>
      </c>
      <c r="B132" s="130" t="s">
        <v>249</v>
      </c>
      <c r="C132" s="130" t="s">
        <v>249</v>
      </c>
      <c r="D132" s="130"/>
      <c r="E132" s="130" t="s">
        <v>249</v>
      </c>
      <c r="F132" s="130" t="s">
        <v>249</v>
      </c>
      <c r="G132" s="130" t="s">
        <v>249</v>
      </c>
      <c r="H132" s="131" t="s">
        <v>249</v>
      </c>
      <c r="I132" s="130" t="s">
        <v>249</v>
      </c>
      <c r="J132" s="131" t="s">
        <v>249</v>
      </c>
      <c r="K132" s="130" t="s">
        <v>249</v>
      </c>
      <c r="L132" s="130" t="s">
        <v>249</v>
      </c>
      <c r="M132" s="159" t="s">
        <v>249</v>
      </c>
      <c r="N132" s="135" t="s">
        <v>249</v>
      </c>
      <c r="O132" s="123">
        <v>0</v>
      </c>
      <c r="P132" s="136">
        <v>0</v>
      </c>
      <c r="Q132" s="136">
        <v>0</v>
      </c>
    </row>
    <row r="133" spans="1:18" s="118" customFormat="1" x14ac:dyDescent="0.25">
      <c r="A133" s="91" t="s">
        <v>1058</v>
      </c>
      <c r="B133" s="130" t="s">
        <v>249</v>
      </c>
      <c r="C133" s="130" t="s">
        <v>249</v>
      </c>
      <c r="D133" s="130"/>
      <c r="E133" s="130" t="s">
        <v>249</v>
      </c>
      <c r="F133" s="130" t="s">
        <v>249</v>
      </c>
      <c r="G133" s="130" t="s">
        <v>249</v>
      </c>
      <c r="H133" s="131" t="s">
        <v>249</v>
      </c>
      <c r="I133" s="130" t="s">
        <v>249</v>
      </c>
      <c r="J133" s="131" t="s">
        <v>249</v>
      </c>
      <c r="K133" s="130" t="s">
        <v>249</v>
      </c>
      <c r="L133" s="130" t="s">
        <v>249</v>
      </c>
      <c r="M133" s="159" t="s">
        <v>249</v>
      </c>
      <c r="N133" s="135" t="s">
        <v>249</v>
      </c>
      <c r="O133" s="123">
        <v>0</v>
      </c>
      <c r="P133" s="136">
        <v>0</v>
      </c>
      <c r="Q133" s="136">
        <v>0</v>
      </c>
    </row>
    <row r="134" spans="1:18" s="118" customFormat="1" x14ac:dyDescent="0.25">
      <c r="A134" s="91" t="s">
        <v>281</v>
      </c>
      <c r="B134" s="130" t="s">
        <v>249</v>
      </c>
      <c r="C134" s="130" t="s">
        <v>249</v>
      </c>
      <c r="D134" s="130"/>
      <c r="E134" s="130" t="s">
        <v>249</v>
      </c>
      <c r="F134" s="130" t="s">
        <v>249</v>
      </c>
      <c r="G134" s="130" t="s">
        <v>249</v>
      </c>
      <c r="H134" s="131" t="s">
        <v>249</v>
      </c>
      <c r="I134" s="130" t="s">
        <v>249</v>
      </c>
      <c r="J134" s="131" t="s">
        <v>249</v>
      </c>
      <c r="K134" s="130" t="s">
        <v>249</v>
      </c>
      <c r="L134" s="130" t="s">
        <v>249</v>
      </c>
      <c r="M134" s="159" t="s">
        <v>249</v>
      </c>
      <c r="N134" s="135" t="s">
        <v>249</v>
      </c>
      <c r="O134" s="123">
        <v>0</v>
      </c>
      <c r="P134" s="136">
        <v>0</v>
      </c>
      <c r="Q134" s="136">
        <v>0</v>
      </c>
    </row>
    <row r="135" spans="1:18" s="118" customFormat="1" x14ac:dyDescent="0.25">
      <c r="A135" s="91" t="s">
        <v>855</v>
      </c>
      <c r="B135" s="130" t="s">
        <v>249</v>
      </c>
      <c r="C135" s="130" t="s">
        <v>249</v>
      </c>
      <c r="D135" s="130"/>
      <c r="E135" s="130" t="s">
        <v>249</v>
      </c>
      <c r="F135" s="130" t="s">
        <v>249</v>
      </c>
      <c r="G135" s="130" t="s">
        <v>249</v>
      </c>
      <c r="H135" s="131" t="s">
        <v>249</v>
      </c>
      <c r="I135" s="130" t="s">
        <v>249</v>
      </c>
      <c r="J135" s="131" t="s">
        <v>249</v>
      </c>
      <c r="K135" s="130" t="s">
        <v>249</v>
      </c>
      <c r="L135" s="130" t="s">
        <v>249</v>
      </c>
      <c r="M135" s="159" t="s">
        <v>249</v>
      </c>
      <c r="N135" s="135" t="s">
        <v>249</v>
      </c>
      <c r="O135" s="123">
        <v>0</v>
      </c>
      <c r="P135" s="136">
        <v>0</v>
      </c>
      <c r="Q135" s="136">
        <v>0</v>
      </c>
    </row>
    <row r="136" spans="1:18" s="118" customFormat="1" x14ac:dyDescent="0.25">
      <c r="A136" s="91" t="s">
        <v>1057</v>
      </c>
      <c r="B136" s="130" t="s">
        <v>249</v>
      </c>
      <c r="C136" s="130" t="s">
        <v>249</v>
      </c>
      <c r="D136" s="130"/>
      <c r="E136" s="130" t="s">
        <v>249</v>
      </c>
      <c r="F136" s="130" t="s">
        <v>249</v>
      </c>
      <c r="G136" s="130" t="s">
        <v>249</v>
      </c>
      <c r="H136" s="131" t="s">
        <v>249</v>
      </c>
      <c r="I136" s="130" t="s">
        <v>249</v>
      </c>
      <c r="J136" s="131" t="s">
        <v>249</v>
      </c>
      <c r="K136" s="130" t="s">
        <v>249</v>
      </c>
      <c r="L136" s="130" t="s">
        <v>249</v>
      </c>
      <c r="M136" s="159" t="s">
        <v>249</v>
      </c>
      <c r="N136" s="135" t="s">
        <v>249</v>
      </c>
      <c r="O136" s="123">
        <v>0</v>
      </c>
      <c r="P136" s="136">
        <v>0</v>
      </c>
      <c r="Q136" s="136">
        <v>0</v>
      </c>
    </row>
    <row r="137" spans="1:18" s="118" customFormat="1" x14ac:dyDescent="0.25">
      <c r="A137" s="91" t="s">
        <v>877</v>
      </c>
      <c r="B137" s="130" t="s">
        <v>249</v>
      </c>
      <c r="C137" s="130" t="s">
        <v>249</v>
      </c>
      <c r="D137" s="130"/>
      <c r="E137" s="130" t="s">
        <v>249</v>
      </c>
      <c r="F137" s="130" t="s">
        <v>249</v>
      </c>
      <c r="G137" s="130" t="s">
        <v>249</v>
      </c>
      <c r="H137" s="131" t="s">
        <v>249</v>
      </c>
      <c r="I137" s="130" t="s">
        <v>249</v>
      </c>
      <c r="J137" s="131" t="s">
        <v>249</v>
      </c>
      <c r="K137" s="130" t="s">
        <v>249</v>
      </c>
      <c r="L137" s="130" t="s">
        <v>249</v>
      </c>
      <c r="M137" s="159" t="s">
        <v>249</v>
      </c>
      <c r="N137" s="135" t="s">
        <v>249</v>
      </c>
      <c r="O137" s="123">
        <v>0</v>
      </c>
      <c r="P137" s="136">
        <v>0</v>
      </c>
      <c r="Q137" s="136">
        <v>0</v>
      </c>
    </row>
    <row r="138" spans="1:18" s="118" customFormat="1" x14ac:dyDescent="0.25">
      <c r="A138" s="91" t="s">
        <v>1058</v>
      </c>
      <c r="B138" s="130" t="s">
        <v>249</v>
      </c>
      <c r="C138" s="130" t="s">
        <v>249</v>
      </c>
      <c r="D138" s="130"/>
      <c r="E138" s="130" t="s">
        <v>249</v>
      </c>
      <c r="F138" s="130" t="s">
        <v>249</v>
      </c>
      <c r="G138" s="130" t="s">
        <v>249</v>
      </c>
      <c r="H138" s="131" t="s">
        <v>249</v>
      </c>
      <c r="I138" s="130" t="s">
        <v>249</v>
      </c>
      <c r="J138" s="131" t="s">
        <v>249</v>
      </c>
      <c r="K138" s="130" t="s">
        <v>249</v>
      </c>
      <c r="L138" s="130" t="s">
        <v>249</v>
      </c>
      <c r="M138" s="159" t="s">
        <v>249</v>
      </c>
      <c r="N138" s="135" t="s">
        <v>249</v>
      </c>
      <c r="O138" s="123">
        <v>0</v>
      </c>
      <c r="P138" s="136">
        <v>0</v>
      </c>
      <c r="Q138" s="136">
        <v>0</v>
      </c>
    </row>
    <row r="139" spans="1:18" s="118" customFormat="1" x14ac:dyDescent="0.25">
      <c r="A139" s="77" t="s">
        <v>241</v>
      </c>
      <c r="B139" s="77"/>
      <c r="C139" s="124"/>
      <c r="D139" s="124"/>
      <c r="E139" s="124"/>
      <c r="F139" s="125"/>
      <c r="G139" s="125"/>
      <c r="H139" s="125"/>
      <c r="I139" s="125"/>
      <c r="J139" s="125"/>
      <c r="K139" s="126"/>
      <c r="L139" s="127"/>
      <c r="M139" s="128"/>
      <c r="N139" s="128"/>
      <c r="O139" s="128"/>
      <c r="P139" s="128"/>
      <c r="Q139" s="127"/>
      <c r="R139" s="129"/>
    </row>
    <row r="140" spans="1:18" s="118" customFormat="1" x14ac:dyDescent="0.25">
      <c r="A140" s="77" t="s">
        <v>242</v>
      </c>
      <c r="B140" s="77"/>
      <c r="C140" s="124"/>
      <c r="D140" s="124"/>
      <c r="E140" s="124"/>
      <c r="F140" s="125"/>
      <c r="G140" s="125"/>
      <c r="H140" s="125"/>
      <c r="I140" s="125"/>
      <c r="J140" s="125"/>
      <c r="K140" s="126"/>
      <c r="L140" s="127"/>
      <c r="M140" s="128"/>
      <c r="N140" s="128"/>
      <c r="O140" s="128"/>
      <c r="P140" s="128"/>
      <c r="Q140" s="127"/>
      <c r="R140" s="129"/>
    </row>
    <row r="141" spans="1:18" s="118" customFormat="1" x14ac:dyDescent="0.25">
      <c r="A141" s="77" t="s">
        <v>243</v>
      </c>
      <c r="B141" s="77"/>
      <c r="C141" s="124"/>
      <c r="D141" s="124"/>
      <c r="E141" s="124"/>
      <c r="F141" s="125"/>
      <c r="G141" s="125"/>
      <c r="H141" s="125"/>
      <c r="I141" s="125"/>
      <c r="J141" s="125"/>
      <c r="K141" s="126"/>
      <c r="L141" s="127"/>
      <c r="M141" s="128"/>
      <c r="N141" s="128"/>
      <c r="O141" s="128"/>
      <c r="P141" s="128"/>
      <c r="Q141" s="127"/>
      <c r="R141" s="129"/>
    </row>
    <row r="142" spans="1:18" s="118" customFormat="1" x14ac:dyDescent="0.25">
      <c r="A142" s="77" t="s">
        <v>244</v>
      </c>
      <c r="B142" s="77"/>
      <c r="C142" s="124"/>
      <c r="D142" s="124"/>
      <c r="E142" s="124"/>
      <c r="F142" s="125"/>
      <c r="G142" s="125"/>
      <c r="H142" s="125"/>
      <c r="I142" s="125"/>
      <c r="J142" s="125"/>
      <c r="K142" s="126"/>
      <c r="L142" s="127"/>
      <c r="M142" s="128"/>
      <c r="N142" s="128"/>
      <c r="O142" s="128"/>
      <c r="P142" s="128"/>
      <c r="Q142" s="127"/>
      <c r="R142" s="129"/>
    </row>
    <row r="143" spans="1:18" s="118" customFormat="1" x14ac:dyDescent="0.25">
      <c r="A143" s="77" t="s">
        <v>245</v>
      </c>
      <c r="B143" s="77"/>
      <c r="C143" s="124"/>
      <c r="D143" s="124"/>
      <c r="E143" s="124"/>
      <c r="F143" s="125"/>
      <c r="G143" s="125"/>
      <c r="H143" s="125"/>
      <c r="I143" s="125"/>
      <c r="J143" s="125"/>
      <c r="K143" s="126"/>
      <c r="L143" s="127"/>
      <c r="M143" s="128"/>
      <c r="N143" s="128"/>
      <c r="O143" s="128"/>
      <c r="P143" s="128"/>
      <c r="Q143" s="127"/>
      <c r="R143" s="129"/>
    </row>
  </sheetData>
  <sortState xmlns:xlrd2="http://schemas.microsoft.com/office/spreadsheetml/2017/richdata2" ref="A30:Z126">
    <sortCondition ref="A30:A126" customList="א,ב,ג,ד,ה,ו,ז,ח,ט,י,כ,ל,מ,נ,ס,ע,פ,צ,ק,ר,ש,ת"/>
  </sortState>
  <mergeCells count="1">
    <mergeCell ref="A4:Q4"/>
  </mergeCells>
  <phoneticPr fontId="3" type="noConversion"/>
  <conditionalFormatting sqref="B9:L138">
    <cfRule type="expression" dxfId="41" priority="373" stopIfTrue="1">
      <formula>LEFT(#REF!,3)="TIR"</formula>
    </cfRule>
  </conditionalFormatting>
  <conditionalFormatting sqref="O9:P138 A9:A138">
    <cfRule type="expression" dxfId="40" priority="371" stopIfTrue="1">
      <formula>#REF!&gt;0</formula>
    </cfRule>
  </conditionalFormatting>
  <conditionalFormatting sqref="P9:Q138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6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3.5546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236</v>
      </c>
      <c r="B1" s="9" t="s">
        <v>237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15" t="s">
        <v>37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7"/>
      <c r="O4" s="12"/>
      <c r="P4" s="12"/>
      <c r="Q4" s="12"/>
    </row>
    <row r="5" spans="1:17" s="7" customFormat="1" ht="30.75" customHeight="1" x14ac:dyDescent="0.25">
      <c r="A5" s="85" t="s">
        <v>156</v>
      </c>
      <c r="B5" s="200" t="s">
        <v>69</v>
      </c>
      <c r="C5" s="200" t="s">
        <v>74</v>
      </c>
      <c r="D5" s="200" t="s">
        <v>70</v>
      </c>
      <c r="E5" s="200" t="s">
        <v>5</v>
      </c>
      <c r="F5" s="200" t="s">
        <v>14</v>
      </c>
      <c r="G5" s="200" t="s">
        <v>6</v>
      </c>
      <c r="H5" s="201" t="s">
        <v>89</v>
      </c>
      <c r="I5" s="201" t="s">
        <v>71</v>
      </c>
      <c r="J5" s="201" t="s">
        <v>67</v>
      </c>
      <c r="K5" s="201" t="s">
        <v>68</v>
      </c>
      <c r="L5" s="201" t="s">
        <v>29</v>
      </c>
      <c r="M5" s="88" t="s">
        <v>75</v>
      </c>
      <c r="N5" s="89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8" customFormat="1" ht="12.75" customHeight="1" thickBot="1" x14ac:dyDescent="0.3">
      <c r="A8" s="99" t="s">
        <v>122</v>
      </c>
      <c r="B8" s="66" t="s">
        <v>249</v>
      </c>
      <c r="C8" s="100" t="s">
        <v>249</v>
      </c>
      <c r="D8" s="100"/>
      <c r="E8" s="100" t="s">
        <v>249</v>
      </c>
      <c r="F8" s="100" t="s">
        <v>249</v>
      </c>
      <c r="G8" s="100" t="s">
        <v>249</v>
      </c>
      <c r="H8" s="66" t="s">
        <v>249</v>
      </c>
      <c r="I8" s="66" t="s">
        <v>249</v>
      </c>
      <c r="J8" s="101" t="s">
        <v>249</v>
      </c>
      <c r="K8" s="100" t="s">
        <v>249</v>
      </c>
      <c r="L8" s="102">
        <v>60264.304030599997</v>
      </c>
      <c r="M8" s="66">
        <v>1</v>
      </c>
      <c r="N8" s="80">
        <v>2.4507177690082999E-2</v>
      </c>
    </row>
    <row r="9" spans="1:17" s="118" customFormat="1" x14ac:dyDescent="0.25">
      <c r="A9" s="90" t="s">
        <v>137</v>
      </c>
      <c r="B9" s="120" t="s">
        <v>249</v>
      </c>
      <c r="C9" s="121" t="s">
        <v>249</v>
      </c>
      <c r="D9" s="121" t="s">
        <v>249</v>
      </c>
      <c r="E9" s="121" t="s">
        <v>249</v>
      </c>
      <c r="F9" s="121" t="s">
        <v>249</v>
      </c>
      <c r="G9" s="121" t="s">
        <v>249</v>
      </c>
      <c r="H9" s="120" t="s">
        <v>249</v>
      </c>
      <c r="I9" s="120" t="s">
        <v>249</v>
      </c>
      <c r="J9" s="132" t="s">
        <v>249</v>
      </c>
      <c r="K9" s="121" t="s">
        <v>249</v>
      </c>
      <c r="L9" s="122">
        <v>60264.304030500003</v>
      </c>
      <c r="M9" s="120">
        <v>0.99999999999834077</v>
      </c>
      <c r="N9" s="120">
        <v>2.4507177690042337E-2</v>
      </c>
    </row>
    <row r="10" spans="1:17" s="118" customFormat="1" x14ac:dyDescent="0.25">
      <c r="A10" s="91" t="s">
        <v>1059</v>
      </c>
      <c r="B10" s="136" t="s">
        <v>249</v>
      </c>
      <c r="C10" s="135" t="s">
        <v>249</v>
      </c>
      <c r="D10" s="135" t="s">
        <v>249</v>
      </c>
      <c r="E10" s="135" t="s">
        <v>249</v>
      </c>
      <c r="F10" s="135" t="s">
        <v>249</v>
      </c>
      <c r="G10" s="135" t="s">
        <v>249</v>
      </c>
      <c r="H10" s="136" t="s">
        <v>249</v>
      </c>
      <c r="I10" s="136" t="s">
        <v>249</v>
      </c>
      <c r="J10" s="134" t="s">
        <v>249</v>
      </c>
      <c r="K10" s="135" t="s">
        <v>249</v>
      </c>
      <c r="L10" s="123">
        <v>60264.3040301</v>
      </c>
      <c r="M10" s="136">
        <v>0.9999999999917033</v>
      </c>
      <c r="N10" s="136">
        <v>2.4507177689879669E-2</v>
      </c>
    </row>
    <row r="11" spans="1:17" x14ac:dyDescent="0.25">
      <c r="A11" s="16" t="s">
        <v>1060</v>
      </c>
      <c r="B11" s="24" t="s">
        <v>1061</v>
      </c>
      <c r="C11" s="60" t="s">
        <v>259</v>
      </c>
      <c r="D11" s="60" t="s">
        <v>1062</v>
      </c>
      <c r="E11" s="60" t="s">
        <v>759</v>
      </c>
      <c r="F11" s="60">
        <v>4.46</v>
      </c>
      <c r="G11" s="60" t="s">
        <v>255</v>
      </c>
      <c r="H11" s="24">
        <v>2.53E-2</v>
      </c>
      <c r="I11" s="24">
        <v>1.1000000000000001E-2</v>
      </c>
      <c r="J11" s="68">
        <v>6276376.6200000001</v>
      </c>
      <c r="K11" s="60">
        <v>111.7736</v>
      </c>
      <c r="L11" s="83">
        <v>7015.3376100000005</v>
      </c>
      <c r="M11" s="24">
        <v>0.11640950182446096</v>
      </c>
      <c r="N11" s="24">
        <v>2.8528683460261059E-3</v>
      </c>
      <c r="O11" s="14"/>
    </row>
    <row r="12" spans="1:17" x14ac:dyDescent="0.25">
      <c r="A12" s="16" t="s">
        <v>1063</v>
      </c>
      <c r="B12" s="24" t="s">
        <v>1064</v>
      </c>
      <c r="C12" s="60" t="s">
        <v>259</v>
      </c>
      <c r="D12" s="60" t="s">
        <v>1062</v>
      </c>
      <c r="E12" s="60" t="s">
        <v>759</v>
      </c>
      <c r="F12" s="60">
        <v>5.33</v>
      </c>
      <c r="G12" s="60" t="s">
        <v>255</v>
      </c>
      <c r="H12" s="24">
        <v>2.6499999999999999E-2</v>
      </c>
      <c r="I12" s="24">
        <v>1.0800000000000001E-2</v>
      </c>
      <c r="J12" s="68">
        <v>6343339.4299999997</v>
      </c>
      <c r="K12" s="60">
        <v>111.8159</v>
      </c>
      <c r="L12" s="83">
        <v>7092.8668299999999</v>
      </c>
      <c r="M12" s="24">
        <v>0.11769598843120305</v>
      </c>
      <c r="N12" s="24">
        <v>2.8843965018934461E-3</v>
      </c>
      <c r="O12" s="14"/>
    </row>
    <row r="13" spans="1:17" x14ac:dyDescent="0.25">
      <c r="A13" s="16" t="s">
        <v>1067</v>
      </c>
      <c r="B13" s="24" t="s">
        <v>1068</v>
      </c>
      <c r="C13" s="60" t="s">
        <v>252</v>
      </c>
      <c r="D13" s="60" t="s">
        <v>253</v>
      </c>
      <c r="E13" s="60" t="s">
        <v>254</v>
      </c>
      <c r="F13" s="60">
        <v>0.5</v>
      </c>
      <c r="G13" s="60" t="s">
        <v>255</v>
      </c>
      <c r="H13" s="24">
        <v>4.4000000000000004E-2</v>
      </c>
      <c r="I13" s="24">
        <v>2.18E-2</v>
      </c>
      <c r="J13" s="68">
        <v>16000000</v>
      </c>
      <c r="K13" s="60">
        <v>126.938</v>
      </c>
      <c r="L13" s="83">
        <v>20310.095550000002</v>
      </c>
      <c r="M13" s="24">
        <v>0.33701700993157213</v>
      </c>
      <c r="N13" s="24">
        <v>8.2593357469735052E-3</v>
      </c>
      <c r="O13" s="14"/>
    </row>
    <row r="14" spans="1:17" x14ac:dyDescent="0.25">
      <c r="A14" s="16" t="s">
        <v>1065</v>
      </c>
      <c r="B14" s="24" t="s">
        <v>1066</v>
      </c>
      <c r="C14" s="60" t="s">
        <v>257</v>
      </c>
      <c r="D14" s="60" t="s">
        <v>1062</v>
      </c>
      <c r="E14" s="60" t="s">
        <v>759</v>
      </c>
      <c r="F14" s="60">
        <v>8.32</v>
      </c>
      <c r="G14" s="60" t="s">
        <v>255</v>
      </c>
      <c r="H14" s="24">
        <v>1.9400000000000001E-2</v>
      </c>
      <c r="I14" s="24">
        <v>1.9E-2</v>
      </c>
      <c r="J14" s="68">
        <v>11026398.73</v>
      </c>
      <c r="K14" s="60">
        <v>113.79689999999999</v>
      </c>
      <c r="L14" s="83">
        <v>12547.71081</v>
      </c>
      <c r="M14" s="24">
        <v>0.20821132861052763</v>
      </c>
      <c r="N14" s="24">
        <v>5.1026720273464627E-3</v>
      </c>
      <c r="O14" s="14"/>
    </row>
    <row r="15" spans="1:17" x14ac:dyDescent="0.25">
      <c r="A15" s="16" t="s">
        <v>1071</v>
      </c>
      <c r="B15" s="24" t="s">
        <v>1072</v>
      </c>
      <c r="C15" s="60" t="s">
        <v>257</v>
      </c>
      <c r="D15" s="60" t="s">
        <v>1062</v>
      </c>
      <c r="E15" s="60" t="s">
        <v>759</v>
      </c>
      <c r="F15" s="60">
        <v>0.87</v>
      </c>
      <c r="G15" s="60" t="s">
        <v>255</v>
      </c>
      <c r="H15" s="24">
        <v>3.15E-2</v>
      </c>
      <c r="I15" s="24">
        <v>2.4700000000000003E-2</v>
      </c>
      <c r="J15" s="68">
        <v>5000000</v>
      </c>
      <c r="K15" s="60">
        <v>114.0886</v>
      </c>
      <c r="L15" s="83">
        <v>5704.4308200000005</v>
      </c>
      <c r="M15" s="24">
        <v>9.4656877097651373E-2</v>
      </c>
      <c r="N15" s="24">
        <v>2.3197729066204904E-3</v>
      </c>
      <c r="O15" s="14"/>
    </row>
    <row r="16" spans="1:17" x14ac:dyDescent="0.25">
      <c r="A16" s="16" t="s">
        <v>1069</v>
      </c>
      <c r="B16" s="24" t="s">
        <v>1070</v>
      </c>
      <c r="C16" s="60" t="s">
        <v>257</v>
      </c>
      <c r="D16" s="60" t="s">
        <v>1062</v>
      </c>
      <c r="E16" s="60" t="s">
        <v>759</v>
      </c>
      <c r="F16" s="60">
        <v>0.72</v>
      </c>
      <c r="G16" s="60" t="s">
        <v>255</v>
      </c>
      <c r="H16" s="24">
        <v>4.0999999999999995E-2</v>
      </c>
      <c r="I16" s="24">
        <v>2.46E-2</v>
      </c>
      <c r="J16" s="68">
        <v>6000000</v>
      </c>
      <c r="K16" s="60">
        <v>126.5643</v>
      </c>
      <c r="L16" s="83">
        <v>7593.8624099999997</v>
      </c>
      <c r="M16" s="24">
        <v>0.12600929409462883</v>
      </c>
      <c r="N16" s="24">
        <v>3.0881321609789948E-3</v>
      </c>
      <c r="O16" s="14"/>
    </row>
    <row r="17" spans="1:15" s="118" customFormat="1" x14ac:dyDescent="0.25">
      <c r="A17" s="91" t="s">
        <v>752</v>
      </c>
      <c r="B17" s="136" t="s">
        <v>249</v>
      </c>
      <c r="C17" s="135" t="s">
        <v>249</v>
      </c>
      <c r="D17" s="135" t="s">
        <v>249</v>
      </c>
      <c r="E17" s="135" t="s">
        <v>249</v>
      </c>
      <c r="F17" s="135" t="s">
        <v>249</v>
      </c>
      <c r="G17" s="135" t="s">
        <v>249</v>
      </c>
      <c r="H17" s="136" t="s">
        <v>249</v>
      </c>
      <c r="I17" s="136" t="s">
        <v>249</v>
      </c>
      <c r="J17" s="134" t="s">
        <v>249</v>
      </c>
      <c r="K17" s="135" t="s">
        <v>249</v>
      </c>
      <c r="L17" s="123">
        <v>0</v>
      </c>
      <c r="M17" s="136">
        <v>0</v>
      </c>
      <c r="N17" s="136">
        <v>0</v>
      </c>
    </row>
    <row r="18" spans="1:15" s="118" customFormat="1" x14ac:dyDescent="0.25">
      <c r="A18" s="91" t="s">
        <v>1073</v>
      </c>
      <c r="B18" s="136" t="s">
        <v>249</v>
      </c>
      <c r="C18" s="135" t="s">
        <v>249</v>
      </c>
      <c r="D18" s="135" t="s">
        <v>249</v>
      </c>
      <c r="E18" s="135" t="s">
        <v>249</v>
      </c>
      <c r="F18" s="135" t="s">
        <v>249</v>
      </c>
      <c r="G18" s="135" t="s">
        <v>249</v>
      </c>
      <c r="H18" s="136" t="s">
        <v>249</v>
      </c>
      <c r="I18" s="136" t="s">
        <v>249</v>
      </c>
      <c r="J18" s="134" t="s">
        <v>249</v>
      </c>
      <c r="K18" s="135" t="s">
        <v>249</v>
      </c>
      <c r="L18" s="123">
        <v>0</v>
      </c>
      <c r="M18" s="136">
        <v>0</v>
      </c>
      <c r="N18" s="136">
        <v>0</v>
      </c>
    </row>
    <row r="19" spans="1:15" s="118" customFormat="1" x14ac:dyDescent="0.25">
      <c r="A19" s="91" t="s">
        <v>1074</v>
      </c>
      <c r="B19" s="136" t="s">
        <v>249</v>
      </c>
      <c r="C19" s="135" t="s">
        <v>249</v>
      </c>
      <c r="D19" s="135" t="s">
        <v>249</v>
      </c>
      <c r="E19" s="135" t="s">
        <v>249</v>
      </c>
      <c r="F19" s="135" t="s">
        <v>249</v>
      </c>
      <c r="G19" s="135" t="s">
        <v>249</v>
      </c>
      <c r="H19" s="136" t="s">
        <v>249</v>
      </c>
      <c r="I19" s="136" t="s">
        <v>249</v>
      </c>
      <c r="J19" s="134" t="s">
        <v>249</v>
      </c>
      <c r="K19" s="135" t="s">
        <v>249</v>
      </c>
      <c r="L19" s="123">
        <v>0</v>
      </c>
      <c r="M19" s="136">
        <v>0</v>
      </c>
      <c r="N19" s="136">
        <v>0</v>
      </c>
    </row>
    <row r="20" spans="1:15" s="118" customFormat="1" x14ac:dyDescent="0.25">
      <c r="A20" s="91" t="s">
        <v>141</v>
      </c>
      <c r="B20" s="136" t="s">
        <v>249</v>
      </c>
      <c r="C20" s="135" t="s">
        <v>249</v>
      </c>
      <c r="D20" s="135" t="s">
        <v>249</v>
      </c>
      <c r="E20" s="135" t="s">
        <v>249</v>
      </c>
      <c r="F20" s="135" t="s">
        <v>249</v>
      </c>
      <c r="G20" s="135" t="s">
        <v>249</v>
      </c>
      <c r="H20" s="136" t="s">
        <v>249</v>
      </c>
      <c r="I20" s="136" t="s">
        <v>249</v>
      </c>
      <c r="J20" s="134" t="s">
        <v>249</v>
      </c>
      <c r="K20" s="135" t="s">
        <v>249</v>
      </c>
      <c r="L20" s="123">
        <v>0</v>
      </c>
      <c r="M20" s="136">
        <v>0</v>
      </c>
      <c r="N20" s="136">
        <v>0</v>
      </c>
    </row>
    <row r="21" spans="1:15" s="118" customFormat="1" x14ac:dyDescent="0.25">
      <c r="A21" s="91" t="s">
        <v>285</v>
      </c>
      <c r="B21" s="136" t="s">
        <v>249</v>
      </c>
      <c r="C21" s="135" t="s">
        <v>249</v>
      </c>
      <c r="D21" s="135" t="s">
        <v>249</v>
      </c>
      <c r="E21" s="135" t="s">
        <v>249</v>
      </c>
      <c r="F21" s="135" t="s">
        <v>249</v>
      </c>
      <c r="G21" s="135" t="s">
        <v>249</v>
      </c>
      <c r="H21" s="136" t="s">
        <v>249</v>
      </c>
      <c r="I21" s="136" t="s">
        <v>249</v>
      </c>
      <c r="J21" s="134" t="s">
        <v>249</v>
      </c>
      <c r="K21" s="135" t="s">
        <v>249</v>
      </c>
      <c r="L21" s="123">
        <v>0</v>
      </c>
      <c r="M21" s="136">
        <v>0</v>
      </c>
      <c r="N21" s="136">
        <v>0</v>
      </c>
    </row>
    <row r="22" spans="1:15" s="118" customFormat="1" x14ac:dyDescent="0.25">
      <c r="A22" s="77" t="s">
        <v>241</v>
      </c>
      <c r="B22" s="77"/>
      <c r="C22" s="124"/>
      <c r="D22" s="124"/>
      <c r="E22" s="125"/>
      <c r="F22" s="125"/>
      <c r="G22" s="125"/>
      <c r="H22" s="126"/>
      <c r="I22" s="127"/>
      <c r="J22" s="128"/>
      <c r="K22" s="128"/>
      <c r="L22" s="128"/>
      <c r="M22" s="128"/>
      <c r="N22" s="127"/>
      <c r="O22" s="129"/>
    </row>
    <row r="23" spans="1:15" s="118" customFormat="1" x14ac:dyDescent="0.25">
      <c r="A23" s="77" t="s">
        <v>242</v>
      </c>
      <c r="B23" s="77"/>
      <c r="C23" s="124"/>
      <c r="D23" s="124"/>
      <c r="E23" s="125"/>
      <c r="F23" s="125"/>
      <c r="G23" s="125"/>
      <c r="H23" s="126"/>
      <c r="I23" s="127"/>
      <c r="J23" s="128"/>
      <c r="K23" s="128"/>
      <c r="L23" s="128"/>
      <c r="M23" s="128"/>
      <c r="N23" s="127"/>
      <c r="O23" s="129"/>
    </row>
    <row r="24" spans="1:15" s="118" customFormat="1" x14ac:dyDescent="0.25">
      <c r="A24" s="77" t="s">
        <v>243</v>
      </c>
      <c r="B24" s="77"/>
      <c r="C24" s="124"/>
      <c r="D24" s="124"/>
      <c r="E24" s="125"/>
      <c r="F24" s="125"/>
      <c r="G24" s="125"/>
      <c r="H24" s="126"/>
      <c r="I24" s="127"/>
      <c r="J24" s="128"/>
      <c r="K24" s="128"/>
      <c r="L24" s="128"/>
      <c r="M24" s="128"/>
      <c r="N24" s="127"/>
      <c r="O24" s="129"/>
    </row>
    <row r="25" spans="1:15" s="118" customFormat="1" x14ac:dyDescent="0.25">
      <c r="A25" s="77" t="s">
        <v>244</v>
      </c>
      <c r="B25" s="77"/>
      <c r="C25" s="124"/>
      <c r="D25" s="124"/>
      <c r="E25" s="125"/>
      <c r="F25" s="125"/>
      <c r="G25" s="125"/>
      <c r="H25" s="126"/>
      <c r="I25" s="127"/>
      <c r="J25" s="128"/>
      <c r="K25" s="128"/>
      <c r="L25" s="128"/>
      <c r="M25" s="128"/>
      <c r="N25" s="127"/>
      <c r="O25" s="129"/>
    </row>
    <row r="26" spans="1:15" s="118" customFormat="1" x14ac:dyDescent="0.25">
      <c r="A26" s="77" t="s">
        <v>245</v>
      </c>
      <c r="B26" s="77"/>
      <c r="C26" s="124"/>
      <c r="D26" s="124"/>
      <c r="E26" s="125"/>
      <c r="F26" s="125"/>
      <c r="G26" s="125"/>
      <c r="H26" s="126"/>
      <c r="I26" s="127"/>
      <c r="J26" s="128"/>
      <c r="K26" s="128"/>
      <c r="L26" s="128"/>
      <c r="M26" s="128"/>
      <c r="N26" s="127"/>
      <c r="O26" s="129"/>
    </row>
  </sheetData>
  <sortState xmlns:xlrd2="http://schemas.microsoft.com/office/spreadsheetml/2017/richdata2" ref="A11:Z16">
    <sortCondition ref="A11:A16" customList="א,ב,ג,ד,ה,ו,ז,ח,ט,י,כ,ל,מ,נ,ס,ע,פ,צ,ק,ר,ש,ת"/>
  </sortState>
  <mergeCells count="1">
    <mergeCell ref="A4:N4"/>
  </mergeCells>
  <phoneticPr fontId="3" type="noConversion"/>
  <conditionalFormatting sqref="B9:E21 G9:G21 M9:N21">
    <cfRule type="expression" dxfId="38" priority="378" stopIfTrue="1">
      <formula>OR(LEFT(#REF!,3)="TIR",LEFT(#REF!,2)="IR")</formula>
    </cfRule>
  </conditionalFormatting>
  <conditionalFormatting sqref="L8:M21 A8:A21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13.33203125" style="59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236</v>
      </c>
      <c r="B1" s="8" t="s">
        <v>237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8" t="s">
        <v>38</v>
      </c>
      <c r="B4" s="229"/>
      <c r="C4" s="229"/>
      <c r="D4" s="229"/>
      <c r="E4" s="229"/>
      <c r="F4" s="229"/>
      <c r="G4" s="229"/>
      <c r="H4" s="229"/>
      <c r="I4" s="230"/>
      <c r="J4" s="11"/>
      <c r="K4" s="11"/>
      <c r="L4" s="11"/>
    </row>
    <row r="5" spans="1:17" s="7" customFormat="1" ht="33" customHeight="1" x14ac:dyDescent="0.25">
      <c r="A5" s="85" t="s">
        <v>156</v>
      </c>
      <c r="B5" s="86" t="s">
        <v>39</v>
      </c>
      <c r="C5" s="86" t="s">
        <v>41</v>
      </c>
      <c r="D5" s="86" t="s">
        <v>42</v>
      </c>
      <c r="E5" s="86" t="s">
        <v>6</v>
      </c>
      <c r="F5" s="87" t="s">
        <v>82</v>
      </c>
      <c r="G5" s="88" t="s">
        <v>75</v>
      </c>
      <c r="H5" s="88" t="s">
        <v>8</v>
      </c>
      <c r="I5" s="89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8" customFormat="1" ht="12.75" customHeight="1" thickBot="1" x14ac:dyDescent="0.3">
      <c r="A8" s="148" t="s">
        <v>73</v>
      </c>
      <c r="B8" s="69"/>
      <c r="C8" s="69" t="s">
        <v>249</v>
      </c>
      <c r="D8" s="160"/>
      <c r="E8" s="149"/>
      <c r="F8" s="152">
        <v>4.0000000000000003E-7</v>
      </c>
      <c r="G8" s="69">
        <v>1</v>
      </c>
      <c r="H8" s="69">
        <v>0</v>
      </c>
      <c r="I8" s="81"/>
    </row>
    <row r="9" spans="1:17" s="118" customFormat="1" x14ac:dyDescent="0.25">
      <c r="A9" s="90" t="s">
        <v>1075</v>
      </c>
      <c r="B9" s="120" t="s">
        <v>249</v>
      </c>
      <c r="C9" s="120" t="s">
        <v>249</v>
      </c>
      <c r="D9" s="120" t="s">
        <v>249</v>
      </c>
      <c r="E9" s="121" t="s">
        <v>249</v>
      </c>
      <c r="F9" s="122">
        <v>0</v>
      </c>
      <c r="G9" s="120">
        <v>0</v>
      </c>
      <c r="H9" s="120">
        <v>0</v>
      </c>
      <c r="I9" s="120" t="s">
        <v>249</v>
      </c>
    </row>
    <row r="10" spans="1:17" s="118" customFormat="1" x14ac:dyDescent="0.25">
      <c r="A10" s="91" t="s">
        <v>1076</v>
      </c>
      <c r="B10" s="120" t="s">
        <v>249</v>
      </c>
      <c r="C10" s="120" t="s">
        <v>249</v>
      </c>
      <c r="D10" s="120" t="s">
        <v>249</v>
      </c>
      <c r="E10" s="121" t="s">
        <v>249</v>
      </c>
      <c r="F10" s="122">
        <v>0</v>
      </c>
      <c r="G10" s="120">
        <v>0</v>
      </c>
      <c r="H10" s="120">
        <v>0</v>
      </c>
      <c r="I10" s="120" t="s">
        <v>249</v>
      </c>
    </row>
    <row r="11" spans="1:17" s="118" customFormat="1" x14ac:dyDescent="0.25">
      <c r="A11" s="91" t="s">
        <v>1077</v>
      </c>
      <c r="B11" s="120" t="s">
        <v>249</v>
      </c>
      <c r="C11" s="120" t="s">
        <v>249</v>
      </c>
      <c r="D11" s="120" t="s">
        <v>249</v>
      </c>
      <c r="E11" s="121" t="s">
        <v>249</v>
      </c>
      <c r="F11" s="122">
        <v>0</v>
      </c>
      <c r="G11" s="120">
        <v>0</v>
      </c>
      <c r="H11" s="120">
        <v>0</v>
      </c>
      <c r="I11" s="120" t="s">
        <v>249</v>
      </c>
    </row>
    <row r="12" spans="1:17" s="118" customFormat="1" x14ac:dyDescent="0.25">
      <c r="A12" s="91" t="s">
        <v>1078</v>
      </c>
      <c r="B12" s="120" t="s">
        <v>249</v>
      </c>
      <c r="C12" s="120" t="s">
        <v>249</v>
      </c>
      <c r="D12" s="120" t="s">
        <v>249</v>
      </c>
      <c r="E12" s="121" t="s">
        <v>249</v>
      </c>
      <c r="F12" s="122">
        <v>0</v>
      </c>
      <c r="G12" s="120">
        <v>0</v>
      </c>
      <c r="H12" s="120">
        <v>0</v>
      </c>
      <c r="I12" s="120" t="s">
        <v>249</v>
      </c>
    </row>
    <row r="13" spans="1:17" s="118" customFormat="1" x14ac:dyDescent="0.25">
      <c r="A13" s="91" t="s">
        <v>1076</v>
      </c>
      <c r="B13" s="120" t="s">
        <v>249</v>
      </c>
      <c r="C13" s="120" t="s">
        <v>249</v>
      </c>
      <c r="D13" s="120" t="s">
        <v>249</v>
      </c>
      <c r="E13" s="121" t="s">
        <v>249</v>
      </c>
      <c r="F13" s="122">
        <v>0</v>
      </c>
      <c r="G13" s="120">
        <v>0</v>
      </c>
      <c r="H13" s="120">
        <v>0</v>
      </c>
      <c r="I13" s="120" t="s">
        <v>249</v>
      </c>
    </row>
    <row r="14" spans="1:17" s="118" customFormat="1" x14ac:dyDescent="0.25">
      <c r="A14" s="91" t="s">
        <v>1077</v>
      </c>
      <c r="B14" s="120" t="s">
        <v>249</v>
      </c>
      <c r="C14" s="120" t="s">
        <v>249</v>
      </c>
      <c r="D14" s="120" t="s">
        <v>249</v>
      </c>
      <c r="E14" s="121" t="s">
        <v>249</v>
      </c>
      <c r="F14" s="122">
        <v>0</v>
      </c>
      <c r="G14" s="120">
        <v>0</v>
      </c>
      <c r="H14" s="120">
        <v>0</v>
      </c>
      <c r="I14" s="120" t="s">
        <v>249</v>
      </c>
    </row>
    <row r="15" spans="1:17" s="118" customFormat="1" x14ac:dyDescent="0.25">
      <c r="A15" s="77" t="s">
        <v>241</v>
      </c>
      <c r="B15" s="124"/>
      <c r="C15" s="77"/>
      <c r="D15" s="145"/>
      <c r="E15" s="125"/>
      <c r="F15" s="125"/>
      <c r="G15" s="125"/>
      <c r="H15" s="125"/>
      <c r="I15" s="125"/>
      <c r="J15" s="146"/>
      <c r="K15" s="129"/>
      <c r="L15" s="147"/>
      <c r="M15" s="147"/>
      <c r="N15" s="147"/>
      <c r="O15" s="129"/>
      <c r="P15" s="129"/>
    </row>
    <row r="16" spans="1:17" s="118" customFormat="1" x14ac:dyDescent="0.25">
      <c r="A16" s="77" t="s">
        <v>242</v>
      </c>
      <c r="B16" s="124"/>
      <c r="C16" s="77"/>
      <c r="D16" s="145"/>
      <c r="E16" s="125"/>
      <c r="F16" s="125"/>
      <c r="G16" s="125"/>
      <c r="H16" s="125"/>
      <c r="I16" s="125"/>
      <c r="J16" s="146"/>
      <c r="K16" s="129"/>
      <c r="L16" s="147"/>
      <c r="M16" s="147"/>
      <c r="N16" s="147"/>
      <c r="O16" s="129"/>
      <c r="P16" s="129"/>
    </row>
    <row r="17" spans="1:16" s="118" customFormat="1" x14ac:dyDescent="0.25">
      <c r="A17" s="77" t="s">
        <v>243</v>
      </c>
      <c r="B17" s="124"/>
      <c r="C17" s="77"/>
      <c r="D17" s="145"/>
      <c r="E17" s="125"/>
      <c r="F17" s="125"/>
      <c r="G17" s="125"/>
      <c r="H17" s="125"/>
      <c r="I17" s="125"/>
      <c r="J17" s="146"/>
      <c r="K17" s="129"/>
      <c r="L17" s="147"/>
      <c r="M17" s="147"/>
      <c r="N17" s="147"/>
      <c r="O17" s="129"/>
      <c r="P17" s="129"/>
    </row>
    <row r="18" spans="1:16" s="118" customFormat="1" x14ac:dyDescent="0.25">
      <c r="A18" s="77" t="s">
        <v>244</v>
      </c>
      <c r="B18" s="124"/>
      <c r="C18" s="77"/>
      <c r="D18" s="145"/>
      <c r="E18" s="125"/>
      <c r="F18" s="125"/>
      <c r="G18" s="125"/>
      <c r="H18" s="125"/>
      <c r="I18" s="125"/>
      <c r="J18" s="146"/>
      <c r="K18" s="129"/>
      <c r="L18" s="147"/>
      <c r="M18" s="147"/>
      <c r="N18" s="147"/>
      <c r="O18" s="129"/>
      <c r="P18" s="129"/>
    </row>
    <row r="19" spans="1:16" s="118" customFormat="1" x14ac:dyDescent="0.25">
      <c r="A19" s="77" t="s">
        <v>245</v>
      </c>
      <c r="B19" s="124"/>
      <c r="C19" s="77"/>
      <c r="D19" s="145"/>
      <c r="E19" s="125"/>
      <c r="F19" s="125"/>
      <c r="G19" s="125"/>
      <c r="H19" s="125"/>
      <c r="I19" s="125"/>
      <c r="J19" s="146"/>
      <c r="K19" s="129"/>
      <c r="L19" s="147"/>
      <c r="M19" s="147"/>
      <c r="N19" s="147"/>
      <c r="O19" s="129"/>
      <c r="P19" s="129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5" t="s">
        <v>86</v>
      </c>
      <c r="B4" s="216"/>
      <c r="C4" s="216"/>
      <c r="D4" s="216"/>
      <c r="E4" s="216"/>
      <c r="F4" s="216"/>
      <c r="G4" s="216"/>
      <c r="H4" s="216"/>
      <c r="I4" s="216"/>
      <c r="J4" s="217"/>
      <c r="K4" s="11"/>
      <c r="L4" s="11"/>
      <c r="M4" s="11"/>
    </row>
    <row r="5" spans="1:18" s="7" customFormat="1" ht="33" customHeight="1" x14ac:dyDescent="0.25">
      <c r="A5" s="85" t="s">
        <v>156</v>
      </c>
      <c r="B5" s="200" t="s">
        <v>74</v>
      </c>
      <c r="C5" s="200" t="s">
        <v>70</v>
      </c>
      <c r="D5" s="200" t="s">
        <v>83</v>
      </c>
      <c r="E5" s="200" t="s">
        <v>84</v>
      </c>
      <c r="F5" s="201" t="s">
        <v>6</v>
      </c>
      <c r="G5" s="88" t="s">
        <v>71</v>
      </c>
      <c r="H5" s="88" t="s">
        <v>29</v>
      </c>
      <c r="I5" s="88" t="s">
        <v>75</v>
      </c>
      <c r="J5" s="89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8" customFormat="1" ht="12.75" customHeight="1" thickBot="1" x14ac:dyDescent="0.3">
      <c r="A8" s="99" t="s">
        <v>123</v>
      </c>
      <c r="B8" s="69"/>
      <c r="C8" s="69"/>
      <c r="D8" s="160"/>
      <c r="E8" s="149"/>
      <c r="F8" s="106"/>
      <c r="G8" s="106"/>
      <c r="H8" s="152">
        <v>2.0000000000000002E-7</v>
      </c>
      <c r="I8" s="69">
        <v>1</v>
      </c>
      <c r="J8" s="80">
        <v>8.1332317975958566E-14</v>
      </c>
    </row>
    <row r="9" spans="1:18" s="118" customFormat="1" x14ac:dyDescent="0.25">
      <c r="A9" s="90" t="s">
        <v>137</v>
      </c>
      <c r="B9" s="120" t="s">
        <v>249</v>
      </c>
      <c r="C9" s="120" t="s">
        <v>249</v>
      </c>
      <c r="D9" s="120" t="s">
        <v>249</v>
      </c>
      <c r="E9" s="120" t="s">
        <v>249</v>
      </c>
      <c r="F9" s="133" t="s">
        <v>249</v>
      </c>
      <c r="G9" s="161" t="s">
        <v>249</v>
      </c>
      <c r="H9" s="122">
        <v>0</v>
      </c>
      <c r="I9" s="120">
        <v>0</v>
      </c>
      <c r="J9" s="120">
        <v>0</v>
      </c>
    </row>
    <row r="10" spans="1:18" s="118" customFormat="1" x14ac:dyDescent="0.25">
      <c r="A10" s="90" t="s">
        <v>281</v>
      </c>
      <c r="B10" s="120" t="s">
        <v>249</v>
      </c>
      <c r="C10" s="120" t="s">
        <v>249</v>
      </c>
      <c r="D10" s="120" t="s">
        <v>249</v>
      </c>
      <c r="E10" s="120" t="s">
        <v>249</v>
      </c>
      <c r="F10" s="133" t="s">
        <v>249</v>
      </c>
      <c r="G10" s="161" t="s">
        <v>249</v>
      </c>
      <c r="H10" s="122">
        <v>0</v>
      </c>
      <c r="I10" s="120">
        <v>0</v>
      </c>
      <c r="J10" s="120">
        <v>0</v>
      </c>
    </row>
    <row r="11" spans="1:18" s="118" customFormat="1" x14ac:dyDescent="0.25">
      <c r="A11" s="77" t="s">
        <v>241</v>
      </c>
      <c r="B11" s="124"/>
      <c r="C11" s="77"/>
      <c r="D11" s="145"/>
      <c r="E11" s="125"/>
      <c r="F11" s="125"/>
      <c r="G11" s="125"/>
      <c r="H11" s="125"/>
      <c r="I11" s="125"/>
      <c r="J11" s="125"/>
      <c r="K11" s="146"/>
      <c r="L11" s="129"/>
      <c r="M11" s="147"/>
      <c r="N11" s="147"/>
      <c r="O11" s="147"/>
      <c r="P11" s="129"/>
      <c r="Q11" s="129"/>
    </row>
    <row r="12" spans="1:18" s="118" customFormat="1" x14ac:dyDescent="0.25">
      <c r="A12" s="77" t="s">
        <v>242</v>
      </c>
      <c r="B12" s="124"/>
      <c r="C12" s="77"/>
      <c r="D12" s="145"/>
      <c r="E12" s="125"/>
      <c r="F12" s="125"/>
      <c r="G12" s="125"/>
      <c r="H12" s="125"/>
      <c r="I12" s="125"/>
      <c r="J12" s="125"/>
      <c r="K12" s="146"/>
      <c r="L12" s="129"/>
      <c r="M12" s="147"/>
      <c r="N12" s="147"/>
      <c r="O12" s="147"/>
      <c r="P12" s="129"/>
      <c r="Q12" s="129"/>
    </row>
    <row r="13" spans="1:18" s="118" customFormat="1" x14ac:dyDescent="0.25">
      <c r="A13" s="77" t="s">
        <v>243</v>
      </c>
      <c r="B13" s="124"/>
      <c r="C13" s="77"/>
      <c r="D13" s="145"/>
      <c r="E13" s="125"/>
      <c r="F13" s="125"/>
      <c r="G13" s="125"/>
      <c r="H13" s="125"/>
      <c r="I13" s="125"/>
      <c r="J13" s="125"/>
      <c r="K13" s="146"/>
      <c r="L13" s="129"/>
      <c r="M13" s="147"/>
      <c r="N13" s="147"/>
      <c r="O13" s="147"/>
      <c r="P13" s="129"/>
      <c r="Q13" s="129"/>
    </row>
    <row r="14" spans="1:18" s="118" customFormat="1" x14ac:dyDescent="0.25">
      <c r="A14" s="77" t="s">
        <v>244</v>
      </c>
      <c r="B14" s="124"/>
      <c r="C14" s="77"/>
      <c r="D14" s="145"/>
      <c r="E14" s="125"/>
      <c r="F14" s="125"/>
      <c r="G14" s="125"/>
      <c r="H14" s="125"/>
      <c r="I14" s="125"/>
      <c r="J14" s="125"/>
      <c r="K14" s="146"/>
      <c r="L14" s="129"/>
      <c r="M14" s="147"/>
      <c r="N14" s="147"/>
      <c r="O14" s="147"/>
      <c r="P14" s="129"/>
      <c r="Q14" s="129"/>
    </row>
    <row r="15" spans="1:18" s="118" customFormat="1" x14ac:dyDescent="0.25">
      <c r="A15" s="77" t="s">
        <v>245</v>
      </c>
      <c r="B15" s="124"/>
      <c r="C15" s="77"/>
      <c r="D15" s="145"/>
      <c r="E15" s="125"/>
      <c r="F15" s="125"/>
      <c r="G15" s="125"/>
      <c r="H15" s="125"/>
      <c r="I15" s="125"/>
      <c r="J15" s="125"/>
      <c r="K15" s="146"/>
      <c r="L15" s="129"/>
      <c r="M15" s="147"/>
      <c r="N15" s="147"/>
      <c r="O15" s="147"/>
      <c r="P15" s="129"/>
      <c r="Q15" s="12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3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236</v>
      </c>
      <c r="B1" s="9" t="s">
        <v>237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5" t="s">
        <v>87</v>
      </c>
      <c r="B4" s="216"/>
      <c r="C4" s="216"/>
      <c r="D4" s="216"/>
      <c r="E4" s="216"/>
      <c r="F4" s="216"/>
      <c r="G4" s="216"/>
      <c r="H4" s="216"/>
      <c r="I4" s="216"/>
      <c r="J4" s="217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5" t="s">
        <v>156</v>
      </c>
      <c r="B5" s="200" t="s">
        <v>81</v>
      </c>
      <c r="C5" s="200" t="s">
        <v>70</v>
      </c>
      <c r="D5" s="200" t="s">
        <v>5</v>
      </c>
      <c r="E5" s="201" t="s">
        <v>66</v>
      </c>
      <c r="F5" s="201" t="s">
        <v>6</v>
      </c>
      <c r="G5" s="201" t="s">
        <v>71</v>
      </c>
      <c r="H5" s="201" t="s">
        <v>29</v>
      </c>
      <c r="I5" s="88" t="s">
        <v>75</v>
      </c>
      <c r="J5" s="89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8" customFormat="1" ht="12.75" customHeight="1" thickBot="1" x14ac:dyDescent="0.3">
      <c r="A8" s="71" t="s">
        <v>124</v>
      </c>
      <c r="B8" s="119"/>
      <c r="C8" s="119"/>
      <c r="D8" s="119" t="s">
        <v>249</v>
      </c>
      <c r="E8" s="119" t="s">
        <v>249</v>
      </c>
      <c r="F8" s="119" t="s">
        <v>249</v>
      </c>
      <c r="G8" s="119" t="s">
        <v>249</v>
      </c>
      <c r="H8" s="93">
        <v>1823.1915101999998</v>
      </c>
      <c r="I8" s="76">
        <v>1</v>
      </c>
      <c r="J8" s="58">
        <v>7.4142195819327237E-4</v>
      </c>
    </row>
    <row r="9" spans="1:20" s="118" customFormat="1" x14ac:dyDescent="0.25">
      <c r="A9" s="90" t="s">
        <v>137</v>
      </c>
      <c r="B9" s="162"/>
      <c r="C9" s="121" t="s">
        <v>249</v>
      </c>
      <c r="D9" s="142" t="s">
        <v>249</v>
      </c>
      <c r="E9" s="156" t="s">
        <v>249</v>
      </c>
      <c r="F9" s="133" t="s">
        <v>249</v>
      </c>
      <c r="G9" s="156" t="s">
        <v>249</v>
      </c>
      <c r="H9" s="122">
        <v>1823.1915101</v>
      </c>
      <c r="I9" s="120">
        <v>0.99999999994515121</v>
      </c>
      <c r="J9" s="120">
        <v>7.4142195815260633E-4</v>
      </c>
    </row>
    <row r="10" spans="1:20" x14ac:dyDescent="0.25">
      <c r="A10" s="16" t="s">
        <v>1079</v>
      </c>
      <c r="B10" s="23" t="s">
        <v>1080</v>
      </c>
      <c r="C10" s="65" t="s">
        <v>857</v>
      </c>
      <c r="D10" s="25" t="s">
        <v>249</v>
      </c>
      <c r="E10" s="17">
        <v>0</v>
      </c>
      <c r="F10" s="67" t="s">
        <v>255</v>
      </c>
      <c r="G10" s="17">
        <v>0</v>
      </c>
      <c r="H10" s="84">
        <v>1823.1915100000001</v>
      </c>
      <c r="I10" s="75">
        <v>0.9999999998903023</v>
      </c>
      <c r="J10" s="32">
        <v>7.4142195811194018E-4</v>
      </c>
      <c r="K10" s="14"/>
      <c r="L10" s="14"/>
      <c r="M10" s="14"/>
      <c r="N10" s="14"/>
      <c r="O10" s="14"/>
      <c r="P10" s="14"/>
    </row>
    <row r="11" spans="1:20" s="118" customFormat="1" x14ac:dyDescent="0.25">
      <c r="A11" s="91" t="s">
        <v>281</v>
      </c>
      <c r="B11" s="163" t="s">
        <v>249</v>
      </c>
      <c r="C11" s="121" t="s">
        <v>249</v>
      </c>
      <c r="D11" s="144" t="s">
        <v>249</v>
      </c>
      <c r="E11" s="157" t="s">
        <v>249</v>
      </c>
      <c r="F11" s="133" t="s">
        <v>249</v>
      </c>
      <c r="G11" s="157" t="s">
        <v>249</v>
      </c>
      <c r="H11" s="122">
        <v>0</v>
      </c>
      <c r="I11" s="120">
        <v>0</v>
      </c>
      <c r="J11" s="120">
        <v>0</v>
      </c>
    </row>
    <row r="12" spans="1:20" s="118" customFormat="1" x14ac:dyDescent="0.25">
      <c r="A12" s="77" t="s">
        <v>241</v>
      </c>
      <c r="B12" s="77"/>
      <c r="C12" s="124"/>
      <c r="D12" s="77"/>
      <c r="E12" s="145"/>
      <c r="F12" s="145"/>
      <c r="G12" s="145"/>
      <c r="H12" s="145"/>
      <c r="I12" s="145"/>
      <c r="J12" s="126"/>
      <c r="K12" s="129"/>
      <c r="L12" s="147"/>
      <c r="M12" s="147"/>
      <c r="N12" s="147"/>
      <c r="O12" s="129"/>
      <c r="P12" s="129"/>
    </row>
    <row r="13" spans="1:20" s="118" customFormat="1" x14ac:dyDescent="0.25">
      <c r="A13" s="77" t="s">
        <v>242</v>
      </c>
      <c r="B13" s="77"/>
      <c r="C13" s="124"/>
      <c r="D13" s="77"/>
      <c r="E13" s="145"/>
      <c r="F13" s="145"/>
      <c r="G13" s="145"/>
      <c r="H13" s="145"/>
      <c r="I13" s="145"/>
      <c r="J13" s="126"/>
      <c r="K13" s="129"/>
      <c r="L13" s="147"/>
      <c r="M13" s="147"/>
      <c r="N13" s="147"/>
      <c r="O13" s="129"/>
      <c r="P13" s="129"/>
    </row>
    <row r="14" spans="1:20" s="118" customFormat="1" x14ac:dyDescent="0.25">
      <c r="A14" s="77" t="s">
        <v>243</v>
      </c>
      <c r="B14" s="77"/>
      <c r="C14" s="124"/>
      <c r="D14" s="77"/>
      <c r="E14" s="145"/>
      <c r="F14" s="145"/>
      <c r="G14" s="145"/>
      <c r="H14" s="145"/>
      <c r="I14" s="145"/>
      <c r="J14" s="126"/>
      <c r="K14" s="129"/>
      <c r="L14" s="147"/>
      <c r="M14" s="147"/>
      <c r="N14" s="147"/>
      <c r="O14" s="129"/>
      <c r="P14" s="129"/>
    </row>
    <row r="15" spans="1:20" s="118" customFormat="1" x14ac:dyDescent="0.25">
      <c r="A15" s="77" t="s">
        <v>244</v>
      </c>
      <c r="B15" s="77"/>
      <c r="C15" s="124"/>
      <c r="D15" s="77"/>
      <c r="E15" s="145"/>
      <c r="F15" s="145"/>
      <c r="G15" s="145"/>
      <c r="H15" s="145"/>
      <c r="I15" s="145"/>
      <c r="J15" s="126"/>
      <c r="K15" s="129"/>
      <c r="L15" s="147"/>
      <c r="M15" s="147"/>
      <c r="N15" s="147"/>
      <c r="O15" s="129"/>
      <c r="P15" s="129"/>
    </row>
    <row r="16" spans="1:20" s="118" customFormat="1" x14ac:dyDescent="0.25">
      <c r="A16" s="77" t="s">
        <v>245</v>
      </c>
      <c r="B16" s="77"/>
      <c r="C16" s="124"/>
      <c r="D16" s="77"/>
      <c r="E16" s="145"/>
      <c r="F16" s="145"/>
      <c r="G16" s="145"/>
      <c r="H16" s="145"/>
      <c r="I16" s="145"/>
      <c r="J16" s="126"/>
      <c r="K16" s="129"/>
      <c r="L16" s="147"/>
      <c r="M16" s="147"/>
      <c r="N16" s="147"/>
      <c r="O16" s="129"/>
      <c r="P16" s="129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5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236</v>
      </c>
      <c r="B1" t="s">
        <v>237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15" t="s">
        <v>128</v>
      </c>
      <c r="B4" s="216"/>
      <c r="C4" s="217"/>
    </row>
    <row r="5" spans="1:3" x14ac:dyDescent="0.25">
      <c r="A5" s="85" t="s">
        <v>156</v>
      </c>
      <c r="B5" s="200" t="s">
        <v>63</v>
      </c>
      <c r="C5" s="94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2" customFormat="1" x14ac:dyDescent="0.25">
      <c r="A7" s="164"/>
      <c r="B7" s="165">
        <v>1</v>
      </c>
      <c r="C7" s="166">
        <v>2</v>
      </c>
    </row>
    <row r="8" spans="1:3" s="112" customFormat="1" ht="13.8" thickBot="1" x14ac:dyDescent="0.3">
      <c r="A8" s="71" t="s">
        <v>1092</v>
      </c>
      <c r="B8" s="167">
        <v>50870.342390200007</v>
      </c>
      <c r="C8" s="115" t="s">
        <v>249</v>
      </c>
    </row>
    <row r="9" spans="1:3" s="112" customFormat="1" x14ac:dyDescent="0.25">
      <c r="A9" s="114" t="s">
        <v>137</v>
      </c>
      <c r="B9" s="168">
        <v>26913.7850301</v>
      </c>
      <c r="C9" s="169" t="s">
        <v>249</v>
      </c>
    </row>
    <row r="10" spans="1:3" x14ac:dyDescent="0.25">
      <c r="A10" s="45" t="s">
        <v>1093</v>
      </c>
      <c r="B10" s="113">
        <v>8112.24737</v>
      </c>
      <c r="C10" s="40" t="s">
        <v>1094</v>
      </c>
    </row>
    <row r="11" spans="1:3" x14ac:dyDescent="0.25">
      <c r="A11" s="45" t="s">
        <v>1095</v>
      </c>
      <c r="B11" s="113">
        <v>86.448340000000002</v>
      </c>
      <c r="C11" s="40" t="s">
        <v>1096</v>
      </c>
    </row>
    <row r="12" spans="1:3" x14ac:dyDescent="0.25">
      <c r="A12" s="45" t="s">
        <v>1097</v>
      </c>
      <c r="B12" s="113">
        <v>10.170969999999999</v>
      </c>
      <c r="C12" s="40" t="s">
        <v>1096</v>
      </c>
    </row>
    <row r="13" spans="1:3" x14ac:dyDescent="0.25">
      <c r="A13" s="45" t="s">
        <v>1098</v>
      </c>
      <c r="B13" s="113">
        <v>2105.07789</v>
      </c>
      <c r="C13" s="40" t="s">
        <v>1099</v>
      </c>
    </row>
    <row r="14" spans="1:3" x14ac:dyDescent="0.25">
      <c r="A14" s="45" t="s">
        <v>1100</v>
      </c>
      <c r="B14" s="113">
        <v>679.5</v>
      </c>
      <c r="C14" s="40" t="s">
        <v>1099</v>
      </c>
    </row>
    <row r="15" spans="1:3" x14ac:dyDescent="0.25">
      <c r="A15" s="45" t="s">
        <v>1101</v>
      </c>
      <c r="B15" s="113">
        <v>2469.4148</v>
      </c>
      <c r="C15" s="40" t="s">
        <v>246</v>
      </c>
    </row>
    <row r="16" spans="1:3" x14ac:dyDescent="0.25">
      <c r="A16" s="45" t="s">
        <v>1102</v>
      </c>
      <c r="B16" s="113">
        <v>4420</v>
      </c>
      <c r="C16" s="40" t="s">
        <v>1103</v>
      </c>
    </row>
    <row r="17" spans="1:3" x14ac:dyDescent="0.25">
      <c r="A17" s="45" t="s">
        <v>1104</v>
      </c>
      <c r="B17" s="113">
        <v>1551.2</v>
      </c>
      <c r="C17" s="40" t="s">
        <v>1096</v>
      </c>
    </row>
    <row r="18" spans="1:3" x14ac:dyDescent="0.25">
      <c r="A18" s="45" t="s">
        <v>1105</v>
      </c>
      <c r="B18" s="113">
        <v>7479.7256600000001</v>
      </c>
      <c r="C18" s="40" t="s">
        <v>1106</v>
      </c>
    </row>
    <row r="19" spans="1:3" s="112" customFormat="1" x14ac:dyDescent="0.25">
      <c r="A19" s="170" t="s">
        <v>281</v>
      </c>
      <c r="B19" s="171">
        <v>23956.5573601</v>
      </c>
      <c r="C19" s="172" t="s">
        <v>249</v>
      </c>
    </row>
    <row r="20" spans="1:3" x14ac:dyDescent="0.25">
      <c r="A20" s="45" t="s">
        <v>1107</v>
      </c>
      <c r="B20" s="113">
        <v>8838.375</v>
      </c>
      <c r="C20" s="40" t="s">
        <v>1108</v>
      </c>
    </row>
    <row r="21" spans="1:3" x14ac:dyDescent="0.25">
      <c r="A21" s="45" t="s">
        <v>1109</v>
      </c>
      <c r="B21" s="113">
        <v>3629.0128399999999</v>
      </c>
      <c r="C21" s="40" t="s">
        <v>1110</v>
      </c>
    </row>
    <row r="22" spans="1:3" x14ac:dyDescent="0.25">
      <c r="A22" s="45" t="s">
        <v>1111</v>
      </c>
      <c r="B22" s="113">
        <v>5424.7923000000001</v>
      </c>
      <c r="C22" s="40" t="s">
        <v>1112</v>
      </c>
    </row>
    <row r="23" spans="1:3" x14ac:dyDescent="0.25">
      <c r="A23" s="45" t="s">
        <v>1113</v>
      </c>
      <c r="B23" s="113">
        <v>496.61734999999999</v>
      </c>
      <c r="C23" s="40" t="s">
        <v>1096</v>
      </c>
    </row>
    <row r="24" spans="1:3" x14ac:dyDescent="0.25">
      <c r="A24" s="45" t="s">
        <v>1114</v>
      </c>
      <c r="B24" s="113">
        <v>5567.7598699999999</v>
      </c>
      <c r="C24" s="40" t="s">
        <v>1096</v>
      </c>
    </row>
    <row r="25" spans="1:3" x14ac:dyDescent="0.25">
      <c r="A25" t="s">
        <v>1091</v>
      </c>
    </row>
  </sheetData>
  <mergeCells count="1">
    <mergeCell ref="A4:C4"/>
  </mergeCells>
  <phoneticPr fontId="3" type="noConversion"/>
  <conditionalFormatting sqref="A8:C24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236</v>
      </c>
      <c r="B1" s="9" t="s">
        <v>237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98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156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5" t="s">
        <v>102</v>
      </c>
      <c r="M5" s="86" t="s">
        <v>17</v>
      </c>
      <c r="N5" s="86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6" t="s">
        <v>116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7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3" t="s">
        <v>144</v>
      </c>
      <c r="B16" s="204"/>
      <c r="C16" s="204"/>
      <c r="D16" s="204"/>
      <c r="E16" s="204"/>
      <c r="F16" s="204"/>
      <c r="G16" s="204"/>
      <c r="H16" s="205"/>
      <c r="I16" s="206"/>
      <c r="J16" s="207"/>
      <c r="K16" s="208"/>
      <c r="L16" s="207"/>
      <c r="M16" s="209"/>
      <c r="N16" s="210"/>
      <c r="O16" s="211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236</v>
      </c>
      <c r="B1" s="9" t="s">
        <v>237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117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156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5" t="s">
        <v>102</v>
      </c>
      <c r="M5" s="86" t="s">
        <v>17</v>
      </c>
      <c r="N5" s="86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119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7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3" t="s">
        <v>144</v>
      </c>
      <c r="B16" s="204"/>
      <c r="C16" s="204"/>
      <c r="D16" s="204"/>
      <c r="E16" s="204"/>
      <c r="F16" s="204"/>
      <c r="G16" s="204"/>
      <c r="H16" s="205"/>
      <c r="I16" s="206"/>
      <c r="J16" s="207"/>
      <c r="K16" s="208"/>
      <c r="L16" s="207"/>
      <c r="M16" s="209"/>
      <c r="N16" s="210"/>
      <c r="O16" s="211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236</v>
      </c>
      <c r="B1" s="9" t="s">
        <v>237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118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156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5" t="s">
        <v>102</v>
      </c>
      <c r="M5" s="86" t="s">
        <v>17</v>
      </c>
      <c r="N5" s="86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120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7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3" t="s">
        <v>144</v>
      </c>
      <c r="B16" s="204"/>
      <c r="C16" s="204"/>
      <c r="D16" s="204"/>
      <c r="E16" s="204"/>
      <c r="F16" s="204"/>
      <c r="G16" s="204"/>
      <c r="H16" s="205"/>
      <c r="I16" s="206"/>
      <c r="J16" s="207"/>
      <c r="K16" s="208"/>
      <c r="L16" s="207"/>
      <c r="M16" s="209"/>
      <c r="N16" s="210"/>
      <c r="O16" s="211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  <row r="33" spans="1:1" x14ac:dyDescent="0.25">
      <c r="A33" t="s">
        <v>195</v>
      </c>
    </row>
    <row r="34" spans="1:1" x14ac:dyDescent="0.25">
      <c r="A34" t="s">
        <v>196</v>
      </c>
    </row>
    <row r="35" spans="1:1" x14ac:dyDescent="0.25">
      <c r="A35" t="s">
        <v>197</v>
      </c>
    </row>
    <row r="36" spans="1:1" x14ac:dyDescent="0.25">
      <c r="A36" t="s">
        <v>198</v>
      </c>
    </row>
    <row r="37" spans="1:1" x14ac:dyDescent="0.25">
      <c r="A37" t="s">
        <v>199</v>
      </c>
    </row>
    <row r="38" spans="1:1" x14ac:dyDescent="0.25">
      <c r="A38" t="s">
        <v>200</v>
      </c>
    </row>
    <row r="39" spans="1:1" x14ac:dyDescent="0.25">
      <c r="A39" t="s">
        <v>201</v>
      </c>
    </row>
    <row r="40" spans="1:1" x14ac:dyDescent="0.25">
      <c r="A40" t="s">
        <v>202</v>
      </c>
    </row>
    <row r="41" spans="1:1" x14ac:dyDescent="0.25">
      <c r="A41" t="s">
        <v>203</v>
      </c>
    </row>
    <row r="42" spans="1:1" x14ac:dyDescent="0.25">
      <c r="A42" t="s">
        <v>204</v>
      </c>
    </row>
    <row r="43" spans="1:1" x14ac:dyDescent="0.25">
      <c r="A43" t="s">
        <v>205</v>
      </c>
    </row>
    <row r="44" spans="1:1" x14ac:dyDescent="0.25">
      <c r="A44" t="s">
        <v>206</v>
      </c>
    </row>
    <row r="45" spans="1:1" x14ac:dyDescent="0.25">
      <c r="A45" t="s">
        <v>207</v>
      </c>
    </row>
    <row r="46" spans="1:1" x14ac:dyDescent="0.25">
      <c r="A46" t="s">
        <v>208</v>
      </c>
    </row>
    <row r="47" spans="1:1" x14ac:dyDescent="0.25">
      <c r="A47" t="s">
        <v>209</v>
      </c>
    </row>
    <row r="48" spans="1:1" x14ac:dyDescent="0.25">
      <c r="A48" t="s">
        <v>210</v>
      </c>
    </row>
    <row r="49" spans="1:1" x14ac:dyDescent="0.25">
      <c r="A49" t="s">
        <v>211</v>
      </c>
    </row>
    <row r="50" spans="1:1" x14ac:dyDescent="0.25">
      <c r="A50" t="s">
        <v>212</v>
      </c>
    </row>
    <row r="51" spans="1:1" x14ac:dyDescent="0.25">
      <c r="A51" t="s">
        <v>213</v>
      </c>
    </row>
    <row r="52" spans="1:1" x14ac:dyDescent="0.25">
      <c r="A52" t="s">
        <v>214</v>
      </c>
    </row>
    <row r="53" spans="1:1" x14ac:dyDescent="0.25">
      <c r="A53" t="s">
        <v>215</v>
      </c>
    </row>
    <row r="54" spans="1:1" x14ac:dyDescent="0.25">
      <c r="A54" t="s">
        <v>216</v>
      </c>
    </row>
    <row r="55" spans="1:1" x14ac:dyDescent="0.25">
      <c r="A55" t="s">
        <v>217</v>
      </c>
    </row>
    <row r="56" spans="1:1" x14ac:dyDescent="0.25">
      <c r="A56" t="s">
        <v>218</v>
      </c>
    </row>
    <row r="57" spans="1:1" x14ac:dyDescent="0.25">
      <c r="A57" t="s">
        <v>219</v>
      </c>
    </row>
    <row r="58" spans="1:1" x14ac:dyDescent="0.25">
      <c r="A58" t="s">
        <v>220</v>
      </c>
    </row>
    <row r="59" spans="1:1" x14ac:dyDescent="0.25">
      <c r="A59" t="s">
        <v>221</v>
      </c>
    </row>
    <row r="60" spans="1:1" x14ac:dyDescent="0.25">
      <c r="A60" t="s">
        <v>222</v>
      </c>
    </row>
    <row r="61" spans="1:1" x14ac:dyDescent="0.25">
      <c r="A61" t="s">
        <v>223</v>
      </c>
    </row>
    <row r="62" spans="1:1" x14ac:dyDescent="0.25">
      <c r="A62" t="s">
        <v>224</v>
      </c>
    </row>
    <row r="63" spans="1:1" x14ac:dyDescent="0.25">
      <c r="A63" t="s">
        <v>225</v>
      </c>
    </row>
    <row r="64" spans="1:1" x14ac:dyDescent="0.25">
      <c r="A64" t="s">
        <v>226</v>
      </c>
    </row>
    <row r="65" spans="1:1" x14ac:dyDescent="0.25">
      <c r="A65" t="s">
        <v>227</v>
      </c>
    </row>
    <row r="66" spans="1:1" x14ac:dyDescent="0.25">
      <c r="A66" t="s">
        <v>228</v>
      </c>
    </row>
    <row r="67" spans="1:1" x14ac:dyDescent="0.25">
      <c r="A67" t="s">
        <v>229</v>
      </c>
    </row>
    <row r="68" spans="1:1" x14ac:dyDescent="0.25">
      <c r="A68" t="s">
        <v>230</v>
      </c>
    </row>
    <row r="69" spans="1:1" x14ac:dyDescent="0.25">
      <c r="A69" t="s">
        <v>231</v>
      </c>
    </row>
    <row r="70" spans="1:1" x14ac:dyDescent="0.25">
      <c r="A70" t="s">
        <v>232</v>
      </c>
    </row>
    <row r="71" spans="1:1" x14ac:dyDescent="0.25">
      <c r="A71" t="s">
        <v>233</v>
      </c>
    </row>
    <row r="72" spans="1:1" x14ac:dyDescent="0.25">
      <c r="A72" t="s">
        <v>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2025-05-21T19:03:57Z</dcterms:modified>
</cp:coreProperties>
</file>