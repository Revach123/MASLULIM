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32023\"/>
    </mc:Choice>
  </mc:AlternateContent>
  <xr:revisionPtr revIDLastSave="0" documentId="13_ncr:1_{DD145D91-4F5A-4710-A6E4-DD7BF37EE7A7}" xr6:coauthVersionLast="47" xr6:coauthVersionMax="47" xr10:uidLastSave="{00000000-0000-0000-0000-000000000000}"/>
  <bookViews>
    <workbookView xWindow="-108" yWindow="-108" windowWidth="23256" windowHeight="12456" tabRatio="922" firstSheet="21" activeTab="21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קונצרני'!$A$4:$T$409</definedName>
    <definedName name="_xlnm.Print_Area" localSheetId="9">אופציות!$A$4:$K$26</definedName>
    <definedName name="_xlnm.Print_Area" localSheetId="21">הלוואות!$A$4:$Q$149</definedName>
    <definedName name="_xlnm.Print_Area" localSheetId="25">'השקעות אחרות'!$A$4:$J$18</definedName>
    <definedName name="_xlnm.Print_Area" localSheetId="23">'זכויות מקרקעין'!$A$4:$H$19</definedName>
    <definedName name="_xlnm.Print_Area" localSheetId="10">'חוזים עתידיים'!$A$4:$G$22</definedName>
    <definedName name="_xlnm.Print_Area" localSheetId="26">'יתרת התחייבות להשקעה'!$A$1:$B$53</definedName>
    <definedName name="_xlnm.Print_Area" localSheetId="8">'כתבי אופציה'!$A$4:$K$30</definedName>
    <definedName name="_xlnm.Print_Area" localSheetId="12">'לא סחיר- תעודות התחייבות ממשלתי'!$A$4:$O$18</definedName>
    <definedName name="_xlnm.Print_Area" localSheetId="14">'לא סחיר - אג"ח קונצרני'!$A$4:$R$35</definedName>
    <definedName name="_xlnm.Print_Area" localSheetId="18">'לא סחיר - אופציות'!$A$4:$K$21</definedName>
    <definedName name="_xlnm.Print_Area" localSheetId="19">'לא סחיר - חוזים עתידיים'!$A$4:$J$97</definedName>
    <definedName name="_xlnm.Print_Area" localSheetId="17">'לא סחיר - כתבי אופציה'!$A$4:$K$18</definedName>
    <definedName name="_xlnm.Print_Area" localSheetId="20">'לא סחיר - מוצרים מובנים'!$A$4:$P$25</definedName>
    <definedName name="_xlnm.Print_Area" localSheetId="15">'לא סחיר - מניות'!$A$4:$L$24</definedName>
    <definedName name="_xlnm.Print_Area" localSheetId="16">'לא סחיר - קרנות השקעה'!$A$4:$J$51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מזומנים!$A$4:$K$185</definedName>
    <definedName name="_xlnm.Print_Area" localSheetId="5">מניות!$A$4:$N$272</definedName>
    <definedName name="_xlnm.Print_Area" localSheetId="0">'סכום נכסי הקרן'!$A$4:$C$53</definedName>
    <definedName name="_xlnm.Print_Area" localSheetId="22">'פקדונות מעל 3 חודשים'!$A$4:$N$16</definedName>
    <definedName name="_xlnm.Print_Area" localSheetId="7">'קרנות נאמנות'!$A$4:$N$45</definedName>
    <definedName name="_xlnm.Print_Area" localSheetId="6">'קרנות סל'!$A$4:$M$96</definedName>
    <definedName name="_xlnm.Print_Area" localSheetId="2">'תעודות התחייבות ממשלתיות'!$A$4:$Q$50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6" l="1"/>
  <c r="M13" i="16"/>
  <c r="M14" i="16"/>
  <c r="M11" i="16"/>
</calcChain>
</file>

<file path=xl/sharedStrings.xml><?xml version="1.0" encoding="utf-8"?>
<sst xmlns="http://schemas.openxmlformats.org/spreadsheetml/2006/main" count="14735" uniqueCount="4020">
  <si>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</si>
  <si>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</si>
  <si>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</si>
  <si>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</si>
  <si>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</si>
  <si>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</si>
  <si>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</si>
  <si>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</si>
  <si>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</si>
  <si>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</si>
  <si>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</si>
  <si>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</si>
  <si>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</si>
  <si>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</si>
  <si>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</si>
  <si>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</si>
  <si>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</si>
  <si>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</si>
  <si>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</si>
  <si>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</si>
  <si>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</si>
  <si>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</si>
  <si>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</si>
  <si>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</si>
  <si>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</si>
  <si>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</si>
  <si>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</si>
  <si>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</si>
  <si>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</si>
  <si>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</si>
  <si>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</si>
  <si>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</si>
  <si>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</si>
  <si>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</si>
  <si>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</si>
  <si>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</si>
  <si>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</si>
  <si>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</si>
  <si>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</si>
  <si>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</si>
  <si>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</si>
  <si>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</si>
  <si>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</si>
  <si>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</si>
  <si>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</si>
  <si>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</si>
  <si>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</si>
  <si>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</si>
  <si>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</si>
  <si>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</si>
  <si>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</si>
  <si>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</si>
  <si>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</si>
  <si>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</si>
  <si>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</si>
  <si>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</si>
  <si>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</si>
  <si>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</si>
  <si>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</si>
  <si>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</si>
  <si>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</si>
  <si>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</si>
  <si>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</si>
  <si>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</si>
  <si>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</si>
  <si>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</si>
  <si>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</si>
  <si>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</si>
  <si>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</si>
  <si>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</si>
  <si>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</si>
  <si>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</si>
  <si>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</si>
  <si>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</si>
  <si>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</si>
  <si>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</si>
  <si>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</si>
  <si>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</si>
  <si>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</si>
  <si>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</si>
  <si>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</si>
  <si>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</si>
  <si>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</si>
  <si>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</si>
  <si>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</si>
  <si>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</si>
  <si>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</si>
  <si>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</si>
  <si>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</si>
  <si>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</si>
  <si>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</si>
  <si>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</si>
  <si>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</si>
  <si>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</si>
  <si>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</si>
  <si>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</si>
  <si>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</si>
  <si>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</si>
  <si>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</si>
  <si>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</si>
  <si>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</si>
  <si>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</si>
  <si>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</si>
  <si>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</si>
  <si>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</si>
  <si>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</si>
  <si>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</si>
  <si>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</si>
  <si>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</si>
  <si>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</si>
  <si>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</si>
  <si>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</si>
  <si>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</si>
  <si>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</si>
  <si>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</si>
  <si>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</si>
  <si>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</si>
  <si>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</si>
  <si>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</si>
  <si>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</si>
  <si>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</si>
  <si>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</si>
  <si>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</si>
  <si>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</si>
  <si>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</si>
  <si>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</si>
  <si>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</si>
  <si>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</si>
  <si>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</si>
  <si>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</si>
  <si>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</si>
  <si>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</si>
  <si>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</si>
  <si>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</si>
  <si>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</si>
  <si>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</si>
  <si>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</si>
  <si>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</si>
  <si>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</si>
  <si>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</si>
  <si>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</si>
  <si>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</si>
  <si>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</si>
  <si>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</si>
  <si>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</si>
  <si>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</si>
  <si>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</si>
  <si>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</si>
  <si>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</si>
  <si>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</si>
  <si>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</si>
  <si>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</si>
  <si>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</si>
  <si>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</si>
  <si>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</si>
  <si>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</si>
  <si>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</si>
  <si>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</si>
  <si>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</si>
  <si>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</si>
  <si>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</si>
  <si>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</si>
  <si>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</si>
  <si>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</si>
  <si>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</si>
  <si>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</si>
  <si>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</si>
  <si>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</si>
  <si>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</si>
  <si>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</si>
  <si>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</si>
  <si>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</si>
  <si>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</si>
  <si>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</si>
  <si>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</si>
  <si>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</si>
  <si>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</si>
  <si>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</si>
  <si>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</si>
  <si>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</si>
  <si>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</si>
  <si>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</si>
  <si>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</si>
  <si>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</si>
  <si>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</si>
  <si>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</si>
  <si>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</si>
  <si>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</si>
  <si>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</si>
  <si>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</si>
  <si>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</si>
  <si>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</si>
  <si>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</si>
  <si>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</si>
  <si>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</si>
  <si>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</si>
  <si>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</si>
  <si>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</si>
  <si>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</si>
  <si>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</si>
  <si>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</si>
  <si>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</si>
  <si>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</si>
  <si>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</si>
  <si>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</si>
  <si>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</si>
  <si>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</si>
  <si>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</si>
  <si>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</si>
  <si>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</si>
  <si>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</si>
  <si>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</si>
  <si>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</si>
  <si>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</si>
  <si>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</si>
  <si>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</si>
  <si>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</si>
  <si>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</si>
  <si>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</si>
  <si>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</si>
  <si>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</si>
  <si>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</si>
  <si>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</si>
  <si>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</si>
  <si>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</si>
  <si>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</si>
  <si>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</si>
  <si>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</si>
  <si>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</si>
  <si>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</si>
  <si>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</si>
  <si>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</si>
  <si>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</si>
  <si>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</si>
  <si>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</si>
  <si>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</si>
  <si>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</si>
  <si>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</si>
  <si>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</si>
  <si>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אגח עד 15%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</si>
  <si>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</si>
  <si>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</si>
  <si>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</si>
  <si>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</si>
  <si>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</si>
  <si>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</si>
  <si>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2023</t>
  </si>
  <si>
    <t>12541</t>
  </si>
  <si>
    <t xml:space="preserve">סה"כ בישראל: </t>
  </si>
  <si>
    <t/>
  </si>
  <si>
    <t xml:space="preserve">יתרות מזומנים ועו"ש בש"ח </t>
  </si>
  <si>
    <t>30019230</t>
  </si>
  <si>
    <t>10</t>
  </si>
  <si>
    <t>ilAAA</t>
  </si>
  <si>
    <t>S&amp;P מעלות</t>
  </si>
  <si>
    <t>שקל חדש</t>
  </si>
  <si>
    <t>30030780</t>
  </si>
  <si>
    <t>12</t>
  </si>
  <si>
    <t>300192300</t>
  </si>
  <si>
    <t>30043160</t>
  </si>
  <si>
    <t>22</t>
  </si>
  <si>
    <t>A3</t>
  </si>
  <si>
    <t>Moodys</t>
  </si>
  <si>
    <t>30056620</t>
  </si>
  <si>
    <t>26</t>
  </si>
  <si>
    <t>29573527</t>
  </si>
  <si>
    <t>30089270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</si>
  <si>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</si>
  <si>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</si>
  <si>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</si>
  <si>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</si>
  <si>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</si>
  <si>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</si>
  <si>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</si>
  <si>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</si>
  <si>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</si>
  <si>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</si>
  <si>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30029290</t>
  </si>
  <si>
    <t>27295736</t>
  </si>
  <si>
    <t>27295737</t>
  </si>
  <si>
    <t>27295738</t>
  </si>
  <si>
    <t>27295742</t>
  </si>
  <si>
    <t>27295748</t>
  </si>
  <si>
    <t>30019370</t>
  </si>
  <si>
    <t>20</t>
  </si>
  <si>
    <t>30022650</t>
  </si>
  <si>
    <t>30023370</t>
  </si>
  <si>
    <t>30023490</t>
  </si>
  <si>
    <t>שקל - נייר הפרשים - עדכון ידני בנק הפועלים בע"מ</t>
  </si>
  <si>
    <t>27457978</t>
  </si>
  <si>
    <t>30030290</t>
  </si>
  <si>
    <t>30030400</t>
  </si>
  <si>
    <t>30030430</t>
  </si>
  <si>
    <t>30035470</t>
  </si>
  <si>
    <t>30038310</t>
  </si>
  <si>
    <t>30035240</t>
  </si>
  <si>
    <t>30046610</t>
  </si>
  <si>
    <t>30046640</t>
  </si>
  <si>
    <t>30046670</t>
  </si>
  <si>
    <t>30046700</t>
  </si>
  <si>
    <t>30046730</t>
  </si>
  <si>
    <t>30044180</t>
  </si>
  <si>
    <t>30049340</t>
  </si>
  <si>
    <t>30057380</t>
  </si>
  <si>
    <t>2316330</t>
  </si>
  <si>
    <t>30057520</t>
  </si>
  <si>
    <t>30057560</t>
  </si>
  <si>
    <t>30057840</t>
  </si>
  <si>
    <t>30057521</t>
  </si>
  <si>
    <t>27007345</t>
  </si>
  <si>
    <t xml:space="preserve">יתרות מזומנים ועו"ש נקובים במט"ח </t>
  </si>
  <si>
    <t>30019250</t>
  </si>
  <si>
    <t>30030800</t>
  </si>
  <si>
    <t>30043170</t>
  </si>
  <si>
    <t>300431700</t>
  </si>
  <si>
    <t>30091690</t>
  </si>
  <si>
    <t>30098990</t>
  </si>
  <si>
    <t>30029330</t>
  </si>
  <si>
    <t>26401417</t>
  </si>
  <si>
    <t>30044230</t>
  </si>
  <si>
    <t>30046750</t>
  </si>
  <si>
    <t>30057640</t>
  </si>
  <si>
    <t>30091710</t>
  </si>
  <si>
    <t>30029350</t>
  </si>
  <si>
    <t>30019290</t>
  </si>
  <si>
    <t>30023590</t>
  </si>
  <si>
    <t>30030820</t>
  </si>
  <si>
    <t>30053260</t>
  </si>
  <si>
    <t>30050300</t>
  </si>
  <si>
    <t>24296162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</si>
  <si>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</si>
  <si>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</si>
  <si>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</si>
  <si>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</si>
  <si>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</si>
  <si>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</si>
  <si>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</si>
  <si>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</si>
  <si>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</si>
  <si>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29295742</t>
  </si>
  <si>
    <t>29295743</t>
  </si>
  <si>
    <t>29295748</t>
  </si>
  <si>
    <t>29401409</t>
  </si>
  <si>
    <t>29401417</t>
  </si>
  <si>
    <t>30028630</t>
  </si>
  <si>
    <t>30028670</t>
  </si>
  <si>
    <t>30006670</t>
  </si>
  <si>
    <t>30019390</t>
  </si>
  <si>
    <t>30022670</t>
  </si>
  <si>
    <t>30023390</t>
  </si>
  <si>
    <t>30023510</t>
  </si>
  <si>
    <t>30030300</t>
  </si>
  <si>
    <t>30030440</t>
  </si>
  <si>
    <t>30038370</t>
  </si>
  <si>
    <t>30035250</t>
  </si>
  <si>
    <t>28295738</t>
  </si>
  <si>
    <t>26295737</t>
  </si>
  <si>
    <t>265016330</t>
  </si>
  <si>
    <t>30044190</t>
  </si>
  <si>
    <t>30044220</t>
  </si>
  <si>
    <t>30046620</t>
  </si>
  <si>
    <t>30046650</t>
  </si>
  <si>
    <t>30046680</t>
  </si>
  <si>
    <t>30046740</t>
  </si>
  <si>
    <t>30049360</t>
  </si>
  <si>
    <t>265016350</t>
  </si>
  <si>
    <t>265016370</t>
  </si>
  <si>
    <t>26854250</t>
  </si>
  <si>
    <t>30057540</t>
  </si>
  <si>
    <t>30057580</t>
  </si>
  <si>
    <t>275016110</t>
  </si>
  <si>
    <t>30057541</t>
  </si>
  <si>
    <t>27501612</t>
  </si>
  <si>
    <t>27501634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</si>
  <si>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</si>
  <si>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</si>
  <si>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</si>
  <si>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</si>
  <si>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- HO בנק לאומי לישראל בע"מ</t>
  </si>
  <si>
    <t>68030200</t>
  </si>
  <si>
    <t>פק' סל נזילות יו בנק - HO הבנק הבינלאומי הראשון לישראל בע"מ</t>
  </si>
  <si>
    <t>68030340</t>
  </si>
  <si>
    <t>31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</si>
  <si>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</si>
  <si>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</si>
  <si>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</si>
  <si>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</si>
  <si>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</si>
  <si>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</si>
  <si>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</si>
  <si>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</si>
  <si>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</si>
  <si>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67035470</t>
  </si>
  <si>
    <t xml:space="preserve">פקדונות במט"ח עד שלושה חודשים </t>
  </si>
  <si>
    <t>30022530</t>
  </si>
  <si>
    <t>30028690</t>
  </si>
  <si>
    <t>30028710</t>
  </si>
  <si>
    <t>30006730</t>
  </si>
  <si>
    <t>30023470</t>
  </si>
  <si>
    <t>30023610</t>
  </si>
  <si>
    <t>30023630</t>
  </si>
  <si>
    <t>30041370</t>
  </si>
  <si>
    <t>30047910</t>
  </si>
  <si>
    <t>30057600</t>
  </si>
  <si>
    <t>30057620</t>
  </si>
  <si>
    <t xml:space="preserve">סה"כ בחו"ל: </t>
  </si>
  <si>
    <t>30023990</t>
  </si>
  <si>
    <t>88</t>
  </si>
  <si>
    <t>A1</t>
  </si>
  <si>
    <t>26696586</t>
  </si>
  <si>
    <t>98</t>
  </si>
  <si>
    <t>AA</t>
  </si>
  <si>
    <t>S&amp;P</t>
  </si>
  <si>
    <t>30096450</t>
  </si>
  <si>
    <t>30180992</t>
  </si>
  <si>
    <t>26857051</t>
  </si>
  <si>
    <t>30024010</t>
  </si>
  <si>
    <t>30096310</t>
  </si>
  <si>
    <t>30096470</t>
  </si>
  <si>
    <t>24857051</t>
  </si>
  <si>
    <t>30024030</t>
  </si>
  <si>
    <t>23857051</t>
  </si>
  <si>
    <t>יין יפני</t>
  </si>
  <si>
    <t>30096270</t>
  </si>
  <si>
    <t>30096430</t>
  </si>
  <si>
    <t>30180993</t>
  </si>
  <si>
    <t>29702320</t>
  </si>
  <si>
    <t>29857050</t>
  </si>
  <si>
    <t>29857051</t>
  </si>
  <si>
    <t>261847774</t>
  </si>
  <si>
    <t>99</t>
  </si>
  <si>
    <t>A2</t>
  </si>
  <si>
    <t>261861961</t>
  </si>
  <si>
    <t>271011548</t>
  </si>
  <si>
    <t>26003516</t>
  </si>
  <si>
    <t>28114070</t>
  </si>
  <si>
    <t>30040270</t>
  </si>
  <si>
    <t>30040310</t>
  </si>
  <si>
    <t>30040760</t>
  </si>
  <si>
    <t>30040860</t>
  </si>
  <si>
    <t>30045500</t>
  </si>
  <si>
    <t>30045750</t>
  </si>
  <si>
    <t>30048050</t>
  </si>
  <si>
    <t>30048170</t>
  </si>
  <si>
    <t>26114070</t>
  </si>
  <si>
    <t>30058680</t>
  </si>
  <si>
    <t>97</t>
  </si>
  <si>
    <t>30060180</t>
  </si>
  <si>
    <t>30061900</t>
  </si>
  <si>
    <t>30099530</t>
  </si>
  <si>
    <t>30099730</t>
  </si>
  <si>
    <t>30099750</t>
  </si>
  <si>
    <t>30099810</t>
  </si>
  <si>
    <t>סה"כ צמודות למדד</t>
  </si>
  <si>
    <t>ממצ"מ 0841</t>
  </si>
  <si>
    <t>1120583</t>
  </si>
  <si>
    <t>TASE</t>
  </si>
  <si>
    <t>RF</t>
  </si>
  <si>
    <t>28/09/2010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</si>
  <si>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</si>
  <si>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</si>
  <si>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</si>
  <si>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</si>
  <si>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</si>
  <si>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</si>
  <si>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</si>
  <si>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</si>
  <si>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</si>
  <si>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</si>
  <si>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</si>
  <si>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</si>
  <si>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</si>
  <si>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</si>
  <si>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</si>
  <si>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</si>
  <si>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</si>
  <si>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</si>
  <si>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ממצ"מ 1028</t>
  </si>
  <si>
    <t>1197326</t>
  </si>
  <si>
    <t>06/09/2023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</si>
  <si>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</si>
  <si>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</si>
  <si>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</si>
  <si>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</si>
  <si>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</si>
  <si>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</si>
  <si>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</si>
  <si>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מקמ 114</t>
  </si>
  <si>
    <t>8240111</t>
  </si>
  <si>
    <t>03/01/2023</t>
  </si>
  <si>
    <t>מקמ 314</t>
  </si>
  <si>
    <t>8240319</t>
  </si>
  <si>
    <t>01/03/2023</t>
  </si>
  <si>
    <t>מקמ 414</t>
  </si>
  <si>
    <t>8240418</t>
  </si>
  <si>
    <t>04/04/2023</t>
  </si>
  <si>
    <t>מקמ 914</t>
  </si>
  <si>
    <t>8240913</t>
  </si>
  <si>
    <t>14/09/2023</t>
  </si>
  <si>
    <t>מקמ 614</t>
  </si>
  <si>
    <t>8240616</t>
  </si>
  <si>
    <t>21/09/2023</t>
  </si>
  <si>
    <t>שחר</t>
  </si>
  <si>
    <t>ממשק 0327</t>
  </si>
  <si>
    <t>1139344</t>
  </si>
  <si>
    <t>11/01/2017</t>
  </si>
  <si>
    <t>ממשק 0347</t>
  </si>
  <si>
    <t>1140193</t>
  </si>
  <si>
    <t>18/07/2017</t>
  </si>
  <si>
    <t>ממשק  0928</t>
  </si>
  <si>
    <t>1150879</t>
  </si>
  <si>
    <t>16/08/2018</t>
  </si>
  <si>
    <t>ממשק 0330</t>
  </si>
  <si>
    <t>1160985</t>
  </si>
  <si>
    <t>20/12/2007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</si>
  <si>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</si>
  <si>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</si>
  <si>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</si>
  <si>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</si>
  <si>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</si>
  <si>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</si>
  <si>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</si>
  <si>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</si>
  <si>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</si>
  <si>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ממשק 0229</t>
  </si>
  <si>
    <t>1194802</t>
  </si>
  <si>
    <t>16/07/2023</t>
  </si>
  <si>
    <t>ממשל משתנה 0526 ריפו 23/05/2024</t>
  </si>
  <si>
    <t>999999131</t>
  </si>
  <si>
    <t>23/05/2023</t>
  </si>
  <si>
    <t>ממשל משתנה 1130 ריפו 12/12/2023</t>
  </si>
  <si>
    <t>999999133</t>
  </si>
  <si>
    <t>12/06/2023</t>
  </si>
  <si>
    <t>ממשל משתנה 0526 ריפו 11/07/2024</t>
  </si>
  <si>
    <t>999999134</t>
  </si>
  <si>
    <t>11/07/2023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</si>
  <si>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</si>
  <si>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</si>
  <si>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</si>
  <si>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</si>
  <si>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</si>
  <si>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</si>
  <si>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</si>
  <si>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</si>
  <si>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</si>
  <si>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</si>
  <si>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</si>
  <si>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T 2.875 05/15/32</t>
  </si>
  <si>
    <t>US91282CEP23</t>
  </si>
  <si>
    <t>Aaa</t>
  </si>
  <si>
    <t>25/11/2022</t>
  </si>
  <si>
    <t>T 4.125 11/15/32</t>
  </si>
  <si>
    <t>US91282CFV81</t>
  </si>
  <si>
    <t>09/03/2023</t>
  </si>
  <si>
    <t>T 3.375 05/15/33</t>
  </si>
  <si>
    <t>US91282CHC82</t>
  </si>
  <si>
    <t>סה"כ צמודות למט"ח</t>
  </si>
  <si>
    <t>סה"כ בחו"ל</t>
  </si>
  <si>
    <t>6390207</t>
  </si>
  <si>
    <t>520023896</t>
  </si>
  <si>
    <t>ilBBB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</si>
  <si>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</si>
  <si>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</si>
  <si>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</si>
  <si>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</si>
  <si>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</si>
  <si>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</si>
  <si>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</si>
  <si>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Aa3.il</t>
  </si>
  <si>
    <t>מידרוג</t>
  </si>
  <si>
    <t>28/05/2007</t>
  </si>
  <si>
    <t>1105535</t>
  </si>
  <si>
    <t>1239114</t>
  </si>
  <si>
    <t>NR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</si>
  <si>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</si>
  <si>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</si>
  <si>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</si>
  <si>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</si>
  <si>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</si>
  <si>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</si>
  <si>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</si>
  <si>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</si>
  <si>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מליסרון אגח ו</t>
  </si>
  <si>
    <t>3230125</t>
  </si>
  <si>
    <t>520037789</t>
  </si>
  <si>
    <t>ilAA</t>
  </si>
  <si>
    <t>09/10/2011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</si>
  <si>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</si>
  <si>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</si>
  <si>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</si>
  <si>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</si>
  <si>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</si>
  <si>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</si>
  <si>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</si>
  <si>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07/10/2013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</si>
  <si>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</si>
  <si>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</si>
  <si>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</si>
  <si>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</si>
  <si>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</si>
  <si>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</si>
  <si>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</si>
  <si>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</si>
  <si>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</si>
  <si>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</si>
  <si>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</si>
  <si>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</si>
  <si>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</si>
  <si>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</si>
  <si>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</si>
  <si>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</si>
  <si>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</si>
  <si>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גי סיטי בעמ</t>
  </si>
  <si>
    <t>1260603</t>
  </si>
  <si>
    <t>520033234</t>
  </si>
  <si>
    <t>A3.il</t>
  </si>
  <si>
    <t>29/10/2013</t>
  </si>
  <si>
    <t>מליסרון אגח י</t>
  </si>
  <si>
    <t>3230190</t>
  </si>
  <si>
    <t>31/03/2015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</si>
  <si>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</si>
  <si>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</si>
  <si>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</si>
  <si>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</si>
  <si>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</si>
  <si>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</si>
  <si>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</si>
  <si>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</si>
  <si>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</si>
  <si>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</si>
  <si>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</si>
  <si>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</si>
  <si>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</si>
  <si>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</si>
  <si>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</si>
  <si>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</si>
  <si>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</si>
  <si>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</si>
  <si>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</si>
  <si>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</si>
  <si>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</si>
  <si>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</si>
  <si>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</si>
  <si>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</si>
  <si>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</si>
  <si>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</si>
  <si>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</si>
  <si>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</si>
  <si>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</si>
  <si>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</si>
  <si>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</si>
  <si>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</si>
  <si>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שופרסל אגח ו</t>
  </si>
  <si>
    <t>7770217</t>
  </si>
  <si>
    <t>08/02/2018</t>
  </si>
  <si>
    <t>מליסרון אגח יד</t>
  </si>
  <si>
    <t>3230232</t>
  </si>
  <si>
    <t>01/05/2016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</si>
  <si>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</si>
  <si>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</si>
  <si>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</si>
  <si>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</si>
  <si>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</si>
  <si>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</si>
  <si>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</si>
  <si>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</si>
  <si>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Aa2.il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</si>
  <si>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</si>
  <si>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</si>
  <si>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</si>
  <si>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</si>
  <si>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</si>
  <si>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</si>
  <si>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</si>
  <si>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</si>
  <si>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</si>
  <si>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</si>
  <si>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</si>
  <si>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</si>
  <si>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</si>
  <si>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</si>
  <si>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</si>
  <si>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</si>
  <si>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</si>
  <si>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</si>
  <si>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</si>
  <si>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</si>
  <si>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</si>
  <si>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</si>
  <si>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</si>
  <si>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</si>
  <si>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</si>
  <si>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</si>
  <si>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</si>
  <si>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</si>
  <si>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</si>
  <si>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</si>
  <si>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</si>
  <si>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</si>
  <si>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520034372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</si>
  <si>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</si>
  <si>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</si>
  <si>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</si>
  <si>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</si>
  <si>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</si>
  <si>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</si>
  <si>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</si>
  <si>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</si>
  <si>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</si>
  <si>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Aaa.il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</si>
  <si>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</si>
  <si>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</si>
  <si>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</si>
  <si>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</si>
  <si>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</si>
  <si>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</si>
  <si>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</si>
  <si>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</si>
  <si>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</si>
  <si>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</si>
  <si>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</si>
  <si>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</si>
  <si>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513765859</t>
  </si>
  <si>
    <t>11/01/2018</t>
  </si>
  <si>
    <t>פז נפט אגח ז</t>
  </si>
  <si>
    <t>1142595</t>
  </si>
  <si>
    <t>25/01/2018</t>
  </si>
  <si>
    <t>אדגר אגח י</t>
  </si>
  <si>
    <t>1820208</t>
  </si>
  <si>
    <t>520035171</t>
  </si>
  <si>
    <t>A2.il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</si>
  <si>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</si>
  <si>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</si>
  <si>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</si>
  <si>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</si>
  <si>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</si>
  <si>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</si>
  <si>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</si>
  <si>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</si>
  <si>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</si>
  <si>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</si>
  <si>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</si>
  <si>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</si>
  <si>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</si>
  <si>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</si>
  <si>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</si>
  <si>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</si>
  <si>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</si>
  <si>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</si>
  <si>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</si>
  <si>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</si>
  <si>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</si>
  <si>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</si>
  <si>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</si>
  <si>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</si>
  <si>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</si>
  <si>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</si>
  <si>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</si>
  <si>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</si>
  <si>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</si>
  <si>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</si>
  <si>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</si>
  <si>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</si>
  <si>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</si>
  <si>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</si>
  <si>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</si>
  <si>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</si>
  <si>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</si>
  <si>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</si>
  <si>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</si>
  <si>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</si>
  <si>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</si>
  <si>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515327120</t>
  </si>
  <si>
    <t>29/11/2018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</si>
  <si>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</si>
  <si>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</si>
  <si>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</si>
  <si>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</si>
  <si>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</si>
  <si>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</si>
  <si>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</si>
  <si>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</si>
  <si>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</si>
  <si>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</si>
  <si>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</si>
  <si>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</si>
  <si>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</si>
  <si>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</si>
  <si>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</si>
  <si>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</si>
  <si>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</si>
  <si>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</si>
  <si>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</si>
  <si>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</si>
  <si>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</si>
  <si>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</si>
  <si>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</si>
  <si>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</si>
  <si>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</si>
  <si>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</si>
  <si>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</si>
  <si>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</si>
  <si>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</si>
  <si>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</si>
  <si>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</si>
  <si>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</si>
  <si>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</si>
  <si>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</si>
  <si>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</si>
  <si>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</si>
  <si>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</si>
  <si>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</si>
  <si>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</si>
  <si>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</si>
  <si>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</si>
  <si>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</si>
  <si>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</si>
  <si>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</si>
  <si>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</si>
  <si>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</si>
  <si>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</si>
  <si>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</si>
  <si>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</si>
  <si>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</si>
  <si>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</si>
  <si>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</si>
  <si>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</si>
  <si>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</si>
  <si>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</si>
  <si>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</si>
  <si>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</si>
  <si>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</si>
  <si>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</si>
  <si>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</si>
  <si>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</si>
  <si>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</si>
  <si>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</si>
  <si>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</si>
  <si>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</si>
  <si>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</si>
  <si>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</si>
  <si>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</si>
  <si>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</si>
  <si>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</si>
  <si>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מזרחי טפחות הנפקות 52</t>
  </si>
  <si>
    <t>2310381</t>
  </si>
  <si>
    <t>21/07/2020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</si>
  <si>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</si>
  <si>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</si>
  <si>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</si>
  <si>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</si>
  <si>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</si>
  <si>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</si>
  <si>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</si>
  <si>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</si>
  <si>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</si>
  <si>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</si>
  <si>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</si>
  <si>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</si>
  <si>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</si>
  <si>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</si>
  <si>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</si>
  <si>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</si>
  <si>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</si>
  <si>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</si>
  <si>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</si>
  <si>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</si>
  <si>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</si>
  <si>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</si>
  <si>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</si>
  <si>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</si>
  <si>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</si>
  <si>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</si>
  <si>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</si>
  <si>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</si>
  <si>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</si>
  <si>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</si>
  <si>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</si>
  <si>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</si>
  <si>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</si>
  <si>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</si>
  <si>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</si>
  <si>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</si>
  <si>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ד</t>
  </si>
  <si>
    <t>1171305</t>
  </si>
  <si>
    <t>513686154</t>
  </si>
  <si>
    <t>03/01/2021</t>
  </si>
  <si>
    <t>ירושלים הנפקות אגח טז</t>
  </si>
  <si>
    <t>1172170</t>
  </si>
  <si>
    <t>31/01/2021</t>
  </si>
  <si>
    <t>ביג אגח טז</t>
  </si>
  <si>
    <t>1168442</t>
  </si>
  <si>
    <t>ביג אגח יז</t>
  </si>
  <si>
    <t>1168459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</si>
  <si>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</si>
  <si>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</si>
  <si>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</si>
  <si>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</si>
  <si>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</si>
  <si>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</si>
  <si>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</si>
  <si>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</si>
  <si>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</si>
  <si>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נמלי ישראל אגח ד</t>
  </si>
  <si>
    <t>1175033</t>
  </si>
  <si>
    <t>27/04/2021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</si>
  <si>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</si>
  <si>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</si>
  <si>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</si>
  <si>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</si>
  <si>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</si>
  <si>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</si>
  <si>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</si>
  <si>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</si>
  <si>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</si>
  <si>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</si>
  <si>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</si>
  <si>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</si>
  <si>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</si>
  <si>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</si>
  <si>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</si>
  <si>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</si>
  <si>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</si>
  <si>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</si>
  <si>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</si>
  <si>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</si>
  <si>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</si>
  <si>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</si>
  <si>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</si>
  <si>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</si>
  <si>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</si>
  <si>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</si>
  <si>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</si>
  <si>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</si>
  <si>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</si>
  <si>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</si>
  <si>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</si>
  <si>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</si>
  <si>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אמות אגח ח חסום</t>
  </si>
  <si>
    <t>11727820</t>
  </si>
  <si>
    <t>21/10/2021</t>
  </si>
  <si>
    <t>מזרחי אגח 62</t>
  </si>
  <si>
    <t>2310498</t>
  </si>
  <si>
    <t>מבנה אגח כה</t>
  </si>
  <si>
    <t>2260636</t>
  </si>
  <si>
    <t>01/11/2021</t>
  </si>
  <si>
    <t>רבוע נדלן אגח ח חסום</t>
  </si>
  <si>
    <t>11575690</t>
  </si>
  <si>
    <t>02/11/2021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</si>
  <si>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</si>
  <si>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</si>
  <si>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</si>
  <si>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</si>
  <si>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</si>
  <si>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</si>
  <si>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</si>
  <si>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</si>
  <si>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</si>
  <si>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</si>
  <si>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</si>
  <si>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</si>
  <si>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</si>
  <si>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07/12/2021</t>
  </si>
  <si>
    <t>פועלים אגח 200</t>
  </si>
  <si>
    <t>6620496</t>
  </si>
  <si>
    <t>520000118</t>
  </si>
  <si>
    <t>12/12/2021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</si>
  <si>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</si>
  <si>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</si>
  <si>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</si>
  <si>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</si>
  <si>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</si>
  <si>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</si>
  <si>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</si>
  <si>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</si>
  <si>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</si>
  <si>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אדגר אגח יב</t>
  </si>
  <si>
    <t>1820331</t>
  </si>
  <si>
    <t>10/01/2022</t>
  </si>
  <si>
    <t>אפי נכסים אגח יד</t>
  </si>
  <si>
    <t>1184530</t>
  </si>
  <si>
    <t>510560188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</si>
  <si>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</si>
  <si>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</si>
  <si>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</si>
  <si>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</si>
  <si>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</si>
  <si>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</si>
  <si>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</si>
  <si>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</si>
  <si>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</si>
  <si>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</si>
  <si>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</si>
  <si>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</si>
  <si>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</si>
  <si>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</si>
  <si>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</si>
  <si>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</si>
  <si>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</si>
  <si>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</si>
  <si>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</si>
  <si>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</si>
  <si>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</si>
  <si>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</si>
  <si>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</si>
  <si>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</si>
  <si>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</si>
  <si>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</si>
  <si>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</si>
  <si>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</si>
  <si>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</si>
  <si>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</si>
  <si>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</si>
  <si>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</si>
  <si>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</si>
  <si>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</si>
  <si>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</si>
  <si>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</si>
  <si>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</si>
  <si>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</si>
  <si>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</si>
  <si>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</si>
  <si>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</si>
  <si>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</si>
  <si>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</si>
  <si>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</si>
  <si>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</si>
  <si>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</si>
  <si>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</si>
  <si>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</si>
  <si>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</si>
  <si>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</si>
  <si>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</si>
  <si>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</si>
  <si>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</si>
  <si>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</si>
  <si>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</si>
  <si>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</si>
  <si>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</si>
  <si>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מימון ישיר אגח ו חסום</t>
  </si>
  <si>
    <t>1191659</t>
  </si>
  <si>
    <t>09/10/2005</t>
  </si>
  <si>
    <t>מזרחי טפחות הנפקות אגח 66</t>
  </si>
  <si>
    <t>1191667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</si>
  <si>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</si>
  <si>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</si>
  <si>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</si>
  <si>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</si>
  <si>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</si>
  <si>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</si>
  <si>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</si>
  <si>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</si>
  <si>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</si>
  <si>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</si>
  <si>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</si>
  <si>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</si>
  <si>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</si>
  <si>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</si>
  <si>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</si>
  <si>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</si>
  <si>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</si>
  <si>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</si>
  <si>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</si>
  <si>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</si>
  <si>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</si>
  <si>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</si>
  <si>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</si>
  <si>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</si>
  <si>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גירון אגח ו</t>
  </si>
  <si>
    <t>1139849</t>
  </si>
  <si>
    <t>23/04/2023</t>
  </si>
  <si>
    <t>ארפורט אגח יא</t>
  </si>
  <si>
    <t>1195999</t>
  </si>
  <si>
    <t>14/05/2023</t>
  </si>
  <si>
    <t>נכסים ובניין אגח ח</t>
  </si>
  <si>
    <t>6990204</t>
  </si>
  <si>
    <t>אלה פקדון אגח ה</t>
  </si>
  <si>
    <t>1162577</t>
  </si>
  <si>
    <t>515666881</t>
  </si>
  <si>
    <t>14/05/2008</t>
  </si>
  <si>
    <t>חשמל אגח 34</t>
  </si>
  <si>
    <t>1196781</t>
  </si>
  <si>
    <t>חשמל אגח 35</t>
  </si>
  <si>
    <t>1196799</t>
  </si>
  <si>
    <t>מזרחי טפחות הנפקות אגח 67</t>
  </si>
  <si>
    <t>1196807</t>
  </si>
  <si>
    <t>אלוני חץ אגח טו</t>
  </si>
  <si>
    <t>1189414</t>
  </si>
  <si>
    <t>520038506</t>
  </si>
  <si>
    <t>18/06/2023</t>
  </si>
  <si>
    <t>אלון רבוע אגח ט</t>
  </si>
  <si>
    <t>1197284</t>
  </si>
  <si>
    <t>520042847</t>
  </si>
  <si>
    <t>02/07/2023</t>
  </si>
  <si>
    <t>רני צים אגח ג</t>
  </si>
  <si>
    <t>1183193</t>
  </si>
  <si>
    <t>514353671</t>
  </si>
  <si>
    <t>ilBBB+</t>
  </si>
  <si>
    <t>09/07/2023</t>
  </si>
  <si>
    <t>11935800</t>
  </si>
  <si>
    <t>520038274</t>
  </si>
  <si>
    <t>19/07/2023</t>
  </si>
  <si>
    <t>אאורה אגח יז</t>
  </si>
  <si>
    <t>1193580</t>
  </si>
  <si>
    <t>07/09/2007</t>
  </si>
  <si>
    <t>דליה אגח ב</t>
  </si>
  <si>
    <t>1193598</t>
  </si>
  <si>
    <t>21/08/2023</t>
  </si>
  <si>
    <t>18203310</t>
  </si>
  <si>
    <t>27/08/2023</t>
  </si>
  <si>
    <t>רני צים אגח ב</t>
  </si>
  <si>
    <t>1171834</t>
  </si>
  <si>
    <t>דוראל אגח א</t>
  </si>
  <si>
    <t>1179134</t>
  </si>
  <si>
    <t>515364891</t>
  </si>
  <si>
    <t>18/09/2023</t>
  </si>
  <si>
    <t>פועלים אגח 203</t>
  </si>
  <si>
    <t>1199868</t>
  </si>
  <si>
    <t>27/09/2023</t>
  </si>
  <si>
    <t>מזרחי הנפקות התחייבות 50</t>
  </si>
  <si>
    <t>2310290</t>
  </si>
  <si>
    <t>13/09/2023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</si>
  <si>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</si>
  <si>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</si>
  <si>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</si>
  <si>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</si>
  <si>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</si>
  <si>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</si>
  <si>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</si>
  <si>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</si>
  <si>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</si>
  <si>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ז</t>
  </si>
  <si>
    <t>1126077</t>
  </si>
  <si>
    <t>05/04/2012</t>
  </si>
  <si>
    <t>בינלאומי קוקו כתב התחייבות נדחה כד</t>
  </si>
  <si>
    <t>1151000</t>
  </si>
  <si>
    <t>15/07/2018</t>
  </si>
  <si>
    <t>לאומי כתבי התחייבות נדחים 403</t>
  </si>
  <si>
    <t>6040430</t>
  </si>
  <si>
    <t>31/01/2019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</si>
  <si>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</si>
  <si>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</si>
  <si>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</si>
  <si>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</si>
  <si>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</si>
  <si>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</si>
  <si>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</si>
  <si>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</si>
  <si>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</si>
  <si>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</si>
  <si>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</si>
  <si>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</si>
  <si>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</si>
  <si>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</si>
  <si>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</si>
  <si>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</si>
  <si>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</si>
  <si>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</si>
  <si>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</si>
  <si>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</si>
  <si>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</si>
  <si>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</si>
  <si>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</si>
  <si>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</si>
  <si>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</si>
  <si>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</si>
  <si>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</si>
  <si>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</si>
  <si>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</si>
  <si>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</si>
  <si>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</si>
  <si>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</si>
  <si>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</si>
  <si>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</si>
  <si>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דיסקונט כתב התחייבות נדחה ט</t>
  </si>
  <si>
    <t>1191246</t>
  </si>
  <si>
    <t>22/06/2023</t>
  </si>
  <si>
    <t>פועלים התחייבות נדחה ח</t>
  </si>
  <si>
    <t>1199876</t>
  </si>
  <si>
    <t>28/09/2023</t>
  </si>
  <si>
    <t>פועלים התחייבות נדחה ט</t>
  </si>
  <si>
    <t>1199884</t>
  </si>
  <si>
    <t>פועלים התחייבות נדחה י</t>
  </si>
  <si>
    <t>1199892</t>
  </si>
  <si>
    <t>אשטרום קבוצה אגח ב</t>
  </si>
  <si>
    <t>1132331</t>
  </si>
  <si>
    <t>29/05/2014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</si>
  <si>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</si>
  <si>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</si>
  <si>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</si>
  <si>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</si>
  <si>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</si>
  <si>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</si>
  <si>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</si>
  <si>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</si>
  <si>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</si>
  <si>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</si>
  <si>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</si>
  <si>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</si>
  <si>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</si>
  <si>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</si>
  <si>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</si>
  <si>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</si>
  <si>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</si>
  <si>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</si>
  <si>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09/06/2016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</si>
  <si>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</si>
  <si>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</si>
  <si>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</si>
  <si>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</si>
  <si>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</si>
  <si>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</si>
  <si>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</si>
  <si>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</si>
  <si>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</si>
  <si>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</si>
  <si>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</si>
  <si>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</si>
  <si>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</si>
  <si>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</si>
  <si>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</si>
  <si>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</si>
  <si>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</si>
  <si>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</si>
  <si>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</si>
  <si>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</si>
  <si>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</si>
  <si>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</si>
  <si>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</si>
  <si>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</si>
  <si>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</si>
  <si>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</si>
  <si>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</si>
  <si>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</si>
  <si>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</si>
  <si>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</si>
  <si>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</si>
  <si>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</si>
  <si>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</si>
  <si>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</si>
  <si>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</si>
  <si>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שפיר הנדסה אגח ב</t>
  </si>
  <si>
    <t>1141951</t>
  </si>
  <si>
    <t>12/09/2018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</si>
  <si>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</si>
  <si>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</si>
  <si>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</si>
  <si>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</si>
  <si>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</si>
  <si>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</si>
  <si>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</si>
  <si>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</si>
  <si>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</si>
  <si>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24/12/2018</t>
  </si>
  <si>
    <t>דיסקונט מנפיקים אגח יד</t>
  </si>
  <si>
    <t>7480163</t>
  </si>
  <si>
    <t>פרטנר אגח ז</t>
  </si>
  <si>
    <t>1156397</t>
  </si>
  <si>
    <t>520044314</t>
  </si>
  <si>
    <t>06/01/2019</t>
  </si>
  <si>
    <t>לאומי אגח 180</t>
  </si>
  <si>
    <t>6040422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</si>
  <si>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</si>
  <si>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</si>
  <si>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</si>
  <si>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</si>
  <si>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</si>
  <si>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</si>
  <si>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</si>
  <si>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</si>
  <si>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</si>
  <si>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</si>
  <si>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</si>
  <si>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</si>
  <si>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</si>
  <si>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</si>
  <si>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520027830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</si>
  <si>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</si>
  <si>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</si>
  <si>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</si>
  <si>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</si>
  <si>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</si>
  <si>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</si>
  <si>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</si>
  <si>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</si>
  <si>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</si>
  <si>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</si>
  <si>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</si>
  <si>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</si>
  <si>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</si>
  <si>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</si>
  <si>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</si>
  <si>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</si>
  <si>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</si>
  <si>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</si>
  <si>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</si>
  <si>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</si>
  <si>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</si>
  <si>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</si>
  <si>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</si>
  <si>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</si>
  <si>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</si>
  <si>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</si>
  <si>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</si>
  <si>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</si>
  <si>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</si>
  <si>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</si>
  <si>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</si>
  <si>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</si>
  <si>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</si>
  <si>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</si>
  <si>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</si>
  <si>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</si>
  <si>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</si>
  <si>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</si>
  <si>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</si>
  <si>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</si>
  <si>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</si>
  <si>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</si>
  <si>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</si>
  <si>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</si>
  <si>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</si>
  <si>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</si>
  <si>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</si>
  <si>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</si>
  <si>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</si>
  <si>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</si>
  <si>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</si>
  <si>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</si>
  <si>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</si>
  <si>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</si>
  <si>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</si>
  <si>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</si>
  <si>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</si>
  <si>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</si>
  <si>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</si>
  <si>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</si>
  <si>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</si>
  <si>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</si>
  <si>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</si>
  <si>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</si>
  <si>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</si>
  <si>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</si>
  <si>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</si>
  <si>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</si>
  <si>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</si>
  <si>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</si>
  <si>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</si>
  <si>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</si>
  <si>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</si>
  <si>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שיכון ובינוי אגח 10</t>
  </si>
  <si>
    <t>1175132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</si>
  <si>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</si>
  <si>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</si>
  <si>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</si>
  <si>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</si>
  <si>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</si>
  <si>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</si>
  <si>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</si>
  <si>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</si>
  <si>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</si>
  <si>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</si>
  <si>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</si>
  <si>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</si>
  <si>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</si>
  <si>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</si>
  <si>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</si>
  <si>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</si>
  <si>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</si>
  <si>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</si>
  <si>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</si>
  <si>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</si>
  <si>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</si>
  <si>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</si>
  <si>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</si>
  <si>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</si>
  <si>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</si>
  <si>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</si>
  <si>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</si>
  <si>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</si>
  <si>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</si>
  <si>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</si>
  <si>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</si>
  <si>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</si>
  <si>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</si>
  <si>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</si>
  <si>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</si>
  <si>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</si>
  <si>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</si>
  <si>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</si>
  <si>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</si>
  <si>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153919</t>
  </si>
  <si>
    <t>בזק אגח 13</t>
  </si>
  <si>
    <t>2300309</t>
  </si>
  <si>
    <t>מגדל אגח ח</t>
  </si>
  <si>
    <t>1182955</t>
  </si>
  <si>
    <t>513230029</t>
  </si>
  <si>
    <t>21/07/2005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</si>
  <si>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</si>
  <si>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</si>
  <si>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</si>
  <si>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</si>
  <si>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</si>
  <si>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</si>
  <si>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</si>
  <si>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</si>
  <si>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</si>
  <si>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</si>
  <si>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</si>
  <si>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</si>
  <si>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</si>
  <si>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</si>
  <si>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</si>
  <si>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</si>
  <si>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</si>
  <si>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</si>
  <si>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</si>
  <si>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</si>
  <si>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</si>
  <si>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</si>
  <si>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</t>
  </si>
  <si>
    <t>5010335</t>
  </si>
  <si>
    <t>520039967</t>
  </si>
  <si>
    <t>17/08/2022</t>
  </si>
  <si>
    <t>אלקטרה צריכה אגח א חסום</t>
  </si>
  <si>
    <t>50103350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</si>
  <si>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</si>
  <si>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</si>
  <si>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</si>
  <si>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</si>
  <si>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</si>
  <si>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</si>
  <si>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</si>
  <si>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</si>
  <si>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</si>
  <si>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</si>
  <si>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</si>
  <si>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</si>
  <si>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</si>
  <si>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</si>
  <si>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</si>
  <si>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</si>
  <si>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</si>
  <si>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</si>
  <si>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</si>
  <si>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</si>
  <si>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</si>
  <si>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</si>
  <si>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</si>
  <si>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</si>
  <si>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</si>
  <si>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22/01/2023</t>
  </si>
  <si>
    <t>11508120</t>
  </si>
  <si>
    <t>Baa1.il</t>
  </si>
  <si>
    <t>02/03/2023</t>
  </si>
  <si>
    <t>דלק קבוצה אגח לז</t>
  </si>
  <si>
    <t>1192889</t>
  </si>
  <si>
    <t>520044322</t>
  </si>
  <si>
    <t>11827990</t>
  </si>
  <si>
    <t>511134298</t>
  </si>
  <si>
    <t>24/04/2023</t>
  </si>
  <si>
    <t>קרסו נדלן אגח א</t>
  </si>
  <si>
    <t>1190008</t>
  </si>
  <si>
    <t>510488190</t>
  </si>
  <si>
    <t>27/04/2023</t>
  </si>
  <si>
    <t>11905860</t>
  </si>
  <si>
    <t>520033424</t>
  </si>
  <si>
    <t>04/05/2023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</si>
  <si>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</si>
  <si>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</si>
  <si>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</si>
  <si>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</si>
  <si>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</si>
  <si>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</si>
  <si>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</si>
  <si>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</si>
  <si>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איילון אגח ד</t>
  </si>
  <si>
    <t>1195551</t>
  </si>
  <si>
    <t>520030677</t>
  </si>
  <si>
    <t>28/05/2023</t>
  </si>
  <si>
    <t>איילון אגח ה</t>
  </si>
  <si>
    <t>1195569</t>
  </si>
  <si>
    <t>איילון אגח ה חסום</t>
  </si>
  <si>
    <t>11955690</t>
  </si>
  <si>
    <t>איסתא אגח א</t>
  </si>
  <si>
    <t>איסתא</t>
  </si>
  <si>
    <t>1197128</t>
  </si>
  <si>
    <t>520042763</t>
  </si>
  <si>
    <t>25/06/2023</t>
  </si>
  <si>
    <t>11605970</t>
  </si>
  <si>
    <t>28/06/2023</t>
  </si>
  <si>
    <t>אלון רבוע אגח ח</t>
  </si>
  <si>
    <t>1197276</t>
  </si>
  <si>
    <t>08/03/2007</t>
  </si>
  <si>
    <t>אקויטל אגח 4</t>
  </si>
  <si>
    <t>1197607</t>
  </si>
  <si>
    <t>520030859</t>
  </si>
  <si>
    <t>05/07/2023</t>
  </si>
  <si>
    <t>בי קומיוניקיישנס אגח ו</t>
  </si>
  <si>
    <t>1178151</t>
  </si>
  <si>
    <t>512832742</t>
  </si>
  <si>
    <t>05/01/2022</t>
  </si>
  <si>
    <t>אאורה אגח טו חסום</t>
  </si>
  <si>
    <t>37305040</t>
  </si>
  <si>
    <t>הראל הנפקות אגח יז</t>
  </si>
  <si>
    <t>1161454</t>
  </si>
  <si>
    <t>02/12/2019</t>
  </si>
  <si>
    <t>שלמה נדלן אגח ד</t>
  </si>
  <si>
    <t>1157668</t>
  </si>
  <si>
    <t>513957472</t>
  </si>
  <si>
    <t>14/08/2023</t>
  </si>
  <si>
    <t>דוניץ  אגח ב</t>
  </si>
  <si>
    <t>1198704</t>
  </si>
  <si>
    <t>520038605</t>
  </si>
  <si>
    <t>פתאל אירופה אגח ה</t>
  </si>
  <si>
    <t>1198886</t>
  </si>
  <si>
    <t>17/08/2023</t>
  </si>
  <si>
    <t>תמר פטרו אגח ב</t>
  </si>
  <si>
    <t>1143593</t>
  </si>
  <si>
    <t>515334662</t>
  </si>
  <si>
    <t>24/08/2023</t>
  </si>
  <si>
    <t>מגדלי תיכון אגח ו</t>
  </si>
  <si>
    <t>1199124</t>
  </si>
  <si>
    <t>04/09/2023</t>
  </si>
  <si>
    <t>מנורה הון אגח ח</t>
  </si>
  <si>
    <t>1199470</t>
  </si>
  <si>
    <t>07/09/2023</t>
  </si>
  <si>
    <t>קבוצת דלק אגח לח</t>
  </si>
  <si>
    <t>1199504</t>
  </si>
  <si>
    <t>אלקטרה נדלן אגח 6</t>
  </si>
  <si>
    <t>1174564</t>
  </si>
  <si>
    <t>510607328</t>
  </si>
  <si>
    <t>11/09/2023</t>
  </si>
  <si>
    <t>שוב אנרגיה אגח א</t>
  </si>
  <si>
    <t>1198571</t>
  </si>
  <si>
    <t>510459928</t>
  </si>
  <si>
    <t>בית זיקוק אגח 2</t>
  </si>
  <si>
    <t>1199488</t>
  </si>
  <si>
    <t>513775163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</si>
  <si>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</si>
  <si>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</si>
  <si>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</si>
  <si>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</si>
  <si>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</si>
  <si>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</si>
  <si>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</si>
  <si>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</si>
  <si>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</si>
  <si>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אנרגיקס אגח ב</t>
  </si>
  <si>
    <t>1168483</t>
  </si>
  <si>
    <t>513901371</t>
  </si>
  <si>
    <t>מירלנד אגח ט</t>
  </si>
  <si>
    <t>1182559</t>
  </si>
  <si>
    <t>ישראמקו אגח א</t>
  </si>
  <si>
    <t>2320174</t>
  </si>
  <si>
    <t>16/05/2017</t>
  </si>
  <si>
    <t>1155951</t>
  </si>
  <si>
    <t>1742</t>
  </si>
  <si>
    <t>09/12/2018</t>
  </si>
  <si>
    <t>רציו מימון אגח ד</t>
  </si>
  <si>
    <t>1178144</t>
  </si>
  <si>
    <t>515060044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</si>
  <si>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</si>
  <si>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</si>
  <si>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</si>
  <si>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</si>
  <si>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</si>
  <si>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</si>
  <si>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</si>
  <si>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5.375 03/30/28</t>
  </si>
  <si>
    <t>IL0011736738</t>
  </si>
  <si>
    <t>516301843</t>
  </si>
  <si>
    <t>Ba3</t>
  </si>
  <si>
    <t>24/03/2021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</si>
  <si>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</si>
  <si>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</si>
  <si>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</si>
  <si>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</si>
  <si>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</si>
  <si>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</si>
  <si>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</si>
  <si>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</si>
  <si>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</si>
  <si>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</si>
  <si>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</si>
  <si>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MZRHIT 3.077 04/07/31</t>
  </si>
  <si>
    <t>IL0069508369</t>
  </si>
  <si>
    <t>28/07/2016</t>
  </si>
  <si>
    <t>HAPOAL 3.255 01/21/32</t>
  </si>
  <si>
    <t>IL0066204707</t>
  </si>
  <si>
    <t>Baa2</t>
  </si>
  <si>
    <t>08/05/2023</t>
  </si>
  <si>
    <t>ENOIGA 8.5 09/30/33</t>
  </si>
  <si>
    <t>IL0011971442</t>
  </si>
  <si>
    <t>03/07/2023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</si>
  <si>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</si>
  <si>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</si>
  <si>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</si>
  <si>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</si>
  <si>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</si>
  <si>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</si>
  <si>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</si>
  <si>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520013954</t>
  </si>
  <si>
    <t>BB-</t>
  </si>
  <si>
    <t>09/11/2021</t>
  </si>
  <si>
    <t>TEVA 7.875 09/15/31</t>
  </si>
  <si>
    <t>XS2592804194</t>
  </si>
  <si>
    <t>TEVA 7.375 09/15/29</t>
  </si>
  <si>
    <t>XS2592804434</t>
  </si>
  <si>
    <t>WIX 0 08/15/25</t>
  </si>
  <si>
    <t>US92940WAD11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</si>
  <si>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</si>
  <si>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</si>
  <si>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</si>
  <si>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</si>
  <si>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</si>
  <si>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</si>
  <si>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</si>
  <si>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</si>
  <si>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</si>
  <si>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22/09/2021</t>
  </si>
  <si>
    <t>29/09/2021</t>
  </si>
  <si>
    <t>FVRR 0 11/01/25</t>
  </si>
  <si>
    <t>US33835LAA35</t>
  </si>
  <si>
    <t>514440874</t>
  </si>
  <si>
    <t>15/10/2021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</si>
  <si>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</si>
  <si>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</si>
  <si>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</si>
  <si>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</si>
  <si>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</si>
  <si>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</si>
  <si>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</si>
  <si>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</si>
  <si>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</si>
  <si>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</si>
  <si>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</si>
  <si>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</si>
  <si>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Baa3</t>
  </si>
  <si>
    <t>22/07/2020</t>
  </si>
  <si>
    <t>IRM 4.5 02/15/31</t>
  </si>
  <si>
    <t>US46284VAN10</t>
  </si>
  <si>
    <t>CHTR 4.25 02/01/31</t>
  </si>
  <si>
    <t>US1248EPCK74</t>
  </si>
  <si>
    <t>07/04/2021</t>
  </si>
  <si>
    <t>BMCAUS 4.375 07/15/30</t>
  </si>
  <si>
    <t>US853496AG21</t>
  </si>
  <si>
    <t>22/04/2021</t>
  </si>
  <si>
    <t>GBLATL 4.7 10/15/51</t>
  </si>
  <si>
    <t>US37959GAC15</t>
  </si>
  <si>
    <t>BB</t>
  </si>
  <si>
    <t>02/07/2021</t>
  </si>
  <si>
    <t>ADT 4.125 08/01/29</t>
  </si>
  <si>
    <t>US00109LAA17</t>
  </si>
  <si>
    <t>27/07/2021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</si>
  <si>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</si>
  <si>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</si>
  <si>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</si>
  <si>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</si>
  <si>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</si>
  <si>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</si>
  <si>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</si>
  <si>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</si>
  <si>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</si>
  <si>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</si>
  <si>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</si>
  <si>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</si>
  <si>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</si>
  <si>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</si>
  <si>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BBB+</t>
  </si>
  <si>
    <t>22/03/2022</t>
  </si>
  <si>
    <t>NAB 3.347  01/12/37</t>
  </si>
  <si>
    <t>US632525BB69</t>
  </si>
  <si>
    <t>Baa1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</si>
  <si>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</si>
  <si>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</si>
  <si>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</si>
  <si>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</si>
  <si>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</si>
  <si>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</si>
  <si>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</si>
  <si>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</si>
  <si>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</si>
  <si>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</si>
  <si>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</si>
  <si>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</si>
  <si>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</si>
  <si>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</si>
  <si>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</si>
  <si>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</si>
  <si>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</si>
  <si>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</si>
  <si>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</si>
  <si>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</si>
  <si>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</si>
  <si>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14/09/2022</t>
  </si>
  <si>
    <t>KD 3.15 10/15/31</t>
  </si>
  <si>
    <t>US50155QAL41</t>
  </si>
  <si>
    <t>31/10/2022</t>
  </si>
  <si>
    <t>EXPE 3.25 02/15/30</t>
  </si>
  <si>
    <t>US30212PAR64</t>
  </si>
  <si>
    <t>GM 5.4 10/15/29</t>
  </si>
  <si>
    <t>US37045VAY65</t>
  </si>
  <si>
    <t>ORCL 6.25 11/09/32</t>
  </si>
  <si>
    <t>US68389XCJ28</t>
  </si>
  <si>
    <t>16/11/2022</t>
  </si>
  <si>
    <t>RRX 6.3 02/15/30</t>
  </si>
  <si>
    <t>US758750AE33</t>
  </si>
  <si>
    <t>BB+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</si>
  <si>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</si>
  <si>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</si>
  <si>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</si>
  <si>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</si>
  <si>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</si>
  <si>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</si>
  <si>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</si>
  <si>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</si>
  <si>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WBD 4.279 03/15/32</t>
  </si>
  <si>
    <t>US55903VBC63</t>
  </si>
  <si>
    <t>03/05/2023</t>
  </si>
  <si>
    <t>LKQ 5.75 06/15/28</t>
  </si>
  <si>
    <t>US501889AC33</t>
  </si>
  <si>
    <t>16/05/2023</t>
  </si>
  <si>
    <t>DG 5.45 07/05/33</t>
  </si>
  <si>
    <t>US256677AP01</t>
  </si>
  <si>
    <t>08/06/2023</t>
  </si>
  <si>
    <t>GPN 5.4 08/15/32</t>
  </si>
  <si>
    <t>US37940XAQ51</t>
  </si>
  <si>
    <t>13/07/2023</t>
  </si>
  <si>
    <t>CEMEX 3.875 07/11/31</t>
  </si>
  <si>
    <t>USP2253TJR16</t>
  </si>
  <si>
    <t>19/09/2023</t>
  </si>
  <si>
    <t>VMED 4.5 07/15/31</t>
  </si>
  <si>
    <t>XS2358483258</t>
  </si>
  <si>
    <t>28/06/2021</t>
  </si>
  <si>
    <t>EBRD 5 01/27/25</t>
  </si>
  <si>
    <t>XS2289828902</t>
  </si>
  <si>
    <t>AAA</t>
  </si>
  <si>
    <t>14/02/2022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</si>
  <si>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</si>
  <si>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</si>
  <si>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</si>
  <si>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</si>
  <si>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</si>
  <si>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</si>
  <si>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</si>
  <si>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</si>
  <si>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CNK 4.5 08/15/25</t>
  </si>
  <si>
    <t>US17243VAB80</t>
  </si>
  <si>
    <t>23/08/2021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</si>
  <si>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</si>
  <si>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</si>
  <si>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</si>
  <si>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</si>
  <si>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</si>
  <si>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</si>
  <si>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</si>
  <si>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</si>
  <si>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</si>
  <si>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</si>
  <si>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</si>
  <si>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</si>
  <si>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</si>
  <si>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</si>
  <si>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</si>
  <si>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</si>
  <si>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</si>
  <si>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</si>
  <si>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VOD 4.125 06/04/81</t>
  </si>
  <si>
    <t>US92857WBW91</t>
  </si>
  <si>
    <t>01/06/2021</t>
  </si>
  <si>
    <t>BPLN 4.875 PERP</t>
  </si>
  <si>
    <t>US05565QDV77</t>
  </si>
  <si>
    <t>13/04/2023</t>
  </si>
  <si>
    <t>CPIPGR 4.875 PERP</t>
  </si>
  <si>
    <t>XS1982704824</t>
  </si>
  <si>
    <t>VIEFP 2 1/2 PERP Corp</t>
  </si>
  <si>
    <t>FR00140007L3</t>
  </si>
  <si>
    <t>15/10/2020</t>
  </si>
  <si>
    <t>BAYNGR 5.375% 03/25/82</t>
  </si>
  <si>
    <t>XS2451803063</t>
  </si>
  <si>
    <t>04/04/2022</t>
  </si>
  <si>
    <t>TELEFO 7.125 PERP</t>
  </si>
  <si>
    <t>XS2462605671</t>
  </si>
  <si>
    <t>14/11/2022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</si>
  <si>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</si>
  <si>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</si>
  <si>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</si>
  <si>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</si>
  <si>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</si>
  <si>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</si>
  <si>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</si>
  <si>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</si>
  <si>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</si>
  <si>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</si>
  <si>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</si>
  <si>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SANTAN 4.375 PERP</t>
  </si>
  <si>
    <t>XS2102912966</t>
  </si>
  <si>
    <t>04/01/2021</t>
  </si>
  <si>
    <t>RABOBK 4.875 PERP</t>
  </si>
  <si>
    <t>XS2456432413</t>
  </si>
  <si>
    <t>06/12/2022</t>
  </si>
  <si>
    <t>ACAFP 7.25 PERP</t>
  </si>
  <si>
    <t>FR001400F067</t>
  </si>
  <si>
    <t>07/06/2023</t>
  </si>
  <si>
    <t>BACR 5.875 PERP</t>
  </si>
  <si>
    <t>XS1658012023</t>
  </si>
  <si>
    <t>03/08/2017</t>
  </si>
  <si>
    <t>NWG 5.125 PERP</t>
  </si>
  <si>
    <t>XS2258827034</t>
  </si>
  <si>
    <t>11/01/2021</t>
  </si>
  <si>
    <t>סה"כ תל אביב 35</t>
  </si>
  <si>
    <t>בזק</t>
  </si>
  <si>
    <t>230011</t>
  </si>
  <si>
    <t>273011</t>
  </si>
  <si>
    <t>איי.סי.אל</t>
  </si>
  <si>
    <t>281014</t>
  </si>
  <si>
    <t>629014</t>
  </si>
  <si>
    <t>691212</t>
  </si>
  <si>
    <t>520007030</t>
  </si>
  <si>
    <t>746016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</si>
  <si>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</si>
  <si>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</si>
  <si>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</si>
  <si>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</si>
  <si>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</si>
  <si>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</si>
  <si>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</si>
  <si>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</si>
  <si>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520000522</t>
  </si>
  <si>
    <t>עזריאלי קבוצה</t>
  </si>
  <si>
    <t>1119478</t>
  </si>
  <si>
    <t>593038</t>
  </si>
  <si>
    <t>520029083</t>
  </si>
  <si>
    <t>מליסרון</t>
  </si>
  <si>
    <t>323014</t>
  </si>
  <si>
    <t>אורמת טכנו</t>
  </si>
  <si>
    <t>1134402</t>
  </si>
  <si>
    <t>880326081</t>
  </si>
  <si>
    <t>585018</t>
  </si>
  <si>
    <t>1082379</t>
  </si>
  <si>
    <t>520041997</t>
  </si>
  <si>
    <t>1095835</t>
  </si>
  <si>
    <t>אלוני חץ</t>
  </si>
  <si>
    <t>390013</t>
  </si>
  <si>
    <t>אמות</t>
  </si>
  <si>
    <t>1097278</t>
  </si>
  <si>
    <t>767012</t>
  </si>
  <si>
    <t>שפיר הנדסה</t>
  </si>
  <si>
    <t>1133875</t>
  </si>
  <si>
    <t>שיכון ובינוי</t>
  </si>
  <si>
    <t>1081942</t>
  </si>
  <si>
    <t>אמות חסום</t>
  </si>
  <si>
    <t>10972780</t>
  </si>
  <si>
    <t>226019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</si>
  <si>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</si>
  <si>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</si>
  <si>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</si>
  <si>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</si>
  <si>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</si>
  <si>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</si>
  <si>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</si>
  <si>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</si>
  <si>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</si>
  <si>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1141571</t>
  </si>
  <si>
    <t>ביג</t>
  </si>
  <si>
    <t>1097260</t>
  </si>
  <si>
    <t>חברה לישראל</t>
  </si>
  <si>
    <t>576017</t>
  </si>
  <si>
    <t>520028010</t>
  </si>
  <si>
    <t>או פי סי אנרגיה חסום מאוחד</t>
  </si>
  <si>
    <t>11415710</t>
  </si>
  <si>
    <t>קנון</t>
  </si>
  <si>
    <t>1134139</t>
  </si>
  <si>
    <t>אנרג'יאן</t>
  </si>
  <si>
    <t>1155290</t>
  </si>
  <si>
    <t>דלק קדוחים יהש</t>
  </si>
  <si>
    <t>475020</t>
  </si>
  <si>
    <t>550013098</t>
  </si>
  <si>
    <t>אנלייט אנרגיה</t>
  </si>
  <si>
    <t>720011</t>
  </si>
  <si>
    <t>10819420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</si>
  <si>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</si>
  <si>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</si>
  <si>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</si>
  <si>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</si>
  <si>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</si>
  <si>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</si>
  <si>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</si>
  <si>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</si>
  <si>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אלקו</t>
  </si>
  <si>
    <t>694034</t>
  </si>
  <si>
    <t>520025370</t>
  </si>
  <si>
    <t>דלק רכב</t>
  </si>
  <si>
    <t>829010</t>
  </si>
  <si>
    <t>520033291</t>
  </si>
  <si>
    <t>רמי לוי</t>
  </si>
  <si>
    <t>1104249</t>
  </si>
  <si>
    <t>513770669</t>
  </si>
  <si>
    <t>גי סיטי בעמ חסום</t>
  </si>
  <si>
    <t>1260110</t>
  </si>
  <si>
    <t>רציו   יהש</t>
  </si>
  <si>
    <t>394015</t>
  </si>
  <si>
    <t>550012777</t>
  </si>
  <si>
    <t>256016</t>
  </si>
  <si>
    <t>520036690</t>
  </si>
  <si>
    <t>ריט 1</t>
  </si>
  <si>
    <t>1098920</t>
  </si>
  <si>
    <t>דלתא גליל</t>
  </si>
  <si>
    <t>627034</t>
  </si>
  <si>
    <t>520025602</t>
  </si>
  <si>
    <t>איידיאיי ביטוח</t>
  </si>
  <si>
    <t>1129501</t>
  </si>
  <si>
    <t>513910703</t>
  </si>
  <si>
    <t>1081686</t>
  </si>
  <si>
    <t>1132356</t>
  </si>
  <si>
    <t>515001659</t>
  </si>
  <si>
    <t>מגה אור</t>
  </si>
  <si>
    <t>1104488</t>
  </si>
  <si>
    <t>מגדלי תיכון</t>
  </si>
  <si>
    <t>1131523</t>
  </si>
  <si>
    <t>סלע קפיטל נדל"ן</t>
  </si>
  <si>
    <t>1109644</t>
  </si>
  <si>
    <t>1082312</t>
  </si>
  <si>
    <t>520036740</t>
  </si>
  <si>
    <t>1123850</t>
  </si>
  <si>
    <t>1083484</t>
  </si>
  <si>
    <t>סלקום</t>
  </si>
  <si>
    <t>1101534</t>
  </si>
  <si>
    <t>וואן טכנולוגיות</t>
  </si>
  <si>
    <t>161018</t>
  </si>
  <si>
    <t>520034695</t>
  </si>
  <si>
    <t>1095264</t>
  </si>
  <si>
    <t>511235434</t>
  </si>
  <si>
    <t>ישראמקו יהש</t>
  </si>
  <si>
    <t>232017</t>
  </si>
  <si>
    <t>אלקטרה נדל"ן</t>
  </si>
  <si>
    <t>1094044</t>
  </si>
  <si>
    <t>314013</t>
  </si>
  <si>
    <t>520037565</t>
  </si>
  <si>
    <t>דמרי</t>
  </si>
  <si>
    <t>1090315</t>
  </si>
  <si>
    <t>511399388</t>
  </si>
  <si>
    <t>4340190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</si>
  <si>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</si>
  <si>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</si>
  <si>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</si>
  <si>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</si>
  <si>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</si>
  <si>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</si>
  <si>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</si>
  <si>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</si>
  <si>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</si>
  <si>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</si>
  <si>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</si>
  <si>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</si>
  <si>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</si>
  <si>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</si>
  <si>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אבגול</t>
  </si>
  <si>
    <t>1100957</t>
  </si>
  <si>
    <t>510119068</t>
  </si>
  <si>
    <t>נובולוג</t>
  </si>
  <si>
    <t>1140151</t>
  </si>
  <si>
    <t>510475312</t>
  </si>
  <si>
    <t>1166768</t>
  </si>
  <si>
    <t>126011</t>
  </si>
  <si>
    <t>2590248</t>
  </si>
  <si>
    <t>ישראכרט</t>
  </si>
  <si>
    <t>1157403</t>
  </si>
  <si>
    <t>510706153</t>
  </si>
  <si>
    <t>מימון ישיר</t>
  </si>
  <si>
    <t>1168186</t>
  </si>
  <si>
    <t>מניבים ריט</t>
  </si>
  <si>
    <t>1140573</t>
  </si>
  <si>
    <t>אייאיאס</t>
  </si>
  <si>
    <t>431015</t>
  </si>
  <si>
    <t>520039132</t>
  </si>
  <si>
    <t>מטריקס</t>
  </si>
  <si>
    <t>445015</t>
  </si>
  <si>
    <t>520039413</t>
  </si>
  <si>
    <t>סלע קפיטל נדל"ן חסום</t>
  </si>
  <si>
    <t>11096440</t>
  </si>
  <si>
    <t>דניה סיבוס</t>
  </si>
  <si>
    <t>1173137</t>
  </si>
  <si>
    <t>512569237</t>
  </si>
  <si>
    <t>דיפלומט</t>
  </si>
  <si>
    <t>1173491</t>
  </si>
  <si>
    <t>510400740</t>
  </si>
  <si>
    <t>1087659</t>
  </si>
  <si>
    <t>53368</t>
  </si>
  <si>
    <t>פריון נטוורק דואלי</t>
  </si>
  <si>
    <t>1095819</t>
  </si>
  <si>
    <t>512849498</t>
  </si>
  <si>
    <t>נכסים ובנין</t>
  </si>
  <si>
    <t>699017</t>
  </si>
  <si>
    <t>ריטיילורס</t>
  </si>
  <si>
    <t>1175488</t>
  </si>
  <si>
    <t>514211457</t>
  </si>
  <si>
    <t>דיפלומט חסום</t>
  </si>
  <si>
    <t>11734910</t>
  </si>
  <si>
    <t>1159029</t>
  </si>
  <si>
    <t>520020033</t>
  </si>
  <si>
    <t>פרשקובסקי</t>
  </si>
  <si>
    <t>1102128</t>
  </si>
  <si>
    <t>513817817</t>
  </si>
  <si>
    <t>תורפז</t>
  </si>
  <si>
    <t>1175611</t>
  </si>
  <si>
    <t>514574524</t>
  </si>
  <si>
    <t>אאורה</t>
  </si>
  <si>
    <t>373019</t>
  </si>
  <si>
    <t>1081074</t>
  </si>
  <si>
    <t>ג'נריישן קפיטל</t>
  </si>
  <si>
    <t>1156926</t>
  </si>
  <si>
    <t>סקופ</t>
  </si>
  <si>
    <t>288019</t>
  </si>
  <si>
    <t>520037425</t>
  </si>
  <si>
    <t>שופרסל</t>
  </si>
  <si>
    <t>777037</t>
  </si>
  <si>
    <t>דוראל חסום</t>
  </si>
  <si>
    <t>11667680</t>
  </si>
  <si>
    <t>10810740</t>
  </si>
  <si>
    <t>משק אנרגיה</t>
  </si>
  <si>
    <t>1166974</t>
  </si>
  <si>
    <t>642017</t>
  </si>
  <si>
    <t>520022971</t>
  </si>
  <si>
    <t>לפידות חסום</t>
  </si>
  <si>
    <t>6420170</t>
  </si>
  <si>
    <t>11669740</t>
  </si>
  <si>
    <t>ארגו פרופרטיז</t>
  </si>
  <si>
    <t>1175371</t>
  </si>
  <si>
    <t>70252750</t>
  </si>
  <si>
    <t>116697400</t>
  </si>
  <si>
    <t>3730190</t>
  </si>
  <si>
    <t>פז בית זיקוק</t>
  </si>
  <si>
    <t>1198910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</si>
  <si>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</si>
  <si>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</si>
  <si>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</si>
  <si>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</si>
  <si>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</si>
  <si>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</si>
  <si>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</si>
  <si>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</si>
  <si>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</si>
  <si>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271015</t>
  </si>
  <si>
    <t>520036997</t>
  </si>
  <si>
    <t>אמת</t>
  </si>
  <si>
    <t>382010</t>
  </si>
  <si>
    <t>520038514</t>
  </si>
  <si>
    <t>איילון</t>
  </si>
  <si>
    <t>209015</t>
  </si>
  <si>
    <t>טלסיס</t>
  </si>
  <si>
    <t>354019</t>
  </si>
  <si>
    <t>520038100</t>
  </si>
  <si>
    <t>גן שמואל</t>
  </si>
  <si>
    <t>532010</t>
  </si>
  <si>
    <t>520039934</t>
  </si>
  <si>
    <t>אוריין</t>
  </si>
  <si>
    <t>1103506</t>
  </si>
  <si>
    <t>511068256</t>
  </si>
  <si>
    <t>1118447</t>
  </si>
  <si>
    <t>סאני תקשורת (סקיילקס)</t>
  </si>
  <si>
    <t>1082353</t>
  </si>
  <si>
    <t>520031808</t>
  </si>
  <si>
    <t>1087949</t>
  </si>
  <si>
    <t>חנן מור</t>
  </si>
  <si>
    <t>1102532</t>
  </si>
  <si>
    <t>513605519</t>
  </si>
  <si>
    <t>ישרוטל</t>
  </si>
  <si>
    <t>1080985</t>
  </si>
  <si>
    <t>520042482</t>
  </si>
  <si>
    <t>מהדרין</t>
  </si>
  <si>
    <t>686014</t>
  </si>
  <si>
    <t>520018482</t>
  </si>
  <si>
    <t>1091685</t>
  </si>
  <si>
    <t>511888356</t>
  </si>
  <si>
    <t>צמח המרמן</t>
  </si>
  <si>
    <t>1104058</t>
  </si>
  <si>
    <t>512531203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</si>
  <si>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</si>
  <si>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</si>
  <si>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</si>
  <si>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</si>
  <si>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</si>
  <si>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</si>
  <si>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</si>
  <si>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</si>
  <si>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</si>
  <si>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כרמל קורפ</t>
  </si>
  <si>
    <t>1147685</t>
  </si>
  <si>
    <t>515818524</t>
  </si>
  <si>
    <t>אלעל</t>
  </si>
  <si>
    <t>1087824</t>
  </si>
  <si>
    <t>520017146</t>
  </si>
  <si>
    <t>מגוריט</t>
  </si>
  <si>
    <t>1139195</t>
  </si>
  <si>
    <t>1162775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</si>
  <si>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</si>
  <si>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</si>
  <si>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</si>
  <si>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</si>
  <si>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</si>
  <si>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</si>
  <si>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</si>
  <si>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</si>
  <si>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הייקון מערכות</t>
  </si>
  <si>
    <t>1169945</t>
  </si>
  <si>
    <t>514347160</t>
  </si>
  <si>
    <t>1170893</t>
  </si>
  <si>
    <t>512764408</t>
  </si>
  <si>
    <t>מולטי ריטייל</t>
  </si>
  <si>
    <t>1171669</t>
  </si>
  <si>
    <t>515546224</t>
  </si>
  <si>
    <t>פינרג'י</t>
  </si>
  <si>
    <t>1172360</t>
  </si>
  <si>
    <t>514354786</t>
  </si>
  <si>
    <t>תיגי</t>
  </si>
  <si>
    <t>1173871</t>
  </si>
  <si>
    <t>514041797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</si>
  <si>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</si>
  <si>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</si>
  <si>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</si>
  <si>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</si>
  <si>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</si>
  <si>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</si>
  <si>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</si>
  <si>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1176205</t>
  </si>
  <si>
    <t>512714494</t>
  </si>
  <si>
    <t>1178912</t>
  </si>
  <si>
    <t>514034123</t>
  </si>
  <si>
    <t>ארד</t>
  </si>
  <si>
    <t>1091651</t>
  </si>
  <si>
    <t>510007800</t>
  </si>
  <si>
    <t>ויקטורי</t>
  </si>
  <si>
    <t>1123777</t>
  </si>
  <si>
    <t>514068980</t>
  </si>
  <si>
    <t>1820083</t>
  </si>
  <si>
    <t>גב ים</t>
  </si>
  <si>
    <t>759019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</si>
  <si>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</si>
  <si>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</si>
  <si>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</si>
  <si>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</si>
  <si>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</si>
  <si>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</si>
  <si>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</si>
  <si>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</si>
  <si>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</si>
  <si>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</si>
  <si>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</si>
  <si>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</si>
  <si>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הייקון מערכות חסום</t>
  </si>
  <si>
    <t>11699450</t>
  </si>
  <si>
    <t>ארי נדלן חסום</t>
  </si>
  <si>
    <t>3660130</t>
  </si>
  <si>
    <t>ישראייר גרופ</t>
  </si>
  <si>
    <t>1187194</t>
  </si>
  <si>
    <t>510291750</t>
  </si>
  <si>
    <t>קרסו נדלן</t>
  </si>
  <si>
    <t>1187962</t>
  </si>
  <si>
    <t>156018</t>
  </si>
  <si>
    <t>520034620</t>
  </si>
  <si>
    <t>מספנות ישראל</t>
  </si>
  <si>
    <t>1168533</t>
  </si>
  <si>
    <t>516084753</t>
  </si>
  <si>
    <t>זפירוס</t>
  </si>
  <si>
    <t>1194695</t>
  </si>
  <si>
    <t>516537560</t>
  </si>
  <si>
    <t>3680190</t>
  </si>
  <si>
    <t>520038126</t>
  </si>
  <si>
    <t>11871940</t>
  </si>
  <si>
    <t>נקסט ויז'ן</t>
  </si>
  <si>
    <t>1176593</t>
  </si>
  <si>
    <t>514259019</t>
  </si>
  <si>
    <t>3540190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</si>
  <si>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</si>
  <si>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</si>
  <si>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</si>
  <si>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</si>
  <si>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</si>
  <si>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</si>
  <si>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</si>
  <si>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</si>
  <si>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</si>
  <si>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</si>
  <si>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</si>
  <si>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</si>
  <si>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</si>
  <si>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</si>
  <si>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</si>
  <si>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</si>
  <si>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</si>
  <si>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</si>
  <si>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</si>
  <si>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</si>
  <si>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</si>
  <si>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</si>
  <si>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</si>
  <si>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514624386</t>
  </si>
  <si>
    <t>FVRR US Equity</t>
  </si>
  <si>
    <t>IL0011582033</t>
  </si>
  <si>
    <t>NYSE</t>
  </si>
  <si>
    <t>ELOX US Equity</t>
  </si>
  <si>
    <t>US29014R2022</t>
  </si>
  <si>
    <t>514970706</t>
  </si>
  <si>
    <t>WIX US Equity</t>
  </si>
  <si>
    <t>IL0011301780</t>
  </si>
  <si>
    <t>ARKO US Equity</t>
  </si>
  <si>
    <t>US0412421085</t>
  </si>
  <si>
    <t>3535148</t>
  </si>
  <si>
    <t>MNDY US Equity</t>
  </si>
  <si>
    <t>IL0011762130</t>
  </si>
  <si>
    <t>514744887</t>
  </si>
  <si>
    <t>OB US Equity</t>
  </si>
  <si>
    <t>US69002R1032</t>
  </si>
  <si>
    <t>513871301</t>
  </si>
  <si>
    <t>AZ CN Equity</t>
  </si>
  <si>
    <t>CA00249W1005</t>
  </si>
  <si>
    <t>18888</t>
  </si>
  <si>
    <t>DRIO US Equity</t>
  </si>
  <si>
    <t>US23725P2092</t>
  </si>
  <si>
    <t>512187683</t>
  </si>
  <si>
    <t>INMD US Equity</t>
  </si>
  <si>
    <t>IL0011595993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</si>
  <si>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</si>
  <si>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</si>
  <si>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</si>
  <si>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</si>
  <si>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</si>
  <si>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</si>
  <si>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</si>
  <si>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</si>
  <si>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</si>
  <si>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</si>
  <si>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</si>
  <si>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</si>
  <si>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</si>
  <si>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</si>
  <si>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</si>
  <si>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</si>
  <si>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</si>
  <si>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</si>
  <si>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</si>
  <si>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SPNS US Equity</t>
  </si>
  <si>
    <t>KYG7T16G1039</t>
  </si>
  <si>
    <t>ELLO US Equity</t>
  </si>
  <si>
    <t>IL0010826357</t>
  </si>
  <si>
    <t>PERI US Equity</t>
  </si>
  <si>
    <t>IL0010958192</t>
  </si>
  <si>
    <t>CAMT US Equity</t>
  </si>
  <si>
    <t>IL0010952641</t>
  </si>
  <si>
    <t>ENLT US Equity</t>
  </si>
  <si>
    <t>IL0007200111</t>
  </si>
  <si>
    <t>Tabola PIPE</t>
  </si>
  <si>
    <t>IL0011754137</t>
  </si>
  <si>
    <t>513870683</t>
  </si>
  <si>
    <t>TTE FP Equity</t>
  </si>
  <si>
    <t>FR0000120271</t>
  </si>
  <si>
    <t>CAC</t>
  </si>
  <si>
    <t>DG FP Equity</t>
  </si>
  <si>
    <t>FR0000125486</t>
  </si>
  <si>
    <t>ASML NA Equity</t>
  </si>
  <si>
    <t>NL0010273215</t>
  </si>
  <si>
    <t>BOXE LN Equity</t>
  </si>
  <si>
    <t>GB00BG382L74</t>
  </si>
  <si>
    <t>LSE</t>
  </si>
  <si>
    <t>SOI FP Equity</t>
  </si>
  <si>
    <t>FR0013227113</t>
  </si>
  <si>
    <t>BP/ LN Equity</t>
  </si>
  <si>
    <t>GB0007980591</t>
  </si>
  <si>
    <t>CGX CN Equity</t>
  </si>
  <si>
    <t>CA1724541000</t>
  </si>
  <si>
    <t>TSX</t>
  </si>
  <si>
    <t>1128 HK Equity</t>
  </si>
  <si>
    <t>KYG981491007</t>
  </si>
  <si>
    <t>HKSE</t>
  </si>
  <si>
    <t>9988 HK Equity</t>
  </si>
  <si>
    <t>KYG017191142</t>
  </si>
  <si>
    <t>BABA US Equity</t>
  </si>
  <si>
    <t>US01609W1027</t>
  </si>
  <si>
    <t>8864 JP Equity</t>
  </si>
  <si>
    <t>JP3266050008</t>
  </si>
  <si>
    <t>TSE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</si>
  <si>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</si>
  <si>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</si>
  <si>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</si>
  <si>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</si>
  <si>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</si>
  <si>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</si>
  <si>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</si>
  <si>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</si>
  <si>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</si>
  <si>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</si>
  <si>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</si>
  <si>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</si>
  <si>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</si>
  <si>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</si>
  <si>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</si>
  <si>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</si>
  <si>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</si>
  <si>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</si>
  <si>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</si>
  <si>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</si>
  <si>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</si>
  <si>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AAPL US Equity</t>
  </si>
  <si>
    <t>US0378331005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</si>
  <si>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</si>
  <si>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</si>
  <si>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</si>
  <si>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</si>
  <si>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</si>
  <si>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</si>
  <si>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</si>
  <si>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</si>
  <si>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</si>
  <si>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</si>
  <si>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UNH US Equity</t>
  </si>
  <si>
    <t>US91324P1021</t>
  </si>
  <si>
    <t>NVDA US Equity</t>
  </si>
  <si>
    <t>US67066G1040</t>
  </si>
  <si>
    <t>NOVA US Equity</t>
  </si>
  <si>
    <t>US86745K1043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</si>
  <si>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</si>
  <si>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</si>
  <si>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</si>
  <si>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</si>
  <si>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</si>
  <si>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</si>
  <si>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</si>
  <si>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</si>
  <si>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CNC US Equity</t>
  </si>
  <si>
    <t>US15135B1017</t>
  </si>
  <si>
    <t>CIEN US Equity</t>
  </si>
  <si>
    <t>US1717793095</t>
  </si>
  <si>
    <t>AMT US Equity</t>
  </si>
  <si>
    <t>US03027X1000</t>
  </si>
  <si>
    <t>AMAT US Equity</t>
  </si>
  <si>
    <t>US0382221051</t>
  </si>
  <si>
    <t>Hillman PIPE</t>
  </si>
  <si>
    <t>US4316361090</t>
  </si>
  <si>
    <t>HLMN US Equity</t>
  </si>
  <si>
    <t>TSLA US Equity</t>
  </si>
  <si>
    <t>US88160R1014</t>
  </si>
  <si>
    <t>REE  US Equity</t>
  </si>
  <si>
    <t>IL0011786154</t>
  </si>
  <si>
    <t>514557339</t>
  </si>
  <si>
    <t>HIPO US Equity</t>
  </si>
  <si>
    <t>US4335392027</t>
  </si>
  <si>
    <t>AT1 GY Equity</t>
  </si>
  <si>
    <t>LU1673108939</t>
  </si>
  <si>
    <t>DAX</t>
  </si>
  <si>
    <t>PPH LN Equity</t>
  </si>
  <si>
    <t>GG00B1Z5FH87</t>
  </si>
  <si>
    <t>ORA US Equity</t>
  </si>
  <si>
    <t>US6866881021</t>
  </si>
  <si>
    <t>ENOG LN Equity</t>
  </si>
  <si>
    <t>GB00BG12Y042</t>
  </si>
  <si>
    <t>DRS US Equity</t>
  </si>
  <si>
    <t>US52661A1088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</si>
  <si>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</si>
  <si>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</si>
  <si>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</si>
  <si>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</si>
  <si>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</si>
  <si>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</si>
  <si>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</si>
  <si>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</si>
  <si>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CF US Equity</t>
  </si>
  <si>
    <t>US1252691001</t>
  </si>
  <si>
    <t>GDDY US Equity</t>
  </si>
  <si>
    <t>US3802371076</t>
  </si>
  <si>
    <t>MRVL US Equity</t>
  </si>
  <si>
    <t>US5738741041</t>
  </si>
  <si>
    <t>S US Equity</t>
  </si>
  <si>
    <t>US81730H1095</t>
  </si>
  <si>
    <t>DK US Equity</t>
  </si>
  <si>
    <t>US24665A1034</t>
  </si>
  <si>
    <t>1024</t>
  </si>
  <si>
    <t>BYTS US Equity</t>
  </si>
  <si>
    <t>KYG1R25Q1059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</si>
  <si>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</si>
  <si>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</si>
  <si>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</si>
  <si>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</si>
  <si>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</si>
  <si>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</si>
  <si>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</si>
  <si>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</si>
  <si>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</si>
  <si>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</si>
  <si>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</si>
  <si>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</si>
  <si>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</si>
  <si>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</si>
  <si>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</si>
  <si>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</si>
  <si>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</si>
  <si>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</si>
  <si>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</si>
  <si>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</si>
  <si>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</si>
  <si>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</si>
  <si>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</si>
  <si>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</si>
  <si>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</si>
  <si>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</si>
  <si>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</si>
  <si>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</si>
  <si>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</si>
  <si>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</si>
  <si>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</si>
  <si>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</si>
  <si>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</si>
  <si>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</si>
  <si>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</si>
  <si>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</si>
  <si>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</si>
  <si>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</si>
  <si>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</si>
  <si>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</si>
  <si>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</si>
  <si>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</si>
  <si>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</si>
  <si>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</si>
  <si>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</si>
  <si>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</si>
  <si>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</si>
  <si>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</si>
  <si>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</si>
  <si>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תכלית קרן סל תלבונד תשואות</t>
  </si>
  <si>
    <t>1145259</t>
  </si>
  <si>
    <t>אג"ח</t>
  </si>
  <si>
    <t>קסם קרן סל תלבונד 40</t>
  </si>
  <si>
    <t>1146216</t>
  </si>
  <si>
    <t>קסם קרן סל תלבונד צמודות</t>
  </si>
  <si>
    <t>1146927</t>
  </si>
  <si>
    <t>קסם קרן סל תלבונד תשואות</t>
  </si>
  <si>
    <t>1146950</t>
  </si>
  <si>
    <t>פסגות קרן סל תלבונד צמודות</t>
  </si>
  <si>
    <t>1148048</t>
  </si>
  <si>
    <t>הראל קרן סל תלבונד צמודות</t>
  </si>
  <si>
    <t>1150606</t>
  </si>
  <si>
    <t>הראל קרן סל תלבונד תשואות</t>
  </si>
  <si>
    <t>1150622</t>
  </si>
  <si>
    <t>קסם ETF תל בונד צמודות-בנקים</t>
  </si>
  <si>
    <t>1146281</t>
  </si>
  <si>
    <t>מגדל קרן סל תל בונד תשואות</t>
  </si>
  <si>
    <t>1150119</t>
  </si>
  <si>
    <t>MTF תל בונד צמודות</t>
  </si>
  <si>
    <t>1150101</t>
  </si>
  <si>
    <t>תכלית קרן סל תלבונד שקלי</t>
  </si>
  <si>
    <t>1145184</t>
  </si>
  <si>
    <t>קסם קרן סל תלבונד שקלי</t>
  </si>
  <si>
    <t>1146414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</si>
  <si>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</si>
  <si>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</si>
  <si>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</si>
  <si>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</si>
  <si>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</si>
  <si>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</si>
  <si>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</si>
  <si>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</si>
  <si>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</si>
  <si>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</si>
  <si>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</si>
  <si>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</si>
  <si>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VOO US Equity</t>
  </si>
  <si>
    <t>US9229083632</t>
  </si>
  <si>
    <t>LSPU LN Equity</t>
  </si>
  <si>
    <t>LU0496786657</t>
  </si>
  <si>
    <t>I500 NA Equity</t>
  </si>
  <si>
    <t>IE00BMTX1Y45</t>
  </si>
  <si>
    <t>XSXD LN Equity</t>
  </si>
  <si>
    <t>LU2009147757</t>
  </si>
  <si>
    <t>IEUX NA Equity</t>
  </si>
  <si>
    <t>IE00B14X4N27</t>
  </si>
  <si>
    <t>1306 JP Equity</t>
  </si>
  <si>
    <t>JP3027630007</t>
  </si>
  <si>
    <t>DXJZ LN Equity</t>
  </si>
  <si>
    <t>IE00BYQCZN58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</si>
  <si>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</si>
  <si>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</si>
  <si>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</si>
  <si>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</si>
  <si>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</si>
  <si>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</si>
  <si>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</si>
  <si>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</si>
  <si>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</si>
  <si>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</si>
  <si>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</si>
  <si>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</si>
  <si>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</si>
  <si>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</si>
  <si>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</si>
  <si>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</si>
  <si>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</si>
  <si>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LQDE LN Equity</t>
  </si>
  <si>
    <t>IE0032895942</t>
  </si>
  <si>
    <t>Bonds</t>
  </si>
  <si>
    <t>USCR LN Equity</t>
  </si>
  <si>
    <t>IE00BLF7VX27</t>
  </si>
  <si>
    <t>EMCA LN Equity</t>
  </si>
  <si>
    <t>IE00BFM6TD65</t>
  </si>
  <si>
    <t>XLE US Equity</t>
  </si>
  <si>
    <t>US81369Y5069</t>
  </si>
  <si>
    <t>XLV US Equity</t>
  </si>
  <si>
    <t>US81369Y2090</t>
  </si>
  <si>
    <t>XLF US Equity</t>
  </si>
  <si>
    <t>US81369Y6059</t>
  </si>
  <si>
    <t>XBI US Equity</t>
  </si>
  <si>
    <t>US78464A8707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</si>
  <si>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</si>
  <si>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</si>
  <si>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</si>
  <si>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</si>
  <si>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</si>
  <si>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</si>
  <si>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</si>
  <si>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</si>
  <si>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</si>
  <si>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</si>
  <si>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OIH US Equity</t>
  </si>
  <si>
    <t>US92189H6071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</si>
  <si>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</si>
  <si>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</si>
  <si>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</si>
  <si>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</si>
  <si>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</si>
  <si>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</si>
  <si>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</si>
  <si>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</si>
  <si>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XPH US Equity</t>
  </si>
  <si>
    <t>US78464A7220</t>
  </si>
  <si>
    <t>SXLE LN  Equity</t>
  </si>
  <si>
    <t>IE00BWBXM492</t>
  </si>
  <si>
    <t>HLT FP Equity</t>
  </si>
  <si>
    <t>LU1834986900</t>
  </si>
  <si>
    <t>STN FP Equity</t>
  </si>
  <si>
    <t>IE00BKWQ0F09</t>
  </si>
  <si>
    <t>1615JP Equity</t>
  </si>
  <si>
    <t>JP3040170007</t>
  </si>
  <si>
    <t>KWEB US Equity</t>
  </si>
  <si>
    <t>US5007673065</t>
  </si>
  <si>
    <t>3067 HK Equity</t>
  </si>
  <si>
    <t>HK0000651213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</si>
  <si>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</si>
  <si>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</si>
  <si>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</si>
  <si>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</si>
  <si>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</si>
  <si>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</si>
  <si>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</si>
  <si>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</si>
  <si>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</si>
  <si>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SEHYIZE LX Equity</t>
  </si>
  <si>
    <t>LU1496798478</t>
  </si>
  <si>
    <t>TEMHYIA LX Equity</t>
  </si>
  <si>
    <t>LU0195952261</t>
  </si>
  <si>
    <t>IUSSENG LX Equity</t>
  </si>
  <si>
    <t>LU0564079282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</si>
  <si>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</si>
  <si>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</si>
  <si>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</si>
  <si>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</si>
  <si>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</si>
  <si>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</si>
  <si>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</si>
  <si>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</si>
  <si>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MOCCIIU LX Equity</t>
  </si>
  <si>
    <t>LU2240476817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</si>
  <si>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</si>
  <si>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</si>
  <si>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</si>
  <si>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</si>
  <si>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</si>
  <si>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</si>
  <si>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</si>
  <si>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</si>
  <si>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SPAJJIC ID Equity</t>
  </si>
  <si>
    <t>IE00BF29SZ08</t>
  </si>
  <si>
    <t>AMEFI8C LX Equity</t>
  </si>
  <si>
    <t>LU0906530919</t>
  </si>
  <si>
    <t>ALCWTUA LX Equity</t>
  </si>
  <si>
    <t>LU1997245920</t>
  </si>
  <si>
    <t>VERASCU ID Equity</t>
  </si>
  <si>
    <t>IE00BD065N65</t>
  </si>
  <si>
    <t>AIOFDUS ID Equity</t>
  </si>
  <si>
    <t>IE00BH3N4915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</si>
  <si>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</si>
  <si>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</si>
  <si>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</si>
  <si>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</si>
  <si>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</si>
  <si>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</si>
  <si>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</si>
  <si>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</si>
  <si>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</si>
  <si>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</si>
  <si>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</si>
  <si>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תיגי אפ 1</t>
  </si>
  <si>
    <t>1173889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</si>
  <si>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</si>
  <si>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</si>
  <si>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</si>
  <si>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</si>
  <si>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</si>
  <si>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</si>
  <si>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</si>
  <si>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</si>
  <si>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כתבי אופציה בחו"ל</t>
  </si>
  <si>
    <t>BLUA/WS US Equity</t>
  </si>
  <si>
    <t>KYG1261Q1156</t>
  </si>
  <si>
    <t>BYTSW US Equity</t>
  </si>
  <si>
    <t>KYG1R25Q1133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</si>
  <si>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</si>
  <si>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</si>
  <si>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</si>
  <si>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</si>
  <si>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</si>
  <si>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</si>
  <si>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</si>
  <si>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</si>
  <si>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GIGWT NA Equity</t>
  </si>
  <si>
    <t>GG00BMB5XY22</t>
  </si>
  <si>
    <t>HWELW US Equity</t>
  </si>
  <si>
    <t>US42227R1178</t>
  </si>
  <si>
    <t>CTV/WS US Equity</t>
  </si>
  <si>
    <t>US4576791168</t>
  </si>
  <si>
    <t>DRTSW US Equity</t>
  </si>
  <si>
    <t>IL0011839466</t>
  </si>
  <si>
    <t>LLAP/WS US Equity</t>
  </si>
  <si>
    <t>US88105P1113</t>
  </si>
  <si>
    <t>NOGNW US Equity</t>
  </si>
  <si>
    <t>US65528N1138</t>
  </si>
  <si>
    <t>סה"כ מדדים כולל מניות</t>
  </si>
  <si>
    <t>C 1850 OCT</t>
  </si>
  <si>
    <t>84572916</t>
  </si>
  <si>
    <t>P 1850 OCT</t>
  </si>
  <si>
    <t>84573658</t>
  </si>
  <si>
    <t>₪/מט"ח</t>
  </si>
  <si>
    <t>סה"כ ריבית</t>
  </si>
  <si>
    <t>SPXW US 12/29/23 P4000 Index</t>
  </si>
  <si>
    <t>70168060</t>
  </si>
  <si>
    <t>SPXW US 12/29/23 P4475 Index</t>
  </si>
  <si>
    <t>70174247</t>
  </si>
  <si>
    <t>NDX US 12/15/23 P14800 Index</t>
  </si>
  <si>
    <t>70100276</t>
  </si>
  <si>
    <t>NDX US 12/15/23 P13300 Index</t>
  </si>
  <si>
    <t>70101522</t>
  </si>
  <si>
    <t>סה"כ מטבע</t>
  </si>
  <si>
    <t>סה"כ סחורות</t>
  </si>
  <si>
    <t>12/2023 JPM TPZ3 Index משתנה</t>
  </si>
  <si>
    <t>557000775</t>
  </si>
  <si>
    <t>OSE</t>
  </si>
  <si>
    <t>12/2023 JPM TPZ3 Index התחייבות</t>
  </si>
  <si>
    <t>557000776</t>
  </si>
  <si>
    <t>12/2023 JPM NQZ3 Index משתנה</t>
  </si>
  <si>
    <t>557000777</t>
  </si>
  <si>
    <t>CME</t>
  </si>
  <si>
    <t>12/2023 JPM NQZ3 Index התחייבות</t>
  </si>
  <si>
    <t>557000778</t>
  </si>
  <si>
    <t>12/2023 JPM VGZ3 Index משתנה</t>
  </si>
  <si>
    <t>DE000C6JGBY9</t>
  </si>
  <si>
    <t>EUX</t>
  </si>
  <si>
    <t>12/2023 JPM VGZ3 Index התחייבות</t>
  </si>
  <si>
    <t>557000780</t>
  </si>
  <si>
    <t>12/2023 JPM SLBZ3 Index משתנה</t>
  </si>
  <si>
    <t>557000781</t>
  </si>
  <si>
    <t>12/2023 JPM SLBZ3 Index התחייבות</t>
  </si>
  <si>
    <t>557000782</t>
  </si>
  <si>
    <t>12/2023 JPM ESZ3 Index משתנה</t>
  </si>
  <si>
    <t>557000783</t>
  </si>
  <si>
    <t>12/2023 JPM ESZ3 Index התחייבות</t>
  </si>
  <si>
    <t>557000784</t>
  </si>
  <si>
    <t>UXYZ3 Comdty</t>
  </si>
  <si>
    <t>70175946</t>
  </si>
  <si>
    <t>CBT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</si>
  <si>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</si>
  <si>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</si>
  <si>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</si>
  <si>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</si>
  <si>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</si>
  <si>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</si>
  <si>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</si>
  <si>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</si>
  <si>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</si>
  <si>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</si>
  <si>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</si>
  <si>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</si>
  <si>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</si>
  <si>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</si>
  <si>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</si>
  <si>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</si>
  <si>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</si>
  <si>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</si>
  <si>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</si>
  <si>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</si>
  <si>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</si>
  <si>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</si>
  <si>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</si>
  <si>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</si>
  <si>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</si>
  <si>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</si>
  <si>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מירלנד שטר  הון</t>
  </si>
  <si>
    <t>1182963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</si>
  <si>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</si>
  <si>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</si>
  <si>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</si>
  <si>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</si>
  <si>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</si>
  <si>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</si>
  <si>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</si>
  <si>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</si>
  <si>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</si>
  <si>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</si>
  <si>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</si>
  <si>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</si>
  <si>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</si>
  <si>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</si>
  <si>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</si>
  <si>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</si>
  <si>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</si>
  <si>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</si>
  <si>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</si>
  <si>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</si>
  <si>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</si>
  <si>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</si>
  <si>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</si>
  <si>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</si>
  <si>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</si>
  <si>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</si>
  <si>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</si>
  <si>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</si>
  <si>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</si>
  <si>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</si>
  <si>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</si>
  <si>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</si>
  <si>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</si>
  <si>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</si>
  <si>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</si>
  <si>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</si>
  <si>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</si>
  <si>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</si>
  <si>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</si>
  <si>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</si>
  <si>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</si>
  <si>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</si>
  <si>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לאומי אגח 1 רצף מוסדי</t>
  </si>
  <si>
    <t>1198639</t>
  </si>
  <si>
    <t>512905423</t>
  </si>
  <si>
    <t>07/08/2023</t>
  </si>
  <si>
    <t>מקס איט כתב התחייבות ב רצף מוסדי</t>
  </si>
  <si>
    <t>1156223</t>
  </si>
  <si>
    <t>19/12/2018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</si>
  <si>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</si>
  <si>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</si>
  <si>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</si>
  <si>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</si>
  <si>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</si>
  <si>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</si>
  <si>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Pocketful IL</t>
  </si>
  <si>
    <t>89418</t>
  </si>
  <si>
    <t>515666675</t>
  </si>
  <si>
    <t>Esh Os Ltd</t>
  </si>
  <si>
    <t>89420</t>
  </si>
  <si>
    <t>516422243</t>
  </si>
  <si>
    <t>Mayers cars and trucks company limited</t>
  </si>
  <si>
    <t>89430</t>
  </si>
  <si>
    <t>510485261</t>
  </si>
  <si>
    <t>Stage One SPV CBBC Limited Partnership</t>
  </si>
  <si>
    <t>89375</t>
  </si>
  <si>
    <t>540310125</t>
  </si>
  <si>
    <t>Stage One SPV Diagnostic Robotics</t>
  </si>
  <si>
    <t>89385</t>
  </si>
  <si>
    <t>540318474</t>
  </si>
  <si>
    <t>VG 3 G L.P (Guesty|20-49|Viola Growth)</t>
  </si>
  <si>
    <t>89393</t>
  </si>
  <si>
    <t>515090793</t>
  </si>
  <si>
    <t>Olive Tree VII Tyto</t>
  </si>
  <si>
    <t>89406</t>
  </si>
  <si>
    <t>540322443</t>
  </si>
  <si>
    <t>Clal OurCrowd Investments L.P OurCrowd|&lt;20|Tailor</t>
  </si>
  <si>
    <t>89431</t>
  </si>
  <si>
    <t>540326329</t>
  </si>
  <si>
    <t>Pyramid Holdings B.V</t>
  </si>
  <si>
    <t>89373</t>
  </si>
  <si>
    <t>511807356</t>
  </si>
  <si>
    <t>Signature Top II</t>
  </si>
  <si>
    <t>89422</t>
  </si>
  <si>
    <t>EQT Infrastructure VI Lazer Logistics</t>
  </si>
  <si>
    <t>89445</t>
  </si>
  <si>
    <t>סה"כ קרנות השקעה בישראל</t>
  </si>
  <si>
    <t>סה"כ קרנות הון סיכון</t>
  </si>
  <si>
    <t>סה"כ קרנות גידור</t>
  </si>
  <si>
    <t>NOKLNGA KY Equity</t>
  </si>
  <si>
    <t>70426911</t>
  </si>
  <si>
    <t>05/04/2020</t>
  </si>
  <si>
    <t>סה"כ קרנות נדל"ן</t>
  </si>
  <si>
    <t>JTLV 3</t>
  </si>
  <si>
    <t>89379</t>
  </si>
  <si>
    <t>12/06/2022</t>
  </si>
  <si>
    <t>Rent It</t>
  </si>
  <si>
    <t>89392</t>
  </si>
  <si>
    <t>24/08/2022</t>
  </si>
  <si>
    <t>סה"כ קרנות השקעה אחרות</t>
  </si>
  <si>
    <t>Shaked Partners II</t>
  </si>
  <si>
    <t>89437</t>
  </si>
  <si>
    <t>10/07/2023</t>
  </si>
  <si>
    <t>סה"כ קרנות השקעה בחו"ל</t>
  </si>
  <si>
    <t>IONTECH KY Equity</t>
  </si>
  <si>
    <t xml:space="preserve">CC203503253 </t>
  </si>
  <si>
    <t>20/08/2020</t>
  </si>
  <si>
    <t>SPHFJ23 KY Equity (class F) Sphera Biotech</t>
  </si>
  <si>
    <t>KYG8347W1318</t>
  </si>
  <si>
    <t>CIFC CLO Opportunity Fund</t>
  </si>
  <si>
    <t>KYG2191F1046</t>
  </si>
  <si>
    <t>BKIG8AU KY Equity</t>
  </si>
  <si>
    <t>KYG1222K1242</t>
  </si>
  <si>
    <t>Electra America Principal Hospitality</t>
  </si>
  <si>
    <t>89371</t>
  </si>
  <si>
    <t>07/04/2022</t>
  </si>
  <si>
    <t>Breakthrough Properties Growth Portfolio I</t>
  </si>
  <si>
    <t>89374</t>
  </si>
  <si>
    <t>Starlight Canadian Residential Growth Fund III</t>
  </si>
  <si>
    <t>89378</t>
  </si>
  <si>
    <t>09/06/2022</t>
  </si>
  <si>
    <t>HGI Multifamily Credit Fund</t>
  </si>
  <si>
    <t>89380</t>
  </si>
  <si>
    <t>15/06/2022</t>
  </si>
  <si>
    <t>Faropoint Industrial Value Fund III</t>
  </si>
  <si>
    <t>89396</t>
  </si>
  <si>
    <t>20/10/2022</t>
  </si>
  <si>
    <t>Northwind Healthcare Debt Fund I</t>
  </si>
  <si>
    <t>89413</t>
  </si>
  <si>
    <t>19/01/2023</t>
  </si>
  <si>
    <t>Starlight Bond FP 1</t>
  </si>
  <si>
    <t>89412</t>
  </si>
  <si>
    <t>23/01/2023</t>
  </si>
  <si>
    <t>Electra Capital PM II</t>
  </si>
  <si>
    <t>89414</t>
  </si>
  <si>
    <t>26/01/2023</t>
  </si>
  <si>
    <t>Blackstone Real Estate Partners X</t>
  </si>
  <si>
    <t>89419</t>
  </si>
  <si>
    <t>MetLife Single Family Rental Feeder</t>
  </si>
  <si>
    <t>89443</t>
  </si>
  <si>
    <t>Pagaya Opportunity</t>
  </si>
  <si>
    <t>89263</t>
  </si>
  <si>
    <t>Ares SB Co-Invest L.P Soft Bank Energy</t>
  </si>
  <si>
    <t>89389</t>
  </si>
  <si>
    <t>09/08/2022</t>
  </si>
  <si>
    <t>MV Subordinated V Feeder</t>
  </si>
  <si>
    <t>89395</t>
  </si>
  <si>
    <t>Kain Pera Feeder LP</t>
  </si>
  <si>
    <t>89398</t>
  </si>
  <si>
    <t>08/11/2022</t>
  </si>
  <si>
    <t>Madison Realty Capital Debt Fund VI</t>
  </si>
  <si>
    <t>89404</t>
  </si>
  <si>
    <t>22/11/2022</t>
  </si>
  <si>
    <t>Pantheon Global Infrastructure Fund IV</t>
  </si>
  <si>
    <t>89407</t>
  </si>
  <si>
    <t>22/12/2022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</si>
  <si>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</si>
  <si>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</si>
  <si>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</si>
  <si>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</si>
  <si>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</si>
  <si>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</si>
  <si>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Clal Hamilton Lane Credit International SOVII JV</t>
  </si>
  <si>
    <t>89426</t>
  </si>
  <si>
    <t>Energy Capital Partners V</t>
  </si>
  <si>
    <t>89432</t>
  </si>
  <si>
    <t>06/06/2023</t>
  </si>
  <si>
    <t>Clal - Pantheon Infra Co-Investment Program 2022</t>
  </si>
  <si>
    <t>89435</t>
  </si>
  <si>
    <t>ECP V Clal Co-Invest</t>
  </si>
  <si>
    <t>89436</t>
  </si>
  <si>
    <t>EQT Infrastructure VI No.1 EUR SCSP</t>
  </si>
  <si>
    <t>89429</t>
  </si>
  <si>
    <t>31/08/2023</t>
  </si>
  <si>
    <t>Fitzgerald Fund US LP (OMERS|20-49|Direct Chassis)</t>
  </si>
  <si>
    <t>89428</t>
  </si>
  <si>
    <t>17/05/2023</t>
  </si>
  <si>
    <t>סה"כ כתבי אופציה בישראל:</t>
  </si>
  <si>
    <t>אלקטריאון אופציה לא סחירה</t>
  </si>
  <si>
    <t>99368019</t>
  </si>
  <si>
    <t>ישראייר גרופ אופציה לא סחירה</t>
  </si>
  <si>
    <t>99368020</t>
  </si>
  <si>
    <t>29/06/2023</t>
  </si>
  <si>
    <t>אל על אופציה לא סחירה</t>
  </si>
  <si>
    <t>99368021</t>
  </si>
  <si>
    <t>משק אנרגיה אופציה לא סחירה</t>
  </si>
  <si>
    <t>99368022</t>
  </si>
  <si>
    <t>06/07/2023</t>
  </si>
  <si>
    <t>אאורה אופציה לא סחירה 06/2024</t>
  </si>
  <si>
    <t>99368023</t>
  </si>
  <si>
    <t>אאורה אופציה לא סחירה 07/2025</t>
  </si>
  <si>
    <t>99368024</t>
  </si>
  <si>
    <t>סה"כ כתבי אופציה בחו"ל</t>
  </si>
  <si>
    <t>AZ CN Non Tradable Option</t>
  </si>
  <si>
    <t>999999487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</si>
  <si>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</si>
  <si>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</si>
  <si>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</si>
  <si>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</si>
  <si>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</si>
  <si>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AS ISCD IT Equity 28/03/24 - Equity Leg</t>
  </si>
  <si>
    <t>880000311</t>
  </si>
  <si>
    <t>AS ISCD IT Equity 28/03/24 - Fund Leg</t>
  </si>
  <si>
    <t>880000312</t>
  </si>
  <si>
    <t>AS ISCD IT Equity 30/05/24 - Equity Leg</t>
  </si>
  <si>
    <t>880000321</t>
  </si>
  <si>
    <t>11/05/2023</t>
  </si>
  <si>
    <t>AS ISCD IT Equity 30/05/24 - Fund Leg</t>
  </si>
  <si>
    <t>880000322</t>
  </si>
  <si>
    <t>AS Bloomberg DSCT IT Equity 30/05/24 - Equity Leg</t>
  </si>
  <si>
    <t>880000329</t>
  </si>
  <si>
    <t>AS Bloomberg DSCT IT Equity 30/05/24 - Fund Leg</t>
  </si>
  <si>
    <t>880000330</t>
  </si>
  <si>
    <t>AS Bloomberg POLI IT Equity 25/07/24 - Equity Leg</t>
  </si>
  <si>
    <t>880000341</t>
  </si>
  <si>
    <t>20/07/2023</t>
  </si>
  <si>
    <t>AS Bloomberg POLI IT Equity 25/07/24 - Fund Leg</t>
  </si>
  <si>
    <t>880000342</t>
  </si>
  <si>
    <t>AS Bloomberg PHOE IT Equity 25/07/24 - Equity Leg</t>
  </si>
  <si>
    <t>880000345</t>
  </si>
  <si>
    <t>26/07/2023</t>
  </si>
  <si>
    <t>AS Bloomberg PHOE IT Equity 25/07/24 - Fund Leg</t>
  </si>
  <si>
    <t>880000346</t>
  </si>
  <si>
    <t>AS Bloomberg DSCT IT Equity 25/07/24 - Equity Leg</t>
  </si>
  <si>
    <t>880000347</t>
  </si>
  <si>
    <t>AS Bloomberg DSCT IT Equity 25/07/24 - Fund Leg</t>
  </si>
  <si>
    <t>880000348</t>
  </si>
  <si>
    <t>IRS 4.245 FLOAT ILS 2023-2032</t>
  </si>
  <si>
    <t>2010852</t>
  </si>
  <si>
    <t>IRS 4.255 FLOAT ILS 2023-2032</t>
  </si>
  <si>
    <t>2010854</t>
  </si>
  <si>
    <t>IRS 4.245 FIX ILS 2023-2032</t>
  </si>
  <si>
    <t>2010851</t>
  </si>
  <si>
    <t>IRS 4.255 FIX 2023-2032</t>
  </si>
  <si>
    <t>2010853</t>
  </si>
  <si>
    <t>סה"כ  אחר</t>
  </si>
  <si>
    <t>FW EURUSD 18/10/2023 - USD</t>
  </si>
  <si>
    <t>445270100</t>
  </si>
  <si>
    <t>09/05/2023</t>
  </si>
  <si>
    <t>FW EURUSD 18/10/2023 - EUR</t>
  </si>
  <si>
    <t>445270101</t>
  </si>
  <si>
    <t>445270104</t>
  </si>
  <si>
    <t>445270105</t>
  </si>
  <si>
    <t>FW USDJPY 25/10/2023 - JPY</t>
  </si>
  <si>
    <t>445275892</t>
  </si>
  <si>
    <t>FW USDJPY 25/10/2023 - USD</t>
  </si>
  <si>
    <t>445275893</t>
  </si>
  <si>
    <t>FW GBPUSD 28/02/2024 - USD</t>
  </si>
  <si>
    <t>445280820</t>
  </si>
  <si>
    <t>FW GBPUSD 28/02/2024 - GBP</t>
  </si>
  <si>
    <t>445280821</t>
  </si>
  <si>
    <t>445281812</t>
  </si>
  <si>
    <t>445281813</t>
  </si>
  <si>
    <t>FW EURUSD 20/03/2024 - USD</t>
  </si>
  <si>
    <t>445281814</t>
  </si>
  <si>
    <t>FW EURUSD 20/03/2024 - EUR</t>
  </si>
  <si>
    <t>445281815</t>
  </si>
  <si>
    <t>445281816</t>
  </si>
  <si>
    <t>445281817</t>
  </si>
  <si>
    <t>445281818</t>
  </si>
  <si>
    <t>445281819</t>
  </si>
  <si>
    <t>FW USDILS 06/12/2023 - ILS</t>
  </si>
  <si>
    <t>445267366</t>
  </si>
  <si>
    <t>FW USDILS 06/12/2023 - USD</t>
  </si>
  <si>
    <t>445267367</t>
  </si>
  <si>
    <t>FW USDILS 26/06/2024 - ILS</t>
  </si>
  <si>
    <t>445269472</t>
  </si>
  <si>
    <t>FW USDILS 26/06/2024 - USD</t>
  </si>
  <si>
    <t>445269473</t>
  </si>
  <si>
    <t>445269476</t>
  </si>
  <si>
    <t>445269477</t>
  </si>
  <si>
    <t>445269480</t>
  </si>
  <si>
    <t>445269481</t>
  </si>
  <si>
    <t>445269586</t>
  </si>
  <si>
    <t>445269587</t>
  </si>
  <si>
    <t>FW USDILS 24/07/2024 - ILS</t>
  </si>
  <si>
    <t>445270854</t>
  </si>
  <si>
    <t>FW USDILS 24/07/2024 - USD</t>
  </si>
  <si>
    <t>445270855</t>
  </si>
  <si>
    <t>445271276</t>
  </si>
  <si>
    <t>22/05/2023</t>
  </si>
  <si>
    <t>445271277</t>
  </si>
  <si>
    <t>445271280</t>
  </si>
  <si>
    <t>445271281</t>
  </si>
  <si>
    <t>445271332</t>
  </si>
  <si>
    <t>445271333</t>
  </si>
  <si>
    <t>445271778</t>
  </si>
  <si>
    <t>31/05/2023</t>
  </si>
  <si>
    <t>445271779</t>
  </si>
  <si>
    <t>445271796</t>
  </si>
  <si>
    <t>445271797</t>
  </si>
  <si>
    <t>445272954</t>
  </si>
  <si>
    <t>13/06/2023</t>
  </si>
  <si>
    <t>445272955</t>
  </si>
  <si>
    <t>445274182</t>
  </si>
  <si>
    <t>26/06/2023</t>
  </si>
  <si>
    <t>445274183</t>
  </si>
  <si>
    <t>445274434</t>
  </si>
  <si>
    <t>445274435</t>
  </si>
  <si>
    <t>445274450</t>
  </si>
  <si>
    <t>445274451</t>
  </si>
  <si>
    <t>445274514</t>
  </si>
  <si>
    <t>445274515</t>
  </si>
  <si>
    <t>445274756</t>
  </si>
  <si>
    <t>445274757</t>
  </si>
  <si>
    <t>445275094</t>
  </si>
  <si>
    <t>445275095</t>
  </si>
  <si>
    <t>445275154</t>
  </si>
  <si>
    <t>445275155</t>
  </si>
  <si>
    <t>445275180</t>
  </si>
  <si>
    <t>445275181</t>
  </si>
  <si>
    <t>445275226</t>
  </si>
  <si>
    <t>12/07/2023</t>
  </si>
  <si>
    <t>445275227</t>
  </si>
  <si>
    <t>445276658</t>
  </si>
  <si>
    <t>24/07/2023</t>
  </si>
  <si>
    <t>445276659</t>
  </si>
  <si>
    <t>445276676</t>
  </si>
  <si>
    <t>445276677</t>
  </si>
  <si>
    <t>445276718</t>
  </si>
  <si>
    <t>25/07/2023</t>
  </si>
  <si>
    <t>445276719</t>
  </si>
  <si>
    <t>445276942</t>
  </si>
  <si>
    <t>445276943</t>
  </si>
  <si>
    <t>445277502</t>
  </si>
  <si>
    <t>01/08/2023</t>
  </si>
  <si>
    <t>445277503</t>
  </si>
  <si>
    <t>445277506</t>
  </si>
  <si>
    <t>445277507</t>
  </si>
  <si>
    <t>445278184</t>
  </si>
  <si>
    <t>09/08/2023</t>
  </si>
  <si>
    <t>445278185</t>
  </si>
  <si>
    <t>445278522</t>
  </si>
  <si>
    <t>445278523</t>
  </si>
  <si>
    <t>445278746</t>
  </si>
  <si>
    <t>16/08/2023</t>
  </si>
  <si>
    <t>445278747</t>
  </si>
  <si>
    <t>445278788</t>
  </si>
  <si>
    <t>445278789</t>
  </si>
  <si>
    <t>445278810</t>
  </si>
  <si>
    <t>445278811</t>
  </si>
  <si>
    <t>445278884</t>
  </si>
  <si>
    <t>445278885</t>
  </si>
  <si>
    <t>445279040</t>
  </si>
  <si>
    <t>22/08/2023</t>
  </si>
  <si>
    <t>445279041</t>
  </si>
  <si>
    <t>445279044</t>
  </si>
  <si>
    <t>445279045</t>
  </si>
  <si>
    <t>445279160</t>
  </si>
  <si>
    <t>445279161</t>
  </si>
  <si>
    <t>445279444</t>
  </si>
  <si>
    <t>445279445</t>
  </si>
  <si>
    <t>445279502</t>
  </si>
  <si>
    <t>445279503</t>
  </si>
  <si>
    <t>445280326</t>
  </si>
  <si>
    <t>445280327</t>
  </si>
  <si>
    <t>445280614</t>
  </si>
  <si>
    <t>445280615</t>
  </si>
  <si>
    <t>445280650</t>
  </si>
  <si>
    <t>445280651</t>
  </si>
  <si>
    <t>445280738</t>
  </si>
  <si>
    <t>445280739</t>
  </si>
  <si>
    <t>445281252</t>
  </si>
  <si>
    <t>445281253</t>
  </si>
  <si>
    <t>445281422</t>
  </si>
  <si>
    <t>20/09/2023</t>
  </si>
  <si>
    <t>445281423</t>
  </si>
  <si>
    <t>445282266</t>
  </si>
  <si>
    <t>445282267</t>
  </si>
  <si>
    <t>445282428</t>
  </si>
  <si>
    <t>26/09/2023</t>
  </si>
  <si>
    <t>445282429</t>
  </si>
  <si>
    <t>445282610</t>
  </si>
  <si>
    <t>445282611</t>
  </si>
  <si>
    <t>סה"כ חוזים עתידיים בחו"ל</t>
  </si>
  <si>
    <t>AS S&amp;P500 TR Index 04/01/24 - Equity Leg</t>
  </si>
  <si>
    <t>880000251</t>
  </si>
  <si>
    <t>AS S&amp;P500 TR Index 04/01/24 - Fund Leg</t>
  </si>
  <si>
    <t>880000252</t>
  </si>
  <si>
    <t>AS JPCLAINF Index 04/01/24 - Equity Leg</t>
  </si>
  <si>
    <t>880000255</t>
  </si>
  <si>
    <t>05/01/2023</t>
  </si>
  <si>
    <t>AS JPCLAINF Index 04/01/24 - Fund Leg</t>
  </si>
  <si>
    <t>880000256</t>
  </si>
  <si>
    <t>AS JPCLABIO Index 12/01/24 - Equity Leg</t>
  </si>
  <si>
    <t>880000263</t>
  </si>
  <si>
    <t>AS JPCLABIO Index 12/01/24 - Fund Leg</t>
  </si>
  <si>
    <t>880000264</t>
  </si>
  <si>
    <t>AS JPCLA5G2 Index 23/01/24 - Equity Leg</t>
  </si>
  <si>
    <t>880000269</t>
  </si>
  <si>
    <t>AS JPCLA5G2 Index 23/01/24 - Fund Leg</t>
  </si>
  <si>
    <t>880000270</t>
  </si>
  <si>
    <t>AS M1EF Index - Equity Leg</t>
  </si>
  <si>
    <t>880000273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</si>
  <si>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</si>
  <si>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</si>
  <si>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</si>
  <si>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</si>
  <si>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</si>
  <si>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</si>
  <si>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</si>
  <si>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</si>
  <si>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</si>
  <si>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</si>
  <si>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HealthCareSelectSectorTR 01/02/24 - Equity Leg</t>
  </si>
  <si>
    <t>880000283</t>
  </si>
  <si>
    <t>02/02/2023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</si>
  <si>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</si>
  <si>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</si>
  <si>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</si>
  <si>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</si>
  <si>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</si>
  <si>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</si>
  <si>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S&amp;P500 TR Index 15/03/24 - Equity Leg</t>
  </si>
  <si>
    <t>880000315</t>
  </si>
  <si>
    <t>15/03/2023</t>
  </si>
  <si>
    <t>AS S&amp;P500 TR Index 15/03/24 - Fund Leg</t>
  </si>
  <si>
    <t>880000316</t>
  </si>
  <si>
    <t>AS S&amp;P500 TR Index 07/06/24 - Equity Leg</t>
  </si>
  <si>
    <t>880000333</t>
  </si>
  <si>
    <t>AS S&amp;P500 TR Index 07/06/24 - Fund Leg</t>
  </si>
  <si>
    <t>880000334</t>
  </si>
  <si>
    <t>AS IXVTR Index 14/06/24 - Equity Leg</t>
  </si>
  <si>
    <t>880000335</t>
  </si>
  <si>
    <t>15/06/2023</t>
  </si>
  <si>
    <t>AS IXVTR Index 14/06/24 - Fund Leg</t>
  </si>
  <si>
    <t>880000336</t>
  </si>
  <si>
    <t>AS JPCLABIO Index 08/07/24 - Equity Leg</t>
  </si>
  <si>
    <t>880000337</t>
  </si>
  <si>
    <t>AS JPCLABIO Index 08/07/24 - Fund Leg</t>
  </si>
  <si>
    <t>880000338</t>
  </si>
  <si>
    <t>AS MSCI ACWI Index 05/09/24 - Equity Leg</t>
  </si>
  <si>
    <t>880000351</t>
  </si>
  <si>
    <t>AS MSCI ACWI Index 05/09/24 - Fund Leg</t>
  </si>
  <si>
    <t>880000352</t>
  </si>
  <si>
    <t>445251416</t>
  </si>
  <si>
    <t>07/12/2022</t>
  </si>
  <si>
    <t>445251417</t>
  </si>
  <si>
    <t>445275346</t>
  </si>
  <si>
    <t>17/07/2023</t>
  </si>
  <si>
    <t>445275347</t>
  </si>
  <si>
    <t>445270084</t>
  </si>
  <si>
    <t>445270085</t>
  </si>
  <si>
    <t>445270096</t>
  </si>
  <si>
    <t>445270097</t>
  </si>
  <si>
    <t>445270124</t>
  </si>
  <si>
    <t>445270125</t>
  </si>
  <si>
    <t>445271420</t>
  </si>
  <si>
    <t>445271421</t>
  </si>
  <si>
    <t>445272790</t>
  </si>
  <si>
    <t>09/06/2023</t>
  </si>
  <si>
    <t>445272791</t>
  </si>
  <si>
    <t>445272874</t>
  </si>
  <si>
    <t>445272875</t>
  </si>
  <si>
    <t>445272986</t>
  </si>
  <si>
    <t>14/06/2023</t>
  </si>
  <si>
    <t>445272987</t>
  </si>
  <si>
    <t>445273044</t>
  </si>
  <si>
    <t>445273045</t>
  </si>
  <si>
    <t>FW GBPUSD 18/10/2023 - GBP</t>
  </si>
  <si>
    <t>445273488</t>
  </si>
  <si>
    <t>21/06/2023</t>
  </si>
  <si>
    <t>FW GBPUSD 18/10/2023 - USD</t>
  </si>
  <si>
    <t>445273489</t>
  </si>
  <si>
    <t>445273850</t>
  </si>
  <si>
    <t>445273851</t>
  </si>
  <si>
    <t>445274244</t>
  </si>
  <si>
    <t>27/06/2023</t>
  </si>
  <si>
    <t>445274245</t>
  </si>
  <si>
    <t>445274476</t>
  </si>
  <si>
    <t>445274477</t>
  </si>
  <si>
    <t>445274826</t>
  </si>
  <si>
    <t>445274827</t>
  </si>
  <si>
    <t>445274834</t>
  </si>
  <si>
    <t>445274835</t>
  </si>
  <si>
    <t>445275296</t>
  </si>
  <si>
    <t>445275297</t>
  </si>
  <si>
    <t>445275888</t>
  </si>
  <si>
    <t>445275889</t>
  </si>
  <si>
    <t>445276668</t>
  </si>
  <si>
    <t>445276669</t>
  </si>
  <si>
    <t>445277288</t>
  </si>
  <si>
    <t>28/07/2023</t>
  </si>
  <si>
    <t>445277289</t>
  </si>
  <si>
    <t>445277882</t>
  </si>
  <si>
    <t>445277883</t>
  </si>
  <si>
    <t>445279168</t>
  </si>
  <si>
    <t>445279169</t>
  </si>
  <si>
    <t>445279310</t>
  </si>
  <si>
    <t>29/08/2023</t>
  </si>
  <si>
    <t>445279311</t>
  </si>
  <si>
    <t>445280808</t>
  </si>
  <si>
    <t>445280809</t>
  </si>
  <si>
    <t>445280816</t>
  </si>
  <si>
    <t>445280817</t>
  </si>
  <si>
    <t>445281104</t>
  </si>
  <si>
    <t>445281105</t>
  </si>
  <si>
    <t>445281292</t>
  </si>
  <si>
    <t>445281293</t>
  </si>
  <si>
    <t>445281300</t>
  </si>
  <si>
    <t>445281301</t>
  </si>
  <si>
    <t>445281688</t>
  </si>
  <si>
    <t>445281689</t>
  </si>
  <si>
    <t>445281690</t>
  </si>
  <si>
    <t>445281691</t>
  </si>
  <si>
    <t>445281692</t>
  </si>
  <si>
    <t>445281693</t>
  </si>
  <si>
    <t>445281694</t>
  </si>
  <si>
    <t>445281695</t>
  </si>
  <si>
    <t>445281808</t>
  </si>
  <si>
    <t>445281809</t>
  </si>
  <si>
    <t>445281810</t>
  </si>
  <si>
    <t>445281811</t>
  </si>
  <si>
    <t>445281824</t>
  </si>
  <si>
    <t>445281825</t>
  </si>
  <si>
    <t>445281826</t>
  </si>
  <si>
    <t>445281827</t>
  </si>
  <si>
    <t>445282582</t>
  </si>
  <si>
    <t>445282583</t>
  </si>
  <si>
    <t>AS IBOXIG Index 20/12/23 - Equity Leg</t>
  </si>
  <si>
    <t>880000307</t>
  </si>
  <si>
    <t>AS IBOXIG Index 20/12/23 - Fund Leg</t>
  </si>
  <si>
    <t>880000308</t>
  </si>
  <si>
    <t>AS BBB-BB Bonds basket 18/11/23 - Equity Leg</t>
  </si>
  <si>
    <t>880000323</t>
  </si>
  <si>
    <t>AS BBB-BB Bonds basket 18/11/23 - Fund Leg</t>
  </si>
  <si>
    <t>880000324</t>
  </si>
  <si>
    <t>880000325</t>
  </si>
  <si>
    <t>880000326</t>
  </si>
  <si>
    <t>AS IBOXIG Index 20/03/24 - Equity Leg</t>
  </si>
  <si>
    <t>880000327</t>
  </si>
  <si>
    <t>AS IBOXIG Index 20/03/24 - Fund Leg</t>
  </si>
  <si>
    <t>880000328</t>
  </si>
  <si>
    <t>AS BBB Basket 26/01/24 - Equity Leg</t>
  </si>
  <si>
    <t>880000349</t>
  </si>
  <si>
    <t>AS BBB Basket 26/01/24 - Fund Leg</t>
  </si>
  <si>
    <t>880000350</t>
  </si>
  <si>
    <t>סה"כ כנגד חסכון עמיתים/מבוטחים</t>
  </si>
  <si>
    <t>333014023</t>
  </si>
  <si>
    <t>סה"כ מובטחות במשכנתא או תיקי משכנתאות</t>
  </si>
  <si>
    <t>2080407</t>
  </si>
  <si>
    <t>23/12/2019</t>
  </si>
  <si>
    <t>2080408</t>
  </si>
  <si>
    <t>2080409</t>
  </si>
  <si>
    <t>2080410</t>
  </si>
  <si>
    <t>2080496</t>
  </si>
  <si>
    <t>01/10/2020</t>
  </si>
  <si>
    <t>2080497</t>
  </si>
  <si>
    <t>2080498</t>
  </si>
  <si>
    <t>2080500</t>
  </si>
  <si>
    <t>20802613</t>
  </si>
  <si>
    <t>24/11/2020</t>
  </si>
  <si>
    <t>20802614</t>
  </si>
  <si>
    <t>20802615</t>
  </si>
  <si>
    <t>2080614</t>
  </si>
  <si>
    <t>30/05/2022</t>
  </si>
  <si>
    <t>2080615</t>
  </si>
  <si>
    <t>2080616</t>
  </si>
  <si>
    <t>2080617</t>
  </si>
  <si>
    <t>2080644</t>
  </si>
  <si>
    <t>29/09/2022</t>
  </si>
  <si>
    <t>2080649</t>
  </si>
  <si>
    <t>2080651</t>
  </si>
  <si>
    <t>2080450</t>
  </si>
  <si>
    <t>2080696</t>
  </si>
  <si>
    <t>2080697</t>
  </si>
  <si>
    <t>2080698</t>
  </si>
  <si>
    <t>20802647</t>
  </si>
  <si>
    <t>27/07/2023</t>
  </si>
  <si>
    <t>20802648</t>
  </si>
  <si>
    <t>20802649</t>
  </si>
  <si>
    <t>20802651</t>
  </si>
  <si>
    <t>20802652</t>
  </si>
  <si>
    <t>20802653</t>
  </si>
  <si>
    <t>2080411</t>
  </si>
  <si>
    <t>2080412</t>
  </si>
  <si>
    <t>2080499</t>
  </si>
  <si>
    <t>2080501</t>
  </si>
  <si>
    <t>2080502</t>
  </si>
  <si>
    <t>2080611</t>
  </si>
  <si>
    <t>2080612</t>
  </si>
  <si>
    <t>2080613</t>
  </si>
  <si>
    <t>2080652</t>
  </si>
  <si>
    <t>2080653</t>
  </si>
  <si>
    <t>2080375</t>
  </si>
  <si>
    <t>2080376</t>
  </si>
  <si>
    <t>2080448</t>
  </si>
  <si>
    <t>2080449</t>
  </si>
  <si>
    <t>סה"כ מובטחות בבטחונות אחרים</t>
  </si>
  <si>
    <t>2080322</t>
  </si>
  <si>
    <t>30/11/2018</t>
  </si>
  <si>
    <t>כן</t>
  </si>
  <si>
    <t>2080421</t>
  </si>
  <si>
    <t>02/02/2020</t>
  </si>
  <si>
    <t>2080406</t>
  </si>
  <si>
    <t>04/12/2019</t>
  </si>
  <si>
    <t>20702023</t>
  </si>
  <si>
    <t>01/01/2020</t>
  </si>
  <si>
    <t>2080427</t>
  </si>
  <si>
    <t>09/07/2020</t>
  </si>
  <si>
    <t>2080428</t>
  </si>
  <si>
    <t>21/09/2020</t>
  </si>
  <si>
    <t>2080439</t>
  </si>
  <si>
    <t>09/11/2020</t>
  </si>
  <si>
    <t>2080512</t>
  </si>
  <si>
    <t>10/02/2021</t>
  </si>
  <si>
    <t>2080440</t>
  </si>
  <si>
    <t>12/04/2021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</si>
  <si>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</si>
  <si>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</si>
  <si>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</si>
  <si>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</si>
  <si>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</si>
  <si>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</si>
  <si>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</si>
  <si>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</si>
  <si>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</si>
  <si>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</si>
  <si>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2080540</t>
  </si>
  <si>
    <t>28/07/2021</t>
  </si>
  <si>
    <t>2080542</t>
  </si>
  <si>
    <t>11/08/2021</t>
  </si>
  <si>
    <t>2080543</t>
  </si>
  <si>
    <t>2080545</t>
  </si>
  <si>
    <t>19/09/2021</t>
  </si>
  <si>
    <t>2080549</t>
  </si>
  <si>
    <t>04/10/2021</t>
  </si>
  <si>
    <t>2080551</t>
  </si>
  <si>
    <t>26/10/2021</t>
  </si>
  <si>
    <t>2080554</t>
  </si>
  <si>
    <t>11/11/2021</t>
  </si>
  <si>
    <t>2080555</t>
  </si>
  <si>
    <t>15/11/2021</t>
  </si>
  <si>
    <t>2080556</t>
  </si>
  <si>
    <t>24/11/2021</t>
  </si>
  <si>
    <t>2080562</t>
  </si>
  <si>
    <t>2080566</t>
  </si>
  <si>
    <t>06/01/2022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</si>
  <si>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</si>
  <si>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</si>
  <si>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</si>
  <si>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</si>
  <si>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</si>
  <si>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</si>
  <si>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</si>
  <si>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</si>
  <si>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</si>
  <si>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</si>
  <si>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</si>
  <si>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</si>
  <si>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</si>
  <si>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</si>
  <si>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</si>
  <si>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</si>
  <si>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</si>
  <si>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</si>
  <si>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</si>
  <si>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</si>
  <si>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</si>
  <si>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</si>
  <si>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2080602</t>
  </si>
  <si>
    <t>2080604</t>
  </si>
  <si>
    <t>18/05/2022</t>
  </si>
  <si>
    <t>2080607</t>
  </si>
  <si>
    <t>22/05/2022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</si>
  <si>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</si>
  <si>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</si>
  <si>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</si>
  <si>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</si>
  <si>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</si>
  <si>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</si>
  <si>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</si>
  <si>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</si>
  <si>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</si>
  <si>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</si>
  <si>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</si>
  <si>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</si>
  <si>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</si>
  <si>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</si>
  <si>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פנימי</t>
  </si>
  <si>
    <t>2080638</t>
  </si>
  <si>
    <t>2080639</t>
  </si>
  <si>
    <t>2080640</t>
  </si>
  <si>
    <t>2080641</t>
  </si>
  <si>
    <t>2080645</t>
  </si>
  <si>
    <t>19/09/2022</t>
  </si>
  <si>
    <t>2080646</t>
  </si>
  <si>
    <t>2080656</t>
  </si>
  <si>
    <t>03/10/2022</t>
  </si>
  <si>
    <t>2080547</t>
  </si>
  <si>
    <t>25/10/2022</t>
  </si>
  <si>
    <t>2080659</t>
  </si>
  <si>
    <t>2080663</t>
  </si>
  <si>
    <t>2080664</t>
  </si>
  <si>
    <t>2080665</t>
  </si>
  <si>
    <t>2080668</t>
  </si>
  <si>
    <t>01/12/2022</t>
  </si>
  <si>
    <t>2080671</t>
  </si>
  <si>
    <t>14/12/2022</t>
  </si>
  <si>
    <t>2080675</t>
  </si>
  <si>
    <t>26/12/2022</t>
  </si>
  <si>
    <t>2080679</t>
  </si>
  <si>
    <t>15/01/2023</t>
  </si>
  <si>
    <t>2080680</t>
  </si>
  <si>
    <t>16/01/2023</t>
  </si>
  <si>
    <t>2080683</t>
  </si>
  <si>
    <t>2080684</t>
  </si>
  <si>
    <t>2080685</t>
  </si>
  <si>
    <t>2080689</t>
  </si>
  <si>
    <t>26/02/2023</t>
  </si>
  <si>
    <t>2080690</t>
  </si>
  <si>
    <t>2080694</t>
  </si>
  <si>
    <t>2080695</t>
  </si>
  <si>
    <t>2080693</t>
  </si>
  <si>
    <t>08/03/2023</t>
  </si>
  <si>
    <t>2080700</t>
  </si>
  <si>
    <t>14/03/2023</t>
  </si>
  <si>
    <t>2080708</t>
  </si>
  <si>
    <t>2080709</t>
  </si>
  <si>
    <t>2080710</t>
  </si>
  <si>
    <t>2080711</t>
  </si>
  <si>
    <t>17/04/2023</t>
  </si>
  <si>
    <t>2080712</t>
  </si>
  <si>
    <t>02/04/2023</t>
  </si>
  <si>
    <t>2080723</t>
  </si>
  <si>
    <t>2080726</t>
  </si>
  <si>
    <t>29/05/2023</t>
  </si>
  <si>
    <t>2080727</t>
  </si>
  <si>
    <t>2080728</t>
  </si>
  <si>
    <t>30/05/2023</t>
  </si>
  <si>
    <t>2080732</t>
  </si>
  <si>
    <t>2080733</t>
  </si>
  <si>
    <t>2080734</t>
  </si>
  <si>
    <t>2080738</t>
  </si>
  <si>
    <t>2080739</t>
  </si>
  <si>
    <t>2080741</t>
  </si>
  <si>
    <t>06/08/2023</t>
  </si>
  <si>
    <t>2080742</t>
  </si>
  <si>
    <t>2080744</t>
  </si>
  <si>
    <t>2080747</t>
  </si>
  <si>
    <t>12/09/2023</t>
  </si>
  <si>
    <t>2080754</t>
  </si>
  <si>
    <t>20802748</t>
  </si>
  <si>
    <t>02/01/2019</t>
  </si>
  <si>
    <t>20802749</t>
  </si>
  <si>
    <t>2080361</t>
  </si>
  <si>
    <t>01/03/2019</t>
  </si>
  <si>
    <t>2080362</t>
  </si>
  <si>
    <t>12/03/2019</t>
  </si>
  <si>
    <t>2080363</t>
  </si>
  <si>
    <t>2080367</t>
  </si>
  <si>
    <t>2080451</t>
  </si>
  <si>
    <t>29/05/2019</t>
  </si>
  <si>
    <t>20803950</t>
  </si>
  <si>
    <t>29/07/2019</t>
  </si>
  <si>
    <t>20804061</t>
  </si>
  <si>
    <t>21/11/2019</t>
  </si>
  <si>
    <t>20702019</t>
  </si>
  <si>
    <t>26/12/2019</t>
  </si>
  <si>
    <t>20804114</t>
  </si>
  <si>
    <t>30/12/2019</t>
  </si>
  <si>
    <t>20804116</t>
  </si>
  <si>
    <t>20702022</t>
  </si>
  <si>
    <t>20802407</t>
  </si>
  <si>
    <t>01/05/2019</t>
  </si>
  <si>
    <t>2080521</t>
  </si>
  <si>
    <t>25/04/2021</t>
  </si>
  <si>
    <t>2080522</t>
  </si>
  <si>
    <t>2080531</t>
  </si>
  <si>
    <t>03/06/2021</t>
  </si>
  <si>
    <t>2080574</t>
  </si>
  <si>
    <t>03/02/2022</t>
  </si>
  <si>
    <t>2080621</t>
  </si>
  <si>
    <t>22/06/2022</t>
  </si>
  <si>
    <t>2080622</t>
  </si>
  <si>
    <t>23/06/2022</t>
  </si>
  <si>
    <t>2080632</t>
  </si>
  <si>
    <t>01/08/2022</t>
  </si>
  <si>
    <t>2080633</t>
  </si>
  <si>
    <t>15/08/2022</t>
  </si>
  <si>
    <t>2080647</t>
  </si>
  <si>
    <t>18/09/2022</t>
  </si>
  <si>
    <t>2080648</t>
  </si>
  <si>
    <t>2080676</t>
  </si>
  <si>
    <t>28/12/2022</t>
  </si>
  <si>
    <t>2080677</t>
  </si>
  <si>
    <t>2080691</t>
  </si>
  <si>
    <t>23/02/2023</t>
  </si>
  <si>
    <t>2080692</t>
  </si>
  <si>
    <t>2080704</t>
  </si>
  <si>
    <t>19/03/2023</t>
  </si>
  <si>
    <t>2080688</t>
  </si>
  <si>
    <t>12/02/2023</t>
  </si>
  <si>
    <t>2080706</t>
  </si>
  <si>
    <t>2080681</t>
  </si>
  <si>
    <t>18/01/2023</t>
  </si>
  <si>
    <t>2080724</t>
  </si>
  <si>
    <t>2080731</t>
  </si>
  <si>
    <t>2080736</t>
  </si>
  <si>
    <t>2080737</t>
  </si>
  <si>
    <t>30/06/2023</t>
  </si>
  <si>
    <t>2080745</t>
  </si>
  <si>
    <t>2080746</t>
  </si>
  <si>
    <t>2080756</t>
  </si>
  <si>
    <t>2080749</t>
  </si>
  <si>
    <t>2080750</t>
  </si>
  <si>
    <t>2080751</t>
  </si>
  <si>
    <t>2080748</t>
  </si>
  <si>
    <t>01/09/2023</t>
  </si>
  <si>
    <t>2080506</t>
  </si>
  <si>
    <t>30/03/2002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</si>
  <si>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</si>
  <si>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</si>
  <si>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</si>
  <si>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</si>
  <si>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</si>
  <si>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</si>
  <si>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</si>
  <si>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</si>
  <si>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</si>
  <si>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</si>
  <si>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</si>
  <si>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</si>
  <si>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</si>
  <si>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</si>
  <si>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</si>
  <si>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</si>
  <si>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</si>
  <si>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</si>
  <si>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</si>
  <si>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</si>
  <si>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</si>
  <si>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</si>
  <si>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</si>
  <si>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</si>
  <si>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</si>
  <si>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</si>
  <si>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</si>
  <si>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</si>
  <si>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</si>
  <si>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</si>
  <si>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</si>
  <si>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2080735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</si>
  <si>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</si>
  <si>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</si>
  <si>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</si>
  <si>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</si>
  <si>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</si>
  <si>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</si>
  <si>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</si>
  <si>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</si>
  <si>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</si>
  <si>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</si>
  <si>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</si>
  <si>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</si>
  <si>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</si>
  <si>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</si>
  <si>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</si>
  <si>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</si>
  <si>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</si>
  <si>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</si>
  <si>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20/05/2021</t>
  </si>
  <si>
    <t>2080601</t>
  </si>
  <si>
    <t>26/11/2017</t>
  </si>
  <si>
    <t>777100009</t>
  </si>
  <si>
    <t>31/08/2022</t>
  </si>
  <si>
    <t>72681158</t>
  </si>
  <si>
    <t>29/12/2020</t>
  </si>
  <si>
    <t>72721459</t>
  </si>
  <si>
    <t>72721475</t>
  </si>
  <si>
    <t>סה"כ צמוד למדד</t>
  </si>
  <si>
    <t>פק' דיסקונט פריים-1.42% 12/12/23</t>
  </si>
  <si>
    <t>20803074</t>
  </si>
  <si>
    <t>סה"כ נקוב במט"ח</t>
  </si>
  <si>
    <t>סה"כ צמוד למט"ח</t>
  </si>
  <si>
    <t>סה"כ מקרקעין בישראל:</t>
  </si>
  <si>
    <t>סה"כ מניב</t>
  </si>
  <si>
    <t>SKY TOWER - גמל</t>
  </si>
  <si>
    <t>31/12/2022</t>
  </si>
  <si>
    <t>השכרה</t>
  </si>
  <si>
    <t>רחוב המסגר 35, מתחם חסן עראפה, תל אביב</t>
  </si>
  <si>
    <t>סה"כ לא מניב</t>
  </si>
  <si>
    <t>אינשטיין 33-35 - גמל</t>
  </si>
  <si>
    <t>30/06/2022</t>
  </si>
  <si>
    <t>רחוב איינשטיין תל אביב</t>
  </si>
  <si>
    <t>מבוא כרמל החדשה - גמל</t>
  </si>
  <si>
    <t>רחוב אלון פינת תאנה, מבוא כרמל</t>
  </si>
  <si>
    <t>מרלוג אשדוד - גמל</t>
  </si>
  <si>
    <t>30/09/2022</t>
  </si>
  <si>
    <t>רחוב עובדי הנמל, אשדוד</t>
  </si>
  <si>
    <t>נכס עכו - גמל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</si>
  <si>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</si>
  <si>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</si>
  <si>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</si>
  <si>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</si>
  <si>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</si>
  <si>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</si>
  <si>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</si>
  <si>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</si>
  <si>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</si>
  <si>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חייבים זכאים תפעולי</t>
  </si>
  <si>
    <t>60101335</t>
  </si>
  <si>
    <t>מס לקבל אירו</t>
  </si>
  <si>
    <t>999999440</t>
  </si>
  <si>
    <t>מס לקבל דולר</t>
  </si>
  <si>
    <t>999999499</t>
  </si>
  <si>
    <t>מס לקבל דולר בוני</t>
  </si>
  <si>
    <t>20805061</t>
  </si>
  <si>
    <t>שקל  דיסקונט בנק דיסקונט לישראל בע"מ</t>
  </si>
  <si>
    <t>שקל  סיטי בנק סיטיבנק</t>
  </si>
  <si>
    <t>שקל  סיטי בנק עדכון ידני סיטיבנק</t>
  </si>
  <si>
    <t>דולר  דיסקונט בנק דיסקונט לישראל בע"מ</t>
  </si>
  <si>
    <t>אירו  סיטי בנק סיטיבנק</t>
  </si>
  <si>
    <t>שטרלינג  סיטי בנק סיטיבנק</t>
  </si>
  <si>
    <t>יורו  סיטי בנק עדכון ידני סיטיבנק</t>
  </si>
  <si>
    <t>דולר  סיטי בנק עדכון ידני סיטיבנק</t>
  </si>
  <si>
    <t>דולר  סיטי בנק סיטיבנק</t>
  </si>
  <si>
    <t>Margin FW  Discount USD בנק דיסקונט לישראל בע"מ</t>
  </si>
  <si>
    <t>דולר  GS עדכון ידני Goldman Sachs</t>
  </si>
  <si>
    <t>Margin FW  Citibank USD סיטיבנק</t>
  </si>
  <si>
    <t>שקל  הפועלים בנק הפועלים בע"מ</t>
  </si>
  <si>
    <t>שקל  יו בנק בנק יו-בנק בע"מ</t>
  </si>
  <si>
    <t>אירו  הפועלים בנק הפועלים בע"מ</t>
  </si>
  <si>
    <t>אירו  הפועלים עדכון ידני בנק הפועלים בע"מ</t>
  </si>
  <si>
    <t>דולר  הפועלים בנק הפועלים בע"מ</t>
  </si>
  <si>
    <t>דולר  הפועלים עדכון ידני בנק הפועלים בע"מ</t>
  </si>
  <si>
    <t>דולר  JPM עדכון ידני JPM</t>
  </si>
  <si>
    <t>Margin FW  JPM USD JPM</t>
  </si>
  <si>
    <t>Margin Future  JPM USD JPM</t>
  </si>
  <si>
    <t>Margin Future  JPM EURO JPM</t>
  </si>
  <si>
    <t>Margin Future  JPM JPY JPM</t>
  </si>
  <si>
    <t>שקל  פועלים בנק הפועלים בע"מ</t>
  </si>
  <si>
    <t>שקל  יובנק בנק יו-בנק בע"מ</t>
  </si>
  <si>
    <t>שקל  יו בנק עדכון ידני בנק יו-בנק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</si>
  <si>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</si>
  <si>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</si>
  <si>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</si>
  <si>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דולר  דיסקונט עדכון ידני בנק דיסקונט לישראל בע"מ</t>
  </si>
  <si>
    <t>דולר  פועלים בנק הפועלים בע"מ</t>
  </si>
  <si>
    <t>דולר  יובנק בנק יו-בנק בע"מ</t>
  </si>
  <si>
    <t>דולר  לאומי בנק לאומי לישראל בע"מ</t>
  </si>
  <si>
    <t>דולר  לאומי עדכון ידני בנק לאומי לישראל בע"מ</t>
  </si>
  <si>
    <t>דולר  מזרחי בנק מזרחי טפחות בע"מ</t>
  </si>
  <si>
    <t>Margin FW  Discont USD בנק דיסקונט לישראל בע"מ</t>
  </si>
  <si>
    <t>Margin FW  Hapoalim USD בנק הפועלים בע"מ</t>
  </si>
  <si>
    <t>Margin FW  Leumi USD בנק לאומי לישראל בע"מ</t>
  </si>
  <si>
    <t>Margin FW  Mizrahi USD בנק מזרחי טפחות בע"מ</t>
  </si>
  <si>
    <t>דולר  BNY Bny Mellon</t>
  </si>
  <si>
    <t>אירו  BNY Bny Mellon</t>
  </si>
  <si>
    <t>BNY אירו עתידי  Bny Mellon</t>
  </si>
  <si>
    <t>אירו  BNY עדכון ידני Bny Mellon</t>
  </si>
  <si>
    <t>יורו  BNY Bny Mellon</t>
  </si>
  <si>
    <t>שטרלינג  BNY Bny Mellon</t>
  </si>
  <si>
    <t>שטרלינג  BNY עדכון ידני Bny Mellon</t>
  </si>
  <si>
    <t>יין יפני  BNY עדכון ידני Bny Mellon</t>
  </si>
  <si>
    <t>דולר עתידי  BNY Bny Mellon</t>
  </si>
  <si>
    <t>דולר  BNY עדכון ידני Bny Mellon</t>
  </si>
  <si>
    <t>Margin FW  BNY USD Bny Mellon</t>
  </si>
  <si>
    <t>Margin FW   USD GS Goldman Sachs</t>
  </si>
  <si>
    <t>Margin FW  JPM USD JPM SE</t>
  </si>
  <si>
    <t>שקל   הפועלים בנק הפועלים בע"מ</t>
  </si>
  <si>
    <t>שקל  עדכון ידני לאומי בנק לאומי לישראל בע"מ</t>
  </si>
  <si>
    <t>דולר  דיסוקנט בנק דיסקונט לישראל בע"מ</t>
  </si>
  <si>
    <t>דולר   הפועלים בנק הפועלים בע"מ</t>
  </si>
  <si>
    <t>יורו  פועלים בנק הפועלים בע"מ</t>
  </si>
  <si>
    <t>שטרלינג  פועלים בנק הפועלים בע"מ</t>
  </si>
  <si>
    <t>שטרלינג   הפועלים בנק הפועלים בע"מ</t>
  </si>
  <si>
    <t>אירו  לאומי בנק לאומי לישראל בע"מ</t>
  </si>
  <si>
    <t>שטרלינג  לאומי בנק לאומי לישראל בע"מ</t>
  </si>
  <si>
    <t>Margin Future   Leumi USD בנק לאומי לישראל בע"מ</t>
  </si>
  <si>
    <t>Margin  JPM ILS JPM</t>
  </si>
  <si>
    <t>*בעל עניין/צד קשור</t>
  </si>
  <si>
    <t>סה"כ יתרות התחייבות להשקעה</t>
  </si>
  <si>
    <t>Commitment JTLV 3</t>
  </si>
  <si>
    <t>2030</t>
  </si>
  <si>
    <t>Commitment Rent It</t>
  </si>
  <si>
    <t>Commitment Shaked Partners II</t>
  </si>
  <si>
    <t>2031</t>
  </si>
  <si>
    <t>Commitment Reality RE Investment Fund 5</t>
  </si>
  <si>
    <t>מסגרת וויצק נדלן בכיר</t>
  </si>
  <si>
    <t>2024</t>
  </si>
  <si>
    <t>מסגרת וויצק נדלן סופר מזנין</t>
  </si>
  <si>
    <t>מסגרת כביש 16 סטנד ביי</t>
  </si>
  <si>
    <t>מסגרת כביש 16 טווח ארוך</t>
  </si>
  <si>
    <t>מסגרת צומת OPC טווח ארוך</t>
  </si>
  <si>
    <t>2025</t>
  </si>
  <si>
    <t>מסגרת צומת OPC סטנד ביי</t>
  </si>
  <si>
    <t>מסגרת נמל דרום</t>
  </si>
  <si>
    <t>2044</t>
  </si>
  <si>
    <t>מסגרת אמפא יובלים</t>
  </si>
  <si>
    <t>מסגרת ברקת כיכר המדינה א</t>
  </si>
  <si>
    <t>2027</t>
  </si>
  <si>
    <t>מסגרת ברקת כיכר המדינה ב</t>
  </si>
  <si>
    <t>מסגרת תדהר</t>
  </si>
  <si>
    <t>2022</t>
  </si>
  <si>
    <t>מסגרת מגוריט מנרב</t>
  </si>
  <si>
    <t>2026</t>
  </si>
  <si>
    <t>מסגרת קריית התקשוב</t>
  </si>
  <si>
    <t>מסגרת קריית המודיעין</t>
  </si>
  <si>
    <t>מסגרת - Royal Palm Beach</t>
  </si>
  <si>
    <t>מסגרת מגוריט ישראל</t>
  </si>
  <si>
    <t>מסגרת דוראל</t>
  </si>
  <si>
    <t>2028</t>
  </si>
  <si>
    <t>Commitment Electra America Principal Hospitality</t>
  </si>
  <si>
    <t>Commitment Breakthrough Properties Growth Portfoli</t>
  </si>
  <si>
    <t>Commitment Starlight Canadian Growth III</t>
  </si>
  <si>
    <t>Commitment HGI Multifamily Credit Fund</t>
  </si>
  <si>
    <t>Commitment Ares SB Co-Invest</t>
  </si>
  <si>
    <t>Commitment MV Subordinated V</t>
  </si>
  <si>
    <t>2032</t>
  </si>
  <si>
    <t>Commitment Faropoint IVF III</t>
  </si>
  <si>
    <t>Commitment Kain Pera Feeder LP</t>
  </si>
  <si>
    <t>2029</t>
  </si>
  <si>
    <t>Commitment Madison Realty Capital Debt Fund VI</t>
  </si>
  <si>
    <t>Commitment Pantheon Global IV</t>
  </si>
  <si>
    <t>Commitment Starlight Bond FP 1</t>
  </si>
  <si>
    <t>Commitment Northwind Healthcare Debt Fund I</t>
  </si>
  <si>
    <t>Commitment Electra Capital PM II</t>
  </si>
  <si>
    <t>Commitment Clal Hamilton Lane Credit Internationa</t>
  </si>
  <si>
    <t>Commitment Blackstone Real Estate Partners X</t>
  </si>
  <si>
    <t>Commitment EQT Infrastructure VI</t>
  </si>
  <si>
    <t>2035</t>
  </si>
  <si>
    <t>Commitment Energy Capital Partners V</t>
  </si>
  <si>
    <t>Commitment Clal - Pantheon Infra Co-Investment Pro</t>
  </si>
  <si>
    <t>Commitment ECP V Clal Co-Invest</t>
  </si>
  <si>
    <t>2033</t>
  </si>
  <si>
    <t>Commitment MetLife Single Family Rental Feeder</t>
  </si>
  <si>
    <t>Commitment Michelson Multifamily Fund II</t>
  </si>
  <si>
    <t>Fort Lauderdale Commitment</t>
  </si>
  <si>
    <t>עמית א</t>
  </si>
  <si>
    <t>עמית ב</t>
  </si>
  <si>
    <t>עמית ג</t>
  </si>
  <si>
    <t>הלוואה לגורם 197</t>
  </si>
  <si>
    <t>הלוואה לגורם 199</t>
  </si>
  <si>
    <t>הלוואה לגורם 200</t>
  </si>
  <si>
    <t>הלוואה לגורם 171</t>
  </si>
  <si>
    <t>הלוואה לגורם 181</t>
  </si>
  <si>
    <t>הלוואה לגורם 166</t>
  </si>
  <si>
    <t>הלוואה לגורם 175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</si>
  <si>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</si>
  <si>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</si>
  <si>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</si>
  <si>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</si>
  <si>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</si>
  <si>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169</t>
  </si>
  <si>
    <t>הלוואה לגורם 187</t>
  </si>
  <si>
    <t>הלוואה לגורם 179</t>
  </si>
  <si>
    <t>הלוואה לגורם 168</t>
  </si>
  <si>
    <t>הלוואה לגורם 167</t>
  </si>
  <si>
    <t>הלוואה לגורם 154</t>
  </si>
  <si>
    <t>הלוואה לגורם 158</t>
  </si>
  <si>
    <t>הלוואה לגורם 156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</si>
  <si>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</si>
  <si>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</si>
  <si>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</si>
  <si>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</si>
  <si>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</si>
  <si>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165</t>
  </si>
  <si>
    <t>הלוואה לגורם 180</t>
  </si>
  <si>
    <t>הלוואה לגורם 41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</si>
  <si>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</si>
  <si>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</si>
  <si>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</si>
  <si>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</si>
  <si>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</si>
  <si>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203</t>
  </si>
  <si>
    <t>הלוואה לגורם 182</t>
  </si>
  <si>
    <t>הלוואה לגורם 174</t>
  </si>
  <si>
    <t>הלוואה לגורם 202</t>
  </si>
  <si>
    <t>הלוואה לגורם 194</t>
  </si>
  <si>
    <t>הלוואה לגורם 162</t>
  </si>
  <si>
    <t>הלוואה לגורם 163</t>
  </si>
  <si>
    <t>הלוואה לגורם 178</t>
  </si>
  <si>
    <t>הלוואה לגורם 159</t>
  </si>
  <si>
    <t>הלוואה לגורם 176</t>
  </si>
  <si>
    <t>הלוואה לגורם 177</t>
  </si>
  <si>
    <t>הלוואה לגורם 138</t>
  </si>
  <si>
    <t>עמודה1</t>
  </si>
  <si>
    <t>לא</t>
  </si>
  <si>
    <t>5PRBRS5FEH7NREC8OR45</t>
  </si>
  <si>
    <t>549300Z7JJ4TQSQGT333</t>
  </si>
  <si>
    <t>4ZHCHI4KYZG2WVRT8631</t>
  </si>
  <si>
    <t>549300TMDIT8WREDOF45</t>
  </si>
  <si>
    <t>SQL3F6CKNNBM3SQGHX24</t>
  </si>
  <si>
    <t>0J0XRGZE3PBRFEZ7MV65</t>
  </si>
  <si>
    <t>54930064UHXCIUWVI755</t>
  </si>
  <si>
    <t>254900QBKK4WBSO3GE51</t>
  </si>
  <si>
    <t>5493009JEEDYLVRA0J13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</si>
  <si>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</si>
  <si>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</si>
  <si>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</si>
  <si>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</si>
  <si>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</si>
  <si>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</si>
  <si>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</si>
  <si>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</si>
  <si>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</si>
  <si>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CD30XVRLT4QO00B1C706</t>
  </si>
  <si>
    <t>IGJSJL3JD5P30I6NJZ34</t>
  </si>
  <si>
    <t>213800J1134IW58IC398</t>
  </si>
  <si>
    <t>549300LQ4LWX2R8ZV130</t>
  </si>
  <si>
    <t>54930070NSV60J38I987</t>
  </si>
  <si>
    <t>1Z4GXXU7ZHVWFCD8TV52</t>
  </si>
  <si>
    <t>QH78R09VCJGQKPBPYU33</t>
  </si>
  <si>
    <t>549300ZSLGV64ZL3HD75</t>
  </si>
  <si>
    <t>5493006I78VIN6J1BQ95</t>
  </si>
  <si>
    <t>549300HTIN2PD78UB763</t>
  </si>
  <si>
    <t>549300DXR29GD4N0A520</t>
  </si>
  <si>
    <t>DS830JTTZQN6GK0I2E41</t>
  </si>
  <si>
    <t>OPX52SQVOZI8IVSWYU66</t>
  </si>
  <si>
    <t>549300NOMHGVQBX6S778</t>
  </si>
  <si>
    <t>549300RIG2CXWN6IV731</t>
  </si>
  <si>
    <t>213800MRR46ECNGZ7L69</t>
  </si>
  <si>
    <t>549300HTGDOVDU6OGK19</t>
  </si>
  <si>
    <t>5299002QLUYKK2WBMB18</t>
  </si>
  <si>
    <t>5299005A2ZEP6AP7KM81</t>
  </si>
  <si>
    <t>9695005MSX1OYEMGDF46</t>
  </si>
  <si>
    <t>549300LL2QMPTYIE0K55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</si>
  <si>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</si>
  <si>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</si>
  <si>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</si>
  <si>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</si>
  <si>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</si>
  <si>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</si>
  <si>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213800TB53ELEUKM7Q61</t>
  </si>
  <si>
    <t>549300CRVT18MXX0AG93</t>
  </si>
  <si>
    <t>222100CO2ZOTEPGJO223</t>
  </si>
  <si>
    <t>969500LENY69X51OOT31</t>
  </si>
  <si>
    <t>549300J4U55H3WP1XT59</t>
  </si>
  <si>
    <t>7245007FZS0M65WUGP67</t>
  </si>
  <si>
    <t>MAES062Z21O4RZ2U7M96</t>
  </si>
  <si>
    <t>O2RNE8IBXP4R0TD8PU41</t>
  </si>
  <si>
    <t>549300NYKK9MWM7GGW15</t>
  </si>
  <si>
    <t>R0MUWSFPU8MPRO8K5P83</t>
  </si>
  <si>
    <t>5493006QMFDDMYWIAM13</t>
  </si>
  <si>
    <t>DG3RU1DBUFHT4ZF9WN62</t>
  </si>
  <si>
    <t>969500TJ5KRTCJQWXH05</t>
  </si>
  <si>
    <t>213800LBQA1Y9L22JB70</t>
  </si>
  <si>
    <t>2138005O9XJIJN4JPN90</t>
  </si>
  <si>
    <t>984500DD95A35E9BD358</t>
  </si>
  <si>
    <t>529900S21EQ1BO4ESM68</t>
  </si>
  <si>
    <t>213800WFQ334R8UXUG83</t>
  </si>
  <si>
    <t>724500Y6DUVHQD6OXN27</t>
  </si>
  <si>
    <t>213800HK59N7H979QU33</t>
  </si>
  <si>
    <t>969500ZR92SQCU9TST26</t>
  </si>
  <si>
    <t>213800LH1BZH3DI6G760</t>
  </si>
  <si>
    <t>549300WDU0AS30W35T75</t>
  </si>
  <si>
    <t>254900NMDQ8ENTHU1I31</t>
  </si>
  <si>
    <t>5493001NTNQJDH60PM02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</si>
  <si>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</si>
  <si>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</si>
  <si>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</si>
  <si>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</si>
  <si>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</si>
  <si>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</si>
  <si>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5493006MHB84DD0ZWV18</t>
  </si>
  <si>
    <t>765LHXWGK1KXCLTFYQ30</t>
  </si>
  <si>
    <t>B3DXGBC8GAIYWI2Z0172</t>
  </si>
  <si>
    <t>HWUPKR0MPOU8FGXBT394</t>
  </si>
  <si>
    <t>549300GZKULIZ0WOW665</t>
  </si>
  <si>
    <t>549300JZ4OKEHW3DPJ59</t>
  </si>
  <si>
    <t>AR5L2ODV9HN37376R084</t>
  </si>
  <si>
    <t>BQ4BKCS1HXDV9HN80Z93</t>
  </si>
  <si>
    <t>INR2EJN1ERAN0W5ZP974</t>
  </si>
  <si>
    <t>549300GHBMY8T5GXDE41</t>
  </si>
  <si>
    <t>549300S4KLFTLO7GSQ80</t>
  </si>
  <si>
    <t>549300JK1Y1VVC3JU540</t>
  </si>
  <si>
    <t>FU4LY2G4933NH2E1CP29</t>
  </si>
  <si>
    <t>549300IRDTHJQ1PVET45</t>
  </si>
  <si>
    <t>ZXTILKJKG63JELOEG630</t>
  </si>
  <si>
    <t>8WDDFXB5T1Z6J0XC1L66</t>
  </si>
  <si>
    <t>W0CZ7N0GH8UIGXDM1H41</t>
  </si>
  <si>
    <t>5493006ORUSIL88JOE18</t>
  </si>
  <si>
    <t>41BNNE1AFPNAZELZ6K07</t>
  </si>
  <si>
    <t>5493008B2TU3S6QE1E12</t>
  </si>
  <si>
    <t>54930043XZGB27CTOV49</t>
  </si>
  <si>
    <t>529900H4DWG3KWMBMQ39</t>
  </si>
  <si>
    <t>2138003H1BZGR6KM5823</t>
  </si>
  <si>
    <t>549300HMMEWVG3PPQU18</t>
  </si>
  <si>
    <t>5493002QQ7GD21OWF963</t>
  </si>
  <si>
    <t>549300O0QJWDBAS0QX03</t>
  </si>
  <si>
    <t>549300H0BF5JCG96TJ81</t>
  </si>
  <si>
    <t>254900MXP6EWY0SFFR59</t>
  </si>
  <si>
    <t>529900CG8YAQFZ2JMV97</t>
  </si>
  <si>
    <t>549300J8H1TB0I2CB447</t>
  </si>
  <si>
    <t>8DF36O58U3QIHUCGZB18</t>
  </si>
  <si>
    <t>213800R54EFFINMY1P02</t>
  </si>
  <si>
    <t>22210029BWUM47M5IC61</t>
  </si>
  <si>
    <t>213800EH8RDDKCSGK398</t>
  </si>
  <si>
    <t>549300U6ULJL7WUJ6046</t>
  </si>
  <si>
    <t>635400KZRKKKNVCJXD85</t>
  </si>
  <si>
    <t>635400TBVC4RHQO4KZ59</t>
  </si>
  <si>
    <t>549300FJMHPYN6U09212</t>
  </si>
  <si>
    <t>549300QKN7I8BYECLG85</t>
  </si>
  <si>
    <t>5493002PH3Z252VH0Z10</t>
  </si>
  <si>
    <t>5493003N1TMIMOXBYK56</t>
  </si>
  <si>
    <t>549300JWBW5ZYYLO6033</t>
  </si>
  <si>
    <t>353800U3TPEO41XXQE39</t>
  </si>
  <si>
    <t>549300NZAMSJ8FXPQQ63</t>
  </si>
  <si>
    <t>5493002789CX3L0CJP65</t>
  </si>
  <si>
    <t>549300RMMYLGSFFMT454</t>
  </si>
  <si>
    <t>549300T3CSCFW1IFJC98</t>
  </si>
  <si>
    <t>54930044TWZ26JPZ4913</t>
  </si>
  <si>
    <t>5493002C2LG0TVRY4T35</t>
  </si>
  <si>
    <t>549300Y4ZFSCU6XVGF08</t>
  </si>
  <si>
    <t>549300QQR5SNTQVNFC45</t>
  </si>
  <si>
    <t>549300D9O5F5P2DTYB19</t>
  </si>
  <si>
    <t>549300LTD878UJSEFE24</t>
  </si>
  <si>
    <t>549300WONOCNDW382894</t>
  </si>
  <si>
    <t>549300PNOE8XF3W40W61</t>
  </si>
  <si>
    <t>5493002PIW2QX6FNXI81</t>
  </si>
  <si>
    <t>549300Y1NOU164X4H550</t>
  </si>
  <si>
    <t>549300L5RUQZ388WGS57</t>
  </si>
  <si>
    <t>549300Q2OQ2U87KJR762</t>
  </si>
  <si>
    <t>549300VY6FEJBCIMET58</t>
  </si>
  <si>
    <t>635400KFAN415FMIGG54</t>
  </si>
  <si>
    <t>549300TKJ3EA6QHM7D23</t>
  </si>
  <si>
    <t>549300URDNVSGEWBN526</t>
  </si>
  <si>
    <t>213800MPG89TQUBL5C29</t>
  </si>
  <si>
    <t>353800A9AYNTIQFRDM29</t>
  </si>
  <si>
    <t>549300M0AUGU3NFNF319</t>
  </si>
  <si>
    <t>549300XR8J1YR1L99580</t>
  </si>
  <si>
    <t>54930064FLK0RD4TRU75</t>
  </si>
  <si>
    <t>549300EJNY3KKJHPOY44</t>
  </si>
  <si>
    <t>549300Y12KQ6ZG08NY28</t>
  </si>
  <si>
    <t>549300Y3ODFMPD5XXL58</t>
  </si>
  <si>
    <t>549300YVZ2R8N1KQH698</t>
  </si>
  <si>
    <t>549300WSDUDKDJCJOV22</t>
  </si>
  <si>
    <t>549300NEMRCSGL23FU27</t>
  </si>
  <si>
    <t>54930077MN2BBHNFZQ03</t>
  </si>
  <si>
    <t>5493009BXYOCIRTXRS63</t>
  </si>
  <si>
    <t>A3OFOMMYV8PYF37HFY49</t>
  </si>
  <si>
    <t>549300OGASR5WRKJ8R68</t>
  </si>
  <si>
    <t>549300HQ8IBAX0TXDL49</t>
  </si>
  <si>
    <t>549300OKF6OUA5P5MU19</t>
  </si>
  <si>
    <t>549300H8QJOIP08BIM28</t>
  </si>
  <si>
    <t>549300B3CEAHYG7K8164</t>
  </si>
  <si>
    <t>549300RZ4TE1T5F3DY45</t>
  </si>
  <si>
    <t>51AMXMBYJTZWXA4L4L83</t>
  </si>
  <si>
    <t>FDQ3U0BX0ZTSLH0GBR19</t>
  </si>
  <si>
    <t>529900SQFJZNLOBO8Z15</t>
  </si>
  <si>
    <t>QXLNS35572JXFT415E26</t>
  </si>
  <si>
    <t>213800M3HXZ3RG189568</t>
  </si>
  <si>
    <t>549300TUMDQAY0LJ6X75</t>
  </si>
  <si>
    <t>635400BTSWMY84SXPB33</t>
  </si>
  <si>
    <t>5299009QN2NZ191KLS29</t>
  </si>
  <si>
    <t>529900TCN22XTOQUBM95</t>
  </si>
  <si>
    <t>549300TO59X5MBW1JM68</t>
  </si>
  <si>
    <t>549300NHQGC72RX55X16</t>
  </si>
  <si>
    <t xml:space="preserve">טבע </t>
  </si>
  <si>
    <t>או.פי.סי אנרגיה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</si>
  <si>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</si>
  <si>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</si>
  <si>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</si>
  <si>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</si>
  <si>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</si>
  <si>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</si>
  <si>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</si>
  <si>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</si>
  <si>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</si>
  <si>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</si>
  <si>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שטראוס עלית </t>
  </si>
  <si>
    <t xml:space="preserve">שיכון ובינוי </t>
  </si>
  <si>
    <t xml:space="preserve">אאורה </t>
  </si>
  <si>
    <t>אינרום בנייה</t>
  </si>
  <si>
    <t xml:space="preserve">איסתא </t>
  </si>
  <si>
    <t>בתי זיקוק</t>
  </si>
  <si>
    <t>דנאל</t>
  </si>
  <si>
    <t>הבורסה לניע בתא</t>
  </si>
  <si>
    <t>פרטנר</t>
  </si>
  <si>
    <t xml:space="preserve">ישראל קנדה </t>
  </si>
  <si>
    <t>לפידות קפיטל</t>
  </si>
  <si>
    <t xml:space="preserve">מג'יק תעשיות תכנה </t>
  </si>
  <si>
    <t>מנורה</t>
  </si>
  <si>
    <t xml:space="preserve">משק אנרגיה </t>
  </si>
  <si>
    <t xml:space="preserve">סאמיט החזקות נדלן </t>
  </si>
  <si>
    <t xml:space="preserve">סאפינס </t>
  </si>
  <si>
    <t xml:space="preserve">פורמולה מערכות </t>
  </si>
  <si>
    <t>פז אנרגיה</t>
  </si>
  <si>
    <t>דוראל אנרגיה</t>
  </si>
  <si>
    <t xml:space="preserve">קמטק </t>
  </si>
  <si>
    <t>קרסו מוטורס</t>
  </si>
  <si>
    <t>אדגר השקעות</t>
  </si>
  <si>
    <t>אי.טי.ג'י.איי</t>
  </si>
  <si>
    <t xml:space="preserve">אלקטריאון </t>
  </si>
  <si>
    <t>אריקה בי-קיור</t>
  </si>
  <si>
    <t>גיידליין גרופ</t>
  </si>
  <si>
    <t xml:space="preserve">טלסיס </t>
  </si>
  <si>
    <t xml:space="preserve">ישראייר גרופ </t>
  </si>
  <si>
    <t>מלם תים</t>
  </si>
  <si>
    <t>מניף-פיננסים</t>
  </si>
  <si>
    <t>פיסיבי טכנ</t>
  </si>
  <si>
    <t>אקרשטיין קבוצה</t>
  </si>
  <si>
    <t>קיסטון אינפרא</t>
  </si>
  <si>
    <t>קרדן אן.וי-ש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</si>
  <si>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</si>
  <si>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</si>
  <si>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</si>
  <si>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</si>
  <si>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</si>
  <si>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</si>
  <si>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>NV1239114</t>
  </si>
  <si>
    <t xml:space="preserve">נתיבי גז אגח ד </t>
  </si>
  <si>
    <t xml:space="preserve">אדמה אגח ב </t>
  </si>
  <si>
    <t xml:space="preserve">אדגר אגח יב </t>
  </si>
  <si>
    <t xml:space="preserve">נכסים ובנ אגח ד </t>
  </si>
  <si>
    <t xml:space="preserve">אאורה אגח יז </t>
  </si>
  <si>
    <t>דיסקונט השקעות אגח ו'</t>
  </si>
  <si>
    <t xml:space="preserve">קרדן אן וי אגח א  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</si>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</sst>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40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10" fontId="1" fillId="2" borderId="0" xfId="1" applyNumberFormat="1" applyFill="1"/>
    <xf numFmtId="0" fontId="1" fillId="2" borderId="1" xfId="0" applyFont="1" applyFill="1" applyBorder="1" applyAlignment="1">
      <alignment horizontal="right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10" fontId="13" fillId="2" borderId="34" xfId="3" applyNumberFormat="1" applyFon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1" fillId="2" borderId="1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40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7A1F8C-C77E-406A-AA32-3F211AAF681D}" name="סכום נכסי הקרן1" displayName="סכום_נכסי_הקרן1" ref="A5:C41" totalsRowShown="0" headerRowDxfId="639" dataDxfId="638">
  <tableColumns count="3">
    <tableColumn id="1" xr3:uid="{51AFBE90-8C33-44F3-97B0-1E5FA3B4896E}" name="עמודה1" dataDxfId="637"/>
    <tableColumn id="2" xr3:uid="{3C8D98FC-62EC-43BB-A627-82FC9142C1EE}" name="שווי הוגן" dataDxfId="636"/>
    <tableColumn id="3" xr3:uid="{F8F63A05-AD93-4909-9E17-F9AD28E23CC0}" name="שיעור מנכסי השקעה" dataDxfId="635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21FFCF-3CB7-45C5-95AD-AF39CFCA28AA}" name="סכום נכסי הקרן0" displayName="סכום_נכסי_הקרן0" ref="B42:C66" totalsRowShown="0" headerRowDxfId="634" dataDxfId="632" headerRowBorderDxfId="633" tableBorderDxfId="631" totalsRowBorderDxfId="630">
  <tableColumns count="2">
    <tableColumn id="1" xr3:uid="{4E2B77B0-1882-4086-9254-D681B9673E23}" name="שם המטבע" dataDxfId="629"/>
    <tableColumn id="2" xr3:uid="{37F0FEA4-507B-4F24-926F-0DC4B9509537}" name="שע&quot;ח" dataDxfId="62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28D0B8-4467-4A5C-B904-4D41B9091DFD}" name="מזומנים1" displayName="מזומנים1" ref="A5:K190" totalsRowShown="0" headerRowDxfId="627" headerRowBorderDxfId="626" tableBorderDxfId="625" headerRowCellStyle="Percent">
  <tableColumns count="11">
    <tableColumn id="1" xr3:uid="{A616ECB9-BB93-41A4-BDAD-71FC41ECD6EB}" name="שם המנפיק/שם נייר ערך" dataDxfId="624"/>
    <tableColumn id="2" xr3:uid="{BB1DE9A1-10FE-4627-B55F-8BC5B0B37590}" name="מספר נ&quot;ע" dataDxfId="623"/>
    <tableColumn id="3" xr3:uid="{A2ACF32F-A23F-4F86-B62D-226764F5D73A}" name="מספר מנפיק" dataDxfId="622"/>
    <tableColumn id="4" xr3:uid="{3EECAAAA-C4D5-460C-AB1F-FC2EF47D5BF8}" name="דירוג" dataDxfId="621"/>
    <tableColumn id="5" xr3:uid="{1FB17395-9CD9-4560-B56A-2D4500F99A9E}" name="שם מדרג" dataDxfId="620" dataCellStyle="Percent"/>
    <tableColumn id="6" xr3:uid="{8F4BEA4E-8D88-44FF-8FB7-73EAB12B1187}" name="סוג מטבע" dataDxfId="619"/>
    <tableColumn id="7" xr3:uid="{2366CE9E-D9E2-4BAE-BE97-4A95BDE19EB5}" name="שעור ריבית" dataDxfId="618" dataCellStyle="Percent"/>
    <tableColumn id="8" xr3:uid="{9653DAC8-405A-4359-9F05-F29D7AB72A9D}" name="תשואה לפדיון" dataDxfId="617" dataCellStyle="Comma"/>
    <tableColumn id="9" xr3:uid="{4AFF818C-5C24-49DE-B5DC-0BC5A4006D18}" name="שווי שוק" dataDxfId="616" dataCellStyle="Percent"/>
    <tableColumn id="10" xr3:uid="{6E327D5A-2FE2-4012-B037-BAB8C4344C83}" name="שעור מנכסי אפיק ההשקעה" dataDxfId="615" dataCellStyle="Percent"/>
    <tableColumn id="11" xr3:uid="{A2E59CB7-7025-4760-9816-945A475D085D}" name="שעור מנכסי השקעה" dataDxfId="614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8EE650-0488-4653-8E3F-0BFA301A8DA5}" name="תעודות התחייבות ממשלתיות1" displayName="תעודות_התחייבות_ממשלתיות1" ref="A6:Q55" totalsRowShown="0" headerRowDxfId="613" dataDxfId="611" headerRowBorderDxfId="612" tableBorderDxfId="610" headerRowCellStyle="Percent" dataCellStyle="Percent">
  <tableColumns count="17">
    <tableColumn id="1" xr3:uid="{5A29AE18-7340-4123-9432-3885486A2678}" name="שם המנפיק/שם נייר ערך" dataDxfId="609"/>
    <tableColumn id="2" xr3:uid="{6FD0326F-5C51-4C68-824A-5957DDF6F231}" name="מספר נ&quot;ע" dataDxfId="608"/>
    <tableColumn id="3" xr3:uid="{07E3F892-764E-4A95-8846-060961B98BD4}" name="זירת מסחר" dataDxfId="607"/>
    <tableColumn id="4" xr3:uid="{98D55F7A-FEF8-4BDC-9FA7-0FC5554D8453}" name="דירוג" dataDxfId="606"/>
    <tableColumn id="5" xr3:uid="{0BDA51A4-49FD-4355-8722-4754387A3CB1}" name="שם מדרג" dataDxfId="605" dataCellStyle="Percent"/>
    <tableColumn id="6" xr3:uid="{67266202-DE14-4DC6-8AFC-DE12AF385CE6}" name="תאריך רכישה" dataDxfId="604" dataCellStyle="Percent"/>
    <tableColumn id="7" xr3:uid="{B635B473-E40F-4450-8C27-C0F391BFDE5F}" name="מח&quot;מ" dataDxfId="603" dataCellStyle="Percent"/>
    <tableColumn id="8" xr3:uid="{B8090C2E-5FE6-4238-B930-0931ED1D0752}" name="סוג מטבע" dataDxfId="602"/>
    <tableColumn id="9" xr3:uid="{7359C0DE-2F4D-4A39-83CA-5FED50CCA5E4}" name="שעור ריבית" dataDxfId="601" dataCellStyle="Percent"/>
    <tableColumn id="10" xr3:uid="{E7482BC6-CBEB-41B3-B32D-C5A309D79E77}" name="תשואה לפדיון" dataDxfId="600" dataCellStyle="Comma"/>
    <tableColumn id="11" xr3:uid="{D9ABE8EB-4A9C-429E-87DE-149AB5538925}" name="ערך נקוב" dataDxfId="599" dataCellStyle="Comma"/>
    <tableColumn id="12" xr3:uid="{89F52145-60E5-417D-B93B-6411C830BAF8}" name="שער" dataDxfId="598" dataCellStyle="Comma"/>
    <tableColumn id="13" xr3:uid="{11D1A524-73EF-4590-8414-7151A473CC27}" name="פדיון/ריבית לקבל" dataDxfId="597" dataCellStyle="Comma"/>
    <tableColumn id="14" xr3:uid="{56632BF8-6971-4CE9-910B-8377A04322DE}" name="שווי שוק" dataDxfId="596" dataCellStyle="Percent"/>
    <tableColumn id="15" xr3:uid="{4B7D88B1-5EB5-43E8-864D-E3E86B8D5330}" name="שעור מערך נקוב מונפק" dataDxfId="595" dataCellStyle="Percent"/>
    <tableColumn id="16" xr3:uid="{9DA0EA4E-EC31-459D-892B-22417CE9DF34}" name="שעור מנכסי אפיק ההשקעה" dataDxfId="594" dataCellStyle="Percent"/>
    <tableColumn id="17" xr3:uid="{442E0C77-5412-49A3-BEAC-695CA7E8A2FA}" name="שעור מנכסי השקעה" dataDxfId="593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6AC4FB-78E4-47C8-A11F-86CFA0C735C6}" name="תעודות חוב מסחריות1" displayName="תעודות_חוב_מסחריות1" ref="A6:T21" totalsRowShown="0" headerRowDxfId="592" dataDxfId="590" headerRowBorderDxfId="591" tableBorderDxfId="589" headerRowCellStyle="Percent" dataCellStyle="Comma">
  <tableColumns count="20">
    <tableColumn id="1" xr3:uid="{68FFA3A5-7804-4065-A270-B7C9879D58CB}" name="שם המנפיק/שם נייר ערך" dataDxfId="588"/>
    <tableColumn id="2" xr3:uid="{6FDB1A1C-541A-4268-BC96-D23EBB99C5B3}" name="מספר נ&quot;ע" dataDxfId="587"/>
    <tableColumn id="3" xr3:uid="{7906D649-1AA5-4ACC-9B32-6D8D2ABEEAC9}" name="זירת מסחר" dataDxfId="586"/>
    <tableColumn id="4" xr3:uid="{9238AFB7-7DF4-4872-BEEF-E55B6E7F02DD}" name="ספק מידע" dataDxfId="585"/>
    <tableColumn id="5" xr3:uid="{E9A5B59F-6E6E-42E5-9E7C-4AA5232418E7}" name="מספר מנפיק" dataDxfId="584"/>
    <tableColumn id="6" xr3:uid="{785740FE-E617-4128-A3E7-4E40C5579540}" name="ענף מסחר" dataDxfId="583"/>
    <tableColumn id="7" xr3:uid="{8E85B990-69D6-4DB5-A993-D5F81D594D19}" name="דירוג" dataDxfId="582" dataCellStyle="Percent"/>
    <tableColumn id="8" xr3:uid="{CCCE41E7-CF52-4DB1-9F61-C2D977822A2B}" name="שם מדרג" dataDxfId="581" dataCellStyle="Percent"/>
    <tableColumn id="9" xr3:uid="{B1C7BD8A-B5EC-4634-A654-A91B54905EBA}" name="תאריך רכישה" dataDxfId="580" dataCellStyle="Percent"/>
    <tableColumn id="10" xr3:uid="{B899B9CD-2E6C-405C-B3C8-B76E619E952C}" name="מח&quot;מ" dataDxfId="579"/>
    <tableColumn id="11" xr3:uid="{7901DACE-2143-48D0-9A26-DD0B0FA69120}" name="סוג מטבע" dataDxfId="578" dataCellStyle="Percent"/>
    <tableColumn id="12" xr3:uid="{DDAADE47-E45A-4C86-812B-3AF3D2F1EE68}" name="שעור ריבית" dataDxfId="577" dataCellStyle="Comma"/>
    <tableColumn id="13" xr3:uid="{00281A49-7B88-4A37-A498-E715C4680C71}" name="תשואה לפדיון" dataDxfId="576" dataCellStyle="Comma"/>
    <tableColumn id="14" xr3:uid="{49D0B26F-C6B1-4254-81E9-C788EBAA842A}" name="ערך נקוב" dataDxfId="575" dataCellStyle="Comma"/>
    <tableColumn id="15" xr3:uid="{ECB94540-BF90-4847-BC03-D89F8FEC02E4}" name="שער" dataDxfId="574" dataCellStyle="Percent"/>
    <tableColumn id="16" xr3:uid="{2B4E383C-46D3-484E-BB7A-5BEF42DBB46A}" name="פדיון/ריבית לקבל" dataDxfId="573" dataCellStyle="Percent"/>
    <tableColumn id="17" xr3:uid="{3ADE6490-D856-4D47-93F0-86F47653CC80}" name="שווי שוק" dataDxfId="572" dataCellStyle="Percent"/>
    <tableColumn id="18" xr3:uid="{7750CA98-9300-4546-974D-5F405301C64A}" name="שעור מערך נקוב מונפק" dataDxfId="571" dataCellStyle="Comma"/>
    <tableColumn id="19" xr3:uid="{3118FEE7-34ED-421F-A36F-3404D38950EE}" name="שעור מנכסי אפיק ההשקעה" dataDxfId="570" dataCellStyle="Comma"/>
    <tableColumn id="20" xr3:uid="{E87189D4-3D8A-4B4B-9DC6-D85A5B59044F}" name="שעור מנכסי השקעה" dataDxfId="569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7E2873-F8C5-4865-99EE-29205B9B5FCA}" name="אג&quot;ח קונצרני1" displayName="אג_ח_קונצרני1" ref="A6:T414" totalsRowShown="0" headerRowDxfId="568" dataDxfId="566" headerRowBorderDxfId="567" tableBorderDxfId="565" headerRowCellStyle="Percent" dataCellStyle="Comma">
  <tableColumns count="20">
    <tableColumn id="1" xr3:uid="{B912D056-48AB-4796-BBE7-AD45ED8DF0F8}" name="שם המנפיק/שם נייר ערך" dataDxfId="564"/>
    <tableColumn id="2" xr3:uid="{6C0A45AF-187F-4BBE-9854-1C9A92A12081}" name="מספר נ&quot;ע" dataDxfId="563"/>
    <tableColumn id="3" xr3:uid="{D77E4F0F-839E-4C73-957B-7BA9E9DA003D}" name="זירת מסחר" dataDxfId="562"/>
    <tableColumn id="4" xr3:uid="{CE5E32D2-8942-4B3A-BB66-71596A34C19D}" name="ספק מידע" dataDxfId="561"/>
    <tableColumn id="5" xr3:uid="{79FA7513-12C8-430F-9841-06C91E57F968}" name="מספר מנפיק" dataDxfId="560"/>
    <tableColumn id="6" xr3:uid="{C5CB19E5-7E5A-4942-AF66-F59526D228CC}" name="ענף מסחר" dataDxfId="559"/>
    <tableColumn id="7" xr3:uid="{2131147D-7ACB-4CDF-9912-11C60CC4F83B}" name="דירוג" dataDxfId="558" dataCellStyle="Percent"/>
    <tableColumn id="8" xr3:uid="{7238EB0A-F35C-4B37-8B30-02427BFBE6A2}" name="שם מדרג" dataDxfId="557" dataCellStyle="Percent"/>
    <tableColumn id="9" xr3:uid="{399F46B8-BDCF-42BF-957D-CE848BA0239C}" name="תאריך רכישה" dataDxfId="556" dataCellStyle="Percent"/>
    <tableColumn id="10" xr3:uid="{9463F1F6-1557-4F87-B19B-FADD5A413E05}" name="מח&quot;מ" dataDxfId="555"/>
    <tableColumn id="11" xr3:uid="{1BF1E0E4-48EC-4EEF-870C-82431BC55514}" name="סוג מטבע" dataDxfId="554" dataCellStyle="Percent"/>
    <tableColumn id="12" xr3:uid="{88A2778F-F5DE-4E2F-8A13-0FE80A957C33}" name="שעור ריבית" dataDxfId="553" dataCellStyle="Comma"/>
    <tableColumn id="13" xr3:uid="{D3A62ECB-2560-4BD7-9715-15D133498B27}" name="תשואה לפדיון" dataDxfId="552" dataCellStyle="Comma"/>
    <tableColumn id="14" xr3:uid="{6FFA28CA-EE67-4DFB-B47B-4D77D0B134D8}" name="ערך נקוב" dataDxfId="551" dataCellStyle="Comma"/>
    <tableColumn id="15" xr3:uid="{69A31554-6780-4A00-8C15-01CF1F3C38A0}" name="שער" dataDxfId="550" dataCellStyle="Percent"/>
    <tableColumn id="16" xr3:uid="{10DA7904-3A6D-43C2-A7C9-A2FF56BE6CFB}" name="פדיון/ריבית לקבל" dataDxfId="549" dataCellStyle="Percent"/>
    <tableColumn id="17" xr3:uid="{0166F618-D537-4BFC-B945-C24CC0F2D4BC}" name="שווי שוק" dataDxfId="548" dataCellStyle="Percent"/>
    <tableColumn id="18" xr3:uid="{E6B342A1-C124-4BB0-869D-2DC26CA928DE}" name="שעור מערך נקוב מונפק" dataDxfId="547" dataCellStyle="Comma"/>
    <tableColumn id="19" xr3:uid="{968543FF-E3ED-4C7A-9887-84D2F8B326DF}" name="שעור מנכסי אפיק ההשקעה" dataDxfId="546" dataCellStyle="Comma"/>
    <tableColumn id="20" xr3:uid="{A815C3FE-121C-4F19-A346-B28E044B2008}" name="שעור מנכסי השקעה" dataDxfId="545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6647CC-E877-4FAF-8B03-92D03AC19FC4}" name="מניות1" displayName="מניות1" ref="A6:N277" totalsRowShown="0" headerRowDxfId="544" dataDxfId="542" headerRowBorderDxfId="543" tableBorderDxfId="541" headerRowCellStyle="Percent" dataCellStyle="Percent">
  <tableColumns count="14">
    <tableColumn id="1" xr3:uid="{7736616B-556E-468D-98AA-5A520C5E4259}" name="שם המנפיק/שם נייר ערך" dataDxfId="540"/>
    <tableColumn id="2" xr3:uid="{3ABFDAA4-C178-4B72-B538-846458D193E8}" name="מספר נ&quot;ע" dataDxfId="539"/>
    <tableColumn id="3" xr3:uid="{C40FEE03-8512-41D6-8D7D-017CEFBC6AE1}" name="זירת מסחר" dataDxfId="538"/>
    <tableColumn id="4" xr3:uid="{E1075C15-1CF6-4C37-A5EA-C4B608D06318}" name="ספק מידע" dataDxfId="537"/>
    <tableColumn id="5" xr3:uid="{42BEDE9B-2C60-4398-813D-6A2D2E334425}" name="מספר מנפיק" dataDxfId="536"/>
    <tableColumn id="6" xr3:uid="{C4960460-FBD9-4425-A89E-A4F0E105416D}" name="ענף מסחר" dataDxfId="535"/>
    <tableColumn id="7" xr3:uid="{01384B73-217A-434C-A545-E856580BEF1F}" name="סוג מטבע" dataDxfId="534" dataCellStyle="Percent"/>
    <tableColumn id="8" xr3:uid="{F1C82EE1-9E30-4EE5-A116-D3846DE835E9}" name="ערך נקוב" dataDxfId="533" dataCellStyle="Percent"/>
    <tableColumn id="9" xr3:uid="{7D3BC5F2-1493-497E-A4BF-7E2994C56303}" name="שער" dataDxfId="532" dataCellStyle="Percent"/>
    <tableColumn id="10" xr3:uid="{5A4C1258-6637-4021-9F7E-2C56A9E2EBC3}" name="פדיון/ריבית לקבל" dataDxfId="531" dataCellStyle="Percent"/>
    <tableColumn id="11" xr3:uid="{D4B1579C-0147-4DFE-8EA6-096D60A8DE06}" name="שווי שוק" dataDxfId="530"/>
    <tableColumn id="12" xr3:uid="{C285626F-195A-4A12-9CF9-36058A69CB12}" name="שעור מערך נקוב מונפק" dataDxfId="529" dataCellStyle="Percent"/>
    <tableColumn id="13" xr3:uid="{2BF0DB5B-24C6-4819-A0F1-6CDBAB882555}" name="שעור מנכסי אפיק ההשקעה" dataDxfId="528" dataCellStyle="Percent"/>
    <tableColumn id="14" xr3:uid="{F954BF43-064C-41A0-AF9A-11AACE18AB7A}" name="שעור מנכסי השקעה" dataDxfId="527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D9A1DC6-34CC-4ACE-9157-F2AD47599E31}" name="קרנות סל1" displayName="קרנות_סל1" ref="A6:M101" totalsRowShown="0" headerRowDxfId="526" dataDxfId="524" headerRowBorderDxfId="525" tableBorderDxfId="523" headerRowCellStyle="Percent" dataCellStyle="Percent">
  <tableColumns count="13">
    <tableColumn id="1" xr3:uid="{4FC4637A-23E2-4930-99FD-A44A0207BD47}" name="שם המנפיק/שם נייר ערך" dataDxfId="522"/>
    <tableColumn id="2" xr3:uid="{0F55C2FD-AD97-4EE3-BFC8-DCCC9B1DF31C}" name="מספר נ&quot;ע" dataDxfId="521"/>
    <tableColumn id="3" xr3:uid="{794A62B1-0B35-4237-B50B-89DF60F25FCE}" name="זירת מסחר" dataDxfId="520"/>
    <tableColumn id="4" xr3:uid="{204C5F1D-7D81-4E83-A54A-D8D3A87555B9}" name="מספר מנפיק" dataDxfId="519"/>
    <tableColumn id="5" xr3:uid="{ECE0FABC-A742-4F05-BE84-E617F44417B8}" name="ענף מסחר" dataDxfId="518"/>
    <tableColumn id="6" xr3:uid="{25B5D590-962D-4291-9DEA-10F90EB12080}" name="סוג מטבע" dataDxfId="517"/>
    <tableColumn id="7" xr3:uid="{70087207-315F-4D2E-B48D-5F49F4964839}" name="ערך נקוב" dataDxfId="516" dataCellStyle="Percent"/>
    <tableColumn id="8" xr3:uid="{C6B91969-66CF-42D1-AA21-269F79979E3C}" name="שער" dataDxfId="515" dataCellStyle="Percent"/>
    <tableColumn id="9" xr3:uid="{FFE26744-70F2-4A34-A496-402507F08910}" name="פדיון/ריבית לקבל" dataDxfId="514" dataCellStyle="Percent"/>
    <tableColumn id="10" xr3:uid="{062093E8-7984-4953-86E7-AB44CC2EBE5E}" name="שווי שוק" dataDxfId="513" dataCellStyle="Percent"/>
    <tableColumn id="11" xr3:uid="{78822463-32C6-462E-ADBD-1AD2F0BE7CA7}" name="שעור מערך נקוב מונפק" dataDxfId="512"/>
    <tableColumn id="12" xr3:uid="{8716A468-FCB9-4AD4-BECF-375ADC067B27}" name="שעור מנכסי אפיק ההשקעה" dataDxfId="511"/>
    <tableColumn id="13" xr3:uid="{5FB15F8E-3054-4B58-B514-A87FF7E13CCE}" name="שעור מנכסי השקעה" dataDxfId="510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41FB3A2-3397-4341-9A60-E9FDF904D5FF}" name="קרנות נאמנות1" displayName="קרנות_נאמנות1" ref="A6:N50" totalsRowShown="0" headerRowDxfId="509" dataDxfId="507" headerRowBorderDxfId="508" tableBorderDxfId="506" headerRowCellStyle="Percent" dataCellStyle="Comma">
  <tableColumns count="14">
    <tableColumn id="1" xr3:uid="{F61E2782-C36C-487D-8F53-9379FE959058}" name="שם המנפיק/שם נייר ערך" dataDxfId="505"/>
    <tableColumn id="2" xr3:uid="{E3C981AD-55A1-4C00-970F-FE3EFA986298}" name="מספר נ&quot;ע" dataDxfId="504"/>
    <tableColumn id="3" xr3:uid="{BB863F8A-00AC-4785-AD10-96EBAA1B8C15}" name="זירת מסחר" dataDxfId="503"/>
    <tableColumn id="4" xr3:uid="{5B424BD0-78AF-422E-84E1-C7A16A031525}" name="מספר מנפיק" dataDxfId="502"/>
    <tableColumn id="5" xr3:uid="{47505C3A-8A5F-47AC-849E-A869CF0DB067}" name="ענף מסחר" dataDxfId="501"/>
    <tableColumn id="6" xr3:uid="{5B533CA1-C694-4E20-A751-2243DB67EAED}" name="דירוג" dataDxfId="500" dataCellStyle="Percent"/>
    <tableColumn id="7" xr3:uid="{DE21DDD6-4D5B-45B1-A2E4-C5A4483FA905}" name="שם מדרג" dataDxfId="499" dataCellStyle="Percent"/>
    <tableColumn id="8" xr3:uid="{957689ED-0303-4CDD-B059-977A835C5BD7}" name="סוג מטבע" dataDxfId="498" dataCellStyle="Percent"/>
    <tableColumn id="9" xr3:uid="{A2D09B28-AB36-40E5-B62A-71C82DC8379A}" name="ערך נקוב" dataDxfId="497"/>
    <tableColumn id="10" xr3:uid="{AAE5603E-EA0E-44B6-8CD6-BB91E3919E1D}" name="שער" dataDxfId="496" dataCellStyle="Percent"/>
    <tableColumn id="11" xr3:uid="{6A9982B7-2350-4F0B-8A1E-E2E2285A4711}" name="שווי שוק" dataDxfId="495" dataCellStyle="Comma"/>
    <tableColumn id="12" xr3:uid="{5554DE24-5DF0-4572-BB7F-6AE777E657B7}" name="שעור מערך נקוב מונפק" dataDxfId="494" dataCellStyle="Comma"/>
    <tableColumn id="13" xr3:uid="{443D942B-E65F-401B-BFC5-972AC385A42A}" name="שעור מנכסי אפיק ההשקעה" dataDxfId="493" dataCellStyle="Comma"/>
    <tableColumn id="14" xr3:uid="{F34F60CF-6208-4148-BE45-2DFC02CB7CC3}" name="שעור מנכסי השקעה" dataDxfId="492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D50EAF9-CA11-43C1-B702-94D15F736604}" name="כתבי אופציה1" displayName="כתבי_אופציה1" ref="A6:K35" totalsRowShown="0" headerRowDxfId="491" dataDxfId="489" headerRowBorderDxfId="490" tableBorderDxfId="488" headerRowCellStyle="Percent" dataCellStyle="Percent">
  <tableColumns count="11">
    <tableColumn id="1" xr3:uid="{7657293B-FC9D-4C7E-B4E4-7EDB0296DEF0}" name="שם המנפיק/שם נייר ערך" dataDxfId="487"/>
    <tableColumn id="2" xr3:uid="{60B768DF-F116-49ED-900A-97FC0EEAC8A4}" name="מספר נ&quot;ע" dataDxfId="486"/>
    <tableColumn id="3" xr3:uid="{2CD8311F-1F76-4DC5-9768-64E56002FC17}" name="זירת מסחר" dataDxfId="485"/>
    <tableColumn id="4" xr3:uid="{A628CF62-3940-4E4A-B712-E7F38CACB26F}" name="ענף מסחר" dataDxfId="484"/>
    <tableColumn id="5" xr3:uid="{FF8E2FD6-2888-46C7-8DB6-2F5F8840A673}" name="סוג מטבע" dataDxfId="483" dataCellStyle="Percent"/>
    <tableColumn id="6" xr3:uid="{40BB0397-BB7E-4318-BED8-C978EF9901ED}" name="ערך נקוב" dataDxfId="482" dataCellStyle="Percent"/>
    <tableColumn id="7" xr3:uid="{CD4A3480-C0EB-47A9-8092-9CFB86F6FF5C}" name="שער" dataDxfId="481" dataCellStyle="Percent"/>
    <tableColumn id="8" xr3:uid="{9BC0AED1-46DC-4C7E-AD08-6494BC295621}" name="שווי שוק" dataDxfId="480"/>
    <tableColumn id="9" xr3:uid="{B1564A3A-5152-4EB4-B63F-6860FC40C51B}" name="שעור מערך נקוב מונפק" dataDxfId="479" dataCellStyle="Percent"/>
    <tableColumn id="10" xr3:uid="{704297E9-E138-473A-B181-7F22D050A240}" name="שעור מנכסי אפיק ההשקעה" dataDxfId="478" dataCellStyle="Percent"/>
    <tableColumn id="11" xr3:uid="{08595707-AF2F-4321-933A-86BDA11D3AA4}" name="שעור מנכסי השקעה" dataDxfId="477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609ACEC-7934-4696-A7A4-8FC2F21B2AF4}" name="אופציות1" displayName="אופציות1" ref="A6:K31" totalsRowShown="0" headerRowDxfId="476" dataDxfId="474" headerRowBorderDxfId="475" tableBorderDxfId="473" headerRowCellStyle="Percent" dataCellStyle="Percent">
  <tableColumns count="11">
    <tableColumn id="1" xr3:uid="{5084B90E-60D0-4CA4-ADEB-6042EA6D86E1}" name="שם המנפיק/שם נייר ערך" dataDxfId="472"/>
    <tableColumn id="2" xr3:uid="{6101A347-934F-4770-9885-583984F3096D}" name="מספר נ&quot;ע" dataDxfId="471"/>
    <tableColumn id="3" xr3:uid="{A1588063-A934-4D10-84F8-928CDF360CA5}" name="זירת מסחר" dataDxfId="470"/>
    <tableColumn id="4" xr3:uid="{B6B7EA65-B39B-489B-B667-F29569C7296B}" name="ענף מסחר" dataDxfId="469"/>
    <tableColumn id="5" xr3:uid="{C1173D66-EEB4-4CF8-94E3-1298863BED82}" name="סוג מטבע" dataDxfId="468"/>
    <tableColumn id="6" xr3:uid="{1E2B53D9-4742-4111-8F8A-63700B597155}" name="ערך נקוב" dataDxfId="467" dataCellStyle="Percent"/>
    <tableColumn id="7" xr3:uid="{EF6ED455-C856-46E1-A126-95B4F1FA702C}" name="שער" dataDxfId="466" dataCellStyle="Percent"/>
    <tableColumn id="8" xr3:uid="{EAE774D6-B202-4C0C-9EB8-B1E9B5C38534}" name="שווי שוק" dataDxfId="465" dataCellStyle="Percent"/>
    <tableColumn id="9" xr3:uid="{C6174C82-72CD-4DBF-A0E2-349A52BA02BC}" name="שעור מערך נקוב מונפק" dataDxfId="464"/>
    <tableColumn id="10" xr3:uid="{1A073CC2-A296-4CE4-A1D0-FC32CC1C10F4}" name="שעור מנכסי אפיק ההשקעה" dataDxfId="463" dataCellStyle="Percent"/>
    <tableColumn id="11" xr3:uid="{37A9F8F3-96C9-4391-BDEB-DC0F9D837F08}" name="שעור מנכסי השקעה" dataDxfId="462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E530288-4983-4C17-8A2C-8DFB49538B71}" name="חוזים עתידיים1" displayName="חוזים_עתידיים1" ref="A6:J27" totalsRowShown="0" headerRowDxfId="461" dataDxfId="459" headerRowBorderDxfId="460" tableBorderDxfId="458" headerRowCellStyle="Percent" dataCellStyle="Percent">
  <tableColumns count="10">
    <tableColumn id="1" xr3:uid="{5E383571-C5AA-448B-AB86-ABBA38A8491B}" name="שם המנפיק/שם נייר ערך" dataDxfId="457"/>
    <tableColumn id="2" xr3:uid="{ED0E1FF0-817D-4B58-B561-FFCB3A6C5C10}" name="מספר נ&quot;ע" dataDxfId="456"/>
    <tableColumn id="3" xr3:uid="{3F1D9DBF-FE5C-45C1-98CA-B724C9648F1C}" name="זירת מסחר" dataDxfId="455"/>
    <tableColumn id="4" xr3:uid="{C19888EC-B2B7-4BF8-A51F-47C407AD0A43}" name="ענף מסחר" dataDxfId="454"/>
    <tableColumn id="5" xr3:uid="{CC5C934B-2093-41A8-BB8F-ECF32841D186}" name="סוג מטבע" dataDxfId="453" dataCellStyle="Percent"/>
    <tableColumn id="6" xr3:uid="{2571B2D3-CFCB-48DC-9513-D2EC95F31E81}" name="ערך נקוב" dataDxfId="452" dataCellStyle="Percent"/>
    <tableColumn id="7" xr3:uid="{D9D6B8E2-76E1-40B4-83F4-C3FA19C44471}" name="שער" dataDxfId="451" dataCellStyle="Percent"/>
    <tableColumn id="8" xr3:uid="{60C5AA85-76C6-4951-A226-AE46582A25A9}" name="שווי שוק" dataDxfId="450"/>
    <tableColumn id="9" xr3:uid="{75DA1345-7C86-4FE6-9C68-D179473EECCD}" name="שעור מנכסי אפיק ההשקעה" dataDxfId="449"/>
    <tableColumn id="10" xr3:uid="{DD18392D-A460-4419-97B5-CA50C0F7705B}" name="שעור מנכסי השקעה" dataDxfId="448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A2F712C-5BCF-4DA8-B556-F12F83C2410D}" name="מוצרים מובנים1" displayName="מוצרים_מובנים1" ref="A6:P31" totalsRowShown="0" headerRowDxfId="447" dataDxfId="445" headerRowBorderDxfId="446" tableBorderDxfId="444" headerRowCellStyle="Percent" dataCellStyle="Comma">
  <tableColumns count="16">
    <tableColumn id="1" xr3:uid="{0722AB1C-294F-4A5F-97AA-AA6F026E5680}" name="שם המנפיק/שם נייר ערך" dataDxfId="443"/>
    <tableColumn id="2" xr3:uid="{A327303F-32E1-4CB0-9340-0EA0BEB623CF}" name="מספר נ&quot;ע" dataDxfId="442"/>
    <tableColumn id="3" xr3:uid="{E58E67B3-2C51-40BC-BCFD-2F13FDB449B9}" name="נכס הבסיס" dataDxfId="441"/>
    <tableColumn id="4" xr3:uid="{0133317D-4664-4B79-98C5-6D7B8D956E0E}" name="דירוג" dataDxfId="440" dataCellStyle="Percent"/>
    <tableColumn id="5" xr3:uid="{E5A0C172-6249-4B85-B5B2-E5D42F5E49BC}" name="שם מדרג" dataDxfId="439" dataCellStyle="Percent"/>
    <tableColumn id="6" xr3:uid="{4AD1EB26-F17C-40EE-86D8-2E29975B1B3B}" name="תאריך רכישה" dataDxfId="438" dataCellStyle="Percent"/>
    <tableColumn id="7" xr3:uid="{9036C521-E600-4D32-9D98-77A65344C1C5}" name="מח&quot;מ" dataDxfId="437"/>
    <tableColumn id="8" xr3:uid="{220E39B8-F2B8-4AF2-8FBC-99F0BA411BF7}" name="סוג מטבע" dataDxfId="436" dataCellStyle="Percent"/>
    <tableColumn id="9" xr3:uid="{10546D91-4040-4F23-9EF4-974851BE55EF}" name="שעור ריבית" dataDxfId="435" dataCellStyle="Comma"/>
    <tableColumn id="10" xr3:uid="{15CEC780-51EB-4D51-A3B4-5E1ACE418A59}" name="תשואה לפדיון" dataDxfId="434" dataCellStyle="Comma"/>
    <tableColumn id="11" xr3:uid="{7DD9395D-12DE-4CF9-BA66-23A1C25C8C61}" name="ערך נקוב" dataDxfId="433" dataCellStyle="Comma"/>
    <tableColumn id="12" xr3:uid="{BD212248-27DA-4E38-BB3F-7A98B94A6C14}" name="שער" dataDxfId="432" dataCellStyle="Percent"/>
    <tableColumn id="13" xr3:uid="{8FA2A788-56BD-4036-8709-B961CAFE7318}" name="שווי שוק" dataDxfId="431" dataCellStyle="Percent"/>
    <tableColumn id="14" xr3:uid="{5DB40034-2512-4380-9071-BF9452BC3CCF}" name="שעור מערך נקוב מונפק" dataDxfId="430" dataCellStyle="Comma"/>
    <tableColumn id="15" xr3:uid="{026C3DB4-94F8-4D63-87B6-9AE059F36465}" name="שעור מנכסי אפיק ההשקעה" dataDxfId="429" dataCellStyle="Comma"/>
    <tableColumn id="16" xr3:uid="{70E5632A-D6DB-46F6-94A0-8021507A64C6}" name="שעור מנכסי השקעה" dataDxfId="428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1AD7156-340A-4E9D-81D4-28BF3FD98E48}" name="לא סחיר- תעודות התחייבות ממשלתי1" displayName="לא_סחיר__תעודות_התחייבות_ממשלתי1" ref="A6:O23" totalsRowShown="0" headerRowDxfId="427" dataDxfId="425" headerRowBorderDxfId="426" tableBorderDxfId="424" headerRowCellStyle="Percent" dataCellStyle="Percent">
  <tableColumns count="15">
    <tableColumn id="1" xr3:uid="{4E233287-9A38-4F0E-B34C-1C3C4EED59C5}" name="שם המנפיק/שם נייר ערך" dataDxfId="423"/>
    <tableColumn id="2" xr3:uid="{11F709A9-5C36-45D2-9307-2E4FF42A4513}" name="מספר נ&quot;ע" dataDxfId="422"/>
    <tableColumn id="3" xr3:uid="{94416574-D73A-42A7-BE20-477EF4A63FF6}" name="דירוג" dataDxfId="421"/>
    <tableColumn id="4" xr3:uid="{6FD34337-861A-4E68-A936-5F330E243B6F}" name="שם מדרג" dataDxfId="420" dataCellStyle="Percent"/>
    <tableColumn id="5" xr3:uid="{244C48EE-E218-4A00-9F08-A15F71DC54CF}" name="תאריך רכישה" dataDxfId="419" dataCellStyle="Percent"/>
    <tableColumn id="6" xr3:uid="{35CC45FD-B7F0-44F1-8842-BA0B4C0FCA40}" name="מח&quot;מ" dataDxfId="418" dataCellStyle="Percent"/>
    <tableColumn id="7" xr3:uid="{AB6EDC1D-41C6-484C-8CF9-F3D19EA84317}" name="סוג מטבע" dataDxfId="417"/>
    <tableColumn id="8" xr3:uid="{07CD0DAF-C510-49D2-8A74-2F939C5E5308}" name="שעור ריבית" dataDxfId="416" dataCellStyle="Percent"/>
    <tableColumn id="9" xr3:uid="{605E17B3-A9C1-484C-AC90-EEB94D3DC1AC}" name="תשואה לפדיון" dataDxfId="415" dataCellStyle="Comma"/>
    <tableColumn id="10" xr3:uid="{16A5EB6A-0BBE-4228-AF39-049B7E1BB993}" name="ערך נקוב" dataDxfId="414" dataCellStyle="Comma"/>
    <tableColumn id="11" xr3:uid="{FBC0F29F-C418-4BD0-9779-808C32C82B4A}" name="שער" dataDxfId="413" dataCellStyle="Comma"/>
    <tableColumn id="12" xr3:uid="{C7603040-C92B-471D-B049-ABC2FC67D24D}" name="שווי הוגן" dataDxfId="412" dataCellStyle="Percent"/>
    <tableColumn id="13" xr3:uid="{7444C5C5-06F9-443F-8991-A7CF88221B60}" name="שעור מערך נקוב מונפק" dataDxfId="411" dataCellStyle="Percent"/>
    <tableColumn id="14" xr3:uid="{8D4E2EF2-C52B-4DB9-BCE6-2EC8CC30011B}" name="שעור מנכסי אפיק ההשקעה" dataDxfId="410" dataCellStyle="Percent"/>
    <tableColumn id="15" xr3:uid="{01B2B9F1-93A0-4F5B-88DE-D6A44C73201B}" name="שעור מנכסי השקעה" dataDxfId="409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B0F8278-92C0-4E2B-87C6-1234108DA890}" name="לא סחיר - תעודות חוב מסחריות1" displayName="לא_סחיר___תעודות_חוב_מסחריות1" ref="A6:R22" totalsRowShown="0" headerRowDxfId="408" dataDxfId="406" headerRowBorderDxfId="407" tableBorderDxfId="405" headerRowCellStyle="Percent" dataCellStyle="Comma">
  <tableColumns count="18">
    <tableColumn id="1" xr3:uid="{D01A39A6-673E-4DE0-A9AF-0BFCA6FB2469}" name="שם המנפיק/שם נייר ערך" dataDxfId="404"/>
    <tableColumn id="2" xr3:uid="{940E823A-79B6-4D8D-978D-60DDB2D822BA}" name="מספר נ&quot;ע" dataDxfId="403"/>
    <tableColumn id="3" xr3:uid="{9506D6B4-6DA5-4931-A854-A478A84539AE}" name="ספק המידע" dataDxfId="402"/>
    <tableColumn id="4" xr3:uid="{0EF412CB-9AB2-479C-875C-C160E645CF4E}" name="מספר מנפיק" dataDxfId="401"/>
    <tableColumn id="5" xr3:uid="{70B6FA23-7982-4AC1-A828-0928374D5788}" name="ענף מסחר" dataDxfId="400"/>
    <tableColumn id="6" xr3:uid="{E1EF1217-15E5-4C55-98CA-AFC65726AE7D}" name="דירוג" dataDxfId="399" dataCellStyle="Percent"/>
    <tableColumn id="7" xr3:uid="{E5FD115E-F25A-4DAC-B192-F4CB07784DCD}" name="שם מדרג" dataDxfId="398" dataCellStyle="Percent"/>
    <tableColumn id="8" xr3:uid="{B894F32B-97B1-4519-B501-A0F259A6D2B8}" name="תאריך רכישה" dataDxfId="397" dataCellStyle="Percent"/>
    <tableColumn id="9" xr3:uid="{C90A6733-3FDF-448A-9289-5F47FA7F7E95}" name="מח&quot;מ" dataDxfId="396"/>
    <tableColumn id="10" xr3:uid="{49839432-D80E-4431-AB75-BE4DC3966F37}" name="סוג מטבע" dataDxfId="395" dataCellStyle="Percent"/>
    <tableColumn id="11" xr3:uid="{3BB4C614-93B3-4503-89B6-053CCACD0639}" name="שעור ריבית" dataDxfId="394" dataCellStyle="Comma"/>
    <tableColumn id="12" xr3:uid="{341EF5BA-AF5A-492A-9381-E2395B142FBA}" name="תשואה לפדיון" dataDxfId="393" dataCellStyle="Comma"/>
    <tableColumn id="13" xr3:uid="{4E506758-25A8-47DA-B524-D234A47735E4}" name="ערך נקוב" dataDxfId="392" dataCellStyle="Comma"/>
    <tableColumn id="14" xr3:uid="{6747FD49-01D6-43EF-832A-C22C2F44C21F}" name="שער" dataDxfId="391" dataCellStyle="Percent"/>
    <tableColumn id="15" xr3:uid="{85556AD5-498F-4710-86AC-CD3042D8D9CF}" name="שווי הוגן" dataDxfId="390" dataCellStyle="Percent"/>
    <tableColumn id="16" xr3:uid="{C4EEA050-4B11-4C58-9090-3860DD244198}" name="שעור מערך נקוב מונפק" dataDxfId="389" dataCellStyle="Comma"/>
    <tableColumn id="17" xr3:uid="{671750F5-C494-423A-8D0C-AD7F3CC4A89D}" name="שעור מנכסי אפיק ההשקעה" dataDxfId="388" dataCellStyle="Comma"/>
    <tableColumn id="18" xr3:uid="{904CC52C-40CE-48B6-9D24-A6FD5FEBC079}" name="שעור מנכסי השקעה" dataDxfId="387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AB03FB8-7EAE-460C-AA5D-9F73E33D7ED0}" name="לא סחיר - אג&quot;ח קונצרני1" displayName="לא_סחיר___אג_ח_קונצרני1" ref="A6:R40" totalsRowShown="0" headerRowDxfId="386" dataDxfId="384" headerRowBorderDxfId="385" tableBorderDxfId="383" headerRowCellStyle="Percent" dataCellStyle="Comma">
  <tableColumns count="18">
    <tableColumn id="1" xr3:uid="{2B85820E-2B3A-40F2-AB4A-C979B3A3B898}" name="שם המנפיק/שם נייר ערך" dataDxfId="382"/>
    <tableColumn id="2" xr3:uid="{E6D66075-8BD9-4D5D-86A7-9EABB8A5FA20}" name="מספר נ&quot;ע" dataDxfId="381"/>
    <tableColumn id="3" xr3:uid="{66957E95-94EC-4C3B-9BCA-FF4E327FC2C9}" name="ספק המידע" dataDxfId="380"/>
    <tableColumn id="4" xr3:uid="{BE2D91F9-A318-4119-85D3-C2C89C353789}" name="מספר מנפיק" dataDxfId="379"/>
    <tableColumn id="5" xr3:uid="{52753400-5B46-4E4B-919A-6F73684B80FA}" name="ענף מסחר" dataDxfId="378"/>
    <tableColumn id="6" xr3:uid="{10449198-8CDC-4F3C-A92A-87E8657357C1}" name="דירוג" dataDxfId="377" dataCellStyle="Percent"/>
    <tableColumn id="7" xr3:uid="{7B407FB8-1E09-4B12-BD73-2F671D2DEBBF}" name="שם מדרג" dataDxfId="376" dataCellStyle="Percent"/>
    <tableColumn id="8" xr3:uid="{6984E076-F8C4-4EA0-899B-F286006F8401}" name="תאריך רכישה" dataDxfId="375" dataCellStyle="Percent"/>
    <tableColumn id="9" xr3:uid="{8DEC6E1E-2327-4B38-BDD5-7D70EDC6B477}" name="מח&quot;מ" dataDxfId="374"/>
    <tableColumn id="10" xr3:uid="{274D5494-AC29-48BF-91E9-BE9B14A2DE15}" name="סוג מטבע" dataDxfId="373" dataCellStyle="Percent"/>
    <tableColumn id="11" xr3:uid="{829937A1-3EA5-4AAE-9D98-5E172CF0E7DB}" name="שעור ריבית" dataDxfId="372" dataCellStyle="Comma"/>
    <tableColumn id="12" xr3:uid="{29AFD750-4CBF-4195-8602-47652CFAB4BE}" name="תשואה לפדיון" dataDxfId="371" dataCellStyle="Comma"/>
    <tableColumn id="13" xr3:uid="{96BA09BC-6571-4003-ACE8-EEA530BC6DA7}" name="ערך נקוב" dataDxfId="370" dataCellStyle="Comma"/>
    <tableColumn id="14" xr3:uid="{1D6D3976-8A1E-40CA-AE8B-D986FCFFE80E}" name="שער" dataDxfId="369" dataCellStyle="Percent"/>
    <tableColumn id="15" xr3:uid="{48CCB607-C349-4DC1-B156-93BEE6EFAFF1}" name="שווי הוגן" dataDxfId="368" dataCellStyle="Percent"/>
    <tableColumn id="16" xr3:uid="{B1907A38-8CD9-42C4-920A-5BE57817BA90}" name="שעור מערך נקוב מונפק" dataDxfId="367" dataCellStyle="Comma"/>
    <tableColumn id="17" xr3:uid="{DB6F890B-0772-4AE6-B8A6-F121DEFA7E13}" name="שעור מנכסי אפיק ההשקעה" dataDxfId="366" dataCellStyle="Comma"/>
    <tableColumn id="18" xr3:uid="{B4ABDA47-967F-41EF-95B9-1739E7BCD725}" name="שעור מנכסי השקעה" dataDxfId="365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14FF60F-A9D3-44E4-BB04-2258E8B0EC93}" name="לא סחיר - מניות1" displayName="לא_סחיר___מניות1" ref="A6:L29" totalsRowShown="0" headerRowDxfId="364" dataDxfId="362" headerRowBorderDxfId="363" tableBorderDxfId="361" headerRowCellStyle="Percent" dataCellStyle="Percent">
  <tableColumns count="12">
    <tableColumn id="1" xr3:uid="{DF3983D9-BDDC-45B5-A83B-B0909E69B771}" name="שם המנפיק/שם נייר ערך" dataDxfId="360"/>
    <tableColumn id="2" xr3:uid="{AD03E9A2-628B-490C-AE0E-2B06D6B24FB1}" name="מספר נ&quot;ע" dataDxfId="359"/>
    <tableColumn id="3" xr3:uid="{21678A9A-6A98-499F-9ECE-0930FED85D30}" name="ספק המידע" dataDxfId="358"/>
    <tableColumn id="4" xr3:uid="{A9CE0F56-6DDC-45AE-9FDC-26CCD2CCF2A3}" name="מספר מנפיק" dataDxfId="357"/>
    <tableColumn id="5" xr3:uid="{E980B816-007E-4866-87FF-B73E70C0313A}" name="ענף מסחר" dataDxfId="356"/>
    <tableColumn id="6" xr3:uid="{6FBE5CA7-1A13-476C-AB61-BB4CD07FF72B}" name="סוג מטבע" dataDxfId="355" dataCellStyle="Percent"/>
    <tableColumn id="7" xr3:uid="{407A5529-EDE6-43D2-930E-32C85D68DA08}" name="ערך נקוב" dataDxfId="354" dataCellStyle="Percent"/>
    <tableColumn id="8" xr3:uid="{F30D2F55-EB5D-4D1E-8CCA-58B57184C6AF}" name="שער" dataDxfId="353" dataCellStyle="Percent"/>
    <tableColumn id="9" xr3:uid="{A93A2AD5-CBC7-4CD9-AE87-04B9E94E3CF3}" name="שווי שוק" dataDxfId="352"/>
    <tableColumn id="10" xr3:uid="{41B8B46B-1EDF-4AA0-8537-4BD9742E5E50}" name="שעור מערך נקוב מונפק" dataDxfId="351" dataCellStyle="Percent"/>
    <tableColumn id="11" xr3:uid="{C904A473-1EC9-4DE3-B10E-F34E08F77B06}" name="שעור מנכסי אפיק ההשקעה" dataDxfId="350" dataCellStyle="Percent"/>
    <tableColumn id="12" xr3:uid="{15938435-982C-49A3-938A-908A0AE9DA3B}" name="שעור מנכסי השקעה" dataDxfId="349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E2F2A12-D74E-40E0-A66B-DA1BB5B8A3B5}" name="לא סחיר - קרנות השקעה1" displayName="לא_סחיר___קרנות_השקעה1" ref="A6:J56" totalsRowShown="0" headerRowDxfId="348" dataDxfId="346" headerRowBorderDxfId="347" tableBorderDxfId="345" headerRowCellStyle="Percent" dataCellStyle="Comma">
  <tableColumns count="10">
    <tableColumn id="1" xr3:uid="{31757E22-574F-4487-9AF3-B2D0397431DE}" name="שם המנפיק/שם נייר ערך" dataDxfId="344"/>
    <tableColumn id="2" xr3:uid="{3D7761E3-B6AD-41DD-929C-D2BBC5268EC5}" name="מספר נ&quot;ע" dataDxfId="343"/>
    <tableColumn id="3" xr3:uid="{88C79DCB-1695-472F-8AF3-F310860CA60C}" name="סוג מטבע" dataDxfId="342" dataCellStyle="Percent"/>
    <tableColumn id="4" xr3:uid="{9B44853C-DFCE-45A2-83AC-7094C80CB18B}" name="תאריך רכישה" dataDxfId="341" dataCellStyle="Percent"/>
    <tableColumn id="5" xr3:uid="{7478E283-6D9D-434C-8F98-7BDF207800BE}" name="ערך נקוב" dataDxfId="340" dataCellStyle="Percent"/>
    <tableColumn id="6" xr3:uid="{0FD31DC9-6294-45D4-984D-22995E6F6774}" name="שער" dataDxfId="339"/>
    <tableColumn id="7" xr3:uid="{2499224B-1C15-473C-B48D-D82382F54576}" name="שווי הוגן" dataDxfId="338" dataCellStyle="Percent"/>
    <tableColumn id="8" xr3:uid="{2ACFC528-6901-4D47-8545-B6F9AD54FA73}" name="שעור מערך נקוב מונפק" dataDxfId="337" dataCellStyle="Comma"/>
    <tableColumn id="9" xr3:uid="{B5358591-99F7-4B84-B7AF-260E916C58E6}" name="שעור מנכסי אפיק ההשקעה" dataDxfId="336" dataCellStyle="Comma"/>
    <tableColumn id="10" xr3:uid="{13EA2EDA-BE01-4562-9D69-F4C84B1A0D20}" name="שעור מנכסי השקעה" dataDxfId="335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D4C864E-18F3-4610-8E97-D56FA40653C9}" name="לא סחיר - כתבי אופציה1" displayName="לא_סחיר___כתבי_אופציה1" ref="A6:K23" totalsRowShown="0" headerRowDxfId="334" dataDxfId="332" headerRowBorderDxfId="333" tableBorderDxfId="331" headerRowCellStyle="Percent" dataCellStyle="Comma">
  <tableColumns count="11">
    <tableColumn id="1" xr3:uid="{BB7ACEF5-14D0-4431-87B9-5F24DCB0A784}" name="שם המנפיק/שם נייר ערך" dataDxfId="330"/>
    <tableColumn id="2" xr3:uid="{6F58DC87-14BA-4A75-9EDE-6DE82E68B5A6}" name="מספר נ&quot;ע" dataDxfId="329"/>
    <tableColumn id="3" xr3:uid="{C9A6EE88-ADA8-4096-B700-416DFED24F99}" name="ענף מסחר" dataDxfId="328"/>
    <tableColumn id="4" xr3:uid="{EF84DDB8-D012-43D2-B397-75098B1AA8E0}" name="סוג מטבע" dataDxfId="327" dataCellStyle="Percent"/>
    <tableColumn id="5" xr3:uid="{CC51BC52-F4DF-455B-858A-E924C8EC67C5}" name="תאריך רכישה" dataDxfId="326" dataCellStyle="Percent"/>
    <tableColumn id="6" xr3:uid="{E3785AD8-A8C6-418C-AF74-63EBCB6C733B}" name="ערך נקוב" dataDxfId="325" dataCellStyle="Percent"/>
    <tableColumn id="7" xr3:uid="{38BC384E-23A3-4CD6-A7D3-AA0FEC8E4680}" name="שער" dataDxfId="324"/>
    <tableColumn id="8" xr3:uid="{B73E98B2-5A58-4D93-A19F-65911A261618}" name="שווי הוגן" dataDxfId="323" dataCellStyle="Percent"/>
    <tableColumn id="9" xr3:uid="{4C1CC814-C1FC-4D0E-8C13-49F9397364D5}" name="שעור מערך נקוב מונפק" dataDxfId="322" dataCellStyle="Comma"/>
    <tableColumn id="10" xr3:uid="{C861AF72-28CC-4FEB-9A5F-4BA5A55629F7}" name="שעור מנכסי אפיק ההשקעה" dataDxfId="321" dataCellStyle="Comma"/>
    <tableColumn id="11" xr3:uid="{E9CC7A83-D4F6-4E7C-8BC8-DDCA5E403CC6}" name="שעור מנכסי השקעה" dataDxfId="320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41D35CD-7DD3-4E36-ACDD-B6323F496445}" name="לא סחיר - אופציות1" displayName="לא_סחיר___אופציות1" ref="A6:K26" totalsRowShown="0" headerRowDxfId="319" dataDxfId="317" headerRowBorderDxfId="318" tableBorderDxfId="316" headerRowCellStyle="Percent" dataCellStyle="Comma">
  <tableColumns count="11">
    <tableColumn id="1" xr3:uid="{B3792E7F-975A-4793-BD9E-D6AF409754F7}" name="שם המנפיק/שם נייר ערך" dataDxfId="315"/>
    <tableColumn id="2" xr3:uid="{15E1707B-9C4E-4E35-B785-C93A86529331}" name="מספר נ&quot;ע" dataDxfId="314"/>
    <tableColumn id="3" xr3:uid="{4B2CA756-6ED1-445D-AECD-C9B62B19F71E}" name="ענף מסחר" dataDxfId="313"/>
    <tableColumn id="4" xr3:uid="{59BA4608-ACE3-43F9-B541-E0B8E09FEB7A}" name="סוג מטבע" dataDxfId="312" dataCellStyle="Percent"/>
    <tableColumn id="5" xr3:uid="{7E175C63-15AB-470D-942A-61F69111CA6D}" name="תאריך רכישה" dataDxfId="311" dataCellStyle="Percent"/>
    <tableColumn id="6" xr3:uid="{BC8A2B20-CE0B-49CE-A3C7-10D21DAFEDED}" name="ערך נקוב" dataDxfId="310" dataCellStyle="Percent"/>
    <tableColumn id="7" xr3:uid="{628CADF1-26B6-4A94-84A7-2B6D82DBBEC5}" name="שער" dataDxfId="309"/>
    <tableColumn id="8" xr3:uid="{2C356230-98B0-47B9-A727-21B0C4FB74CC}" name="שווי הוגן" dataDxfId="308" dataCellStyle="Percent"/>
    <tableColumn id="9" xr3:uid="{97222396-39CB-4753-A2C1-C4382A91C11B}" name="שעור מערך נקוב מונפק" dataDxfId="307" dataCellStyle="Comma"/>
    <tableColumn id="10" xr3:uid="{EBBBC5DA-6E12-479D-8553-5863ACEC7492}" name="שעור מנכסי אפיק ההשקעה" dataDxfId="306" dataCellStyle="Comma"/>
    <tableColumn id="11" xr3:uid="{2212A69A-B940-4AD3-A6A8-90ECE10A188F}" name="שעור מנכסי השקעה" dataDxfId="305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F2E9D80-316E-4976-839E-EE4505945264}" name="לא סחיר - חוזים עתידיים1" displayName="לא_סחיר___חוזים_עתידיים1" ref="A6:J263" totalsRowShown="0" headerRowDxfId="304" dataDxfId="302" headerRowBorderDxfId="303" tableBorderDxfId="301" headerRowCellStyle="Percent" dataCellStyle="Percent">
  <tableColumns count="10">
    <tableColumn id="1" xr3:uid="{02AC6DDD-9AD1-4CC5-AD65-1108D7EE83E1}" name="שם המנפיק/שם נייר ערך" dataDxfId="300"/>
    <tableColumn id="2" xr3:uid="{4D973E85-0CBD-4CCA-9905-F8E130D2FD31}" name="מספר נ&quot;ע" dataDxfId="299"/>
    <tableColumn id="3" xr3:uid="{C495565C-59C7-4E3D-8095-1CDC99AC935D}" name="ענף מסחר" dataDxfId="298"/>
    <tableColumn id="4" xr3:uid="{52DD61E2-AEB9-4706-8474-C30A7FBD76D8}" name="סוג מטבע" dataDxfId="297" dataCellStyle="Percent"/>
    <tableColumn id="5" xr3:uid="{835323EA-6508-4F45-B168-124CB4944F00}" name="תאריך רכישה" dataDxfId="296" dataCellStyle="Percent"/>
    <tableColumn id="6" xr3:uid="{F31D93F6-E12D-4BF3-9178-E4BDB280A679}" name="ערך נקוב" dataDxfId="295" dataCellStyle="Percent"/>
    <tableColumn id="7" xr3:uid="{8829E0DD-A06D-4061-939D-E86CD1F70532}" name="שער" dataDxfId="294"/>
    <tableColumn id="8" xr3:uid="{7EFDB1E6-E61B-4B80-9D0F-7A4D899DFBE3}" name="שווי הוגן" dataDxfId="293" dataCellStyle="Percent"/>
    <tableColumn id="9" xr3:uid="{EEB640D1-2D65-491E-B6CD-83034B029C84}" name="שעור מנכסי אפיק ההשקעה" dataDxfId="292" dataCellStyle="Percent"/>
    <tableColumn id="10" xr3:uid="{0587DE19-A978-45D6-8593-D884BAFB971F}" name="שעור מנכסי השקעה" dataDxfId="291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FE0D469-60D5-499A-BC1F-823DBE0DE423}" name="לא סחיר - מוצרים מובנים1" displayName="לא_סחיר___מוצרים_מובנים1" ref="A6:P30" totalsRowShown="0" headerRowDxfId="290" dataDxfId="288" headerRowBorderDxfId="289" tableBorderDxfId="287" headerRowCellStyle="Percent" dataCellStyle="Comma">
  <tableColumns count="16">
    <tableColumn id="1" xr3:uid="{596EAA43-C826-48A9-B7F1-12B35D02AE3D}" name="שם המנפיק/שם נייר ערך" dataDxfId="286"/>
    <tableColumn id="2" xr3:uid="{69652BAB-E941-49A6-B38D-7EF50BF407EA}" name="מספר נ&quot;ע" dataDxfId="285"/>
    <tableColumn id="3" xr3:uid="{F7282EF3-DFAB-43FC-9F26-A81A4F9BB96E}" name="נכס הבסיס" dataDxfId="284"/>
    <tableColumn id="4" xr3:uid="{27BC56B9-B914-4BE5-A387-1E322FBA4BB6}" name="דירוג" dataDxfId="283" dataCellStyle="Percent"/>
    <tableColumn id="5" xr3:uid="{8EDB88F0-5793-4660-B72A-A8EF86793AEF}" name="שם מדרג" dataDxfId="282" dataCellStyle="Percent"/>
    <tableColumn id="6" xr3:uid="{CE19386A-BEE5-4B51-9A3C-43D96FCF1366}" name="תאריך רכישה" dataDxfId="281" dataCellStyle="Percent"/>
    <tableColumn id="7" xr3:uid="{2D7A9734-F946-4A16-AC3A-AE7C9C6C6E84}" name="מח&quot;מ" dataDxfId="280"/>
    <tableColumn id="8" xr3:uid="{E45B0D4D-0F64-41A8-8F26-1F7F269BF9BB}" name="סוג מטבע" dataDxfId="279" dataCellStyle="Percent"/>
    <tableColumn id="9" xr3:uid="{D4D00DCD-5ADF-4226-AD18-75E73E44E3B2}" name="שעור ריבית" dataDxfId="278" dataCellStyle="Comma"/>
    <tableColumn id="10" xr3:uid="{C586E2F4-F053-4DCB-AE10-5949EA4258EC}" name="תשואה לפדיון" dataDxfId="277" dataCellStyle="Comma"/>
    <tableColumn id="11" xr3:uid="{42C09EA0-90B8-473E-89C0-2CF2EC8A4888}" name="ערך נקוב" dataDxfId="276" dataCellStyle="Comma"/>
    <tableColumn id="12" xr3:uid="{AA6A4C39-8660-4B47-9D48-3BB66193A831}" name="שער" dataDxfId="275" dataCellStyle="Percent"/>
    <tableColumn id="13" xr3:uid="{CE99059D-4A47-41F5-A929-06E778BE3DD8}" name="שווי שוק" dataDxfId="274" dataCellStyle="Percent"/>
    <tableColumn id="14" xr3:uid="{388E4DA9-6F09-4BFB-B017-BCFE7075AAF4}" name="שעור מערך נקוב מונפק" dataDxfId="273" dataCellStyle="Comma"/>
    <tableColumn id="15" xr3:uid="{ED484924-337A-4DEE-B58D-BDD968DE7EC5}" name="שעור מנכסי אפיק ההשקעה" dataDxfId="272" dataCellStyle="Comma"/>
    <tableColumn id="16" xr3:uid="{9FBDA620-3029-4595-A423-564BC020335F}" name="שעור מנכסי השקעה" dataDxfId="271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19BC0A6-A136-44BE-A45F-D6665E022CB1}" name="הלוואות1" displayName="הלוואות1" ref="A5:Q247" totalsRowShown="0" headerRowDxfId="270" dataDxfId="268" headerRowBorderDxfId="269" tableBorderDxfId="267" headerRowCellStyle="Percent" dataCellStyle="Comma">
  <tableColumns count="17">
    <tableColumn id="1" xr3:uid="{0B97803F-B380-4F84-90EF-746DF7D67BFA}" name="שם המנפיק/שם נייר ערך" dataDxfId="266"/>
    <tableColumn id="2" xr3:uid="{7D707859-0705-4F83-B4BB-CFD15569076F}" name="קונסורציום" dataDxfId="265"/>
    <tableColumn id="3" xr3:uid="{C183E8AB-2F67-44F1-AD87-782E9CCFA31E}" name="מספר נ&quot;ע" dataDxfId="264"/>
    <tableColumn id="4" xr3:uid="{6DC054B8-ECBD-4391-BD51-651C3C1E0774}" name="מספר מנפיק" dataDxfId="263"/>
    <tableColumn id="5" xr3:uid="{7FBD8F5B-CD58-4437-BA02-237B4077446F}" name="דירוג" dataDxfId="262"/>
    <tableColumn id="6" xr3:uid="{15806EE0-238B-4075-9A95-D06D2F03C15B}" name="תאריך רכישה" dataDxfId="261" dataCellStyle="Percent"/>
    <tableColumn id="7" xr3:uid="{DEA2537C-DFDC-4C71-B2D6-EAC820E76451}" name="שם מדרג" dataDxfId="260" dataCellStyle="Percent"/>
    <tableColumn id="8" xr3:uid="{1DEA6FDD-34EE-4CA2-9BEA-2DD2C98756D2}" name="מח&quot;מ" dataDxfId="259" dataCellStyle="Percent"/>
    <tableColumn id="9" xr3:uid="{281AA5A4-B0DB-4754-990D-DD534D86B815}" name="ענף משק" dataDxfId="258" dataCellStyle="Percent"/>
    <tableColumn id="10" xr3:uid="{03B68322-B6E9-40EF-8762-76CEDC89C16F}" name="סוג מטבע" dataDxfId="257" dataCellStyle="Percent"/>
    <tableColumn id="11" xr3:uid="{2B16A1CE-3B38-4AD9-B2FC-92FA3C4AEF34}" name="שעור ריבית ממוצע" dataDxfId="256"/>
    <tableColumn id="12" xr3:uid="{8114855B-BE39-4EC3-9DE3-FB979FECB775}" name="תשואה לפדיון" dataDxfId="255" dataCellStyle="Percent"/>
    <tableColumn id="13" xr3:uid="{E741185F-FA6D-45A0-8CF1-0F0F349BAE0E}" name="ערך נקוב" dataDxfId="254" dataCellStyle="Comma"/>
    <tableColumn id="14" xr3:uid="{FC6137BC-9812-4CED-99A7-68E102A1BF7C}" name="שער" dataDxfId="253" dataCellStyle="Comma"/>
    <tableColumn id="15" xr3:uid="{1298B131-A360-44B1-9AD2-0BF1D79BFF61}" name="שווי הוגן" dataDxfId="252" dataCellStyle="Comma"/>
    <tableColumn id="16" xr3:uid="{06A9CFAE-757B-4781-BA56-BBC5C7FC4D28}" name="שעור מנכסי אפיק ההשקעה" dataDxfId="251" dataCellStyle="Comma"/>
    <tableColumn id="17" xr3:uid="{7E53777A-BA40-49A5-A17B-DDE64E103311}" name="שעור מנכסי השקעה" dataDxfId="250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9726AD9-FACC-42EC-AD9D-02D658DC72BA}" name="פקדונות מעל 3 חודשים1" displayName="פקדונות_מעל_3_חודשים1" ref="A5:N21" totalsRowShown="0" headerRowDxfId="249" dataDxfId="247" headerRowBorderDxfId="248" tableBorderDxfId="246" headerRowCellStyle="Percent" dataCellStyle="Comma">
  <tableColumns count="14">
    <tableColumn id="1" xr3:uid="{70B7D28E-9A87-4EC8-9278-ADEF67C8B4F0}" name="שם המנפיק/שם נייר ערך" dataDxfId="245"/>
    <tableColumn id="2" xr3:uid="{52E91BA6-9D09-4411-9D58-8066103EA503}" name="מספר נ&quot;ע" dataDxfId="244"/>
    <tableColumn id="3" xr3:uid="{53E553ED-EEB2-4F0D-B6E9-AF0E3007A288}" name="מספר מנפיק" dataDxfId="243"/>
    <tableColumn id="4" xr3:uid="{DE0FF853-7349-46FF-B56D-D5B862629A68}" name="דירוג" dataDxfId="242"/>
    <tableColumn id="5" xr3:uid="{FF7DA838-AE84-4E70-A80E-F688FAC168C0}" name="שם מדרג" dataDxfId="241" dataCellStyle="Percent"/>
    <tableColumn id="6" xr3:uid="{0B260A74-3A84-4EA7-959F-38750001F755}" name="מח&quot;מ" dataDxfId="240" dataCellStyle="Percent"/>
    <tableColumn id="7" xr3:uid="{CA5432E2-CEEB-48B9-A2E4-8C03FAC3AB66}" name="סוג מטבע" dataDxfId="239" dataCellStyle="Percent"/>
    <tableColumn id="8" xr3:uid="{08C292C5-292A-4807-ACA0-AC9CC4E3C45E}" name="תנאי ושיעור ריבית" dataDxfId="238"/>
    <tableColumn id="9" xr3:uid="{3F5CD119-C51F-4A71-B44E-AC36E90A0825}" name="תשואה לפדיון" dataDxfId="237" dataCellStyle="Percent"/>
    <tableColumn id="10" xr3:uid="{C29D18B2-BE20-4178-ADED-2399809791AF}" name="ערך נקוב" dataDxfId="236" dataCellStyle="Comma"/>
    <tableColumn id="11" xr3:uid="{7A2C2B5E-C34F-4B3F-9934-B65CE7A110C2}" name="שער" dataDxfId="235" dataCellStyle="Comma"/>
    <tableColumn id="12" xr3:uid="{250AA745-967C-497C-8B3B-EB7C15FD5BDD}" name="שווי הוגן" dataDxfId="234" dataCellStyle="Comma"/>
    <tableColumn id="13" xr3:uid="{32CE69E9-0F40-465A-85C6-6059019DD61D}" name="שעור מנכסי אפיק ההשקעה" dataDxfId="233" dataCellStyle="Comma"/>
    <tableColumn id="14" xr3:uid="{64514D30-9C30-43CF-BCC2-B28DB3BD329E}" name="שעור מנכסי השקעה" dataDxfId="232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6E34BF8-5D34-4D21-AB26-D9C9983F28D3}" name="זכויות מקרקעין1" displayName="זכויות_מקרקעין1" ref="A5:I24" totalsRowShown="0" headerRowDxfId="231" dataDxfId="229" headerRowBorderDxfId="230" tableBorderDxfId="228" headerRowCellStyle="Percent" dataCellStyle="Percent">
  <tableColumns count="9">
    <tableColumn id="1" xr3:uid="{2031607A-ACD2-4C14-A96C-364C0FBE10FC}" name="שם המנפיק/שם נייר ערך" dataDxfId="227"/>
    <tableColumn id="2" xr3:uid="{CD7991D4-D13F-4329-8E8B-DC311F5C3073}" name="תאריך שערוך אחרון" dataDxfId="226"/>
    <tableColumn id="3" xr3:uid="{F0A6434D-EB19-4ECC-92E6-D6679C393B99}" name="אופי הנכס" dataDxfId="225"/>
    <tableColumn id="4" xr3:uid="{37DBEDA4-912C-4BFC-94A7-4B3CA7889E78}" name="שעור תשואה במהלך התקופה" dataDxfId="224" dataCellStyle="Percent"/>
    <tableColumn id="5" xr3:uid="{92AAC7D8-8712-48DD-B5A4-41011C2172C4}" name="סוג מטבע" dataDxfId="223" dataCellStyle="Percent"/>
    <tableColumn id="6" xr3:uid="{F7170F66-B3CD-4B9A-A24C-B492DC3A3D78}" name="שווי משוערך" dataDxfId="222" dataCellStyle="Percent"/>
    <tableColumn id="7" xr3:uid="{722D9731-5C30-465C-9FC2-47147A469A7B}" name="שעור מנכסי אפיק ההשקעה" dataDxfId="221" dataCellStyle="Percent"/>
    <tableColumn id="8" xr3:uid="{C3C4C739-A6E3-4D02-96AF-8201502B0526}" name="שעור מנכסי השקעה" dataDxfId="220" dataCellStyle="Percent"/>
    <tableColumn id="9" xr3:uid="{3807BCE9-8A57-4825-B53A-854D71D0A8BF}" name="כתובת הנכס" dataDxfId="219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BF694DD-A168-418C-B11D-BC4D1BF37888}" name="השקעה בחברות מוחזקות1" displayName="השקעה_בחברות_מוחזקות1" ref="A5:J15" totalsRowShown="0" headerRowDxfId="218" dataDxfId="216" headerRowBorderDxfId="217" tableBorderDxfId="215" headerRowCellStyle="Percent" dataCellStyle="Percent">
  <tableColumns count="10">
    <tableColumn id="1" xr3:uid="{92EE79E3-7B93-4B24-86C6-48D213FADA47}" name="שם המנפיק/שם נייר ערך" dataDxfId="214"/>
    <tableColumn id="2" xr3:uid="{1CB5EA72-81EE-4C74-A630-A4F327A11986}" name="מספר מנפיק" dataDxfId="213"/>
    <tableColumn id="3" xr3:uid="{683E3B22-5C62-409B-A22D-F389E5021CEE}" name="דירוג" dataDxfId="212"/>
    <tableColumn id="4" xr3:uid="{E1D5CC76-7B09-499F-87A5-DFB214D90125}" name="שם המדרג" dataDxfId="211" dataCellStyle="Percent"/>
    <tableColumn id="5" xr3:uid="{E01651E1-0504-468B-A792-B9B83E79DDC4}" name="שעור הריבית" dataDxfId="210" dataCellStyle="Percent"/>
    <tableColumn id="6" xr3:uid="{57051906-B56E-47AB-A805-7CEF9ED7AB4A}" name="סוג מטבע" dataDxfId="209" dataCellStyle="Percent"/>
    <tableColumn id="7" xr3:uid="{2DBB9E1C-DB7D-4888-98E2-893F46C5D6B0}" name="תשואה לפדיון" dataDxfId="208" dataCellStyle="Percent"/>
    <tableColumn id="8" xr3:uid="{F9A2E46B-7E22-4074-B4B9-E93B4EA37FB3}" name="שווי הוגן" dataDxfId="207" dataCellStyle="Percent"/>
    <tableColumn id="9" xr3:uid="{764E026C-DC37-4DFA-914F-CD97125732CE}" name="שעור מנכסי אפיק ההשקעה" dataDxfId="206" dataCellStyle="Percent"/>
    <tableColumn id="10" xr3:uid="{39777A20-B38D-4907-9D59-D0AA72510B47}" name="שעור מסך נכסי השקעה" dataDxfId="205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78D779B-D13A-47E6-A885-48FC58EDB58C}" name="השקעות אחרות1" displayName="השקעות_אחרות1" ref="A5:J23" totalsRowShown="0" headerRowDxfId="204" dataDxfId="202" headerRowBorderDxfId="203" tableBorderDxfId="201" headerRowCellStyle="Percent" dataCellStyle="Percent">
  <tableColumns count="10">
    <tableColumn id="1" xr3:uid="{4913FCCF-7DCA-45A1-8F89-1467F9698D13}" name="שם המנפיק/שם נייר ערך" dataDxfId="200"/>
    <tableColumn id="2" xr3:uid="{C8B79198-EC5E-4C15-9BCB-6029D0804FED}" name="מספר נייר" dataDxfId="199"/>
    <tableColumn id="3" xr3:uid="{77174266-CE95-4E90-A870-9A0887CCA871}" name="דירוג" dataDxfId="198"/>
    <tableColumn id="4" xr3:uid="{FCAB1696-DF34-4AE3-9252-424EAE20B556}" name="שם מדרג" dataDxfId="197"/>
    <tableColumn id="5" xr3:uid="{03FBD775-B57F-4789-9CA4-1903C8C89C37}" name="שעור ריבית" dataDxfId="196" dataCellStyle="Percent"/>
    <tableColumn id="6" xr3:uid="{F839E30F-28C5-4F84-84AC-2C8FAA59AAC4}" name="סוג מטבע" dataDxfId="195" dataCellStyle="Percent"/>
    <tableColumn id="7" xr3:uid="{44ED1494-B4A7-4256-85E4-30EC24511376}" name="תשואה לפדיון" dataDxfId="194" dataCellStyle="Percent"/>
    <tableColumn id="8" xr3:uid="{B26491B9-323B-4F74-B1F7-28649D2CCD50}" name="שווי הוגן" dataDxfId="193" dataCellStyle="Percent"/>
    <tableColumn id="9" xr3:uid="{1C950965-2324-4B9C-9D4B-9961D21A0285}" name="שעור מנכסי אפיק ההשקעה" dataDxfId="192" dataCellStyle="Percent"/>
    <tableColumn id="10" xr3:uid="{B3050628-35BC-41B5-BC65-A5142F657C86}" name="שעור מנכסי השקעה" dataDxfId="191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96B94E0-82A4-4908-A1A9-5C36E976C924}" name="יתרת התחייבות להשקעה1" displayName="יתרת_התחייבות_להשקעה1" ref="A5:C54" totalsRowShown="0" headerRowBorderDxfId="190" tableBorderDxfId="189">
  <tableColumns count="3">
    <tableColumn id="1" xr3:uid="{15527F0F-4A86-478D-A324-4E50B0A95B20}" name="שם המנפיק/שם נייר ערך" dataDxfId="188"/>
    <tableColumn id="2" xr3:uid="{4FF636AD-64B5-48EE-991F-764952EC9C92}" name="סכום ההתחייבות" dataDxfId="187"/>
    <tableColumn id="3" xr3:uid="{D040019C-D9AF-4698-8279-3B9190B62894}" name="תאריך סיום ההתחייבות" dataDxfId="186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2649614-5685-4707-96BE-0CD62BF9DF85}" name="עלות מתואמת אג&quot;ח קונצרני סחיר1" displayName="עלות_מתואמת_אג_ח_קונצרני_סחיר1" ref="A5:O16" totalsRowShown="0" headerRowDxfId="185" headerRowBorderDxfId="184" tableBorderDxfId="183" headerRowCellStyle="Percent">
  <tableColumns count="15">
    <tableColumn id="1" xr3:uid="{B0A2F9FE-06B0-403B-A818-CB999D1E370D}" name="שם המנפיק/שם נייר ערך" dataDxfId="182"/>
    <tableColumn id="2" xr3:uid="{D1D184A4-CB72-43FB-8367-432FB8A5FE23}" name="מספר ני&quot;ע" dataDxfId="181" dataCellStyle="Percent"/>
    <tableColumn id="3" xr3:uid="{6985D92E-1D06-408F-8272-13A12AAB44B3}" name="ענף מסחר" dataDxfId="180" dataCellStyle="Percent"/>
    <tableColumn id="4" xr3:uid="{A83E2D53-4FAA-4E01-84C7-94EDE53C85BA}" name="דירוג" dataDxfId="179" dataCellStyle="Percent"/>
    <tableColumn id="5" xr3:uid="{FEC86960-F321-4A0A-8E18-51E1E708F6E5}" name="שם מדרג" dataDxfId="178" dataCellStyle="Percent"/>
    <tableColumn id="6" xr3:uid="{AE8CA95B-1D41-4CB6-8491-1F0CBE5D8CDE}" name="תאריך רכישה" dataDxfId="177" dataCellStyle="Percent"/>
    <tableColumn id="7" xr3:uid="{0FB57821-C93B-45BE-BBEA-5C30D3B1AB9D}" name="מח&quot;מ" dataDxfId="176" dataCellStyle="Percent"/>
    <tableColumn id="8" xr3:uid="{AEE89BC2-A9DD-4DEC-9332-F916000492CE}" name="סוג מטבע" dataDxfId="175" dataCellStyle="Percent"/>
    <tableColumn id="9" xr3:uid="{C701FB4D-726E-49F0-98FE-1FA360FB8C1D}" name="שיעור ריבית" dataDxfId="174" dataCellStyle="Percent"/>
    <tableColumn id="10" xr3:uid="{282947A4-4A3E-45FA-AC04-124EFB6ED8D7}" name="ריבית אפקטיבית" dataDxfId="173" dataCellStyle="Percent"/>
    <tableColumn id="11" xr3:uid="{FD751EA2-4F2B-4EC8-BF4C-5BCA24C05C75}" name="ערך נקוב" dataDxfId="172" dataCellStyle="Comma"/>
    <tableColumn id="12" xr3:uid="{0C80E475-DFBA-435E-A90B-4874435DB9C3}" name="עלות מתואמת" dataDxfId="171" dataCellStyle="Percent"/>
    <tableColumn id="13" xr3:uid="{270E1F06-138D-4738-BE4F-2562EBFCA91F}" name="שעור מערך נקוב מונפק" dataDxfId="170" dataCellStyle="Comma"/>
    <tableColumn id="14" xr3:uid="{88148E37-CDAD-4AEB-9A29-CCD51E1CABC4}" name="שעור מנכסי אפיק ההשקעה" dataDxfId="169" dataCellStyle="Percent"/>
    <tableColumn id="15" xr3:uid="{6BD2E4DB-5CCF-4052-907F-D09F619A5675}" name="שעור מסך נכסי השקעה**" dataDxfId="168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539E380-672F-48BD-9C56-2DFE81E69618}" name="עלות מתואמת אג&quot;ח קונצרני ל.סחיר1" displayName="עלות_מתואמת_אג_ח_קונצרני_ל.סחיר1" ref="A5:O16" totalsRowShown="0" headerRowDxfId="167" headerRowBorderDxfId="166" tableBorderDxfId="165" headerRowCellStyle="Percent">
  <tableColumns count="15">
    <tableColumn id="1" xr3:uid="{64A19AB9-1450-4168-B653-B9E1DB627C7E}" name="שם המנפיק/שם נייר ערך" dataDxfId="164"/>
    <tableColumn id="2" xr3:uid="{FADC17AB-050E-4574-B980-77691CFF9E73}" name="מספר ני&quot;ע" dataDxfId="163" dataCellStyle="Percent"/>
    <tableColumn id="3" xr3:uid="{E0F964CE-F634-4B96-8222-D57471C0BFE5}" name="ענף מסחר" dataDxfId="162" dataCellStyle="Percent"/>
    <tableColumn id="4" xr3:uid="{EE2BBC4A-0BA0-46EC-ACAC-E1318C2564ED}" name="דירוג" dataDxfId="161" dataCellStyle="Percent"/>
    <tableColumn id="5" xr3:uid="{C4CB9C74-0F97-49D7-A51E-74E6C6158D66}" name="שם מדרג" dataDxfId="160" dataCellStyle="Percent"/>
    <tableColumn id="6" xr3:uid="{3D62753E-8E5A-4785-AE8C-B83A71466A87}" name="תאריך רכישה" dataDxfId="159" dataCellStyle="Percent"/>
    <tableColumn id="7" xr3:uid="{6A155DA2-A03E-4F73-AB96-3BF4AB56D07A}" name="מח&quot;מ" dataDxfId="158" dataCellStyle="Percent"/>
    <tableColumn id="8" xr3:uid="{B88078F1-89D0-40DD-ACF0-408175198099}" name="סוג מטבע" dataDxfId="157" dataCellStyle="Percent"/>
    <tableColumn id="9" xr3:uid="{26C79BD6-2F44-4A10-BFAD-8F8168D3540C}" name="שיעור ריבית" dataDxfId="156" dataCellStyle="Percent"/>
    <tableColumn id="10" xr3:uid="{4188E706-E103-49CB-9758-E6BBDFF82B1A}" name="ריבית אפקטיבית" dataDxfId="155" dataCellStyle="Percent"/>
    <tableColumn id="11" xr3:uid="{20A90D2E-47B5-4196-BDC7-ED15D2CC807D}" name="ערך נקוב" dataDxfId="154" dataCellStyle="Comma"/>
    <tableColumn id="12" xr3:uid="{E5A7264A-2616-4FC6-8535-CC8E2050B607}" name="עלות מתואמת" dataDxfId="153" dataCellStyle="Percent"/>
    <tableColumn id="13" xr3:uid="{BFAE87F0-3F55-4346-BE5C-D621A1BEC103}" name="שעור מערך נקוב מונפק" dataDxfId="152" dataCellStyle="Comma"/>
    <tableColumn id="14" xr3:uid="{C815A3C4-5ED9-49BC-81BE-A5E162D386AF}" name="שעור מנכסי אפיק ההשקעה" dataDxfId="151" dataCellStyle="Percent"/>
    <tableColumn id="15" xr3:uid="{A7A9177F-BF90-4DE2-B53A-2721A4CEE52A}" name="שעור מסך נכסי השקעה**" dataDxfId="150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DF19F13-BFAF-4949-B51A-939E961B926E}" name="עלות מתואמת מסגרות אשראי ללווים1" displayName="עלות_מתואמת_מסגרות_אשראי_ללווים1" ref="A5:O16" totalsRowShown="0" headerRowDxfId="149" headerRowBorderDxfId="148" tableBorderDxfId="147" headerRowCellStyle="Percent">
  <tableColumns count="15">
    <tableColumn id="1" xr3:uid="{0745DA56-15E2-4A09-AE7A-44A5F2B6FD31}" name="שם המנפיק/שם נייר ערך" dataDxfId="146"/>
    <tableColumn id="2" xr3:uid="{1681EB9D-40E2-4542-A9C9-1677B0F7AEFA}" name="מספר ני&quot;ע" dataDxfId="145" dataCellStyle="Percent"/>
    <tableColumn id="3" xr3:uid="{329FA409-0F7F-421C-B78B-AA96E81BDE24}" name="ענף מסחר" dataDxfId="144" dataCellStyle="Percent"/>
    <tableColumn id="4" xr3:uid="{3F31C620-6244-4F10-A005-18743AE26D2C}" name="דירוג" dataDxfId="143" dataCellStyle="Percent"/>
    <tableColumn id="5" xr3:uid="{211671E2-8A0E-421A-8A6B-A5FFB227DDCE}" name="שם מדרג" dataDxfId="142" dataCellStyle="Percent"/>
    <tableColumn id="6" xr3:uid="{F3ADF9CA-01C6-474C-8FFD-F79E300D1DDC}" name="תאריך רכישה" dataDxfId="141" dataCellStyle="Percent"/>
    <tableColumn id="7" xr3:uid="{4BC34581-B23F-4AFB-8F72-01717F73278F}" name="מח&quot;מ" dataDxfId="140" dataCellStyle="Percent"/>
    <tableColumn id="8" xr3:uid="{EF83E7D2-4291-41A6-8F02-1C0C5721CF42}" name="סוג מטבע" dataDxfId="139" dataCellStyle="Percent"/>
    <tableColumn id="9" xr3:uid="{D97E2292-AF1A-40D9-8DEA-4E94340D9618}" name="שיעור ריבית" dataDxfId="138" dataCellStyle="Percent"/>
    <tableColumn id="10" xr3:uid="{7BD2A69E-DC20-43BE-89D0-7015F2B1A0D9}" name="ריבית אפקטיבית" dataDxfId="137" dataCellStyle="Percent"/>
    <tableColumn id="11" xr3:uid="{F1C7D8EC-7319-4554-B84E-006432B61446}" name="ערך נקוב" dataDxfId="136" dataCellStyle="Comma"/>
    <tableColumn id="12" xr3:uid="{143E7592-DEA5-4BD1-8BFC-217201567C87}" name="עלות מתואמת" dataDxfId="135" dataCellStyle="Percent"/>
    <tableColumn id="13" xr3:uid="{C1162932-AE74-4666-8C32-61072DE2802C}" name="שעור מערך נקוב מונפק" dataDxfId="134" dataCellStyle="Comma"/>
    <tableColumn id="14" xr3:uid="{7DB9FD70-5BB9-4437-A8F4-8037558B36F0}" name="שעור מנכסי אפיק ההשקעה" dataDxfId="133" dataCellStyle="Percent"/>
    <tableColumn id="15" xr3:uid="{82C1F3AD-3804-48A3-900E-CF7B4C734D9B}" name="שעור מסך נכסי השקעה**" dataDxfId="132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C98DFF56-D717-483F-9BE1-D323F5A1312C}" name="טבלה32" displayName="טבלה32" ref="A1:B72" headerRowCount="0" totalsRowShown="0">
  <tableColumns count="2">
    <tableColumn id="1" xr3:uid="{14E2DB5B-3930-41AE-BE46-E1758CC3760D}" name="עמודה1"/>
    <tableColumn id="2" xr3:uid="{3A2363B5-9A1F-4B5A-ABD1-0728511F5F66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topLeftCell="A16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237</v>
      </c>
      <c r="B1" s="41" t="s">
        <v>150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238</v>
      </c>
      <c r="B2" s="41" t="s">
        <v>239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240</v>
      </c>
      <c r="B3" s="41" t="s">
        <v>247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21" t="s">
        <v>51</v>
      </c>
      <c r="B4" s="222"/>
      <c r="C4" s="223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95" t="s">
        <v>3783</v>
      </c>
      <c r="B5" s="180" t="s">
        <v>29</v>
      </c>
      <c r="C5" s="180" t="s">
        <v>72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79"/>
      <c r="B6" s="188" t="s">
        <v>10</v>
      </c>
      <c r="C6" s="188" t="s">
        <v>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81"/>
      <c r="B7" s="182" t="s">
        <v>49</v>
      </c>
      <c r="C7" s="182" t="s">
        <v>50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83" t="s">
        <v>97</v>
      </c>
      <c r="B8" s="182"/>
      <c r="C8" s="182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89" t="s">
        <v>43</v>
      </c>
      <c r="B9" s="190">
        <v>16012.281405900007</v>
      </c>
      <c r="C9" s="191">
        <v>6.5957479136982106E-2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84" t="s">
        <v>45</v>
      </c>
      <c r="B10" s="190">
        <v>196192.18438679999</v>
      </c>
      <c r="C10" s="191">
        <v>0.8081510423469831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92" t="s">
        <v>12</v>
      </c>
      <c r="B11" s="190">
        <v>49834.6865407</v>
      </c>
      <c r="C11" s="191">
        <v>0.2052780746530673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92" t="s">
        <v>18</v>
      </c>
      <c r="B12" s="190">
        <v>4.9999999999999998E-7</v>
      </c>
      <c r="C12" s="191">
        <v>2.0595903064968279E-12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92" t="s">
        <v>20</v>
      </c>
      <c r="B13" s="190">
        <v>112204.24523060005</v>
      </c>
      <c r="C13" s="191">
        <v>0.46218955164947356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92" t="s">
        <v>21</v>
      </c>
      <c r="B14" s="190">
        <v>11913.128700699983</v>
      </c>
      <c r="C14" s="191">
        <v>4.9072328784021665E-2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92" t="s">
        <v>158</v>
      </c>
      <c r="B15" s="190">
        <v>12499.160671</v>
      </c>
      <c r="C15" s="191">
        <v>5.1486300314675972E-2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92" t="s">
        <v>44</v>
      </c>
      <c r="B16" s="190">
        <v>9696.0997607999961</v>
      </c>
      <c r="C16" s="191">
        <v>3.9939986156339764E-2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92" t="s">
        <v>23</v>
      </c>
      <c r="B17" s="190">
        <v>10.9942902</v>
      </c>
      <c r="C17" s="191">
        <v>4.5287467045466139E-5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92" t="s">
        <v>24</v>
      </c>
      <c r="B18" s="190">
        <v>159.61453089999998</v>
      </c>
      <c r="C18" s="191">
        <v>6.5748108123535667E-4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92" t="s">
        <v>25</v>
      </c>
      <c r="B19" s="190">
        <v>-240.6323098000004</v>
      </c>
      <c r="C19" s="191">
        <v>-9.91207945388045E-4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92" t="s">
        <v>26</v>
      </c>
      <c r="B20" s="190">
        <v>114.8869712</v>
      </c>
      <c r="C20" s="191">
        <v>4.7324018445260048E-4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83" t="s">
        <v>46</v>
      </c>
      <c r="B21" s="190">
        <v>12292.885656299997</v>
      </c>
      <c r="C21" s="191">
        <v>5.0636616273178739E-2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92" t="s">
        <v>12</v>
      </c>
      <c r="B22" s="190">
        <v>6.9999999999999997E-7</v>
      </c>
      <c r="C22" s="191">
        <v>2.8834264290955589E-12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92" t="s">
        <v>18</v>
      </c>
      <c r="B23" s="190">
        <v>6.0000000000000008E-7</v>
      </c>
      <c r="C23" s="191">
        <v>2.4715083677961936E-12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92" t="s">
        <v>20</v>
      </c>
      <c r="B24" s="190">
        <v>2508.6119805999997</v>
      </c>
      <c r="C24" s="191">
        <v>1.0333425836011136E-2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92" t="s">
        <v>21</v>
      </c>
      <c r="B25" s="190">
        <v>740.70593029999986</v>
      </c>
      <c r="C25" s="191">
        <v>3.0511015080211894E-3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92" t="s">
        <v>30</v>
      </c>
      <c r="B26" s="190">
        <v>9970.3810007999982</v>
      </c>
      <c r="C26" s="191">
        <v>4.1069800122655632E-2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92" t="s">
        <v>31</v>
      </c>
      <c r="B27" s="190">
        <v>52.814260200000007</v>
      </c>
      <c r="C27" s="191">
        <v>2.1755147670544247E-4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92" t="s">
        <v>32</v>
      </c>
      <c r="B28" s="190">
        <v>9.9999999999999995E-7</v>
      </c>
      <c r="C28" s="191">
        <v>4.1191806129936557E-12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92" t="s">
        <v>33</v>
      </c>
      <c r="B29" s="190">
        <v>-979.62751910000122</v>
      </c>
      <c r="C29" s="191">
        <v>-4.035262684631797E-3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92" t="s">
        <v>34</v>
      </c>
      <c r="B30" s="190">
        <v>1.2000000000000002E-6</v>
      </c>
      <c r="C30" s="191">
        <v>4.9430167355923872E-12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92" t="s">
        <v>35</v>
      </c>
      <c r="B31" s="190">
        <v>16679.126431299999</v>
      </c>
      <c r="C31" s="191">
        <v>6.8704334237481013E-2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92" t="s">
        <v>37</v>
      </c>
      <c r="B32" s="190">
        <v>500.12693060000004</v>
      </c>
      <c r="C32" s="191">
        <v>2.0601131565635435E-3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92" t="s">
        <v>47</v>
      </c>
      <c r="B33" s="190">
        <v>1014.0676903999999</v>
      </c>
      <c r="C33" s="191">
        <v>4.1771279705589328E-3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92" t="s">
        <v>86</v>
      </c>
      <c r="B34" s="190">
        <v>2.0000000000000002E-7</v>
      </c>
      <c r="C34" s="191">
        <v>8.2383612259873117E-13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92" t="s">
        <v>87</v>
      </c>
      <c r="B35" s="190">
        <v>76.05563020000001</v>
      </c>
      <c r="C35" s="191">
        <v>3.1328687742885486E-4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83" t="s">
        <v>93</v>
      </c>
      <c r="B36" s="193"/>
      <c r="C36" s="19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92" t="s">
        <v>94</v>
      </c>
      <c r="B37" s="193">
        <v>0</v>
      </c>
      <c r="C37" s="19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92" t="s">
        <v>95</v>
      </c>
      <c r="B38" s="193">
        <v>0</v>
      </c>
      <c r="C38" s="19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92" t="s">
        <v>96</v>
      </c>
      <c r="B39" s="193">
        <v>0</v>
      </c>
      <c r="C39" s="19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85" t="s">
        <v>48</v>
      </c>
      <c r="B40" s="186">
        <v>242766.72813169996</v>
      </c>
      <c r="C40" s="187">
        <v>1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94" t="s">
        <v>92</v>
      </c>
      <c r="B41" s="190">
        <v>13897.782996216267</v>
      </c>
      <c r="C41" s="19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205"/>
      <c r="B42" s="196" t="s">
        <v>0</v>
      </c>
      <c r="C42" s="197" t="s">
        <v>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198" t="s">
        <v>49</v>
      </c>
      <c r="C43" s="199" t="s">
        <v>50</v>
      </c>
      <c r="D43" s="109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200" t="s">
        <v>125</v>
      </c>
      <c r="C44" s="202">
        <v>3.8239999999999998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200" t="s">
        <v>126</v>
      </c>
      <c r="C45" s="202">
        <v>4.0530999999999997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200" t="s">
        <v>2</v>
      </c>
      <c r="C46" s="202">
        <v>4.6779000000000002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200" t="s">
        <v>131</v>
      </c>
      <c r="C47" s="202">
        <v>2.8424999999999998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200" t="s">
        <v>3</v>
      </c>
      <c r="C48" s="202">
        <v>2.4773999999999998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200" t="s">
        <v>65</v>
      </c>
      <c r="C49" s="202">
        <v>0.48830000000000001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200" t="s">
        <v>127</v>
      </c>
      <c r="C50" s="202">
        <v>2.3062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200" t="s">
        <v>90</v>
      </c>
      <c r="C51" s="203">
        <v>0.54420000000000002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200" t="s">
        <v>132</v>
      </c>
      <c r="C52" s="203">
        <v>0.34960000000000002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200" t="s">
        <v>422</v>
      </c>
      <c r="C53" s="202">
        <v>2.5659999999999998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200" t="s">
        <v>130</v>
      </c>
      <c r="C54" s="203">
        <v>0.219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200" t="s">
        <v>236</v>
      </c>
      <c r="C55" s="203">
        <v>4.2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200" t="s">
        <v>91</v>
      </c>
      <c r="C56" s="203">
        <v>0.52429999999999999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200" t="s">
        <v>163</v>
      </c>
      <c r="C57" s="203">
        <v>0.75800000000000001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200" t="s">
        <v>129</v>
      </c>
      <c r="C58" s="203">
        <v>0.16639999999999999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200" t="s">
        <v>151</v>
      </c>
      <c r="C59" s="203">
        <v>0.35849999999999999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200" t="s">
        <v>161</v>
      </c>
      <c r="C60" s="203">
        <v>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200" t="s">
        <v>152</v>
      </c>
      <c r="C61" s="203">
        <v>0.87460000000000004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200" t="s">
        <v>153</v>
      </c>
      <c r="C62" s="203">
        <v>4.5838337E-2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200" t="s">
        <v>162</v>
      </c>
      <c r="C63" s="203">
        <v>2.4674899999999999E-4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200" t="s">
        <v>154</v>
      </c>
      <c r="C64" s="203">
        <v>3.9300000000000002E-2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200" t="s">
        <v>155</v>
      </c>
      <c r="C65" s="203">
        <v>2.8419999999999999E-3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201" t="s">
        <v>156</v>
      </c>
      <c r="C66" s="204">
        <v>6.7530000000000007E-2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C4"/>
  </mergeCells>
  <phoneticPr fontId="3" type="noConversion"/>
  <conditionalFormatting sqref="A8:A41">
    <cfRule type="expression" dxfId="131" priority="22" stopIfTrue="1">
      <formula>$E8&gt;0</formula>
    </cfRule>
    <cfRule type="expression" dxfId="130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90"/>
  <sheetViews>
    <sheetView rightToLeft="1" zoomScale="90" workbookViewId="0"/>
  </sheetViews>
  <sheetFormatPr defaultColWidth="9.109375" defaultRowHeight="13.2" x14ac:dyDescent="0.25"/>
  <cols>
    <col min="1" max="1" width="51.8867187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9" customWidth="1"/>
    <col min="6" max="6" width="11.33203125" style="36" bestFit="1" customWidth="1"/>
    <col min="7" max="7" width="11.88671875" style="61" customWidth="1"/>
    <col min="8" max="8" width="13.6640625" style="63" customWidth="1"/>
    <col min="9" max="9" width="11.109375" style="61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9"/>
      <c r="F1" s="36"/>
      <c r="G1" s="61"/>
      <c r="H1" s="62"/>
      <c r="I1" s="61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9"/>
      <c r="F2" s="36"/>
      <c r="G2" s="61"/>
      <c r="H2" s="62"/>
      <c r="I2" s="61"/>
      <c r="J2" s="12"/>
      <c r="K2" s="14"/>
    </row>
    <row r="3" spans="1:11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36"/>
      <c r="G3" s="61"/>
      <c r="H3" s="62"/>
      <c r="I3" s="61"/>
      <c r="J3" s="12"/>
      <c r="K3" s="14"/>
    </row>
    <row r="4" spans="1:11" s="7" customFormat="1" x14ac:dyDescent="0.25">
      <c r="A4" s="224" t="s">
        <v>4</v>
      </c>
      <c r="B4" s="225"/>
      <c r="C4" s="225"/>
      <c r="D4" s="225"/>
      <c r="E4" s="225"/>
      <c r="F4" s="225"/>
      <c r="G4" s="225"/>
      <c r="H4" s="225"/>
      <c r="I4" s="225"/>
      <c r="J4" s="225"/>
      <c r="K4" s="226"/>
    </row>
    <row r="5" spans="1:11" s="7" customFormat="1" x14ac:dyDescent="0.25">
      <c r="A5" s="86" t="s">
        <v>157</v>
      </c>
      <c r="B5" s="206" t="s">
        <v>69</v>
      </c>
      <c r="C5" s="206" t="s">
        <v>74</v>
      </c>
      <c r="D5" s="206" t="s">
        <v>70</v>
      </c>
      <c r="E5" s="206" t="s">
        <v>5</v>
      </c>
      <c r="F5" s="206" t="s">
        <v>6</v>
      </c>
      <c r="G5" s="207" t="s">
        <v>66</v>
      </c>
      <c r="H5" s="207" t="s">
        <v>71</v>
      </c>
      <c r="I5" s="207" t="s">
        <v>7</v>
      </c>
      <c r="J5" s="89" t="s">
        <v>75</v>
      </c>
      <c r="K5" s="90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9" t="s">
        <v>9</v>
      </c>
      <c r="H6" s="49" t="s">
        <v>9</v>
      </c>
      <c r="I6" s="49" t="s">
        <v>10</v>
      </c>
      <c r="J6" s="48" t="s">
        <v>9</v>
      </c>
      <c r="K6" s="50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9" customFormat="1" ht="12.75" customHeight="1" thickBot="1" x14ac:dyDescent="0.3">
      <c r="A8" s="72" t="s">
        <v>78</v>
      </c>
      <c r="B8" s="120"/>
      <c r="C8" s="120"/>
      <c r="D8" s="120"/>
      <c r="E8" s="120"/>
      <c r="F8" s="120"/>
      <c r="G8" s="120"/>
      <c r="H8" s="120"/>
      <c r="I8" s="80">
        <v>16012.281405900007</v>
      </c>
      <c r="J8" s="77">
        <v>1</v>
      </c>
      <c r="K8" s="58">
        <v>6.5957479136982106E-2</v>
      </c>
    </row>
    <row r="9" spans="1:11" s="119" customFormat="1" x14ac:dyDescent="0.25">
      <c r="A9" s="91" t="s">
        <v>248</v>
      </c>
      <c r="B9" s="121" t="s">
        <v>249</v>
      </c>
      <c r="C9" s="121" t="s">
        <v>249</v>
      </c>
      <c r="D9" s="122" t="s">
        <v>249</v>
      </c>
      <c r="E9" s="122" t="s">
        <v>249</v>
      </c>
      <c r="F9" s="122" t="s">
        <v>249</v>
      </c>
      <c r="G9" s="121" t="s">
        <v>249</v>
      </c>
      <c r="H9" s="121" t="s">
        <v>249</v>
      </c>
      <c r="I9" s="123">
        <v>11861.827125700007</v>
      </c>
      <c r="J9" s="121">
        <v>0.74079556966375237</v>
      </c>
      <c r="K9" s="121">
        <v>4.8861008330865728E-2</v>
      </c>
    </row>
    <row r="10" spans="1:11" s="119" customFormat="1" x14ac:dyDescent="0.25">
      <c r="A10" s="92" t="s">
        <v>250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22" t="s">
        <v>249</v>
      </c>
      <c r="G10" s="121" t="s">
        <v>249</v>
      </c>
      <c r="H10" s="121" t="s">
        <v>249</v>
      </c>
      <c r="I10" s="124">
        <v>4214.6851851000001</v>
      </c>
      <c r="J10" s="121">
        <v>0.26321578282698838</v>
      </c>
      <c r="K10" s="121">
        <v>1.7361049504335497E-2</v>
      </c>
    </row>
    <row r="11" spans="1:11" x14ac:dyDescent="0.25">
      <c r="A11" s="16" t="s">
        <v>3614</v>
      </c>
      <c r="B11" s="32" t="s">
        <v>267</v>
      </c>
      <c r="C11" s="32" t="s">
        <v>268</v>
      </c>
      <c r="D11" s="66" t="s">
        <v>253</v>
      </c>
      <c r="E11" s="66" t="s">
        <v>254</v>
      </c>
      <c r="F11" s="66" t="s">
        <v>255</v>
      </c>
      <c r="G11" s="32">
        <v>0</v>
      </c>
      <c r="H11" s="32">
        <v>0</v>
      </c>
      <c r="I11" s="84">
        <v>304.42093</v>
      </c>
      <c r="J11" s="32">
        <v>1.9011714963230082E-2</v>
      </c>
      <c r="K11" s="32">
        <v>1.2539647930454988E-3</v>
      </c>
    </row>
    <row r="12" spans="1:11" x14ac:dyDescent="0.25">
      <c r="A12" s="16" t="s">
        <v>3614</v>
      </c>
      <c r="B12" s="32" t="s">
        <v>290</v>
      </c>
      <c r="C12" s="32" t="s">
        <v>268</v>
      </c>
      <c r="D12" s="66" t="s">
        <v>253</v>
      </c>
      <c r="E12" s="66" t="s">
        <v>254</v>
      </c>
      <c r="F12" s="66" t="s">
        <v>255</v>
      </c>
      <c r="G12" s="32">
        <v>0</v>
      </c>
      <c r="H12" s="32">
        <v>0</v>
      </c>
      <c r="I12" s="84">
        <v>6.7909999999999998E-2</v>
      </c>
      <c r="J12" s="32">
        <v>4.2411195680696293E-6</v>
      </c>
      <c r="K12" s="32">
        <v>2.7973355542839915E-7</v>
      </c>
    </row>
    <row r="13" spans="1:11" x14ac:dyDescent="0.25">
      <c r="A13" s="16" t="s">
        <v>3614</v>
      </c>
      <c r="B13" s="32" t="s">
        <v>292</v>
      </c>
      <c r="C13" s="32" t="s">
        <v>268</v>
      </c>
      <c r="D13" s="66" t="s">
        <v>253</v>
      </c>
      <c r="E13" s="66" t="s">
        <v>254</v>
      </c>
      <c r="F13" s="66" t="s">
        <v>255</v>
      </c>
      <c r="G13" s="32">
        <v>0</v>
      </c>
      <c r="H13" s="32">
        <v>0</v>
      </c>
      <c r="I13" s="84">
        <v>0.26066</v>
      </c>
      <c r="J13" s="32">
        <v>1.6278754625431156E-5</v>
      </c>
      <c r="K13" s="32">
        <v>1.0737056185829264E-6</v>
      </c>
    </row>
    <row r="14" spans="1:11" x14ac:dyDescent="0.25">
      <c r="A14" s="16" t="s">
        <v>3614</v>
      </c>
      <c r="B14" s="32" t="s">
        <v>294</v>
      </c>
      <c r="C14" s="32" t="s">
        <v>268</v>
      </c>
      <c r="D14" s="66" t="s">
        <v>253</v>
      </c>
      <c r="E14" s="66" t="s">
        <v>254</v>
      </c>
      <c r="F14" s="66" t="s">
        <v>255</v>
      </c>
      <c r="G14" s="32">
        <v>0</v>
      </c>
      <c r="H14" s="32">
        <v>0</v>
      </c>
      <c r="I14" s="84">
        <v>1.6681199999999998</v>
      </c>
      <c r="J14" s="32">
        <v>1.0417753458825373E-4</v>
      </c>
      <c r="K14" s="32">
        <v>6.8712875641469763E-6</v>
      </c>
    </row>
    <row r="15" spans="1:11" x14ac:dyDescent="0.25">
      <c r="A15" s="16" t="s">
        <v>3666</v>
      </c>
      <c r="B15" s="32" t="s">
        <v>256</v>
      </c>
      <c r="C15" s="32" t="s">
        <v>257</v>
      </c>
      <c r="D15" s="66" t="s">
        <v>253</v>
      </c>
      <c r="E15" s="66" t="s">
        <v>254</v>
      </c>
      <c r="F15" s="66" t="s">
        <v>255</v>
      </c>
      <c r="G15" s="32">
        <v>0</v>
      </c>
      <c r="H15" s="32">
        <v>0</v>
      </c>
      <c r="I15" s="84">
        <v>109.32553999999999</v>
      </c>
      <c r="J15" s="32">
        <v>6.8276054628740833E-3</v>
      </c>
      <c r="K15" s="32">
        <v>4.5033164487306239E-4</v>
      </c>
    </row>
    <row r="16" spans="1:11" x14ac:dyDescent="0.25">
      <c r="A16" s="16" t="s">
        <v>3626</v>
      </c>
      <c r="B16" s="32" t="s">
        <v>266</v>
      </c>
      <c r="C16" s="32" t="s">
        <v>257</v>
      </c>
      <c r="D16" s="66" t="s">
        <v>253</v>
      </c>
      <c r="E16" s="66" t="s">
        <v>254</v>
      </c>
      <c r="F16" s="66" t="s">
        <v>255</v>
      </c>
      <c r="G16" s="32">
        <v>0</v>
      </c>
      <c r="H16" s="32">
        <v>0</v>
      </c>
      <c r="I16" s="84">
        <v>182.89632</v>
      </c>
      <c r="J16" s="32">
        <v>1.1422252417610437E-2</v>
      </c>
      <c r="K16" s="32">
        <v>7.5338297553188382E-4</v>
      </c>
    </row>
    <row r="17" spans="1:11" x14ac:dyDescent="0.25">
      <c r="A17" s="16" t="s">
        <v>3626</v>
      </c>
      <c r="B17" s="32" t="s">
        <v>270</v>
      </c>
      <c r="C17" s="32" t="s">
        <v>257</v>
      </c>
      <c r="D17" s="66" t="s">
        <v>253</v>
      </c>
      <c r="E17" s="66" t="s">
        <v>254</v>
      </c>
      <c r="F17" s="66" t="s">
        <v>255</v>
      </c>
      <c r="G17" s="32">
        <v>0</v>
      </c>
      <c r="H17" s="32">
        <v>0</v>
      </c>
      <c r="I17" s="84">
        <v>621.43306000000007</v>
      </c>
      <c r="J17" s="32">
        <v>3.880977633649519E-2</v>
      </c>
      <c r="K17" s="32">
        <v>2.5597950130253236E-3</v>
      </c>
    </row>
    <row r="18" spans="1:11" x14ac:dyDescent="0.25">
      <c r="A18" s="16" t="s">
        <v>3626</v>
      </c>
      <c r="B18" s="32" t="s">
        <v>275</v>
      </c>
      <c r="C18" s="32" t="s">
        <v>257</v>
      </c>
      <c r="D18" s="66" t="s">
        <v>253</v>
      </c>
      <c r="E18" s="66" t="s">
        <v>254</v>
      </c>
      <c r="F18" s="66" t="s">
        <v>255</v>
      </c>
      <c r="G18" s="32">
        <v>0</v>
      </c>
      <c r="H18" s="32">
        <v>0</v>
      </c>
      <c r="I18" s="84">
        <v>6.4849999999999991E-2</v>
      </c>
      <c r="J18" s="32">
        <v>4.0500162566531504E-6</v>
      </c>
      <c r="K18" s="32">
        <v>2.6712886275263852E-7</v>
      </c>
    </row>
    <row r="19" spans="1:11" x14ac:dyDescent="0.25">
      <c r="A19" s="16" t="s">
        <v>3626</v>
      </c>
      <c r="B19" s="32" t="s">
        <v>276</v>
      </c>
      <c r="C19" s="32" t="s">
        <v>257</v>
      </c>
      <c r="D19" s="66" t="s">
        <v>253</v>
      </c>
      <c r="E19" s="66" t="s">
        <v>254</v>
      </c>
      <c r="F19" s="66" t="s">
        <v>255</v>
      </c>
      <c r="G19" s="32">
        <v>0</v>
      </c>
      <c r="H19" s="32">
        <v>0</v>
      </c>
      <c r="I19" s="84">
        <v>7.8600000000000007E-3</v>
      </c>
      <c r="J19" s="32">
        <v>4.9087321167762175E-7</v>
      </c>
      <c r="K19" s="32">
        <v>3.2376759618130134E-8</v>
      </c>
    </row>
    <row r="20" spans="1:11" x14ac:dyDescent="0.25">
      <c r="A20" s="16" t="s">
        <v>3637</v>
      </c>
      <c r="B20" s="32" t="s">
        <v>285</v>
      </c>
      <c r="C20" s="32" t="s">
        <v>257</v>
      </c>
      <c r="D20" s="66" t="s">
        <v>253</v>
      </c>
      <c r="E20" s="66" t="s">
        <v>254</v>
      </c>
      <c r="F20" s="66" t="s">
        <v>255</v>
      </c>
      <c r="G20" s="32">
        <v>0</v>
      </c>
      <c r="H20" s="32">
        <v>0</v>
      </c>
      <c r="I20" s="84">
        <v>1.093E-2</v>
      </c>
      <c r="J20" s="32">
        <v>6.8260104371964439E-7</v>
      </c>
      <c r="K20" s="32">
        <v>4.5022644100020659E-8</v>
      </c>
    </row>
    <row r="21" spans="1:11" x14ac:dyDescent="0.25">
      <c r="A21" s="16" t="s">
        <v>3637</v>
      </c>
      <c r="B21" s="32" t="s">
        <v>286</v>
      </c>
      <c r="C21" s="32" t="s">
        <v>257</v>
      </c>
      <c r="D21" s="66" t="s">
        <v>253</v>
      </c>
      <c r="E21" s="66" t="s">
        <v>254</v>
      </c>
      <c r="F21" s="66" t="s">
        <v>255</v>
      </c>
      <c r="G21" s="32">
        <v>0</v>
      </c>
      <c r="H21" s="32">
        <v>0</v>
      </c>
      <c r="I21" s="84">
        <v>0.28937000000000002</v>
      </c>
      <c r="J21" s="32">
        <v>1.8071753341368115E-5</v>
      </c>
      <c r="K21" s="32">
        <v>1.1919672939819742E-6</v>
      </c>
    </row>
    <row r="22" spans="1:11" x14ac:dyDescent="0.25">
      <c r="A22" s="16" t="s">
        <v>3637</v>
      </c>
      <c r="B22" s="32" t="s">
        <v>287</v>
      </c>
      <c r="C22" s="32" t="s">
        <v>257</v>
      </c>
      <c r="D22" s="66" t="s">
        <v>253</v>
      </c>
      <c r="E22" s="66" t="s">
        <v>254</v>
      </c>
      <c r="F22" s="66" t="s">
        <v>255</v>
      </c>
      <c r="G22" s="32">
        <v>0</v>
      </c>
      <c r="H22" s="32">
        <v>0</v>
      </c>
      <c r="I22" s="84">
        <v>1.80796</v>
      </c>
      <c r="J22" s="32">
        <v>1.1291083101586169E-4</v>
      </c>
      <c r="K22" s="32">
        <v>7.4473137810680097E-6</v>
      </c>
    </row>
    <row r="23" spans="1:11" x14ac:dyDescent="0.25">
      <c r="A23" s="16" t="s">
        <v>288</v>
      </c>
      <c r="B23" s="32" t="s">
        <v>289</v>
      </c>
      <c r="C23" s="32" t="s">
        <v>257</v>
      </c>
      <c r="D23" s="66" t="s">
        <v>253</v>
      </c>
      <c r="E23" s="66" t="s">
        <v>254</v>
      </c>
      <c r="F23" s="66" t="s">
        <v>255</v>
      </c>
      <c r="G23" s="32">
        <v>0</v>
      </c>
      <c r="H23" s="32">
        <v>0</v>
      </c>
      <c r="I23" s="84">
        <v>6.1766899999999998</v>
      </c>
      <c r="J23" s="32">
        <v>3.8574703025916652E-4</v>
      </c>
      <c r="K23" s="32">
        <v>2.5442901700471781E-5</v>
      </c>
    </row>
    <row r="24" spans="1:11" x14ac:dyDescent="0.25">
      <c r="A24" s="16" t="s">
        <v>3626</v>
      </c>
      <c r="B24" s="32" t="s">
        <v>306</v>
      </c>
      <c r="C24" s="32" t="s">
        <v>257</v>
      </c>
      <c r="D24" s="66" t="s">
        <v>253</v>
      </c>
      <c r="E24" s="66" t="s">
        <v>254</v>
      </c>
      <c r="F24" s="66" t="s">
        <v>255</v>
      </c>
      <c r="G24" s="32">
        <v>0</v>
      </c>
      <c r="H24" s="32">
        <v>0</v>
      </c>
      <c r="I24" s="84">
        <v>300.19840000000005</v>
      </c>
      <c r="J24" s="32">
        <v>1.8748009255532234E-2</v>
      </c>
      <c r="K24" s="32">
        <v>1.2365714293317148E-3</v>
      </c>
    </row>
    <row r="25" spans="1:11" x14ac:dyDescent="0.25">
      <c r="A25" s="16" t="s">
        <v>3627</v>
      </c>
      <c r="B25" s="32" t="s">
        <v>263</v>
      </c>
      <c r="C25" s="32" t="s">
        <v>264</v>
      </c>
      <c r="D25" s="66" t="s">
        <v>253</v>
      </c>
      <c r="E25" s="66" t="s">
        <v>254</v>
      </c>
      <c r="F25" s="66" t="s">
        <v>255</v>
      </c>
      <c r="G25" s="32">
        <v>0</v>
      </c>
      <c r="H25" s="32">
        <v>0</v>
      </c>
      <c r="I25" s="84">
        <v>1.0138</v>
      </c>
      <c r="J25" s="32">
        <v>6.3313901017655582E-5</v>
      </c>
      <c r="K25" s="32">
        <v>4.1760253054529679E-6</v>
      </c>
    </row>
    <row r="26" spans="1:11" x14ac:dyDescent="0.25">
      <c r="A26" s="16" t="s">
        <v>3638</v>
      </c>
      <c r="B26" s="32" t="s">
        <v>302</v>
      </c>
      <c r="C26" s="32" t="s">
        <v>264</v>
      </c>
      <c r="D26" s="66" t="s">
        <v>253</v>
      </c>
      <c r="E26" s="66" t="s">
        <v>254</v>
      </c>
      <c r="F26" s="66" t="s">
        <v>255</v>
      </c>
      <c r="G26" s="32">
        <v>0</v>
      </c>
      <c r="H26" s="32">
        <v>0</v>
      </c>
      <c r="I26" s="84">
        <v>11.915889999999999</v>
      </c>
      <c r="J26" s="32">
        <v>7.4417190767140653E-4</v>
      </c>
      <c r="K26" s="32">
        <v>4.9083703074564968E-5</v>
      </c>
    </row>
    <row r="27" spans="1:11" x14ac:dyDescent="0.25">
      <c r="A27" s="16" t="s">
        <v>3627</v>
      </c>
      <c r="B27" s="32" t="s">
        <v>303</v>
      </c>
      <c r="C27" s="32" t="s">
        <v>264</v>
      </c>
      <c r="D27" s="66" t="s">
        <v>253</v>
      </c>
      <c r="E27" s="66" t="s">
        <v>254</v>
      </c>
      <c r="F27" s="66" t="s">
        <v>255</v>
      </c>
      <c r="G27" s="32">
        <v>0</v>
      </c>
      <c r="H27" s="32">
        <v>0</v>
      </c>
      <c r="I27" s="84">
        <v>0.23908000000000001</v>
      </c>
      <c r="J27" s="32">
        <v>1.49310391155071E-5</v>
      </c>
      <c r="K27" s="32">
        <v>9.8481370095452335E-7</v>
      </c>
    </row>
    <row r="28" spans="1:11" x14ac:dyDescent="0.25">
      <c r="A28" s="16" t="s">
        <v>3638</v>
      </c>
      <c r="B28" s="32" t="s">
        <v>307</v>
      </c>
      <c r="C28" s="32" t="s">
        <v>264</v>
      </c>
      <c r="D28" s="66" t="s">
        <v>253</v>
      </c>
      <c r="E28" s="66" t="s">
        <v>254</v>
      </c>
      <c r="F28" s="66" t="s">
        <v>255</v>
      </c>
      <c r="G28" s="32">
        <v>0</v>
      </c>
      <c r="H28" s="32">
        <v>0</v>
      </c>
      <c r="I28" s="84">
        <v>1.0067699999999999</v>
      </c>
      <c r="J28" s="32">
        <v>6.287486301789812E-5</v>
      </c>
      <c r="K28" s="32">
        <v>4.1470674657436226E-6</v>
      </c>
    </row>
    <row r="29" spans="1:11" x14ac:dyDescent="0.25">
      <c r="A29" s="16" t="s">
        <v>3639</v>
      </c>
      <c r="B29" s="32" t="s">
        <v>309</v>
      </c>
      <c r="C29" s="32" t="s">
        <v>264</v>
      </c>
      <c r="D29" s="66" t="s">
        <v>253</v>
      </c>
      <c r="E29" s="66" t="s">
        <v>254</v>
      </c>
      <c r="F29" s="66" t="s">
        <v>255</v>
      </c>
      <c r="G29" s="32">
        <v>0</v>
      </c>
      <c r="H29" s="32">
        <v>0</v>
      </c>
      <c r="I29" s="84">
        <v>1E-3</v>
      </c>
      <c r="J29" s="32">
        <v>6.2452062554404791E-8</v>
      </c>
      <c r="K29" s="32">
        <v>4.1191806129936558E-9</v>
      </c>
    </row>
    <row r="30" spans="1:11" x14ac:dyDescent="0.25">
      <c r="A30" s="16" t="s">
        <v>3640</v>
      </c>
      <c r="B30" s="32" t="s">
        <v>251</v>
      </c>
      <c r="C30" s="32" t="s">
        <v>252</v>
      </c>
      <c r="D30" s="66" t="s">
        <v>253</v>
      </c>
      <c r="E30" s="66" t="s">
        <v>254</v>
      </c>
      <c r="F30" s="66" t="s">
        <v>255</v>
      </c>
      <c r="G30" s="32">
        <v>0</v>
      </c>
      <c r="H30" s="32">
        <v>0</v>
      </c>
      <c r="I30" s="84">
        <v>2364.8951150000003</v>
      </c>
      <c r="J30" s="32">
        <v>0.14769257765658633</v>
      </c>
      <c r="K30" s="32">
        <v>9.741430109471403E-3</v>
      </c>
    </row>
    <row r="31" spans="1:11" x14ac:dyDescent="0.25">
      <c r="A31" s="16" t="s">
        <v>3667</v>
      </c>
      <c r="B31" s="32" t="s">
        <v>258</v>
      </c>
      <c r="C31" s="32" t="s">
        <v>252</v>
      </c>
      <c r="D31" s="66" t="s">
        <v>253</v>
      </c>
      <c r="E31" s="66" t="s">
        <v>254</v>
      </c>
      <c r="F31" s="66" t="s">
        <v>255</v>
      </c>
      <c r="G31" s="32">
        <v>0</v>
      </c>
      <c r="H31" s="32">
        <v>0</v>
      </c>
      <c r="I31" s="84">
        <v>27.746500000000001</v>
      </c>
      <c r="J31" s="32">
        <v>1.7328261536657926E-3</v>
      </c>
      <c r="K31" s="32">
        <v>1.1429284487842847E-4</v>
      </c>
    </row>
    <row r="32" spans="1:11" x14ac:dyDescent="0.25">
      <c r="A32" s="16" t="s">
        <v>3641</v>
      </c>
      <c r="B32" s="32" t="s">
        <v>265</v>
      </c>
      <c r="C32" s="32" t="s">
        <v>252</v>
      </c>
      <c r="D32" s="66" t="s">
        <v>253</v>
      </c>
      <c r="E32" s="66" t="s">
        <v>254</v>
      </c>
      <c r="F32" s="66" t="s">
        <v>255</v>
      </c>
      <c r="G32" s="32">
        <v>0</v>
      </c>
      <c r="H32" s="32">
        <v>0</v>
      </c>
      <c r="I32" s="84">
        <v>-6.0794100000000002</v>
      </c>
      <c r="J32" s="32">
        <v>-3.7967169361387406E-4</v>
      </c>
      <c r="K32" s="32">
        <v>-2.5042187810439762E-5</v>
      </c>
    </row>
    <row r="33" spans="1:11" x14ac:dyDescent="0.25">
      <c r="A33" s="16" t="s">
        <v>3640</v>
      </c>
      <c r="B33" s="32" t="s">
        <v>269</v>
      </c>
      <c r="C33" s="32" t="s">
        <v>252</v>
      </c>
      <c r="D33" s="66" t="s">
        <v>253</v>
      </c>
      <c r="E33" s="66" t="s">
        <v>254</v>
      </c>
      <c r="F33" s="66" t="s">
        <v>255</v>
      </c>
      <c r="G33" s="32">
        <v>0</v>
      </c>
      <c r="H33" s="32">
        <v>0</v>
      </c>
      <c r="I33" s="84">
        <v>112.75369000000001</v>
      </c>
      <c r="J33" s="32">
        <v>7.0417005011199664E-3</v>
      </c>
      <c r="K33" s="32">
        <v>4.6445281389149664E-4</v>
      </c>
    </row>
    <row r="34" spans="1:11" x14ac:dyDescent="0.25">
      <c r="A34" s="16" t="s">
        <v>3640</v>
      </c>
      <c r="B34" s="32" t="s">
        <v>271</v>
      </c>
      <c r="C34" s="32" t="s">
        <v>252</v>
      </c>
      <c r="D34" s="66" t="s">
        <v>253</v>
      </c>
      <c r="E34" s="66" t="s">
        <v>254</v>
      </c>
      <c r="F34" s="66" t="s">
        <v>255</v>
      </c>
      <c r="G34" s="32">
        <v>0</v>
      </c>
      <c r="H34" s="32">
        <v>0</v>
      </c>
      <c r="I34" s="84">
        <v>43.012540000000001</v>
      </c>
      <c r="J34" s="32">
        <v>2.6862218387038385E-3</v>
      </c>
      <c r="K34" s="32">
        <v>1.7717642088361415E-4</v>
      </c>
    </row>
    <row r="35" spans="1:11" x14ac:dyDescent="0.25">
      <c r="A35" s="16" t="s">
        <v>3640</v>
      </c>
      <c r="B35" s="32" t="s">
        <v>272</v>
      </c>
      <c r="C35" s="32" t="s">
        <v>252</v>
      </c>
      <c r="D35" s="66" t="s">
        <v>253</v>
      </c>
      <c r="E35" s="66" t="s">
        <v>254</v>
      </c>
      <c r="F35" s="66" t="s">
        <v>255</v>
      </c>
      <c r="G35" s="32">
        <v>0</v>
      </c>
      <c r="H35" s="32">
        <v>0</v>
      </c>
      <c r="I35" s="84">
        <v>1.88646</v>
      </c>
      <c r="J35" s="32">
        <v>1.1781331792638248E-4</v>
      </c>
      <c r="K35" s="32">
        <v>7.7706694591880111E-6</v>
      </c>
    </row>
    <row r="36" spans="1:11" x14ac:dyDescent="0.25">
      <c r="A36" s="16" t="s">
        <v>3640</v>
      </c>
      <c r="B36" s="32" t="s">
        <v>273</v>
      </c>
      <c r="C36" s="32" t="s">
        <v>252</v>
      </c>
      <c r="D36" s="66" t="s">
        <v>253</v>
      </c>
      <c r="E36" s="66" t="s">
        <v>254</v>
      </c>
      <c r="F36" s="66" t="s">
        <v>255</v>
      </c>
      <c r="G36" s="32">
        <v>0</v>
      </c>
      <c r="H36" s="32">
        <v>0</v>
      </c>
      <c r="I36" s="84">
        <v>1.8932599999999999</v>
      </c>
      <c r="J36" s="32">
        <v>1.1823799195175243E-4</v>
      </c>
      <c r="K36" s="32">
        <v>7.7986798873563687E-6</v>
      </c>
    </row>
    <row r="37" spans="1:11" x14ac:dyDescent="0.25">
      <c r="A37" s="16" t="s">
        <v>3640</v>
      </c>
      <c r="B37" s="32" t="s">
        <v>274</v>
      </c>
      <c r="C37" s="32" t="s">
        <v>252</v>
      </c>
      <c r="D37" s="66" t="s">
        <v>253</v>
      </c>
      <c r="E37" s="66" t="s">
        <v>254</v>
      </c>
      <c r="F37" s="66" t="s">
        <v>255</v>
      </c>
      <c r="G37" s="32">
        <v>0</v>
      </c>
      <c r="H37" s="32">
        <v>0</v>
      </c>
      <c r="I37" s="84">
        <v>3.3904699999999997</v>
      </c>
      <c r="J37" s="32">
        <v>2.1174184452883282E-4</v>
      </c>
      <c r="K37" s="32">
        <v>1.3965958292936599E-5</v>
      </c>
    </row>
    <row r="38" spans="1:11" x14ac:dyDescent="0.25">
      <c r="A38" s="16" t="s">
        <v>3640</v>
      </c>
      <c r="B38" s="32" t="s">
        <v>277</v>
      </c>
      <c r="C38" s="32" t="s">
        <v>252</v>
      </c>
      <c r="D38" s="66" t="s">
        <v>253</v>
      </c>
      <c r="E38" s="66" t="s">
        <v>254</v>
      </c>
      <c r="F38" s="66" t="s">
        <v>255</v>
      </c>
      <c r="G38" s="32">
        <v>0</v>
      </c>
      <c r="H38" s="32">
        <v>0</v>
      </c>
      <c r="I38" s="84">
        <v>2.3510000000000003E-2</v>
      </c>
      <c r="J38" s="32">
        <v>1.4682479906540568E-6</v>
      </c>
      <c r="K38" s="32">
        <v>9.6841936211480854E-8</v>
      </c>
    </row>
    <row r="39" spans="1:11" x14ac:dyDescent="0.25">
      <c r="A39" s="16" t="s">
        <v>3641</v>
      </c>
      <c r="B39" s="32" t="s">
        <v>278</v>
      </c>
      <c r="C39" s="32" t="s">
        <v>252</v>
      </c>
      <c r="D39" s="66" t="s">
        <v>253</v>
      </c>
      <c r="E39" s="66" t="s">
        <v>254</v>
      </c>
      <c r="F39" s="66" t="s">
        <v>255</v>
      </c>
      <c r="G39" s="32">
        <v>0</v>
      </c>
      <c r="H39" s="32">
        <v>0</v>
      </c>
      <c r="I39" s="84">
        <v>0.48170999999999997</v>
      </c>
      <c r="J39" s="32">
        <v>3.0083783053082333E-5</v>
      </c>
      <c r="K39" s="32">
        <v>1.9842504930851739E-6</v>
      </c>
    </row>
    <row r="40" spans="1:11" x14ac:dyDescent="0.25">
      <c r="A40" s="16" t="s">
        <v>3641</v>
      </c>
      <c r="B40" s="32" t="s">
        <v>279</v>
      </c>
      <c r="C40" s="32" t="s">
        <v>252</v>
      </c>
      <c r="D40" s="66" t="s">
        <v>253</v>
      </c>
      <c r="E40" s="66" t="s">
        <v>254</v>
      </c>
      <c r="F40" s="66" t="s">
        <v>255</v>
      </c>
      <c r="G40" s="32">
        <v>0</v>
      </c>
      <c r="H40" s="32">
        <v>0</v>
      </c>
      <c r="I40" s="84">
        <v>0.11627999999999999</v>
      </c>
      <c r="J40" s="32">
        <v>7.2619258338261899E-6</v>
      </c>
      <c r="K40" s="32">
        <v>4.7897832167890222E-7</v>
      </c>
    </row>
    <row r="41" spans="1:11" x14ac:dyDescent="0.25">
      <c r="A41" s="16" t="s">
        <v>3641</v>
      </c>
      <c r="B41" s="32" t="s">
        <v>280</v>
      </c>
      <c r="C41" s="32" t="s">
        <v>252</v>
      </c>
      <c r="D41" s="66" t="s">
        <v>253</v>
      </c>
      <c r="E41" s="66" t="s">
        <v>254</v>
      </c>
      <c r="F41" s="66" t="s">
        <v>255</v>
      </c>
      <c r="G41" s="32">
        <v>0</v>
      </c>
      <c r="H41" s="32">
        <v>0</v>
      </c>
      <c r="I41" s="84">
        <v>19.57516</v>
      </c>
      <c r="J41" s="32">
        <v>1.2225091168324826E-3</v>
      </c>
      <c r="K41" s="32">
        <v>8.063361956824889E-5</v>
      </c>
    </row>
    <row r="42" spans="1:11" x14ac:dyDescent="0.25">
      <c r="A42" s="16" t="s">
        <v>3641</v>
      </c>
      <c r="B42" s="32" t="s">
        <v>281</v>
      </c>
      <c r="C42" s="32" t="s">
        <v>252</v>
      </c>
      <c r="D42" s="66" t="s">
        <v>253</v>
      </c>
      <c r="E42" s="66" t="s">
        <v>254</v>
      </c>
      <c r="F42" s="66" t="s">
        <v>255</v>
      </c>
      <c r="G42" s="32">
        <v>0</v>
      </c>
      <c r="H42" s="32">
        <v>0</v>
      </c>
      <c r="I42" s="84">
        <v>0</v>
      </c>
      <c r="J42" s="32">
        <v>0</v>
      </c>
      <c r="K42" s="32">
        <v>0</v>
      </c>
    </row>
    <row r="43" spans="1:11" x14ac:dyDescent="0.25">
      <c r="A43" s="16" t="s">
        <v>3641</v>
      </c>
      <c r="B43" s="32" t="s">
        <v>282</v>
      </c>
      <c r="C43" s="32" t="s">
        <v>252</v>
      </c>
      <c r="D43" s="66" t="s">
        <v>253</v>
      </c>
      <c r="E43" s="66" t="s">
        <v>254</v>
      </c>
      <c r="F43" s="66" t="s">
        <v>255</v>
      </c>
      <c r="G43" s="32">
        <v>0</v>
      </c>
      <c r="H43" s="32">
        <v>0</v>
      </c>
      <c r="I43" s="84">
        <v>11.39367</v>
      </c>
      <c r="J43" s="32">
        <v>7.1155819156424531E-4</v>
      </c>
      <c r="K43" s="32">
        <v>4.6932584574847429E-5</v>
      </c>
    </row>
    <row r="44" spans="1:11" x14ac:dyDescent="0.25">
      <c r="A44" s="16" t="s">
        <v>3640</v>
      </c>
      <c r="B44" s="32" t="s">
        <v>305</v>
      </c>
      <c r="C44" s="32" t="s">
        <v>252</v>
      </c>
      <c r="D44" s="66" t="s">
        <v>253</v>
      </c>
      <c r="E44" s="66" t="s">
        <v>254</v>
      </c>
      <c r="F44" s="66" t="s">
        <v>255</v>
      </c>
      <c r="G44" s="32">
        <v>0</v>
      </c>
      <c r="H44" s="32">
        <v>0</v>
      </c>
      <c r="I44" s="84">
        <v>3.6187199999999997</v>
      </c>
      <c r="J44" s="32">
        <v>2.2599652780687572E-4</v>
      </c>
      <c r="K44" s="32">
        <v>1.49061612678524E-5</v>
      </c>
    </row>
    <row r="45" spans="1:11" x14ac:dyDescent="0.25">
      <c r="A45" s="16" t="s">
        <v>3641</v>
      </c>
      <c r="B45" s="32" t="s">
        <v>308</v>
      </c>
      <c r="C45" s="32" t="s">
        <v>252</v>
      </c>
      <c r="D45" s="66" t="s">
        <v>253</v>
      </c>
      <c r="E45" s="66" t="s">
        <v>254</v>
      </c>
      <c r="F45" s="66" t="s">
        <v>255</v>
      </c>
      <c r="G45" s="32">
        <v>0</v>
      </c>
      <c r="H45" s="32">
        <v>0</v>
      </c>
      <c r="I45" s="84">
        <v>0.37256</v>
      </c>
      <c r="J45" s="32">
        <v>2.3267140425269052E-5</v>
      </c>
      <c r="K45" s="32">
        <v>1.5346419291769164E-6</v>
      </c>
    </row>
    <row r="46" spans="1:11" x14ac:dyDescent="0.25">
      <c r="A46" s="16" t="s">
        <v>3642</v>
      </c>
      <c r="B46" s="32" t="s">
        <v>283</v>
      </c>
      <c r="C46" s="32" t="s">
        <v>284</v>
      </c>
      <c r="D46" s="66" t="s">
        <v>253</v>
      </c>
      <c r="E46" s="66" t="s">
        <v>254</v>
      </c>
      <c r="F46" s="66" t="s">
        <v>255</v>
      </c>
      <c r="G46" s="32">
        <v>0</v>
      </c>
      <c r="H46" s="32">
        <v>0</v>
      </c>
      <c r="I46" s="84">
        <v>5.7540000000000001E-2</v>
      </c>
      <c r="J46" s="32">
        <v>3.593491679380452E-6</v>
      </c>
      <c r="K46" s="32">
        <v>2.3701765247165496E-7</v>
      </c>
    </row>
    <row r="47" spans="1:11" x14ac:dyDescent="0.25">
      <c r="A47" s="16" t="s">
        <v>3642</v>
      </c>
      <c r="B47" s="32" t="s">
        <v>291</v>
      </c>
      <c r="C47" s="32" t="s">
        <v>284</v>
      </c>
      <c r="D47" s="66" t="s">
        <v>253</v>
      </c>
      <c r="E47" s="66" t="s">
        <v>254</v>
      </c>
      <c r="F47" s="66" t="s">
        <v>255</v>
      </c>
      <c r="G47" s="32">
        <v>0</v>
      </c>
      <c r="H47" s="32">
        <v>0</v>
      </c>
      <c r="I47" s="84">
        <v>1.8852200000000001</v>
      </c>
      <c r="J47" s="32">
        <v>1.1773587736881501E-4</v>
      </c>
      <c r="K47" s="32">
        <v>7.7655616752279E-6</v>
      </c>
    </row>
    <row r="48" spans="1:11" x14ac:dyDescent="0.25">
      <c r="A48" s="16" t="s">
        <v>3642</v>
      </c>
      <c r="B48" s="32" t="s">
        <v>293</v>
      </c>
      <c r="C48" s="32" t="s">
        <v>284</v>
      </c>
      <c r="D48" s="66" t="s">
        <v>253</v>
      </c>
      <c r="E48" s="66" t="s">
        <v>254</v>
      </c>
      <c r="F48" s="66" t="s">
        <v>255</v>
      </c>
      <c r="G48" s="32">
        <v>0</v>
      </c>
      <c r="H48" s="32">
        <v>0</v>
      </c>
      <c r="I48" s="84">
        <v>2.674E-2</v>
      </c>
      <c r="J48" s="32">
        <v>1.6699681527047841E-6</v>
      </c>
      <c r="K48" s="32">
        <v>1.1014688959145036E-7</v>
      </c>
    </row>
    <row r="49" spans="1:11" x14ac:dyDescent="0.25">
      <c r="A49" s="16" t="s">
        <v>3642</v>
      </c>
      <c r="B49" s="32" t="s">
        <v>295</v>
      </c>
      <c r="C49" s="32" t="s">
        <v>284</v>
      </c>
      <c r="D49" s="66" t="s">
        <v>253</v>
      </c>
      <c r="E49" s="66" t="s">
        <v>254</v>
      </c>
      <c r="F49" s="66" t="s">
        <v>255</v>
      </c>
      <c r="G49" s="32">
        <v>0</v>
      </c>
      <c r="H49" s="32">
        <v>0</v>
      </c>
      <c r="I49" s="84">
        <v>0.10271</v>
      </c>
      <c r="J49" s="32">
        <v>6.4144513449629162E-6</v>
      </c>
      <c r="K49" s="32">
        <v>4.2308104076057837E-7</v>
      </c>
    </row>
    <row r="50" spans="1:11" x14ac:dyDescent="0.25">
      <c r="A50" s="16" t="s">
        <v>3615</v>
      </c>
      <c r="B50" s="32" t="s">
        <v>259</v>
      </c>
      <c r="C50" s="32" t="s">
        <v>260</v>
      </c>
      <c r="D50" s="66" t="s">
        <v>261</v>
      </c>
      <c r="E50" s="66" t="s">
        <v>262</v>
      </c>
      <c r="F50" s="66" t="s">
        <v>255</v>
      </c>
      <c r="G50" s="32">
        <v>0</v>
      </c>
      <c r="H50" s="32">
        <v>0</v>
      </c>
      <c r="I50" s="84">
        <v>48.180839999999996</v>
      </c>
      <c r="J50" s="32">
        <v>3.0089928336037683E-3</v>
      </c>
      <c r="K50" s="32">
        <v>1.9846558204574924E-4</v>
      </c>
    </row>
    <row r="51" spans="1:11" x14ac:dyDescent="0.25">
      <c r="A51" s="16" t="s">
        <v>3615</v>
      </c>
      <c r="B51" s="32" t="s">
        <v>296</v>
      </c>
      <c r="C51" s="32" t="s">
        <v>260</v>
      </c>
      <c r="D51" s="66" t="s">
        <v>261</v>
      </c>
      <c r="E51" s="66" t="s">
        <v>262</v>
      </c>
      <c r="F51" s="66" t="s">
        <v>255</v>
      </c>
      <c r="G51" s="32">
        <v>0</v>
      </c>
      <c r="H51" s="32">
        <v>0</v>
      </c>
      <c r="I51" s="84">
        <v>25.760939999999998</v>
      </c>
      <c r="J51" s="32">
        <v>1.6088238363402686E-3</v>
      </c>
      <c r="K51" s="32">
        <v>1.0611396462049278E-4</v>
      </c>
    </row>
    <row r="52" spans="1:11" x14ac:dyDescent="0.25">
      <c r="A52" s="16" t="s">
        <v>3615</v>
      </c>
      <c r="B52" s="32" t="s">
        <v>297</v>
      </c>
      <c r="C52" s="32" t="s">
        <v>260</v>
      </c>
      <c r="D52" s="66" t="s">
        <v>261</v>
      </c>
      <c r="E52" s="66" t="s">
        <v>262</v>
      </c>
      <c r="F52" s="66" t="s">
        <v>255</v>
      </c>
      <c r="G52" s="32">
        <v>0</v>
      </c>
      <c r="H52" s="32">
        <v>0</v>
      </c>
      <c r="I52" s="84">
        <v>2.0600000000000002E-3</v>
      </c>
      <c r="J52" s="32">
        <v>1.2865124886207387E-7</v>
      </c>
      <c r="K52" s="32">
        <v>8.485512062766932E-9</v>
      </c>
    </row>
    <row r="53" spans="1:11" x14ac:dyDescent="0.25">
      <c r="A53" s="16" t="s">
        <v>3615</v>
      </c>
      <c r="B53" s="32" t="s">
        <v>298</v>
      </c>
      <c r="C53" s="32" t="s">
        <v>260</v>
      </c>
      <c r="D53" s="66" t="s">
        <v>261</v>
      </c>
      <c r="E53" s="66" t="s">
        <v>262</v>
      </c>
      <c r="F53" s="66" t="s">
        <v>255</v>
      </c>
      <c r="G53" s="32">
        <v>0</v>
      </c>
      <c r="H53" s="32">
        <v>0</v>
      </c>
      <c r="I53" s="84">
        <v>4.4350000000000001E-2</v>
      </c>
      <c r="J53" s="32">
        <v>2.7697489742878526E-6</v>
      </c>
      <c r="K53" s="32">
        <v>1.8268566018626864E-7</v>
      </c>
    </row>
    <row r="54" spans="1:11" x14ac:dyDescent="0.25">
      <c r="A54" s="16" t="s">
        <v>3615</v>
      </c>
      <c r="B54" s="32" t="s">
        <v>299</v>
      </c>
      <c r="C54" s="32" t="s">
        <v>260</v>
      </c>
      <c r="D54" s="66" t="s">
        <v>261</v>
      </c>
      <c r="E54" s="66" t="s">
        <v>262</v>
      </c>
      <c r="F54" s="66" t="s">
        <v>255</v>
      </c>
      <c r="G54" s="32">
        <v>0</v>
      </c>
      <c r="H54" s="32">
        <v>0</v>
      </c>
      <c r="I54" s="84">
        <v>0.30357000000000001</v>
      </c>
      <c r="J54" s="32">
        <v>1.8958572629640662E-5</v>
      </c>
      <c r="K54" s="32">
        <v>1.2504596586864841E-6</v>
      </c>
    </row>
    <row r="55" spans="1:11" x14ac:dyDescent="0.25">
      <c r="A55" s="16" t="s">
        <v>3615</v>
      </c>
      <c r="B55" s="32" t="s">
        <v>300</v>
      </c>
      <c r="C55" s="32" t="s">
        <v>260</v>
      </c>
      <c r="D55" s="66" t="s">
        <v>261</v>
      </c>
      <c r="E55" s="66" t="s">
        <v>262</v>
      </c>
      <c r="F55" s="66" t="s">
        <v>255</v>
      </c>
      <c r="G55" s="32">
        <v>0</v>
      </c>
      <c r="H55" s="32">
        <v>0</v>
      </c>
      <c r="I55" s="84">
        <v>0.13220999999999999</v>
      </c>
      <c r="J55" s="32">
        <v>8.2567871903178591E-6</v>
      </c>
      <c r="K55" s="32">
        <v>5.4459686884389121E-7</v>
      </c>
    </row>
    <row r="56" spans="1:11" x14ac:dyDescent="0.25">
      <c r="A56" s="16" t="s">
        <v>3615</v>
      </c>
      <c r="B56" s="32" t="s">
        <v>301</v>
      </c>
      <c r="C56" s="32" t="s">
        <v>260</v>
      </c>
      <c r="D56" s="66" t="s">
        <v>261</v>
      </c>
      <c r="E56" s="66" t="s">
        <v>262</v>
      </c>
      <c r="F56" s="66" t="s">
        <v>255</v>
      </c>
      <c r="G56" s="32">
        <v>0</v>
      </c>
      <c r="H56" s="32">
        <v>0</v>
      </c>
      <c r="I56" s="84">
        <v>8.0000000000000004E-4</v>
      </c>
      <c r="J56" s="32">
        <v>4.9961650043523837E-8</v>
      </c>
      <c r="K56" s="32">
        <v>3.2953444903949248E-9</v>
      </c>
    </row>
    <row r="57" spans="1:11" x14ac:dyDescent="0.25">
      <c r="A57" s="16" t="s">
        <v>3616</v>
      </c>
      <c r="B57" s="32" t="s">
        <v>304</v>
      </c>
      <c r="C57" s="32" t="s">
        <v>260</v>
      </c>
      <c r="D57" s="66" t="s">
        <v>261</v>
      </c>
      <c r="E57" s="66" t="s">
        <v>262</v>
      </c>
      <c r="F57" s="66" t="s">
        <v>255</v>
      </c>
      <c r="G57" s="32">
        <v>0</v>
      </c>
      <c r="H57" s="32">
        <v>0</v>
      </c>
      <c r="I57" s="84">
        <v>10.302530000000001</v>
      </c>
      <c r="J57" s="32">
        <v>6.4341424802863206E-4</v>
      </c>
      <c r="K57" s="32">
        <v>4.2437981840785534E-5</v>
      </c>
    </row>
    <row r="58" spans="1:11" s="119" customFormat="1" x14ac:dyDescent="0.25">
      <c r="A58" s="92" t="s">
        <v>310</v>
      </c>
      <c r="B58" s="121" t="s">
        <v>249</v>
      </c>
      <c r="C58" s="121" t="s">
        <v>249</v>
      </c>
      <c r="D58" s="122" t="s">
        <v>249</v>
      </c>
      <c r="E58" s="122" t="s">
        <v>249</v>
      </c>
      <c r="F58" s="122" t="s">
        <v>249</v>
      </c>
      <c r="G58" s="121" t="s">
        <v>249</v>
      </c>
      <c r="H58" s="121" t="s">
        <v>249</v>
      </c>
      <c r="I58" s="124">
        <v>3415.4082901000002</v>
      </c>
      <c r="J58" s="121">
        <v>0.21329929218215793</v>
      </c>
      <c r="K58" s="121">
        <v>1.4068683614037732E-2</v>
      </c>
    </row>
    <row r="59" spans="1:11" x14ac:dyDescent="0.25">
      <c r="A59" s="16" t="s">
        <v>3617</v>
      </c>
      <c r="B59" s="32" t="s">
        <v>346</v>
      </c>
      <c r="C59" s="32" t="s">
        <v>268</v>
      </c>
      <c r="D59" s="66" t="s">
        <v>253</v>
      </c>
      <c r="E59" s="66" t="s">
        <v>254</v>
      </c>
      <c r="F59" s="66" t="s">
        <v>125</v>
      </c>
      <c r="G59" s="32">
        <v>0</v>
      </c>
      <c r="H59" s="32">
        <v>0</v>
      </c>
      <c r="I59" s="84">
        <v>1.3622400000000001</v>
      </c>
      <c r="J59" s="32">
        <v>8.5074697694112383E-5</v>
      </c>
      <c r="K59" s="32">
        <v>5.6113125982444784E-6</v>
      </c>
    </row>
    <row r="60" spans="1:11" x14ac:dyDescent="0.25">
      <c r="A60" s="16" t="s">
        <v>3617</v>
      </c>
      <c r="B60" s="32" t="s">
        <v>351</v>
      </c>
      <c r="C60" s="32" t="s">
        <v>268</v>
      </c>
      <c r="D60" s="66" t="s">
        <v>253</v>
      </c>
      <c r="E60" s="66" t="s">
        <v>254</v>
      </c>
      <c r="F60" s="66" t="s">
        <v>125</v>
      </c>
      <c r="G60" s="32">
        <v>0</v>
      </c>
      <c r="H60" s="32">
        <v>0</v>
      </c>
      <c r="I60" s="84">
        <v>8.8451000000000004</v>
      </c>
      <c r="J60" s="32">
        <v>5.5239473849996582E-4</v>
      </c>
      <c r="K60" s="32">
        <v>3.6434564439990187E-5</v>
      </c>
    </row>
    <row r="61" spans="1:11" x14ac:dyDescent="0.25">
      <c r="A61" s="16" t="s">
        <v>3668</v>
      </c>
      <c r="B61" s="32" t="s">
        <v>352</v>
      </c>
      <c r="C61" s="32" t="s">
        <v>268</v>
      </c>
      <c r="D61" s="66" t="s">
        <v>253</v>
      </c>
      <c r="E61" s="66" t="s">
        <v>254</v>
      </c>
      <c r="F61" s="66" t="s">
        <v>125</v>
      </c>
      <c r="G61" s="32">
        <v>0</v>
      </c>
      <c r="H61" s="32">
        <v>0</v>
      </c>
      <c r="I61" s="84">
        <v>4.7920000000000004E-2</v>
      </c>
      <c r="J61" s="32">
        <v>2.992702837607078E-6</v>
      </c>
      <c r="K61" s="32">
        <v>1.9739113497465599E-7</v>
      </c>
    </row>
    <row r="62" spans="1:11" x14ac:dyDescent="0.25">
      <c r="A62" s="16" t="s">
        <v>3617</v>
      </c>
      <c r="B62" s="32" t="s">
        <v>353</v>
      </c>
      <c r="C62" s="32" t="s">
        <v>268</v>
      </c>
      <c r="D62" s="66" t="s">
        <v>253</v>
      </c>
      <c r="E62" s="66" t="s">
        <v>254</v>
      </c>
      <c r="F62" s="66" t="s">
        <v>125</v>
      </c>
      <c r="G62" s="32">
        <v>0</v>
      </c>
      <c r="H62" s="32">
        <v>0</v>
      </c>
      <c r="I62" s="84">
        <v>16.422220000000003</v>
      </c>
      <c r="J62" s="32">
        <v>1.0256015107221975E-3</v>
      </c>
      <c r="K62" s="32">
        <v>6.7646090246316682E-5</v>
      </c>
    </row>
    <row r="63" spans="1:11" x14ac:dyDescent="0.25">
      <c r="A63" s="16" t="s">
        <v>3643</v>
      </c>
      <c r="B63" s="32" t="s">
        <v>367</v>
      </c>
      <c r="C63" s="32" t="s">
        <v>268</v>
      </c>
      <c r="D63" s="66" t="s">
        <v>253</v>
      </c>
      <c r="E63" s="66" t="s">
        <v>254</v>
      </c>
      <c r="F63" s="66" t="s">
        <v>125</v>
      </c>
      <c r="G63" s="32">
        <v>0</v>
      </c>
      <c r="H63" s="32">
        <v>0</v>
      </c>
      <c r="I63" s="84">
        <v>-24.466099999999997</v>
      </c>
      <c r="J63" s="32">
        <v>-1.527958407662323E-3</v>
      </c>
      <c r="K63" s="32">
        <v>-1.0078028479556407E-4</v>
      </c>
    </row>
    <row r="64" spans="1:11" x14ac:dyDescent="0.25">
      <c r="A64" s="16" t="s">
        <v>3669</v>
      </c>
      <c r="B64" s="32" t="s">
        <v>312</v>
      </c>
      <c r="C64" s="32" t="s">
        <v>257</v>
      </c>
      <c r="D64" s="66" t="s">
        <v>253</v>
      </c>
      <c r="E64" s="66" t="s">
        <v>254</v>
      </c>
      <c r="F64" s="66" t="s">
        <v>125</v>
      </c>
      <c r="G64" s="32">
        <v>0</v>
      </c>
      <c r="H64" s="32">
        <v>0</v>
      </c>
      <c r="I64" s="84">
        <v>1185.9966200000001</v>
      </c>
      <c r="J64" s="32">
        <v>7.4067935101552657E-2</v>
      </c>
      <c r="K64" s="32">
        <v>4.885334284180004E-3</v>
      </c>
    </row>
    <row r="65" spans="1:11" x14ac:dyDescent="0.25">
      <c r="A65" s="16" t="s">
        <v>3628</v>
      </c>
      <c r="B65" s="32" t="s">
        <v>316</v>
      </c>
      <c r="C65" s="32" t="s">
        <v>257</v>
      </c>
      <c r="D65" s="66" t="s">
        <v>253</v>
      </c>
      <c r="E65" s="66" t="s">
        <v>254</v>
      </c>
      <c r="F65" s="66" t="s">
        <v>126</v>
      </c>
      <c r="G65" s="32">
        <v>0</v>
      </c>
      <c r="H65" s="32">
        <v>0</v>
      </c>
      <c r="I65" s="84">
        <v>9.0450000000000003E-2</v>
      </c>
      <c r="J65" s="32">
        <v>5.6487890580459142E-6</v>
      </c>
      <c r="K65" s="32">
        <v>3.725798864452762E-7</v>
      </c>
    </row>
    <row r="66" spans="1:11" x14ac:dyDescent="0.25">
      <c r="A66" s="16" t="s">
        <v>3629</v>
      </c>
      <c r="B66" s="32" t="s">
        <v>318</v>
      </c>
      <c r="C66" s="32" t="s">
        <v>257</v>
      </c>
      <c r="D66" s="66" t="s">
        <v>253</v>
      </c>
      <c r="E66" s="66" t="s">
        <v>254</v>
      </c>
      <c r="F66" s="66" t="s">
        <v>126</v>
      </c>
      <c r="G66" s="32">
        <v>0</v>
      </c>
      <c r="H66" s="32">
        <v>0</v>
      </c>
      <c r="I66" s="84">
        <v>73.561139999999995</v>
      </c>
      <c r="J66" s="32">
        <v>4.5940449168533288E-3</v>
      </c>
      <c r="K66" s="32">
        <v>3.030116217577121E-4</v>
      </c>
    </row>
    <row r="67" spans="1:11" x14ac:dyDescent="0.25">
      <c r="A67" s="16" t="s">
        <v>3670</v>
      </c>
      <c r="B67" s="32" t="s">
        <v>321</v>
      </c>
      <c r="C67" s="32" t="s">
        <v>257</v>
      </c>
      <c r="D67" s="66" t="s">
        <v>253</v>
      </c>
      <c r="E67" s="66" t="s">
        <v>254</v>
      </c>
      <c r="F67" s="66" t="s">
        <v>126</v>
      </c>
      <c r="G67" s="32">
        <v>0</v>
      </c>
      <c r="H67" s="32">
        <v>0</v>
      </c>
      <c r="I67" s="84">
        <v>29.749310000000001</v>
      </c>
      <c r="J67" s="32">
        <v>1.8579057690703803E-3</v>
      </c>
      <c r="K67" s="32">
        <v>1.2254278100193829E-4</v>
      </c>
    </row>
    <row r="68" spans="1:11" x14ac:dyDescent="0.25">
      <c r="A68" s="16" t="s">
        <v>3671</v>
      </c>
      <c r="B68" s="32" t="s">
        <v>325</v>
      </c>
      <c r="C68" s="32" t="s">
        <v>257</v>
      </c>
      <c r="D68" s="66" t="s">
        <v>253</v>
      </c>
      <c r="E68" s="66" t="s">
        <v>254</v>
      </c>
      <c r="F68" s="66" t="s">
        <v>2</v>
      </c>
      <c r="G68" s="32">
        <v>0</v>
      </c>
      <c r="H68" s="32">
        <v>0</v>
      </c>
      <c r="I68" s="84">
        <v>2.8329999999999998E-2</v>
      </c>
      <c r="J68" s="32">
        <v>1.7692669321662877E-6</v>
      </c>
      <c r="K68" s="32">
        <v>1.1669638676611025E-7</v>
      </c>
    </row>
    <row r="69" spans="1:11" x14ac:dyDescent="0.25">
      <c r="A69" s="16" t="s">
        <v>3672</v>
      </c>
      <c r="B69" s="32" t="s">
        <v>326</v>
      </c>
      <c r="C69" s="32" t="s">
        <v>257</v>
      </c>
      <c r="D69" s="66" t="s">
        <v>253</v>
      </c>
      <c r="E69" s="66" t="s">
        <v>254</v>
      </c>
      <c r="F69" s="66" t="s">
        <v>2</v>
      </c>
      <c r="G69" s="32">
        <v>0</v>
      </c>
      <c r="H69" s="32">
        <v>0</v>
      </c>
      <c r="I69" s="84">
        <v>1.5624100000000001</v>
      </c>
      <c r="J69" s="32">
        <v>9.7575727055627603E-5</v>
      </c>
      <c r="K69" s="32">
        <v>6.4358489815474179E-6</v>
      </c>
    </row>
    <row r="70" spans="1:11" x14ac:dyDescent="0.25">
      <c r="A70" s="16" t="s">
        <v>3630</v>
      </c>
      <c r="B70" s="32" t="s">
        <v>331</v>
      </c>
      <c r="C70" s="32" t="s">
        <v>257</v>
      </c>
      <c r="D70" s="66" t="s">
        <v>253</v>
      </c>
      <c r="E70" s="66" t="s">
        <v>254</v>
      </c>
      <c r="F70" s="66" t="s">
        <v>125</v>
      </c>
      <c r="G70" s="32">
        <v>0</v>
      </c>
      <c r="H70" s="32">
        <v>0</v>
      </c>
      <c r="I70" s="84">
        <v>11.65992</v>
      </c>
      <c r="J70" s="32">
        <v>7.281860532193556E-4</v>
      </c>
      <c r="K70" s="32">
        <v>4.8029316413056987E-5</v>
      </c>
    </row>
    <row r="71" spans="1:11" x14ac:dyDescent="0.25">
      <c r="A71" s="16" t="s">
        <v>3630</v>
      </c>
      <c r="B71" s="32" t="s">
        <v>334</v>
      </c>
      <c r="C71" s="32" t="s">
        <v>257</v>
      </c>
      <c r="D71" s="66" t="s">
        <v>253</v>
      </c>
      <c r="E71" s="66" t="s">
        <v>254</v>
      </c>
      <c r="F71" s="66" t="s">
        <v>125</v>
      </c>
      <c r="G71" s="32">
        <v>0</v>
      </c>
      <c r="H71" s="32">
        <v>0</v>
      </c>
      <c r="I71" s="84">
        <v>4.0760399999999999</v>
      </c>
      <c r="J71" s="32">
        <v>2.5455710505425613E-4</v>
      </c>
      <c r="K71" s="32">
        <v>1.6789944945786659E-5</v>
      </c>
    </row>
    <row r="72" spans="1:11" x14ac:dyDescent="0.25">
      <c r="A72" s="16" t="s">
        <v>3630</v>
      </c>
      <c r="B72" s="32" t="s">
        <v>335</v>
      </c>
      <c r="C72" s="32" t="s">
        <v>257</v>
      </c>
      <c r="D72" s="66" t="s">
        <v>253</v>
      </c>
      <c r="E72" s="66" t="s">
        <v>254</v>
      </c>
      <c r="F72" s="66" t="s">
        <v>125</v>
      </c>
      <c r="G72" s="32">
        <v>0</v>
      </c>
      <c r="H72" s="32">
        <v>0</v>
      </c>
      <c r="I72" s="84">
        <v>0.60192999999999997</v>
      </c>
      <c r="J72" s="32">
        <v>3.7591770013372874E-5</v>
      </c>
      <c r="K72" s="32">
        <v>2.479458386379271E-6</v>
      </c>
    </row>
    <row r="73" spans="1:11" x14ac:dyDescent="0.25">
      <c r="A73" s="16" t="s">
        <v>3631</v>
      </c>
      <c r="B73" s="32" t="s">
        <v>342</v>
      </c>
      <c r="C73" s="32" t="s">
        <v>257</v>
      </c>
      <c r="D73" s="66" t="s">
        <v>253</v>
      </c>
      <c r="E73" s="66" t="s">
        <v>254</v>
      </c>
      <c r="F73" s="66" t="s">
        <v>125</v>
      </c>
      <c r="G73" s="32">
        <v>0</v>
      </c>
      <c r="H73" s="32">
        <v>0</v>
      </c>
      <c r="I73" s="84">
        <v>-1.124E-2</v>
      </c>
      <c r="J73" s="32">
        <v>-7.019611831115099E-7</v>
      </c>
      <c r="K73" s="32">
        <v>-4.6299590090048687E-8</v>
      </c>
    </row>
    <row r="74" spans="1:11" x14ac:dyDescent="0.25">
      <c r="A74" s="16" t="s">
        <v>3631</v>
      </c>
      <c r="B74" s="32" t="s">
        <v>343</v>
      </c>
      <c r="C74" s="32" t="s">
        <v>257</v>
      </c>
      <c r="D74" s="66" t="s">
        <v>253</v>
      </c>
      <c r="E74" s="66" t="s">
        <v>254</v>
      </c>
      <c r="F74" s="66" t="s">
        <v>125</v>
      </c>
      <c r="G74" s="32">
        <v>0</v>
      </c>
      <c r="H74" s="32">
        <v>0</v>
      </c>
      <c r="I74" s="84">
        <v>97.835309999999993</v>
      </c>
      <c r="J74" s="32">
        <v>6.1100169001495844E-3</v>
      </c>
      <c r="K74" s="32">
        <v>4.0300131221822431E-4</v>
      </c>
    </row>
    <row r="75" spans="1:11" x14ac:dyDescent="0.25">
      <c r="A75" s="16" t="s">
        <v>3644</v>
      </c>
      <c r="B75" s="32" t="s">
        <v>348</v>
      </c>
      <c r="C75" s="32" t="s">
        <v>257</v>
      </c>
      <c r="D75" s="66" t="s">
        <v>253</v>
      </c>
      <c r="E75" s="66" t="s">
        <v>254</v>
      </c>
      <c r="F75" s="66" t="s">
        <v>125</v>
      </c>
      <c r="G75" s="32">
        <v>0</v>
      </c>
      <c r="H75" s="32">
        <v>0</v>
      </c>
      <c r="I75" s="84">
        <v>16.585930000000001</v>
      </c>
      <c r="J75" s="32">
        <v>1.0358255378829792E-3</v>
      </c>
      <c r="K75" s="32">
        <v>6.8320441304469865E-5</v>
      </c>
    </row>
    <row r="76" spans="1:11" x14ac:dyDescent="0.25">
      <c r="A76" s="16" t="s">
        <v>3644</v>
      </c>
      <c r="B76" s="32" t="s">
        <v>349</v>
      </c>
      <c r="C76" s="32" t="s">
        <v>257</v>
      </c>
      <c r="D76" s="66" t="s">
        <v>253</v>
      </c>
      <c r="E76" s="66" t="s">
        <v>254</v>
      </c>
      <c r="F76" s="66" t="s">
        <v>125</v>
      </c>
      <c r="G76" s="32">
        <v>0</v>
      </c>
      <c r="H76" s="32">
        <v>0</v>
      </c>
      <c r="I76" s="84">
        <v>5.9234399999999994</v>
      </c>
      <c r="J76" s="32">
        <v>3.6993104541726353E-4</v>
      </c>
      <c r="K76" s="32">
        <v>2.4399719210231136E-5</v>
      </c>
    </row>
    <row r="77" spans="1:11" x14ac:dyDescent="0.25">
      <c r="A77" s="16" t="s">
        <v>3644</v>
      </c>
      <c r="B77" s="32" t="s">
        <v>350</v>
      </c>
      <c r="C77" s="32" t="s">
        <v>257</v>
      </c>
      <c r="D77" s="66" t="s">
        <v>253</v>
      </c>
      <c r="E77" s="66" t="s">
        <v>254</v>
      </c>
      <c r="F77" s="66" t="s">
        <v>125</v>
      </c>
      <c r="G77" s="32">
        <v>0</v>
      </c>
      <c r="H77" s="32">
        <v>0</v>
      </c>
      <c r="I77" s="84">
        <v>4.8164700000000007</v>
      </c>
      <c r="J77" s="32">
        <v>3.0079848573141409E-4</v>
      </c>
      <c r="K77" s="32">
        <v>1.9839909847065556E-5</v>
      </c>
    </row>
    <row r="78" spans="1:11" x14ac:dyDescent="0.25">
      <c r="A78" s="16" t="s">
        <v>3630</v>
      </c>
      <c r="B78" s="32" t="s">
        <v>369</v>
      </c>
      <c r="C78" s="32" t="s">
        <v>257</v>
      </c>
      <c r="D78" s="66" t="s">
        <v>253</v>
      </c>
      <c r="E78" s="66" t="s">
        <v>254</v>
      </c>
      <c r="F78" s="66" t="s">
        <v>125</v>
      </c>
      <c r="G78" s="32">
        <v>0</v>
      </c>
      <c r="H78" s="32">
        <v>0</v>
      </c>
      <c r="I78" s="84">
        <v>149.48286999999999</v>
      </c>
      <c r="J78" s="32">
        <v>9.3355135480519599E-3</v>
      </c>
      <c r="K78" s="32">
        <v>6.1574694007865091E-4</v>
      </c>
    </row>
    <row r="79" spans="1:11" x14ac:dyDescent="0.25">
      <c r="A79" s="16" t="s">
        <v>3645</v>
      </c>
      <c r="B79" s="32" t="s">
        <v>364</v>
      </c>
      <c r="C79" s="32" t="s">
        <v>264</v>
      </c>
      <c r="D79" s="66" t="s">
        <v>253</v>
      </c>
      <c r="E79" s="66" t="s">
        <v>254</v>
      </c>
      <c r="F79" s="66" t="s">
        <v>125</v>
      </c>
      <c r="G79" s="32">
        <v>0</v>
      </c>
      <c r="H79" s="32">
        <v>0</v>
      </c>
      <c r="I79" s="84">
        <v>1.58E-3</v>
      </c>
      <c r="J79" s="32">
        <v>9.8674258835959577E-8</v>
      </c>
      <c r="K79" s="32">
        <v>6.5083053685299765E-9</v>
      </c>
    </row>
    <row r="80" spans="1:11" x14ac:dyDescent="0.25">
      <c r="A80" s="16" t="s">
        <v>3646</v>
      </c>
      <c r="B80" s="32" t="s">
        <v>311</v>
      </c>
      <c r="C80" s="32" t="s">
        <v>252</v>
      </c>
      <c r="D80" s="66" t="s">
        <v>253</v>
      </c>
      <c r="E80" s="66" t="s">
        <v>254</v>
      </c>
      <c r="F80" s="66" t="s">
        <v>125</v>
      </c>
      <c r="G80" s="32">
        <v>0</v>
      </c>
      <c r="H80" s="32">
        <v>0</v>
      </c>
      <c r="I80" s="84">
        <v>933.01210000000003</v>
      </c>
      <c r="J80" s="32">
        <v>5.8268530033216581E-2</v>
      </c>
      <c r="K80" s="32">
        <v>3.8432453540084982E-3</v>
      </c>
    </row>
    <row r="81" spans="1:11" x14ac:dyDescent="0.25">
      <c r="A81" s="16" t="s">
        <v>3673</v>
      </c>
      <c r="B81" s="32" t="s">
        <v>315</v>
      </c>
      <c r="C81" s="32" t="s">
        <v>252</v>
      </c>
      <c r="D81" s="66" t="s">
        <v>253</v>
      </c>
      <c r="E81" s="66" t="s">
        <v>254</v>
      </c>
      <c r="F81" s="66" t="s">
        <v>126</v>
      </c>
      <c r="G81" s="32">
        <v>0</v>
      </c>
      <c r="H81" s="32">
        <v>0</v>
      </c>
      <c r="I81" s="84">
        <v>0.57723000000000002</v>
      </c>
      <c r="J81" s="32">
        <v>3.604920406827908E-5</v>
      </c>
      <c r="K81" s="32">
        <v>2.3777146252383281E-6</v>
      </c>
    </row>
    <row r="82" spans="1:11" x14ac:dyDescent="0.25">
      <c r="A82" s="16" t="s">
        <v>3673</v>
      </c>
      <c r="B82" s="32" t="s">
        <v>317</v>
      </c>
      <c r="C82" s="32" t="s">
        <v>252</v>
      </c>
      <c r="D82" s="66" t="s">
        <v>253</v>
      </c>
      <c r="E82" s="66" t="s">
        <v>254</v>
      </c>
      <c r="F82" s="66" t="s">
        <v>126</v>
      </c>
      <c r="G82" s="32">
        <v>0</v>
      </c>
      <c r="H82" s="32">
        <v>0</v>
      </c>
      <c r="I82" s="84">
        <v>3.5920000000000001E-2</v>
      </c>
      <c r="J82" s="32">
        <v>2.2432780869542204E-6</v>
      </c>
      <c r="K82" s="32">
        <v>1.4796096761873213E-7</v>
      </c>
    </row>
    <row r="83" spans="1:11" x14ac:dyDescent="0.25">
      <c r="A83" s="16" t="s">
        <v>3674</v>
      </c>
      <c r="B83" s="32" t="s">
        <v>322</v>
      </c>
      <c r="C83" s="32" t="s">
        <v>252</v>
      </c>
      <c r="D83" s="66" t="s">
        <v>253</v>
      </c>
      <c r="E83" s="66" t="s">
        <v>254</v>
      </c>
      <c r="F83" s="66" t="s">
        <v>2</v>
      </c>
      <c r="G83" s="32">
        <v>0</v>
      </c>
      <c r="H83" s="32">
        <v>0</v>
      </c>
      <c r="I83" s="84">
        <v>7.1290000000000006E-2</v>
      </c>
      <c r="J83" s="32">
        <v>4.4522075395035186E-6</v>
      </c>
      <c r="K83" s="32">
        <v>2.9365638590031774E-7</v>
      </c>
    </row>
    <row r="84" spans="1:11" x14ac:dyDescent="0.25">
      <c r="A84" s="16" t="s">
        <v>3674</v>
      </c>
      <c r="B84" s="32" t="s">
        <v>323</v>
      </c>
      <c r="C84" s="32" t="s">
        <v>252</v>
      </c>
      <c r="D84" s="66" t="s">
        <v>253</v>
      </c>
      <c r="E84" s="66" t="s">
        <v>254</v>
      </c>
      <c r="F84" s="66" t="s">
        <v>2</v>
      </c>
      <c r="G84" s="32">
        <v>0</v>
      </c>
      <c r="H84" s="32">
        <v>0</v>
      </c>
      <c r="I84" s="84">
        <v>4.4599999999999996E-3</v>
      </c>
      <c r="J84" s="32">
        <v>2.7853619899264541E-7</v>
      </c>
      <c r="K84" s="32">
        <v>1.8371545533951704E-8</v>
      </c>
    </row>
    <row r="85" spans="1:11" x14ac:dyDescent="0.25">
      <c r="A85" s="16" t="s">
        <v>3674</v>
      </c>
      <c r="B85" s="32" t="s">
        <v>324</v>
      </c>
      <c r="C85" s="32" t="s">
        <v>252</v>
      </c>
      <c r="D85" s="66" t="s">
        <v>253</v>
      </c>
      <c r="E85" s="66" t="s">
        <v>254</v>
      </c>
      <c r="F85" s="66" t="s">
        <v>2</v>
      </c>
      <c r="G85" s="32">
        <v>0</v>
      </c>
      <c r="H85" s="32">
        <v>0</v>
      </c>
      <c r="I85" s="84">
        <v>0.25274000000000002</v>
      </c>
      <c r="J85" s="32">
        <v>1.5784134290000269E-5</v>
      </c>
      <c r="K85" s="32">
        <v>1.0410817081280165E-6</v>
      </c>
    </row>
    <row r="86" spans="1:11" x14ac:dyDescent="0.25">
      <c r="A86" s="16" t="s">
        <v>3646</v>
      </c>
      <c r="B86" s="32" t="s">
        <v>330</v>
      </c>
      <c r="C86" s="32" t="s">
        <v>252</v>
      </c>
      <c r="D86" s="66" t="s">
        <v>253</v>
      </c>
      <c r="E86" s="66" t="s">
        <v>254</v>
      </c>
      <c r="F86" s="66" t="s">
        <v>125</v>
      </c>
      <c r="G86" s="32">
        <v>0</v>
      </c>
      <c r="H86" s="32">
        <v>0</v>
      </c>
      <c r="I86" s="84">
        <v>94.924139999999994</v>
      </c>
      <c r="J86" s="32">
        <v>5.9282083292030779E-3</v>
      </c>
      <c r="K86" s="32">
        <v>3.910096771930956E-4</v>
      </c>
    </row>
    <row r="87" spans="1:11" x14ac:dyDescent="0.25">
      <c r="A87" s="16" t="s">
        <v>3646</v>
      </c>
      <c r="B87" s="32" t="s">
        <v>332</v>
      </c>
      <c r="C87" s="32" t="s">
        <v>252</v>
      </c>
      <c r="D87" s="66" t="s">
        <v>253</v>
      </c>
      <c r="E87" s="66" t="s">
        <v>254</v>
      </c>
      <c r="F87" s="66" t="s">
        <v>125</v>
      </c>
      <c r="G87" s="32">
        <v>0</v>
      </c>
      <c r="H87" s="32">
        <v>0</v>
      </c>
      <c r="I87" s="84">
        <v>8.9012799999999999</v>
      </c>
      <c r="J87" s="32">
        <v>5.559032953742723E-4</v>
      </c>
      <c r="K87" s="32">
        <v>3.6665980006828166E-5</v>
      </c>
    </row>
    <row r="88" spans="1:11" x14ac:dyDescent="0.25">
      <c r="A88" s="16" t="s">
        <v>3646</v>
      </c>
      <c r="B88" s="32" t="s">
        <v>333</v>
      </c>
      <c r="C88" s="32" t="s">
        <v>252</v>
      </c>
      <c r="D88" s="66" t="s">
        <v>253</v>
      </c>
      <c r="E88" s="66" t="s">
        <v>254</v>
      </c>
      <c r="F88" s="66" t="s">
        <v>125</v>
      </c>
      <c r="G88" s="32">
        <v>0</v>
      </c>
      <c r="H88" s="32">
        <v>0</v>
      </c>
      <c r="I88" s="84">
        <v>1.2930000000000001E-2</v>
      </c>
      <c r="J88" s="32">
        <v>8.0750516882845402E-7</v>
      </c>
      <c r="K88" s="32">
        <v>5.3261005326007968E-8</v>
      </c>
    </row>
    <row r="89" spans="1:11" x14ac:dyDescent="0.25">
      <c r="A89" s="16" t="s">
        <v>3646</v>
      </c>
      <c r="B89" s="32" t="s">
        <v>336</v>
      </c>
      <c r="C89" s="32" t="s">
        <v>252</v>
      </c>
      <c r="D89" s="66" t="s">
        <v>253</v>
      </c>
      <c r="E89" s="66" t="s">
        <v>254</v>
      </c>
      <c r="F89" s="66" t="s">
        <v>125</v>
      </c>
      <c r="G89" s="32">
        <v>0</v>
      </c>
      <c r="H89" s="32">
        <v>0</v>
      </c>
      <c r="I89" s="84">
        <v>3.7240900000000003</v>
      </c>
      <c r="J89" s="32">
        <v>2.3257710163823337E-4</v>
      </c>
      <c r="K89" s="32">
        <v>1.5340199329043545E-5</v>
      </c>
    </row>
    <row r="90" spans="1:11" x14ac:dyDescent="0.25">
      <c r="A90" s="16" t="s">
        <v>3646</v>
      </c>
      <c r="B90" s="32" t="s">
        <v>337</v>
      </c>
      <c r="C90" s="32" t="s">
        <v>252</v>
      </c>
      <c r="D90" s="66" t="s">
        <v>253</v>
      </c>
      <c r="E90" s="66" t="s">
        <v>254</v>
      </c>
      <c r="F90" s="66" t="s">
        <v>125</v>
      </c>
      <c r="G90" s="32">
        <v>0</v>
      </c>
      <c r="H90" s="32">
        <v>0</v>
      </c>
      <c r="I90" s="84">
        <v>4.2663500000000001</v>
      </c>
      <c r="J90" s="32">
        <v>2.6644235707898491E-4</v>
      </c>
      <c r="K90" s="32">
        <v>1.7573866208245484E-5</v>
      </c>
    </row>
    <row r="91" spans="1:11" x14ac:dyDescent="0.25">
      <c r="A91" s="16" t="s">
        <v>3647</v>
      </c>
      <c r="B91" s="32" t="s">
        <v>338</v>
      </c>
      <c r="C91" s="32" t="s">
        <v>252</v>
      </c>
      <c r="D91" s="66" t="s">
        <v>253</v>
      </c>
      <c r="E91" s="66" t="s">
        <v>254</v>
      </c>
      <c r="F91" s="66" t="s">
        <v>125</v>
      </c>
      <c r="G91" s="32">
        <v>0</v>
      </c>
      <c r="H91" s="32">
        <v>0</v>
      </c>
      <c r="I91" s="84">
        <v>3.9164899999999996</v>
      </c>
      <c r="J91" s="32">
        <v>2.4459287847370081E-4</v>
      </c>
      <c r="K91" s="32">
        <v>1.613272967898352E-5</v>
      </c>
    </row>
    <row r="92" spans="1:11" x14ac:dyDescent="0.25">
      <c r="A92" s="16" t="s">
        <v>3647</v>
      </c>
      <c r="B92" s="32" t="s">
        <v>339</v>
      </c>
      <c r="C92" s="32" t="s">
        <v>252</v>
      </c>
      <c r="D92" s="66" t="s">
        <v>253</v>
      </c>
      <c r="E92" s="66" t="s">
        <v>254</v>
      </c>
      <c r="F92" s="66" t="s">
        <v>125</v>
      </c>
      <c r="G92" s="32">
        <v>0</v>
      </c>
      <c r="H92" s="32">
        <v>0</v>
      </c>
      <c r="I92" s="84">
        <v>8.7899999999999992E-3</v>
      </c>
      <c r="J92" s="32">
        <v>5.4895362985321807E-7</v>
      </c>
      <c r="K92" s="32">
        <v>3.6207597588214231E-8</v>
      </c>
    </row>
    <row r="93" spans="1:11" x14ac:dyDescent="0.25">
      <c r="A93" s="16" t="s">
        <v>3647</v>
      </c>
      <c r="B93" s="32" t="s">
        <v>340</v>
      </c>
      <c r="C93" s="32" t="s">
        <v>252</v>
      </c>
      <c r="D93" s="66" t="s">
        <v>253</v>
      </c>
      <c r="E93" s="66" t="s">
        <v>254</v>
      </c>
      <c r="F93" s="66" t="s">
        <v>125</v>
      </c>
      <c r="G93" s="32">
        <v>0</v>
      </c>
      <c r="H93" s="32">
        <v>0</v>
      </c>
      <c r="I93" s="84">
        <v>1.506E-2</v>
      </c>
      <c r="J93" s="32">
        <v>9.4052806206933629E-7</v>
      </c>
      <c r="K93" s="32">
        <v>6.2034860031684453E-8</v>
      </c>
    </row>
    <row r="94" spans="1:11" x14ac:dyDescent="0.25">
      <c r="A94" s="16" t="s">
        <v>3647</v>
      </c>
      <c r="B94" s="32" t="s">
        <v>341</v>
      </c>
      <c r="C94" s="32" t="s">
        <v>252</v>
      </c>
      <c r="D94" s="66" t="s">
        <v>253</v>
      </c>
      <c r="E94" s="66" t="s">
        <v>254</v>
      </c>
      <c r="F94" s="66" t="s">
        <v>125</v>
      </c>
      <c r="G94" s="32">
        <v>0</v>
      </c>
      <c r="H94" s="32">
        <v>0</v>
      </c>
      <c r="I94" s="84">
        <v>-7.1540000000000006E-2</v>
      </c>
      <c r="J94" s="32">
        <v>-4.4678205551421194E-6</v>
      </c>
      <c r="K94" s="32">
        <v>-2.9468618105356617E-7</v>
      </c>
    </row>
    <row r="95" spans="1:11" x14ac:dyDescent="0.25">
      <c r="A95" s="16" t="s">
        <v>3646</v>
      </c>
      <c r="B95" s="32" t="s">
        <v>344</v>
      </c>
      <c r="C95" s="32" t="s">
        <v>252</v>
      </c>
      <c r="D95" s="66" t="s">
        <v>253</v>
      </c>
      <c r="E95" s="66" t="s">
        <v>254</v>
      </c>
      <c r="F95" s="66" t="s">
        <v>125</v>
      </c>
      <c r="G95" s="32">
        <v>0</v>
      </c>
      <c r="H95" s="32">
        <v>0</v>
      </c>
      <c r="I95" s="84">
        <v>1.07E-3</v>
      </c>
      <c r="J95" s="32">
        <v>6.6823706933213132E-8</v>
      </c>
      <c r="K95" s="32">
        <v>4.4075232559032116E-9</v>
      </c>
    </row>
    <row r="96" spans="1:11" x14ac:dyDescent="0.25">
      <c r="A96" s="16" t="s">
        <v>3646</v>
      </c>
      <c r="B96" s="32" t="s">
        <v>345</v>
      </c>
      <c r="C96" s="32" t="s">
        <v>252</v>
      </c>
      <c r="D96" s="66" t="s">
        <v>253</v>
      </c>
      <c r="E96" s="66" t="s">
        <v>254</v>
      </c>
      <c r="F96" s="66" t="s">
        <v>125</v>
      </c>
      <c r="G96" s="32">
        <v>0</v>
      </c>
      <c r="H96" s="32">
        <v>0</v>
      </c>
      <c r="I96" s="84">
        <v>1.51004</v>
      </c>
      <c r="J96" s="32">
        <v>9.4305112539653417E-5</v>
      </c>
      <c r="K96" s="32">
        <v>6.2201274928449401E-6</v>
      </c>
    </row>
    <row r="97" spans="1:11" x14ac:dyDescent="0.25">
      <c r="A97" s="16" t="s">
        <v>3647</v>
      </c>
      <c r="B97" s="32" t="s">
        <v>355</v>
      </c>
      <c r="C97" s="32" t="s">
        <v>252</v>
      </c>
      <c r="D97" s="66" t="s">
        <v>253</v>
      </c>
      <c r="E97" s="66" t="s">
        <v>254</v>
      </c>
      <c r="F97" s="66" t="s">
        <v>125</v>
      </c>
      <c r="G97" s="32">
        <v>0</v>
      </c>
      <c r="H97" s="32">
        <v>0</v>
      </c>
      <c r="I97" s="84">
        <v>0.21587999999999999</v>
      </c>
      <c r="J97" s="32">
        <v>1.3482151264244907E-5</v>
      </c>
      <c r="K97" s="32">
        <v>8.8924871073307036E-7</v>
      </c>
    </row>
    <row r="98" spans="1:11" x14ac:dyDescent="0.25">
      <c r="A98" s="16" t="s">
        <v>3647</v>
      </c>
      <c r="B98" s="32" t="s">
        <v>356</v>
      </c>
      <c r="C98" s="32" t="s">
        <v>252</v>
      </c>
      <c r="D98" s="66" t="s">
        <v>253</v>
      </c>
      <c r="E98" s="66" t="s">
        <v>254</v>
      </c>
      <c r="F98" s="66" t="s">
        <v>125</v>
      </c>
      <c r="G98" s="32">
        <v>0</v>
      </c>
      <c r="H98" s="32">
        <v>0</v>
      </c>
      <c r="I98" s="84">
        <v>-10.06128</v>
      </c>
      <c r="J98" s="32">
        <v>-6.2834768793738189E-4</v>
      </c>
      <c r="K98" s="32">
        <v>-4.1444229517900811E-5</v>
      </c>
    </row>
    <row r="99" spans="1:11" x14ac:dyDescent="0.25">
      <c r="A99" s="16" t="s">
        <v>3646</v>
      </c>
      <c r="B99" s="32" t="s">
        <v>368</v>
      </c>
      <c r="C99" s="32" t="s">
        <v>252</v>
      </c>
      <c r="D99" s="66" t="s">
        <v>253</v>
      </c>
      <c r="E99" s="66" t="s">
        <v>254</v>
      </c>
      <c r="F99" s="66" t="s">
        <v>125</v>
      </c>
      <c r="G99" s="32">
        <v>0</v>
      </c>
      <c r="H99" s="32">
        <v>0</v>
      </c>
      <c r="I99" s="84">
        <v>114.22708</v>
      </c>
      <c r="J99" s="32">
        <v>7.1337167455670014E-3</v>
      </c>
      <c r="K99" s="32">
        <v>4.7052197341487535E-4</v>
      </c>
    </row>
    <row r="100" spans="1:11" x14ac:dyDescent="0.25">
      <c r="A100" s="16" t="s">
        <v>3647</v>
      </c>
      <c r="B100" s="32" t="s">
        <v>371</v>
      </c>
      <c r="C100" s="32" t="s">
        <v>252</v>
      </c>
      <c r="D100" s="66" t="s">
        <v>253</v>
      </c>
      <c r="E100" s="66" t="s">
        <v>254</v>
      </c>
      <c r="F100" s="66" t="s">
        <v>125</v>
      </c>
      <c r="G100" s="32">
        <v>0</v>
      </c>
      <c r="H100" s="32">
        <v>0</v>
      </c>
      <c r="I100" s="84">
        <v>7.0860000000000006E-2</v>
      </c>
      <c r="J100" s="32">
        <v>4.4253531526051241E-6</v>
      </c>
      <c r="K100" s="32">
        <v>2.9188513823673046E-7</v>
      </c>
    </row>
    <row r="101" spans="1:11" x14ac:dyDescent="0.25">
      <c r="A101" s="16" t="s">
        <v>3648</v>
      </c>
      <c r="B101" s="32" t="s">
        <v>347</v>
      </c>
      <c r="C101" s="32" t="s">
        <v>284</v>
      </c>
      <c r="D101" s="66" t="s">
        <v>253</v>
      </c>
      <c r="E101" s="66" t="s">
        <v>254</v>
      </c>
      <c r="F101" s="66" t="s">
        <v>125</v>
      </c>
      <c r="G101" s="32">
        <v>0</v>
      </c>
      <c r="H101" s="32">
        <v>0</v>
      </c>
      <c r="I101" s="84">
        <v>8.4600000000000005E-3</v>
      </c>
      <c r="J101" s="32">
        <v>5.2834444921026457E-7</v>
      </c>
      <c r="K101" s="32">
        <v>3.4848267985926331E-8</v>
      </c>
    </row>
    <row r="102" spans="1:11" x14ac:dyDescent="0.25">
      <c r="A102" s="16" t="s">
        <v>3648</v>
      </c>
      <c r="B102" s="32" t="s">
        <v>354</v>
      </c>
      <c r="C102" s="32" t="s">
        <v>284</v>
      </c>
      <c r="D102" s="66" t="s">
        <v>253</v>
      </c>
      <c r="E102" s="66" t="s">
        <v>254</v>
      </c>
      <c r="F102" s="66" t="s">
        <v>125</v>
      </c>
      <c r="G102" s="32">
        <v>0</v>
      </c>
      <c r="H102" s="32">
        <v>0</v>
      </c>
      <c r="I102" s="84">
        <v>0.83867999999999998</v>
      </c>
      <c r="J102" s="32">
        <v>5.2377295823128211E-5</v>
      </c>
      <c r="K102" s="32">
        <v>3.454674396505519E-6</v>
      </c>
    </row>
    <row r="103" spans="1:11" x14ac:dyDescent="0.25">
      <c r="A103" s="16" t="s">
        <v>3622</v>
      </c>
      <c r="B103" s="32" t="s">
        <v>313</v>
      </c>
      <c r="C103" s="32" t="s">
        <v>260</v>
      </c>
      <c r="D103" s="66" t="s">
        <v>261</v>
      </c>
      <c r="E103" s="66" t="s">
        <v>262</v>
      </c>
      <c r="F103" s="66" t="s">
        <v>125</v>
      </c>
      <c r="G103" s="32">
        <v>0</v>
      </c>
      <c r="H103" s="32">
        <v>0</v>
      </c>
      <c r="I103" s="84">
        <v>545.76349000000005</v>
      </c>
      <c r="J103" s="32">
        <v>3.4084055617390273E-2</v>
      </c>
      <c r="K103" s="32">
        <v>2.248098387287757E-3</v>
      </c>
    </row>
    <row r="104" spans="1:11" x14ac:dyDescent="0.25">
      <c r="A104" s="16" t="s">
        <v>3621</v>
      </c>
      <c r="B104" s="32" t="s">
        <v>314</v>
      </c>
      <c r="C104" s="32" t="s">
        <v>260</v>
      </c>
      <c r="D104" s="66" t="s">
        <v>261</v>
      </c>
      <c r="E104" s="66" t="s">
        <v>262</v>
      </c>
      <c r="F104" s="66" t="s">
        <v>125</v>
      </c>
      <c r="G104" s="32">
        <v>0</v>
      </c>
      <c r="H104" s="32">
        <v>0</v>
      </c>
      <c r="I104" s="84">
        <v>16.017780000000002</v>
      </c>
      <c r="J104" s="32">
        <v>1.0003433985426942E-3</v>
      </c>
      <c r="K104" s="32">
        <v>6.5980128839197532E-5</v>
      </c>
    </row>
    <row r="105" spans="1:11" x14ac:dyDescent="0.25">
      <c r="A105" s="16" t="s">
        <v>3618</v>
      </c>
      <c r="B105" s="32" t="s">
        <v>319</v>
      </c>
      <c r="C105" s="32" t="s">
        <v>260</v>
      </c>
      <c r="D105" s="66" t="s">
        <v>261</v>
      </c>
      <c r="E105" s="66" t="s">
        <v>262</v>
      </c>
      <c r="F105" s="66" t="s">
        <v>126</v>
      </c>
      <c r="G105" s="32">
        <v>0</v>
      </c>
      <c r="H105" s="32">
        <v>0</v>
      </c>
      <c r="I105" s="84">
        <v>4.3859999999999996E-2</v>
      </c>
      <c r="J105" s="32">
        <v>2.7391474636361942E-6</v>
      </c>
      <c r="K105" s="32">
        <v>1.8066726168590172E-7</v>
      </c>
    </row>
    <row r="106" spans="1:11" x14ac:dyDescent="0.25">
      <c r="A106" s="16" t="s">
        <v>3618</v>
      </c>
      <c r="B106" s="32" t="s">
        <v>320</v>
      </c>
      <c r="C106" s="32" t="s">
        <v>260</v>
      </c>
      <c r="D106" s="66" t="s">
        <v>261</v>
      </c>
      <c r="E106" s="66" t="s">
        <v>262</v>
      </c>
      <c r="F106" s="66" t="s">
        <v>126</v>
      </c>
      <c r="G106" s="32">
        <v>0</v>
      </c>
      <c r="H106" s="32">
        <v>0</v>
      </c>
      <c r="I106" s="84">
        <v>0.38636999999999999</v>
      </c>
      <c r="J106" s="32">
        <v>2.4129603409145382E-5</v>
      </c>
      <c r="K106" s="32">
        <v>1.5915278134423586E-6</v>
      </c>
    </row>
    <row r="107" spans="1:11" x14ac:dyDescent="0.25">
      <c r="A107" s="16" t="s">
        <v>3619</v>
      </c>
      <c r="B107" s="32" t="s">
        <v>327</v>
      </c>
      <c r="C107" s="32" t="s">
        <v>260</v>
      </c>
      <c r="D107" s="66" t="s">
        <v>261</v>
      </c>
      <c r="E107" s="66" t="s">
        <v>262</v>
      </c>
      <c r="F107" s="66" t="s">
        <v>2</v>
      </c>
      <c r="G107" s="32">
        <v>0</v>
      </c>
      <c r="H107" s="32">
        <v>0</v>
      </c>
      <c r="I107" s="84">
        <v>6.7599999999999995E-3</v>
      </c>
      <c r="J107" s="32">
        <v>4.221759428677764E-7</v>
      </c>
      <c r="K107" s="32">
        <v>2.7845660943837111E-8</v>
      </c>
    </row>
    <row r="108" spans="1:11" x14ac:dyDescent="0.25">
      <c r="A108" s="16" t="s">
        <v>3619</v>
      </c>
      <c r="B108" s="32" t="s">
        <v>328</v>
      </c>
      <c r="C108" s="32" t="s">
        <v>260</v>
      </c>
      <c r="D108" s="66" t="s">
        <v>261</v>
      </c>
      <c r="E108" s="66" t="s">
        <v>262</v>
      </c>
      <c r="F108" s="66" t="s">
        <v>2</v>
      </c>
      <c r="G108" s="32">
        <v>0</v>
      </c>
      <c r="H108" s="32">
        <v>0</v>
      </c>
      <c r="I108" s="84">
        <v>51.157980000000002</v>
      </c>
      <c r="J108" s="32">
        <v>3.1949213671169895E-3</v>
      </c>
      <c r="K108" s="32">
        <v>2.1072895941591719E-4</v>
      </c>
    </row>
    <row r="109" spans="1:11" x14ac:dyDescent="0.25">
      <c r="A109" s="16" t="s">
        <v>3620</v>
      </c>
      <c r="B109" s="32" t="s">
        <v>329</v>
      </c>
      <c r="C109" s="32" t="s">
        <v>260</v>
      </c>
      <c r="D109" s="66" t="s">
        <v>261</v>
      </c>
      <c r="E109" s="66" t="s">
        <v>262</v>
      </c>
      <c r="F109" s="66" t="s">
        <v>126</v>
      </c>
      <c r="G109" s="32">
        <v>0</v>
      </c>
      <c r="H109" s="32">
        <v>0</v>
      </c>
      <c r="I109" s="84">
        <v>8.4222000000000001</v>
      </c>
      <c r="J109" s="32">
        <v>5.2598376124570812E-4</v>
      </c>
      <c r="K109" s="32">
        <v>3.4692562958755166E-5</v>
      </c>
    </row>
    <row r="110" spans="1:11" x14ac:dyDescent="0.25">
      <c r="A110" s="16" t="s">
        <v>3621</v>
      </c>
      <c r="B110" s="32" t="s">
        <v>357</v>
      </c>
      <c r="C110" s="32" t="s">
        <v>260</v>
      </c>
      <c r="D110" s="66" t="s">
        <v>261</v>
      </c>
      <c r="E110" s="66" t="s">
        <v>262</v>
      </c>
      <c r="F110" s="66" t="s">
        <v>125</v>
      </c>
      <c r="G110" s="32">
        <v>0</v>
      </c>
      <c r="H110" s="32">
        <v>0</v>
      </c>
      <c r="I110" s="84">
        <v>-0.12035999999999999</v>
      </c>
      <c r="J110" s="32">
        <v>-7.5167302490481609E-6</v>
      </c>
      <c r="K110" s="32">
        <v>-4.9578457857991639E-7</v>
      </c>
    </row>
    <row r="111" spans="1:11" x14ac:dyDescent="0.25">
      <c r="A111" s="16" t="s">
        <v>3622</v>
      </c>
      <c r="B111" s="32" t="s">
        <v>358</v>
      </c>
      <c r="C111" s="32" t="s">
        <v>260</v>
      </c>
      <c r="D111" s="66" t="s">
        <v>261</v>
      </c>
      <c r="E111" s="66" t="s">
        <v>262</v>
      </c>
      <c r="F111" s="66" t="s">
        <v>125</v>
      </c>
      <c r="G111" s="32">
        <v>0</v>
      </c>
      <c r="H111" s="32">
        <v>0</v>
      </c>
      <c r="I111" s="84">
        <v>4.4846700000000004</v>
      </c>
      <c r="J111" s="32">
        <v>2.8007689137586253E-4</v>
      </c>
      <c r="K111" s="32">
        <v>1.8473165719674258E-5</v>
      </c>
    </row>
    <row r="112" spans="1:11" x14ac:dyDescent="0.25">
      <c r="A112" s="16" t="s">
        <v>3622</v>
      </c>
      <c r="B112" s="32" t="s">
        <v>359</v>
      </c>
      <c r="C112" s="32" t="s">
        <v>260</v>
      </c>
      <c r="D112" s="66" t="s">
        <v>261</v>
      </c>
      <c r="E112" s="66" t="s">
        <v>262</v>
      </c>
      <c r="F112" s="66" t="s">
        <v>125</v>
      </c>
      <c r="G112" s="32">
        <v>0</v>
      </c>
      <c r="H112" s="32">
        <v>0</v>
      </c>
      <c r="I112" s="84">
        <v>3.2340000000000001E-2</v>
      </c>
      <c r="J112" s="32">
        <v>2.0196997030094514E-6</v>
      </c>
      <c r="K112" s="32">
        <v>1.3321430102421482E-7</v>
      </c>
    </row>
    <row r="113" spans="1:11" x14ac:dyDescent="0.25">
      <c r="A113" s="16" t="s">
        <v>3622</v>
      </c>
      <c r="B113" s="32" t="s">
        <v>360</v>
      </c>
      <c r="C113" s="32" t="s">
        <v>260</v>
      </c>
      <c r="D113" s="66" t="s">
        <v>261</v>
      </c>
      <c r="E113" s="66" t="s">
        <v>262</v>
      </c>
      <c r="F113" s="66" t="s">
        <v>125</v>
      </c>
      <c r="G113" s="32">
        <v>0</v>
      </c>
      <c r="H113" s="32">
        <v>0</v>
      </c>
      <c r="I113" s="84">
        <v>1.7972999999999999</v>
      </c>
      <c r="J113" s="32">
        <v>1.1224509202903174E-4</v>
      </c>
      <c r="K113" s="32">
        <v>7.4034033157334971E-6</v>
      </c>
    </row>
    <row r="114" spans="1:11" x14ac:dyDescent="0.25">
      <c r="A114" s="16" t="s">
        <v>3622</v>
      </c>
      <c r="B114" s="32" t="s">
        <v>361</v>
      </c>
      <c r="C114" s="32" t="s">
        <v>260</v>
      </c>
      <c r="D114" s="66" t="s">
        <v>261</v>
      </c>
      <c r="E114" s="66" t="s">
        <v>262</v>
      </c>
      <c r="F114" s="66" t="s">
        <v>125</v>
      </c>
      <c r="G114" s="32">
        <v>0</v>
      </c>
      <c r="H114" s="32">
        <v>0</v>
      </c>
      <c r="I114" s="84">
        <v>8.2560000000000008E-2</v>
      </c>
      <c r="J114" s="32">
        <v>5.1560422844916602E-6</v>
      </c>
      <c r="K114" s="32">
        <v>3.4007955140875626E-7</v>
      </c>
    </row>
    <row r="115" spans="1:11" x14ac:dyDescent="0.25">
      <c r="A115" s="16" t="s">
        <v>3622</v>
      </c>
      <c r="B115" s="32" t="s">
        <v>362</v>
      </c>
      <c r="C115" s="32" t="s">
        <v>260</v>
      </c>
      <c r="D115" s="66" t="s">
        <v>261</v>
      </c>
      <c r="E115" s="66" t="s">
        <v>262</v>
      </c>
      <c r="F115" s="66" t="s">
        <v>125</v>
      </c>
      <c r="G115" s="32">
        <v>0</v>
      </c>
      <c r="H115" s="32">
        <v>0</v>
      </c>
      <c r="I115" s="84">
        <v>0.34499000000000002</v>
      </c>
      <c r="J115" s="32">
        <v>2.154533706064411E-5</v>
      </c>
      <c r="K115" s="32">
        <v>1.4210761196766814E-6</v>
      </c>
    </row>
    <row r="116" spans="1:11" x14ac:dyDescent="0.25">
      <c r="A116" s="16" t="s">
        <v>3622</v>
      </c>
      <c r="B116" s="32" t="s">
        <v>363</v>
      </c>
      <c r="C116" s="32" t="s">
        <v>260</v>
      </c>
      <c r="D116" s="66" t="s">
        <v>261</v>
      </c>
      <c r="E116" s="66" t="s">
        <v>262</v>
      </c>
      <c r="F116" s="66" t="s">
        <v>125</v>
      </c>
      <c r="G116" s="32">
        <v>0</v>
      </c>
      <c r="H116" s="32">
        <v>0</v>
      </c>
      <c r="I116" s="84">
        <v>1.9330099999999999</v>
      </c>
      <c r="J116" s="32">
        <v>1.2072046143829001E-4</v>
      </c>
      <c r="K116" s="32">
        <v>7.9624173167228663E-6</v>
      </c>
    </row>
    <row r="117" spans="1:11" x14ac:dyDescent="0.25">
      <c r="A117" s="16" t="s">
        <v>3621</v>
      </c>
      <c r="B117" s="32" t="s">
        <v>365</v>
      </c>
      <c r="C117" s="32" t="s">
        <v>260</v>
      </c>
      <c r="D117" s="66" t="s">
        <v>261</v>
      </c>
      <c r="E117" s="66" t="s">
        <v>262</v>
      </c>
      <c r="F117" s="66" t="s">
        <v>125</v>
      </c>
      <c r="G117" s="32">
        <v>0</v>
      </c>
      <c r="H117" s="32">
        <v>0</v>
      </c>
      <c r="I117" s="84">
        <v>31.740220000000001</v>
      </c>
      <c r="J117" s="32">
        <v>1.9822422049305703E-3</v>
      </c>
      <c r="K117" s="32">
        <v>1.3074369887615349E-4</v>
      </c>
    </row>
    <row r="118" spans="1:11" x14ac:dyDescent="0.25">
      <c r="A118" s="16" t="s">
        <v>3621</v>
      </c>
      <c r="B118" s="32" t="s">
        <v>366</v>
      </c>
      <c r="C118" s="32" t="s">
        <v>260</v>
      </c>
      <c r="D118" s="66" t="s">
        <v>261</v>
      </c>
      <c r="E118" s="66" t="s">
        <v>262</v>
      </c>
      <c r="F118" s="66" t="s">
        <v>125</v>
      </c>
      <c r="G118" s="32">
        <v>0</v>
      </c>
      <c r="H118" s="32">
        <v>0</v>
      </c>
      <c r="I118" s="84">
        <v>-5.4920000000000004E-2</v>
      </c>
      <c r="J118" s="32">
        <v>-3.4298672754879113E-6</v>
      </c>
      <c r="K118" s="32">
        <v>-2.2622539926561158E-7</v>
      </c>
    </row>
    <row r="119" spans="1:11" x14ac:dyDescent="0.25">
      <c r="A119" s="16" t="s">
        <v>3621</v>
      </c>
      <c r="B119" s="32" t="s">
        <v>370</v>
      </c>
      <c r="C119" s="32" t="s">
        <v>260</v>
      </c>
      <c r="D119" s="66" t="s">
        <v>261</v>
      </c>
      <c r="E119" s="66" t="s">
        <v>262</v>
      </c>
      <c r="F119" s="66" t="s">
        <v>125</v>
      </c>
      <c r="G119" s="32">
        <v>0</v>
      </c>
      <c r="H119" s="32">
        <v>0</v>
      </c>
      <c r="I119" s="84">
        <v>-3.8249999999999999E-2</v>
      </c>
      <c r="J119" s="32">
        <v>-2.3887913927059833E-6</v>
      </c>
      <c r="K119" s="32">
        <v>-1.5755865844700734E-7</v>
      </c>
    </row>
    <row r="120" spans="1:11" x14ac:dyDescent="0.25">
      <c r="A120" s="16" t="s">
        <v>3621</v>
      </c>
      <c r="B120" s="32" t="s">
        <v>372</v>
      </c>
      <c r="C120" s="32" t="s">
        <v>260</v>
      </c>
      <c r="D120" s="66" t="s">
        <v>261</v>
      </c>
      <c r="E120" s="66" t="s">
        <v>262</v>
      </c>
      <c r="F120" s="66" t="s">
        <v>125</v>
      </c>
      <c r="G120" s="32">
        <v>0</v>
      </c>
      <c r="H120" s="32">
        <v>0</v>
      </c>
      <c r="I120" s="84">
        <v>4.4069999999999998E-2</v>
      </c>
      <c r="J120" s="32">
        <v>2.7522623967726193E-6</v>
      </c>
      <c r="K120" s="32">
        <v>1.815322896146304E-7</v>
      </c>
    </row>
    <row r="121" spans="1:11" x14ac:dyDescent="0.25">
      <c r="A121" s="16" t="s">
        <v>3621</v>
      </c>
      <c r="B121" s="32" t="s">
        <v>373</v>
      </c>
      <c r="C121" s="32" t="s">
        <v>260</v>
      </c>
      <c r="D121" s="66" t="s">
        <v>261</v>
      </c>
      <c r="E121" s="66" t="s">
        <v>262</v>
      </c>
      <c r="F121" s="66" t="s">
        <v>125</v>
      </c>
      <c r="G121" s="32">
        <v>0</v>
      </c>
      <c r="H121" s="32">
        <v>0</v>
      </c>
      <c r="I121" s="84">
        <v>12.73021</v>
      </c>
      <c r="J121" s="32">
        <v>7.950278712507094E-4</v>
      </c>
      <c r="K121" s="32">
        <v>5.2438034231337967E-5</v>
      </c>
    </row>
    <row r="122" spans="1:11" s="119" customFormat="1" x14ac:dyDescent="0.25">
      <c r="A122" s="92" t="s">
        <v>374</v>
      </c>
      <c r="B122" s="121" t="s">
        <v>249</v>
      </c>
      <c r="C122" s="121" t="s">
        <v>249</v>
      </c>
      <c r="D122" s="122" t="s">
        <v>249</v>
      </c>
      <c r="E122" s="122" t="s">
        <v>249</v>
      </c>
      <c r="F122" s="122" t="s">
        <v>249</v>
      </c>
      <c r="G122" s="121" t="s">
        <v>249</v>
      </c>
      <c r="H122" s="121" t="s">
        <v>249</v>
      </c>
      <c r="I122" s="124">
        <v>0</v>
      </c>
      <c r="J122" s="121">
        <v>0</v>
      </c>
      <c r="K122" s="121">
        <v>0</v>
      </c>
    </row>
    <row r="123" spans="1:11" s="119" customFormat="1" x14ac:dyDescent="0.25">
      <c r="A123" s="92" t="s">
        <v>375</v>
      </c>
      <c r="B123" s="121" t="s">
        <v>249</v>
      </c>
      <c r="C123" s="121" t="s">
        <v>249</v>
      </c>
      <c r="D123" s="122" t="s">
        <v>249</v>
      </c>
      <c r="E123" s="122" t="s">
        <v>249</v>
      </c>
      <c r="F123" s="122" t="s">
        <v>249</v>
      </c>
      <c r="G123" s="121" t="s">
        <v>249</v>
      </c>
      <c r="H123" s="121" t="s">
        <v>249</v>
      </c>
      <c r="I123" s="124">
        <v>0</v>
      </c>
      <c r="J123" s="121">
        <v>0</v>
      </c>
      <c r="K123" s="121">
        <v>0</v>
      </c>
    </row>
    <row r="124" spans="1:11" s="119" customFormat="1" x14ac:dyDescent="0.25">
      <c r="A124" s="92" t="s">
        <v>376</v>
      </c>
      <c r="B124" s="121" t="s">
        <v>249</v>
      </c>
      <c r="C124" s="121" t="s">
        <v>249</v>
      </c>
      <c r="D124" s="122" t="s">
        <v>249</v>
      </c>
      <c r="E124" s="122" t="s">
        <v>249</v>
      </c>
      <c r="F124" s="122" t="s">
        <v>249</v>
      </c>
      <c r="G124" s="121" t="s">
        <v>249</v>
      </c>
      <c r="H124" s="121" t="s">
        <v>249</v>
      </c>
      <c r="I124" s="124">
        <v>0</v>
      </c>
      <c r="J124" s="121">
        <v>0</v>
      </c>
      <c r="K124" s="121">
        <v>0</v>
      </c>
    </row>
    <row r="125" spans="1:11" s="119" customFormat="1" x14ac:dyDescent="0.25">
      <c r="A125" s="92" t="s">
        <v>377</v>
      </c>
      <c r="B125" s="121" t="s">
        <v>249</v>
      </c>
      <c r="C125" s="121" t="s">
        <v>249</v>
      </c>
      <c r="D125" s="122" t="s">
        <v>249</v>
      </c>
      <c r="E125" s="122" t="s">
        <v>249</v>
      </c>
      <c r="F125" s="122" t="s">
        <v>249</v>
      </c>
      <c r="G125" s="121" t="s">
        <v>249</v>
      </c>
      <c r="H125" s="121" t="s">
        <v>249</v>
      </c>
      <c r="I125" s="124">
        <v>3821.7956000999998</v>
      </c>
      <c r="J125" s="121">
        <v>0.23867901788759421</v>
      </c>
      <c r="K125" s="121">
        <v>1.5742666342756374E-2</v>
      </c>
    </row>
    <row r="126" spans="1:11" x14ac:dyDescent="0.25">
      <c r="A126" s="16" t="s">
        <v>383</v>
      </c>
      <c r="B126" s="32" t="s">
        <v>384</v>
      </c>
      <c r="C126" s="32" t="s">
        <v>268</v>
      </c>
      <c r="D126" s="66" t="s">
        <v>253</v>
      </c>
      <c r="E126" s="66" t="s">
        <v>254</v>
      </c>
      <c r="F126" s="66" t="s">
        <v>255</v>
      </c>
      <c r="G126" s="32">
        <v>8.0000000000000004E-4</v>
      </c>
      <c r="H126" s="32">
        <v>8.0000000000000004E-4</v>
      </c>
      <c r="I126" s="84">
        <v>141.86981</v>
      </c>
      <c r="J126" s="32">
        <v>8.8600622487015231E-3</v>
      </c>
      <c r="K126" s="32">
        <v>5.8438737092109344E-4</v>
      </c>
    </row>
    <row r="127" spans="1:11" x14ac:dyDescent="0.25">
      <c r="A127" s="16" t="s">
        <v>378</v>
      </c>
      <c r="B127" s="32" t="s">
        <v>379</v>
      </c>
      <c r="C127" s="32" t="s">
        <v>252</v>
      </c>
      <c r="D127" s="66" t="s">
        <v>253</v>
      </c>
      <c r="E127" s="66" t="s">
        <v>254</v>
      </c>
      <c r="F127" s="66" t="s">
        <v>255</v>
      </c>
      <c r="G127" s="32">
        <v>8.0000000000000004E-4</v>
      </c>
      <c r="H127" s="32">
        <v>8.0000000000000004E-4</v>
      </c>
      <c r="I127" s="84">
        <v>68.032899999999998</v>
      </c>
      <c r="J127" s="32">
        <v>4.2487949265575652E-3</v>
      </c>
      <c r="K127" s="32">
        <v>2.8023980272573609E-4</v>
      </c>
    </row>
    <row r="128" spans="1:11" x14ac:dyDescent="0.25">
      <c r="A128" s="16" t="s">
        <v>388</v>
      </c>
      <c r="B128" s="32" t="s">
        <v>389</v>
      </c>
      <c r="C128" s="32" t="s">
        <v>284</v>
      </c>
      <c r="D128" s="66" t="s">
        <v>253</v>
      </c>
      <c r="E128" s="66" t="s">
        <v>254</v>
      </c>
      <c r="F128" s="66" t="s">
        <v>255</v>
      </c>
      <c r="G128" s="32">
        <v>8.0000000000000004E-4</v>
      </c>
      <c r="H128" s="32">
        <v>8.0000000000000004E-4</v>
      </c>
      <c r="I128" s="84">
        <v>360.83648999999997</v>
      </c>
      <c r="J128" s="32">
        <v>2.2534983045391858E-2</v>
      </c>
      <c r="K128" s="32">
        <v>1.4863506740686789E-3</v>
      </c>
    </row>
    <row r="129" spans="1:11" x14ac:dyDescent="0.25">
      <c r="A129" s="16" t="s">
        <v>390</v>
      </c>
      <c r="B129" s="32" t="s">
        <v>391</v>
      </c>
      <c r="C129" s="32" t="s">
        <v>284</v>
      </c>
      <c r="D129" s="66" t="s">
        <v>253</v>
      </c>
      <c r="E129" s="66" t="s">
        <v>254</v>
      </c>
      <c r="F129" s="66" t="s">
        <v>255</v>
      </c>
      <c r="G129" s="32">
        <v>0</v>
      </c>
      <c r="H129" s="32">
        <v>0</v>
      </c>
      <c r="I129" s="84">
        <v>1030.8184100000001</v>
      </c>
      <c r="J129" s="32">
        <v>6.4376735823552092E-2</v>
      </c>
      <c r="K129" s="32">
        <v>4.2461272099889461E-3</v>
      </c>
    </row>
    <row r="130" spans="1:11" x14ac:dyDescent="0.25">
      <c r="A130" s="16" t="s">
        <v>390</v>
      </c>
      <c r="B130" s="32" t="s">
        <v>392</v>
      </c>
      <c r="C130" s="32" t="s">
        <v>284</v>
      </c>
      <c r="D130" s="66" t="s">
        <v>253</v>
      </c>
      <c r="E130" s="66" t="s">
        <v>254</v>
      </c>
      <c r="F130" s="66" t="s">
        <v>255</v>
      </c>
      <c r="G130" s="32">
        <v>8.0000000000000004E-4</v>
      </c>
      <c r="H130" s="32">
        <v>8.0000000000000004E-4</v>
      </c>
      <c r="I130" s="84">
        <v>1290.3248700000001</v>
      </c>
      <c r="J130" s="32">
        <v>8.0583449496744244E-2</v>
      </c>
      <c r="K130" s="32">
        <v>5.3150811889675596E-3</v>
      </c>
    </row>
    <row r="131" spans="1:11" x14ac:dyDescent="0.25">
      <c r="A131" s="16" t="s">
        <v>385</v>
      </c>
      <c r="B131" s="32" t="s">
        <v>386</v>
      </c>
      <c r="C131" s="32" t="s">
        <v>387</v>
      </c>
      <c r="D131" s="66" t="s">
        <v>253</v>
      </c>
      <c r="E131" s="66" t="s">
        <v>254</v>
      </c>
      <c r="F131" s="66" t="s">
        <v>255</v>
      </c>
      <c r="G131" s="32">
        <v>8.0000000000000004E-4</v>
      </c>
      <c r="H131" s="32">
        <v>8.0000000000000004E-4</v>
      </c>
      <c r="I131" s="84">
        <v>190.19272000000001</v>
      </c>
      <c r="J131" s="32">
        <v>1.1877927646832397E-2</v>
      </c>
      <c r="K131" s="32">
        <v>7.8343816495653076E-4</v>
      </c>
    </row>
    <row r="132" spans="1:11" x14ac:dyDescent="0.25">
      <c r="A132" s="16" t="s">
        <v>380</v>
      </c>
      <c r="B132" s="32" t="s">
        <v>381</v>
      </c>
      <c r="C132" s="32" t="s">
        <v>382</v>
      </c>
      <c r="D132" s="66" t="s">
        <v>253</v>
      </c>
      <c r="E132" s="66" t="s">
        <v>254</v>
      </c>
      <c r="F132" s="66" t="s">
        <v>255</v>
      </c>
      <c r="G132" s="32">
        <v>8.0000000000000004E-4</v>
      </c>
      <c r="H132" s="32">
        <v>8.0000000000000004E-4</v>
      </c>
      <c r="I132" s="84">
        <v>739.72040000000004</v>
      </c>
      <c r="J132" s="32">
        <v>4.6197064693569337E-2</v>
      </c>
      <c r="K132" s="32">
        <v>3.0470419307159122E-3</v>
      </c>
    </row>
    <row r="133" spans="1:11" s="119" customFormat="1" x14ac:dyDescent="0.25">
      <c r="A133" s="92" t="s">
        <v>393</v>
      </c>
      <c r="B133" s="121" t="s">
        <v>249</v>
      </c>
      <c r="C133" s="121" t="s">
        <v>249</v>
      </c>
      <c r="D133" s="122" t="s">
        <v>249</v>
      </c>
      <c r="E133" s="122" t="s">
        <v>249</v>
      </c>
      <c r="F133" s="122" t="s">
        <v>249</v>
      </c>
      <c r="G133" s="121" t="s">
        <v>249</v>
      </c>
      <c r="H133" s="121" t="s">
        <v>249</v>
      </c>
      <c r="I133" s="124">
        <v>409.93805010000005</v>
      </c>
      <c r="J133" s="121">
        <v>2.5601476748275929E-2</v>
      </c>
      <c r="K133" s="121">
        <v>1.6886088685003423E-3</v>
      </c>
    </row>
    <row r="134" spans="1:11" x14ac:dyDescent="0.25">
      <c r="A134" s="16" t="s">
        <v>3649</v>
      </c>
      <c r="B134" s="32" t="s">
        <v>397</v>
      </c>
      <c r="C134" s="32" t="s">
        <v>268</v>
      </c>
      <c r="D134" s="66" t="s">
        <v>253</v>
      </c>
      <c r="E134" s="66" t="s">
        <v>254</v>
      </c>
      <c r="F134" s="66" t="s">
        <v>125</v>
      </c>
      <c r="G134" s="32">
        <v>0</v>
      </c>
      <c r="H134" s="32">
        <v>0</v>
      </c>
      <c r="I134" s="84">
        <v>119.42775</v>
      </c>
      <c r="J134" s="32">
        <v>7.4585093137318169E-3</v>
      </c>
      <c r="K134" s="32">
        <v>4.9194447245345311E-4</v>
      </c>
    </row>
    <row r="135" spans="1:11" x14ac:dyDescent="0.25">
      <c r="A135" s="16" t="s">
        <v>3623</v>
      </c>
      <c r="B135" s="32" t="s">
        <v>402</v>
      </c>
      <c r="C135" s="32" t="s">
        <v>268</v>
      </c>
      <c r="D135" s="66" t="s">
        <v>253</v>
      </c>
      <c r="E135" s="66" t="s">
        <v>254</v>
      </c>
      <c r="F135" s="66" t="s">
        <v>125</v>
      </c>
      <c r="G135" s="32">
        <v>0</v>
      </c>
      <c r="H135" s="32">
        <v>0</v>
      </c>
      <c r="I135" s="84">
        <v>0.90389999999999993</v>
      </c>
      <c r="J135" s="32">
        <v>5.6450419342926496E-5</v>
      </c>
      <c r="K135" s="32">
        <v>3.7233273560849652E-6</v>
      </c>
    </row>
    <row r="136" spans="1:11" x14ac:dyDescent="0.25">
      <c r="A136" s="16" t="s">
        <v>3650</v>
      </c>
      <c r="B136" s="32" t="s">
        <v>398</v>
      </c>
      <c r="C136" s="32" t="s">
        <v>257</v>
      </c>
      <c r="D136" s="66" t="s">
        <v>253</v>
      </c>
      <c r="E136" s="66" t="s">
        <v>254</v>
      </c>
      <c r="F136" s="66" t="s">
        <v>125</v>
      </c>
      <c r="G136" s="32">
        <v>0</v>
      </c>
      <c r="H136" s="32">
        <v>0</v>
      </c>
      <c r="I136" s="84">
        <v>9.8125300000000006</v>
      </c>
      <c r="J136" s="32">
        <v>6.1281273737697373E-4</v>
      </c>
      <c r="K136" s="32">
        <v>4.041958334041864E-5</v>
      </c>
    </row>
    <row r="137" spans="1:11" x14ac:dyDescent="0.25">
      <c r="A137" s="16" t="s">
        <v>3650</v>
      </c>
      <c r="B137" s="32" t="s">
        <v>399</v>
      </c>
      <c r="C137" s="32" t="s">
        <v>257</v>
      </c>
      <c r="D137" s="66" t="s">
        <v>253</v>
      </c>
      <c r="E137" s="66" t="s">
        <v>254</v>
      </c>
      <c r="F137" s="66" t="s">
        <v>125</v>
      </c>
      <c r="G137" s="32">
        <v>0</v>
      </c>
      <c r="H137" s="32">
        <v>0</v>
      </c>
      <c r="I137" s="84">
        <v>0.65282000000000007</v>
      </c>
      <c r="J137" s="32">
        <v>4.0769955476766543E-5</v>
      </c>
      <c r="K137" s="32">
        <v>2.6890834877745186E-6</v>
      </c>
    </row>
    <row r="138" spans="1:11" x14ac:dyDescent="0.25">
      <c r="A138" s="16" t="s">
        <v>3650</v>
      </c>
      <c r="B138" s="32" t="s">
        <v>400</v>
      </c>
      <c r="C138" s="32" t="s">
        <v>257</v>
      </c>
      <c r="D138" s="66" t="s">
        <v>253</v>
      </c>
      <c r="E138" s="66" t="s">
        <v>254</v>
      </c>
      <c r="F138" s="66" t="s">
        <v>125</v>
      </c>
      <c r="G138" s="32">
        <v>0</v>
      </c>
      <c r="H138" s="32">
        <v>0</v>
      </c>
      <c r="I138" s="84">
        <v>-16.764080000000003</v>
      </c>
      <c r="J138" s="32">
        <v>-1.0469513728270465E-3</v>
      </c>
      <c r="K138" s="32">
        <v>-6.9054273330674697E-5</v>
      </c>
    </row>
    <row r="139" spans="1:11" x14ac:dyDescent="0.25">
      <c r="A139" s="16" t="s">
        <v>3650</v>
      </c>
      <c r="B139" s="32" t="s">
        <v>403</v>
      </c>
      <c r="C139" s="32" t="s">
        <v>257</v>
      </c>
      <c r="D139" s="66" t="s">
        <v>253</v>
      </c>
      <c r="E139" s="66" t="s">
        <v>254</v>
      </c>
      <c r="F139" s="66" t="s">
        <v>125</v>
      </c>
      <c r="G139" s="32">
        <v>0</v>
      </c>
      <c r="H139" s="32">
        <v>0</v>
      </c>
      <c r="I139" s="84">
        <v>130.00774000000001</v>
      </c>
      <c r="J139" s="32">
        <v>8.1192515110367954E-3</v>
      </c>
      <c r="K139" s="32">
        <v>5.3552536214711982E-4</v>
      </c>
    </row>
    <row r="140" spans="1:11" x14ac:dyDescent="0.25">
      <c r="A140" s="16" t="s">
        <v>3675</v>
      </c>
      <c r="B140" s="32" t="s">
        <v>394</v>
      </c>
      <c r="C140" s="32" t="s">
        <v>252</v>
      </c>
      <c r="D140" s="66" t="s">
        <v>253</v>
      </c>
      <c r="E140" s="66" t="s">
        <v>254</v>
      </c>
      <c r="F140" s="66" t="s">
        <v>125</v>
      </c>
      <c r="G140" s="32">
        <v>0</v>
      </c>
      <c r="H140" s="32">
        <v>0</v>
      </c>
      <c r="I140" s="84">
        <v>155.02273000000002</v>
      </c>
      <c r="J140" s="32">
        <v>9.6814892313146061E-3</v>
      </c>
      <c r="K140" s="32">
        <v>6.3856662398935012E-4</v>
      </c>
    </row>
    <row r="141" spans="1:11" x14ac:dyDescent="0.25">
      <c r="A141" s="16" t="s">
        <v>3651</v>
      </c>
      <c r="B141" s="32" t="s">
        <v>395</v>
      </c>
      <c r="C141" s="32" t="s">
        <v>252</v>
      </c>
      <c r="D141" s="66" t="s">
        <v>253</v>
      </c>
      <c r="E141" s="66" t="s">
        <v>254</v>
      </c>
      <c r="F141" s="66" t="s">
        <v>125</v>
      </c>
      <c r="G141" s="32">
        <v>0</v>
      </c>
      <c r="H141" s="32">
        <v>0</v>
      </c>
      <c r="I141" s="84">
        <v>5.7030099999999999</v>
      </c>
      <c r="J141" s="32">
        <v>3.5616473726839609E-4</v>
      </c>
      <c r="K141" s="32">
        <v>2.3491728227708949E-5</v>
      </c>
    </row>
    <row r="142" spans="1:11" x14ac:dyDescent="0.25">
      <c r="A142" s="16" t="s">
        <v>3651</v>
      </c>
      <c r="B142" s="32" t="s">
        <v>396</v>
      </c>
      <c r="C142" s="32" t="s">
        <v>252</v>
      </c>
      <c r="D142" s="66" t="s">
        <v>253</v>
      </c>
      <c r="E142" s="66" t="s">
        <v>254</v>
      </c>
      <c r="F142" s="66" t="s">
        <v>125</v>
      </c>
      <c r="G142" s="32">
        <v>0</v>
      </c>
      <c r="H142" s="32">
        <v>0</v>
      </c>
      <c r="I142" s="84">
        <v>-15.216629999999999</v>
      </c>
      <c r="J142" s="32">
        <v>-9.503099286272326E-4</v>
      </c>
      <c r="K142" s="32">
        <v>-6.2680047291097649E-5</v>
      </c>
    </row>
    <row r="143" spans="1:11" x14ac:dyDescent="0.25">
      <c r="A143" s="16" t="s">
        <v>3651</v>
      </c>
      <c r="B143" s="32" t="s">
        <v>404</v>
      </c>
      <c r="C143" s="32" t="s">
        <v>252</v>
      </c>
      <c r="D143" s="66" t="s">
        <v>253</v>
      </c>
      <c r="E143" s="66" t="s">
        <v>254</v>
      </c>
      <c r="F143" s="66" t="s">
        <v>125</v>
      </c>
      <c r="G143" s="32">
        <v>0</v>
      </c>
      <c r="H143" s="32">
        <v>0</v>
      </c>
      <c r="I143" s="84">
        <v>18.931999999999999</v>
      </c>
      <c r="J143" s="32">
        <v>1.1823424482799915E-3</v>
      </c>
      <c r="K143" s="32">
        <v>7.7984327365195882E-5</v>
      </c>
    </row>
    <row r="144" spans="1:11" x14ac:dyDescent="0.25">
      <c r="A144" s="16" t="s">
        <v>3652</v>
      </c>
      <c r="B144" s="32" t="s">
        <v>401</v>
      </c>
      <c r="C144" s="32" t="s">
        <v>284</v>
      </c>
      <c r="D144" s="66" t="s">
        <v>253</v>
      </c>
      <c r="E144" s="66" t="s">
        <v>254</v>
      </c>
      <c r="F144" s="66" t="s">
        <v>125</v>
      </c>
      <c r="G144" s="32">
        <v>0</v>
      </c>
      <c r="H144" s="32">
        <v>0</v>
      </c>
      <c r="I144" s="84">
        <v>1.45628</v>
      </c>
      <c r="J144" s="32">
        <v>9.0947689656728612E-5</v>
      </c>
      <c r="K144" s="32">
        <v>5.9986803430904007E-6</v>
      </c>
    </row>
    <row r="145" spans="1:11" s="119" customFormat="1" x14ac:dyDescent="0.25">
      <c r="A145" s="92" t="s">
        <v>405</v>
      </c>
      <c r="B145" s="121" t="s">
        <v>249</v>
      </c>
      <c r="C145" s="121" t="s">
        <v>249</v>
      </c>
      <c r="D145" s="122" t="s">
        <v>249</v>
      </c>
      <c r="E145" s="122" t="s">
        <v>249</v>
      </c>
      <c r="F145" s="122" t="s">
        <v>249</v>
      </c>
      <c r="G145" s="121" t="s">
        <v>249</v>
      </c>
      <c r="H145" s="121" t="s">
        <v>249</v>
      </c>
      <c r="I145" s="124">
        <v>4150.4542801999987</v>
      </c>
      <c r="J145" s="121">
        <v>0.25920443033624746</v>
      </c>
      <c r="K145" s="121">
        <v>1.7096470806116374E-2</v>
      </c>
    </row>
    <row r="146" spans="1:11" s="119" customFormat="1" x14ac:dyDescent="0.25">
      <c r="A146" s="92" t="s">
        <v>310</v>
      </c>
      <c r="B146" s="121" t="s">
        <v>249</v>
      </c>
      <c r="C146" s="121" t="s">
        <v>249</v>
      </c>
      <c r="D146" s="122" t="s">
        <v>249</v>
      </c>
      <c r="E146" s="122" t="s">
        <v>249</v>
      </c>
      <c r="F146" s="122" t="s">
        <v>249</v>
      </c>
      <c r="G146" s="121" t="s">
        <v>249</v>
      </c>
      <c r="H146" s="121" t="s">
        <v>249</v>
      </c>
      <c r="I146" s="124">
        <v>3451.3551901000001</v>
      </c>
      <c r="J146" s="121">
        <v>0.21554425022959486</v>
      </c>
      <c r="K146" s="121">
        <v>1.4216755387614953E-2</v>
      </c>
    </row>
    <row r="147" spans="1:11" x14ac:dyDescent="0.25">
      <c r="A147" s="16" t="s">
        <v>3653</v>
      </c>
      <c r="B147" s="32" t="s">
        <v>406</v>
      </c>
      <c r="C147" s="32" t="s">
        <v>407</v>
      </c>
      <c r="D147" s="66" t="s">
        <v>408</v>
      </c>
      <c r="E147" s="66" t="s">
        <v>262</v>
      </c>
      <c r="F147" s="66" t="s">
        <v>125</v>
      </c>
      <c r="G147" s="32">
        <v>0</v>
      </c>
      <c r="H147" s="32">
        <v>0</v>
      </c>
      <c r="I147" s="84">
        <v>3074.8089500000001</v>
      </c>
      <c r="J147" s="32">
        <v>0.19202816088824373</v>
      </c>
      <c r="K147" s="32">
        <v>1.266569341549938E-2</v>
      </c>
    </row>
    <row r="148" spans="1:11" x14ac:dyDescent="0.25">
      <c r="A148" s="16" t="s">
        <v>3654</v>
      </c>
      <c r="B148" s="32" t="s">
        <v>413</v>
      </c>
      <c r="C148" s="32" t="s">
        <v>407</v>
      </c>
      <c r="D148" s="66" t="s">
        <v>408</v>
      </c>
      <c r="E148" s="66" t="s">
        <v>262</v>
      </c>
      <c r="F148" s="66" t="s">
        <v>126</v>
      </c>
      <c r="G148" s="32">
        <v>0</v>
      </c>
      <c r="H148" s="32">
        <v>0</v>
      </c>
      <c r="I148" s="84">
        <v>3.0800000000000003E-3</v>
      </c>
      <c r="J148" s="32">
        <v>1.9235235266756676E-7</v>
      </c>
      <c r="K148" s="32">
        <v>1.268707628802046E-8</v>
      </c>
    </row>
    <row r="149" spans="1:11" x14ac:dyDescent="0.25">
      <c r="A149" s="16" t="s">
        <v>3655</v>
      </c>
      <c r="B149" s="32" t="s">
        <v>414</v>
      </c>
      <c r="C149" s="32" t="s">
        <v>407</v>
      </c>
      <c r="D149" s="66" t="s">
        <v>408</v>
      </c>
      <c r="E149" s="66" t="s">
        <v>262</v>
      </c>
      <c r="F149" s="66" t="s">
        <v>126</v>
      </c>
      <c r="G149" s="32">
        <v>0</v>
      </c>
      <c r="H149" s="32">
        <v>0</v>
      </c>
      <c r="I149" s="84">
        <v>0.60111000000000003</v>
      </c>
      <c r="J149" s="32">
        <v>3.7540559322078266E-5</v>
      </c>
      <c r="K149" s="32">
        <v>2.4760806582766166E-6</v>
      </c>
    </row>
    <row r="150" spans="1:11" x14ac:dyDescent="0.25">
      <c r="A150" s="16" t="s">
        <v>3656</v>
      </c>
      <c r="B150" s="32" t="s">
        <v>415</v>
      </c>
      <c r="C150" s="32" t="s">
        <v>407</v>
      </c>
      <c r="D150" s="66" t="s">
        <v>408</v>
      </c>
      <c r="E150" s="66" t="s">
        <v>262</v>
      </c>
      <c r="F150" s="66" t="s">
        <v>126</v>
      </c>
      <c r="G150" s="32">
        <v>0</v>
      </c>
      <c r="H150" s="32">
        <v>0</v>
      </c>
      <c r="I150" s="84">
        <v>-3.0699999999999998E-3</v>
      </c>
      <c r="J150" s="32">
        <v>-1.9172783204202271E-7</v>
      </c>
      <c r="K150" s="32">
        <v>-1.2645884481890522E-8</v>
      </c>
    </row>
    <row r="151" spans="1:11" x14ac:dyDescent="0.25">
      <c r="A151" s="16" t="s">
        <v>3657</v>
      </c>
      <c r="B151" s="32" t="s">
        <v>416</v>
      </c>
      <c r="C151" s="32" t="s">
        <v>407</v>
      </c>
      <c r="D151" s="66" t="s">
        <v>408</v>
      </c>
      <c r="E151" s="66" t="s">
        <v>262</v>
      </c>
      <c r="F151" s="66" t="s">
        <v>126</v>
      </c>
      <c r="G151" s="32">
        <v>0</v>
      </c>
      <c r="H151" s="32">
        <v>0</v>
      </c>
      <c r="I151" s="84">
        <v>0.20990999999999999</v>
      </c>
      <c r="J151" s="32">
        <v>1.310931245079511E-5</v>
      </c>
      <c r="K151" s="32">
        <v>8.6465720247349822E-7</v>
      </c>
    </row>
    <row r="152" spans="1:11" x14ac:dyDescent="0.25">
      <c r="A152" s="16" t="s">
        <v>3658</v>
      </c>
      <c r="B152" s="32" t="s">
        <v>417</v>
      </c>
      <c r="C152" s="32" t="s">
        <v>407</v>
      </c>
      <c r="D152" s="66" t="s">
        <v>408</v>
      </c>
      <c r="E152" s="66" t="s">
        <v>262</v>
      </c>
      <c r="F152" s="66" t="s">
        <v>2</v>
      </c>
      <c r="G152" s="32">
        <v>0</v>
      </c>
      <c r="H152" s="32">
        <v>0</v>
      </c>
      <c r="I152" s="84">
        <v>5.4000000000000001E-4</v>
      </c>
      <c r="J152" s="32">
        <v>3.372411377937859E-8</v>
      </c>
      <c r="K152" s="32">
        <v>2.2243575310165743E-9</v>
      </c>
    </row>
    <row r="153" spans="1:11" x14ac:dyDescent="0.25">
      <c r="A153" s="16" t="s">
        <v>3658</v>
      </c>
      <c r="B153" s="32" t="s">
        <v>418</v>
      </c>
      <c r="C153" s="32" t="s">
        <v>407</v>
      </c>
      <c r="D153" s="66" t="s">
        <v>408</v>
      </c>
      <c r="E153" s="66" t="s">
        <v>262</v>
      </c>
      <c r="F153" s="66" t="s">
        <v>2</v>
      </c>
      <c r="G153" s="32">
        <v>0</v>
      </c>
      <c r="H153" s="32">
        <v>0</v>
      </c>
      <c r="I153" s="84">
        <v>6.7599999999999995E-3</v>
      </c>
      <c r="J153" s="32">
        <v>4.221759428677764E-7</v>
      </c>
      <c r="K153" s="32">
        <v>2.7845660943837111E-8</v>
      </c>
    </row>
    <row r="154" spans="1:11" x14ac:dyDescent="0.25">
      <c r="A154" s="16" t="s">
        <v>3659</v>
      </c>
      <c r="B154" s="32" t="s">
        <v>419</v>
      </c>
      <c r="C154" s="32" t="s">
        <v>407</v>
      </c>
      <c r="D154" s="66" t="s">
        <v>408</v>
      </c>
      <c r="E154" s="66" t="s">
        <v>262</v>
      </c>
      <c r="F154" s="66" t="s">
        <v>2</v>
      </c>
      <c r="G154" s="32">
        <v>0</v>
      </c>
      <c r="H154" s="32">
        <v>0</v>
      </c>
      <c r="I154" s="84">
        <v>-6.7599999999999995E-3</v>
      </c>
      <c r="J154" s="32">
        <v>-4.221759428677764E-7</v>
      </c>
      <c r="K154" s="32">
        <v>-2.7845660943837111E-8</v>
      </c>
    </row>
    <row r="155" spans="1:11" x14ac:dyDescent="0.25">
      <c r="A155" s="16" t="s">
        <v>3658</v>
      </c>
      <c r="B155" s="32" t="s">
        <v>420</v>
      </c>
      <c r="C155" s="32" t="s">
        <v>407</v>
      </c>
      <c r="D155" s="66" t="s">
        <v>408</v>
      </c>
      <c r="E155" s="66" t="s">
        <v>262</v>
      </c>
      <c r="F155" s="66" t="s">
        <v>2</v>
      </c>
      <c r="G155" s="32">
        <v>0</v>
      </c>
      <c r="H155" s="32">
        <v>0</v>
      </c>
      <c r="I155" s="84">
        <v>407.67897999999997</v>
      </c>
      <c r="J155" s="32">
        <v>2.5460393161075939E-2</v>
      </c>
      <c r="K155" s="32">
        <v>1.6793033507410283E-3</v>
      </c>
    </row>
    <row r="156" spans="1:11" x14ac:dyDescent="0.25">
      <c r="A156" s="16" t="s">
        <v>3660</v>
      </c>
      <c r="B156" s="32" t="s">
        <v>421</v>
      </c>
      <c r="C156" s="32" t="s">
        <v>407</v>
      </c>
      <c r="D156" s="66" t="s">
        <v>408</v>
      </c>
      <c r="E156" s="66" t="s">
        <v>262</v>
      </c>
      <c r="F156" s="66" t="s">
        <v>422</v>
      </c>
      <c r="G156" s="32">
        <v>0</v>
      </c>
      <c r="H156" s="32">
        <v>0</v>
      </c>
      <c r="I156" s="84">
        <v>0.11967</v>
      </c>
      <c r="J156" s="32">
        <v>7.473638325885622E-6</v>
      </c>
      <c r="K156" s="32">
        <v>4.9294234395695077E-7</v>
      </c>
    </row>
    <row r="157" spans="1:11" x14ac:dyDescent="0.25">
      <c r="A157" s="16" t="s">
        <v>3653</v>
      </c>
      <c r="B157" s="32" t="s">
        <v>423</v>
      </c>
      <c r="C157" s="32" t="s">
        <v>407</v>
      </c>
      <c r="D157" s="66" t="s">
        <v>408</v>
      </c>
      <c r="E157" s="66" t="s">
        <v>262</v>
      </c>
      <c r="F157" s="66" t="s">
        <v>125</v>
      </c>
      <c r="G157" s="32">
        <v>0</v>
      </c>
      <c r="H157" s="32">
        <v>0</v>
      </c>
      <c r="I157" s="84">
        <v>2.9749999999999999E-2</v>
      </c>
      <c r="J157" s="32">
        <v>1.8579488609935426E-6</v>
      </c>
      <c r="K157" s="32">
        <v>1.2254562323656124E-7</v>
      </c>
    </row>
    <row r="158" spans="1:11" x14ac:dyDescent="0.25">
      <c r="A158" s="16" t="s">
        <v>3653</v>
      </c>
      <c r="B158" s="32" t="s">
        <v>424</v>
      </c>
      <c r="C158" s="32" t="s">
        <v>407</v>
      </c>
      <c r="D158" s="66" t="s">
        <v>408</v>
      </c>
      <c r="E158" s="66" t="s">
        <v>262</v>
      </c>
      <c r="F158" s="66" t="s">
        <v>125</v>
      </c>
      <c r="G158" s="32">
        <v>0</v>
      </c>
      <c r="H158" s="32">
        <v>0</v>
      </c>
      <c r="I158" s="84">
        <v>1.508E-2</v>
      </c>
      <c r="J158" s="32">
        <v>9.4177710332042429E-7</v>
      </c>
      <c r="K158" s="32">
        <v>6.2117243643944325E-8</v>
      </c>
    </row>
    <row r="159" spans="1:11" x14ac:dyDescent="0.25">
      <c r="A159" s="16" t="s">
        <v>3661</v>
      </c>
      <c r="B159" s="32" t="s">
        <v>425</v>
      </c>
      <c r="C159" s="32" t="s">
        <v>407</v>
      </c>
      <c r="D159" s="66" t="s">
        <v>408</v>
      </c>
      <c r="E159" s="66" t="s">
        <v>262</v>
      </c>
      <c r="F159" s="66" t="s">
        <v>125</v>
      </c>
      <c r="G159" s="32">
        <v>0</v>
      </c>
      <c r="H159" s="32">
        <v>0</v>
      </c>
      <c r="I159" s="84">
        <v>-20.273439999999997</v>
      </c>
      <c r="J159" s="32">
        <v>-1.2661181430729722E-3</v>
      </c>
      <c r="K159" s="32">
        <v>-8.3509961006690095E-5</v>
      </c>
    </row>
    <row r="160" spans="1:11" x14ac:dyDescent="0.25">
      <c r="A160" s="16" t="s">
        <v>3662</v>
      </c>
      <c r="B160" s="32" t="s">
        <v>427</v>
      </c>
      <c r="C160" s="32" t="s">
        <v>407</v>
      </c>
      <c r="D160" s="66" t="s">
        <v>408</v>
      </c>
      <c r="E160" s="66" t="s">
        <v>262</v>
      </c>
      <c r="F160" s="66" t="s">
        <v>125</v>
      </c>
      <c r="G160" s="32">
        <v>0</v>
      </c>
      <c r="H160" s="32">
        <v>0</v>
      </c>
      <c r="I160" s="84">
        <v>-5.0630299999999995</v>
      </c>
      <c r="J160" s="32">
        <v>-3.1619666627482809E-4</v>
      </c>
      <c r="K160" s="32">
        <v>-2.0855535019005267E-5</v>
      </c>
    </row>
    <row r="161" spans="1:11" x14ac:dyDescent="0.25">
      <c r="A161" s="16" t="s">
        <v>3662</v>
      </c>
      <c r="B161" s="32" t="s">
        <v>428</v>
      </c>
      <c r="C161" s="32" t="s">
        <v>407</v>
      </c>
      <c r="D161" s="66" t="s">
        <v>408</v>
      </c>
      <c r="E161" s="66" t="s">
        <v>262</v>
      </c>
      <c r="F161" s="66" t="s">
        <v>125</v>
      </c>
      <c r="G161" s="32">
        <v>0</v>
      </c>
      <c r="H161" s="32">
        <v>0</v>
      </c>
      <c r="I161" s="84">
        <v>-5.1626899999999996</v>
      </c>
      <c r="J161" s="32">
        <v>-3.2242063882900008E-4</v>
      </c>
      <c r="K161" s="32">
        <v>-2.1266052558896213E-5</v>
      </c>
    </row>
    <row r="162" spans="1:11" x14ac:dyDescent="0.25">
      <c r="A162" s="16" t="s">
        <v>3624</v>
      </c>
      <c r="B162" s="32" t="s">
        <v>429</v>
      </c>
      <c r="C162" s="32" t="s">
        <v>430</v>
      </c>
      <c r="D162" s="66" t="s">
        <v>431</v>
      </c>
      <c r="E162" s="66" t="s">
        <v>262</v>
      </c>
      <c r="F162" s="66" t="s">
        <v>125</v>
      </c>
      <c r="G162" s="32">
        <v>0</v>
      </c>
      <c r="H162" s="32">
        <v>0</v>
      </c>
      <c r="I162" s="84">
        <v>-0.21522999999999998</v>
      </c>
      <c r="J162" s="32">
        <v>-1.3441557423584544E-5</v>
      </c>
      <c r="K162" s="32">
        <v>-8.8657124333462438E-7</v>
      </c>
    </row>
    <row r="163" spans="1:11" x14ac:dyDescent="0.25">
      <c r="A163" s="16" t="s">
        <v>3624</v>
      </c>
      <c r="B163" s="32" t="s">
        <v>432</v>
      </c>
      <c r="C163" s="32" t="s">
        <v>430</v>
      </c>
      <c r="D163" s="66" t="s">
        <v>431</v>
      </c>
      <c r="E163" s="66" t="s">
        <v>262</v>
      </c>
      <c r="F163" s="66" t="s">
        <v>125</v>
      </c>
      <c r="G163" s="32">
        <v>0</v>
      </c>
      <c r="H163" s="32">
        <v>0</v>
      </c>
      <c r="I163" s="84">
        <v>0.42681999999999998</v>
      </c>
      <c r="J163" s="32">
        <v>2.6655789339471056E-5</v>
      </c>
      <c r="K163" s="32">
        <v>1.7581486692379521E-6</v>
      </c>
    </row>
    <row r="164" spans="1:11" x14ac:dyDescent="0.25">
      <c r="A164" s="16" t="s">
        <v>3624</v>
      </c>
      <c r="B164" s="32" t="s">
        <v>434</v>
      </c>
      <c r="C164" s="32" t="s">
        <v>430</v>
      </c>
      <c r="D164" s="66" t="s">
        <v>431</v>
      </c>
      <c r="E164" s="66" t="s">
        <v>262</v>
      </c>
      <c r="F164" s="66" t="s">
        <v>125</v>
      </c>
      <c r="G164" s="32">
        <v>0</v>
      </c>
      <c r="H164" s="32">
        <v>0</v>
      </c>
      <c r="I164" s="84">
        <v>-4.8409999999999995E-2</v>
      </c>
      <c r="J164" s="32">
        <v>-3.023304348258736E-6</v>
      </c>
      <c r="K164" s="32">
        <v>-1.9940953347502286E-7</v>
      </c>
    </row>
    <row r="165" spans="1:11" x14ac:dyDescent="0.25">
      <c r="A165" s="16" t="s">
        <v>3632</v>
      </c>
      <c r="B165" s="32" t="s">
        <v>409</v>
      </c>
      <c r="C165" s="32" t="s">
        <v>410</v>
      </c>
      <c r="D165" s="66" t="s">
        <v>411</v>
      </c>
      <c r="E165" s="66" t="s">
        <v>412</v>
      </c>
      <c r="F165" s="66" t="s">
        <v>125</v>
      </c>
      <c r="G165" s="32">
        <v>0</v>
      </c>
      <c r="H165" s="32">
        <v>0</v>
      </c>
      <c r="I165" s="84">
        <v>-12.34047</v>
      </c>
      <c r="J165" s="32">
        <v>-7.7068780439075565E-4</v>
      </c>
      <c r="K165" s="32">
        <v>-5.0832624779229821E-5</v>
      </c>
    </row>
    <row r="166" spans="1:11" x14ac:dyDescent="0.25">
      <c r="A166" s="16" t="s">
        <v>3632</v>
      </c>
      <c r="B166" s="32" t="s">
        <v>426</v>
      </c>
      <c r="C166" s="32" t="s">
        <v>410</v>
      </c>
      <c r="D166" s="66" t="s">
        <v>411</v>
      </c>
      <c r="E166" s="66" t="s">
        <v>412</v>
      </c>
      <c r="F166" s="66" t="s">
        <v>125</v>
      </c>
      <c r="G166" s="32">
        <v>0</v>
      </c>
      <c r="H166" s="32">
        <v>0</v>
      </c>
      <c r="I166" s="84">
        <v>-7.83962</v>
      </c>
      <c r="J166" s="32">
        <v>-4.8960043864276293E-4</v>
      </c>
      <c r="K166" s="32">
        <v>-3.2292810717237323E-5</v>
      </c>
    </row>
    <row r="167" spans="1:11" x14ac:dyDescent="0.25">
      <c r="A167" s="16" t="s">
        <v>3632</v>
      </c>
      <c r="B167" s="32" t="s">
        <v>433</v>
      </c>
      <c r="C167" s="32" t="s">
        <v>410</v>
      </c>
      <c r="D167" s="66" t="s">
        <v>411</v>
      </c>
      <c r="E167" s="66" t="s">
        <v>412</v>
      </c>
      <c r="F167" s="66" t="s">
        <v>125</v>
      </c>
      <c r="G167" s="32">
        <v>0</v>
      </c>
      <c r="H167" s="32">
        <v>0</v>
      </c>
      <c r="I167" s="84">
        <v>26.589580000000002</v>
      </c>
      <c r="J167" s="32">
        <v>1.6605741134553507E-3</v>
      </c>
      <c r="K167" s="32">
        <v>1.0952728244364386E-4</v>
      </c>
    </row>
    <row r="168" spans="1:11" x14ac:dyDescent="0.25">
      <c r="A168" s="16" t="s">
        <v>3632</v>
      </c>
      <c r="B168" s="32" t="s">
        <v>435</v>
      </c>
      <c r="C168" s="32" t="s">
        <v>410</v>
      </c>
      <c r="D168" s="66" t="s">
        <v>411</v>
      </c>
      <c r="E168" s="66" t="s">
        <v>412</v>
      </c>
      <c r="F168" s="66" t="s">
        <v>125</v>
      </c>
      <c r="G168" s="32">
        <v>0</v>
      </c>
      <c r="H168" s="32">
        <v>0</v>
      </c>
      <c r="I168" s="84">
        <v>-8.1823199999999989</v>
      </c>
      <c r="J168" s="32">
        <v>-5.1100276048015735E-4</v>
      </c>
      <c r="K168" s="32">
        <v>-3.3704453913310247E-5</v>
      </c>
    </row>
    <row r="169" spans="1:11" s="119" customFormat="1" x14ac:dyDescent="0.25">
      <c r="A169" s="92" t="s">
        <v>393</v>
      </c>
      <c r="B169" s="121" t="s">
        <v>249</v>
      </c>
      <c r="C169" s="121" t="s">
        <v>249</v>
      </c>
      <c r="D169" s="122" t="s">
        <v>249</v>
      </c>
      <c r="E169" s="122" t="s">
        <v>249</v>
      </c>
      <c r="F169" s="122" t="s">
        <v>249</v>
      </c>
      <c r="G169" s="121" t="s">
        <v>249</v>
      </c>
      <c r="H169" s="121" t="s">
        <v>249</v>
      </c>
      <c r="I169" s="124">
        <v>699.09909009999978</v>
      </c>
      <c r="J169" s="121">
        <v>4.3660180106652659E-2</v>
      </c>
      <c r="K169" s="121">
        <v>2.8797154185014242E-3</v>
      </c>
    </row>
    <row r="170" spans="1:11" x14ac:dyDescent="0.25">
      <c r="A170" s="16" t="s">
        <v>3663</v>
      </c>
      <c r="B170" s="32" t="s">
        <v>436</v>
      </c>
      <c r="C170" s="32" t="s">
        <v>407</v>
      </c>
      <c r="D170" s="66" t="s">
        <v>408</v>
      </c>
      <c r="E170" s="66" t="s">
        <v>262</v>
      </c>
      <c r="F170" s="66" t="s">
        <v>125</v>
      </c>
      <c r="G170" s="32">
        <v>0</v>
      </c>
      <c r="H170" s="32">
        <v>0</v>
      </c>
      <c r="I170" s="84">
        <v>-83.537580000000005</v>
      </c>
      <c r="J170" s="32">
        <v>-5.217094171803595E-3</v>
      </c>
      <c r="K170" s="32">
        <v>-3.4410637999240657E-4</v>
      </c>
    </row>
    <row r="171" spans="1:11" x14ac:dyDescent="0.25">
      <c r="A171" s="16" t="s">
        <v>3663</v>
      </c>
      <c r="B171" s="32" t="s">
        <v>437</v>
      </c>
      <c r="C171" s="32" t="s">
        <v>407</v>
      </c>
      <c r="D171" s="66" t="s">
        <v>408</v>
      </c>
      <c r="E171" s="66" t="s">
        <v>262</v>
      </c>
      <c r="F171" s="66" t="s">
        <v>125</v>
      </c>
      <c r="G171" s="32">
        <v>0</v>
      </c>
      <c r="H171" s="32">
        <v>0</v>
      </c>
      <c r="I171" s="84">
        <v>2.3630100000000001</v>
      </c>
      <c r="J171" s="32">
        <v>1.4757484833668408E-4</v>
      </c>
      <c r="K171" s="32">
        <v>9.7336649803101387E-6</v>
      </c>
    </row>
    <row r="172" spans="1:11" x14ac:dyDescent="0.25">
      <c r="A172" s="16" t="s">
        <v>3664</v>
      </c>
      <c r="B172" s="32" t="s">
        <v>438</v>
      </c>
      <c r="C172" s="32" t="s">
        <v>430</v>
      </c>
      <c r="D172" s="66" t="s">
        <v>431</v>
      </c>
      <c r="E172" s="66" t="s">
        <v>262</v>
      </c>
      <c r="F172" s="66" t="s">
        <v>125</v>
      </c>
      <c r="G172" s="32">
        <v>0</v>
      </c>
      <c r="H172" s="32">
        <v>0</v>
      </c>
      <c r="I172" s="84">
        <v>123.41011</v>
      </c>
      <c r="J172" s="32">
        <v>7.7072159095659771E-3</v>
      </c>
      <c r="K172" s="32">
        <v>5.0834853255941447E-4</v>
      </c>
    </row>
    <row r="173" spans="1:11" x14ac:dyDescent="0.25">
      <c r="A173" s="16" t="s">
        <v>3664</v>
      </c>
      <c r="B173" s="32" t="s">
        <v>439</v>
      </c>
      <c r="C173" s="32" t="s">
        <v>430</v>
      </c>
      <c r="D173" s="66" t="s">
        <v>431</v>
      </c>
      <c r="E173" s="66" t="s">
        <v>262</v>
      </c>
      <c r="F173" s="66" t="s">
        <v>125</v>
      </c>
      <c r="G173" s="32">
        <v>0</v>
      </c>
      <c r="H173" s="32">
        <v>0</v>
      </c>
      <c r="I173" s="84">
        <v>77.403589999999994</v>
      </c>
      <c r="J173" s="32">
        <v>4.8340138446155015E-3</v>
      </c>
      <c r="K173" s="32">
        <v>3.1883936730410956E-4</v>
      </c>
    </row>
    <row r="174" spans="1:11" x14ac:dyDescent="0.25">
      <c r="A174" s="16" t="s">
        <v>3625</v>
      </c>
      <c r="B174" s="32" t="s">
        <v>440</v>
      </c>
      <c r="C174" s="32" t="s">
        <v>260</v>
      </c>
      <c r="D174" s="66" t="s">
        <v>261</v>
      </c>
      <c r="E174" s="66" t="s">
        <v>262</v>
      </c>
      <c r="F174" s="66" t="s">
        <v>125</v>
      </c>
      <c r="G174" s="32">
        <v>0</v>
      </c>
      <c r="H174" s="32">
        <v>0</v>
      </c>
      <c r="I174" s="84">
        <v>-1.3700000000000001E-3</v>
      </c>
      <c r="J174" s="32">
        <v>-8.555932569953458E-8</v>
      </c>
      <c r="K174" s="32">
        <v>-5.6432774398013085E-9</v>
      </c>
    </row>
    <row r="175" spans="1:11" x14ac:dyDescent="0.25">
      <c r="A175" s="16" t="s">
        <v>3625</v>
      </c>
      <c r="B175" s="32" t="s">
        <v>441</v>
      </c>
      <c r="C175" s="32" t="s">
        <v>260</v>
      </c>
      <c r="D175" s="66" t="s">
        <v>261</v>
      </c>
      <c r="E175" s="66" t="s">
        <v>262</v>
      </c>
      <c r="F175" s="66" t="s">
        <v>125</v>
      </c>
      <c r="G175" s="32">
        <v>0</v>
      </c>
      <c r="H175" s="32">
        <v>0</v>
      </c>
      <c r="I175" s="84">
        <v>-2.9440000000000001E-2</v>
      </c>
      <c r="J175" s="32">
        <v>-1.8385887216016773E-6</v>
      </c>
      <c r="K175" s="32">
        <v>-1.2126867724653322E-7</v>
      </c>
    </row>
    <row r="176" spans="1:11" x14ac:dyDescent="0.25">
      <c r="A176" s="16" t="s">
        <v>3625</v>
      </c>
      <c r="B176" s="32" t="s">
        <v>442</v>
      </c>
      <c r="C176" s="32" t="s">
        <v>260</v>
      </c>
      <c r="D176" s="66" t="s">
        <v>261</v>
      </c>
      <c r="E176" s="66" t="s">
        <v>262</v>
      </c>
      <c r="F176" s="66" t="s">
        <v>125</v>
      </c>
      <c r="G176" s="32">
        <v>0</v>
      </c>
      <c r="H176" s="32">
        <v>0</v>
      </c>
      <c r="I176" s="84">
        <v>-5.6041800000000004</v>
      </c>
      <c r="J176" s="32">
        <v>-3.4999259992614428E-4</v>
      </c>
      <c r="K176" s="32">
        <v>-2.3084629607726789E-5</v>
      </c>
    </row>
    <row r="177" spans="1:11" x14ac:dyDescent="0.25">
      <c r="A177" s="16" t="s">
        <v>3633</v>
      </c>
      <c r="B177" s="32" t="s">
        <v>443</v>
      </c>
      <c r="C177" s="32" t="s">
        <v>410</v>
      </c>
      <c r="D177" s="66" t="s">
        <v>411</v>
      </c>
      <c r="E177" s="66" t="s">
        <v>412</v>
      </c>
      <c r="F177" s="66" t="s">
        <v>125</v>
      </c>
      <c r="G177" s="32">
        <v>0</v>
      </c>
      <c r="H177" s="32">
        <v>0</v>
      </c>
      <c r="I177" s="84">
        <v>15.895940000000001</v>
      </c>
      <c r="J177" s="32">
        <v>9.9273423924106543E-4</v>
      </c>
      <c r="K177" s="32">
        <v>6.5478247873310377E-5</v>
      </c>
    </row>
    <row r="178" spans="1:11" x14ac:dyDescent="0.25">
      <c r="A178" s="16" t="s">
        <v>3632</v>
      </c>
      <c r="B178" s="32" t="s">
        <v>444</v>
      </c>
      <c r="C178" s="32" t="s">
        <v>410</v>
      </c>
      <c r="D178" s="66" t="s">
        <v>411</v>
      </c>
      <c r="E178" s="66" t="s">
        <v>412</v>
      </c>
      <c r="F178" s="66" t="s">
        <v>125</v>
      </c>
      <c r="G178" s="32">
        <v>0</v>
      </c>
      <c r="H178" s="32">
        <v>0</v>
      </c>
      <c r="I178" s="84">
        <v>-4.4361600000000001</v>
      </c>
      <c r="J178" s="32">
        <v>-2.7704734182134835E-4</v>
      </c>
      <c r="K178" s="32">
        <v>-1.8273344268137936E-5</v>
      </c>
    </row>
    <row r="179" spans="1:11" x14ac:dyDescent="0.25">
      <c r="A179" s="16" t="s">
        <v>3665</v>
      </c>
      <c r="B179" s="32" t="s">
        <v>445</v>
      </c>
      <c r="C179" s="32" t="s">
        <v>446</v>
      </c>
      <c r="D179" s="66" t="s">
        <v>411</v>
      </c>
      <c r="E179" s="66" t="s">
        <v>412</v>
      </c>
      <c r="F179" s="66" t="s">
        <v>125</v>
      </c>
      <c r="G179" s="32">
        <v>0</v>
      </c>
      <c r="H179" s="32">
        <v>0</v>
      </c>
      <c r="I179" s="84">
        <v>-38.020160000000004</v>
      </c>
      <c r="J179" s="32">
        <v>-2.3744374106484793E-3</v>
      </c>
      <c r="K179" s="32">
        <v>-1.5661190597491688E-4</v>
      </c>
    </row>
    <row r="180" spans="1:11" x14ac:dyDescent="0.25">
      <c r="A180" s="16" t="s">
        <v>3676</v>
      </c>
      <c r="B180" s="32" t="s">
        <v>447</v>
      </c>
      <c r="C180" s="32" t="s">
        <v>410</v>
      </c>
      <c r="D180" s="66" t="s">
        <v>411</v>
      </c>
      <c r="E180" s="66" t="s">
        <v>412</v>
      </c>
      <c r="F180" s="66" t="s">
        <v>255</v>
      </c>
      <c r="G180" s="32">
        <v>0</v>
      </c>
      <c r="H180" s="32">
        <v>0</v>
      </c>
      <c r="I180" s="84">
        <v>-19.486429999999999</v>
      </c>
      <c r="J180" s="32">
        <v>-1.2169677453220302E-3</v>
      </c>
      <c r="K180" s="32">
        <v>-8.0268124672457956E-5</v>
      </c>
    </row>
    <row r="181" spans="1:11" x14ac:dyDescent="0.25">
      <c r="A181" s="16" t="s">
        <v>3633</v>
      </c>
      <c r="B181" s="32" t="s">
        <v>448</v>
      </c>
      <c r="C181" s="32" t="s">
        <v>410</v>
      </c>
      <c r="D181" s="66" t="s">
        <v>411</v>
      </c>
      <c r="E181" s="66" t="s">
        <v>412</v>
      </c>
      <c r="F181" s="66" t="s">
        <v>125</v>
      </c>
      <c r="G181" s="32">
        <v>0</v>
      </c>
      <c r="H181" s="32">
        <v>0</v>
      </c>
      <c r="I181" s="84">
        <v>10.936020000000001</v>
      </c>
      <c r="J181" s="32">
        <v>6.8297700513622194E-4</v>
      </c>
      <c r="K181" s="32">
        <v>4.5047441567310885E-5</v>
      </c>
    </row>
    <row r="182" spans="1:11" x14ac:dyDescent="0.25">
      <c r="A182" s="16" t="s">
        <v>3634</v>
      </c>
      <c r="B182" s="32" t="s">
        <v>449</v>
      </c>
      <c r="C182" s="32" t="s">
        <v>410</v>
      </c>
      <c r="D182" s="66" t="s">
        <v>411</v>
      </c>
      <c r="E182" s="66" t="s">
        <v>412</v>
      </c>
      <c r="F182" s="66" t="s">
        <v>125</v>
      </c>
      <c r="G182" s="32">
        <v>0</v>
      </c>
      <c r="H182" s="32">
        <v>0</v>
      </c>
      <c r="I182" s="84">
        <v>2.2769999999999999E-2</v>
      </c>
      <c r="J182" s="32">
        <v>1.4220334643637972E-6</v>
      </c>
      <c r="K182" s="32">
        <v>9.3793742557865537E-8</v>
      </c>
    </row>
    <row r="183" spans="1:11" x14ac:dyDescent="0.25">
      <c r="A183" s="16" t="s">
        <v>3634</v>
      </c>
      <c r="B183" s="32" t="s">
        <v>450</v>
      </c>
      <c r="C183" s="32" t="s">
        <v>410</v>
      </c>
      <c r="D183" s="66" t="s">
        <v>411</v>
      </c>
      <c r="E183" s="66" t="s">
        <v>412</v>
      </c>
      <c r="F183" s="66" t="s">
        <v>125</v>
      </c>
      <c r="G183" s="32">
        <v>0</v>
      </c>
      <c r="H183" s="32">
        <v>0</v>
      </c>
      <c r="I183" s="84">
        <v>470.43667999999997</v>
      </c>
      <c r="J183" s="32">
        <v>2.937974096724651E-2</v>
      </c>
      <c r="K183" s="32">
        <v>1.9378136518971001E-3</v>
      </c>
    </row>
    <row r="184" spans="1:11" x14ac:dyDescent="0.25">
      <c r="A184" s="16" t="s">
        <v>3635</v>
      </c>
      <c r="B184" s="32" t="s">
        <v>451</v>
      </c>
      <c r="C184" s="32" t="s">
        <v>410</v>
      </c>
      <c r="D184" s="66" t="s">
        <v>411</v>
      </c>
      <c r="E184" s="66" t="s">
        <v>412</v>
      </c>
      <c r="F184" s="66" t="s">
        <v>126</v>
      </c>
      <c r="G184" s="32">
        <v>0</v>
      </c>
      <c r="H184" s="32">
        <v>0</v>
      </c>
      <c r="I184" s="84">
        <v>65.232950000000002</v>
      </c>
      <c r="J184" s="32">
        <v>4.0739322740083609E-3</v>
      </c>
      <c r="K184" s="32">
        <v>2.687063029683845E-4</v>
      </c>
    </row>
    <row r="185" spans="1:11" x14ac:dyDescent="0.25">
      <c r="A185" s="16" t="s">
        <v>3636</v>
      </c>
      <c r="B185" s="32" t="s">
        <v>452</v>
      </c>
      <c r="C185" s="32" t="s">
        <v>410</v>
      </c>
      <c r="D185" s="66" t="s">
        <v>411</v>
      </c>
      <c r="E185" s="66" t="s">
        <v>412</v>
      </c>
      <c r="F185" s="66" t="s">
        <v>422</v>
      </c>
      <c r="G185" s="32">
        <v>0</v>
      </c>
      <c r="H185" s="32">
        <v>0</v>
      </c>
      <c r="I185" s="84">
        <v>84.513339999999999</v>
      </c>
      <c r="J185" s="32">
        <v>5.2780323963616807E-3</v>
      </c>
      <c r="K185" s="32">
        <v>3.4812571166734123E-4</v>
      </c>
    </row>
    <row r="186" spans="1:11" s="119" customFormat="1" x14ac:dyDescent="0.25">
      <c r="A186" s="78" t="s">
        <v>241</v>
      </c>
      <c r="B186" s="125"/>
      <c r="C186" s="125"/>
      <c r="D186" s="125"/>
      <c r="E186" s="126"/>
      <c r="F186" s="127"/>
      <c r="G186" s="128"/>
      <c r="H186" s="129"/>
      <c r="I186" s="128"/>
      <c r="J186" s="130"/>
    </row>
    <row r="187" spans="1:11" s="119" customFormat="1" x14ac:dyDescent="0.25">
      <c r="A187" s="78" t="s">
        <v>242</v>
      </c>
      <c r="B187" s="125"/>
      <c r="C187" s="125"/>
      <c r="D187" s="125"/>
      <c r="E187" s="126"/>
      <c r="F187" s="127"/>
      <c r="G187" s="128"/>
      <c r="H187" s="129"/>
      <c r="I187" s="128"/>
      <c r="J187" s="130"/>
    </row>
    <row r="188" spans="1:11" s="119" customFormat="1" x14ac:dyDescent="0.25">
      <c r="A188" s="78" t="s">
        <v>243</v>
      </c>
      <c r="B188" s="125"/>
      <c r="C188" s="125"/>
      <c r="D188" s="125"/>
      <c r="E188" s="126"/>
      <c r="F188" s="127"/>
      <c r="G188" s="128"/>
      <c r="H188" s="129"/>
      <c r="I188" s="128"/>
      <c r="J188" s="130"/>
    </row>
    <row r="189" spans="1:11" s="119" customFormat="1" x14ac:dyDescent="0.25">
      <c r="A189" s="78" t="s">
        <v>244</v>
      </c>
      <c r="B189" s="125"/>
      <c r="C189" s="125"/>
      <c r="D189" s="125"/>
      <c r="E189" s="126"/>
      <c r="F189" s="127"/>
      <c r="G189" s="128"/>
      <c r="H189" s="129"/>
      <c r="I189" s="128"/>
      <c r="J189" s="130"/>
    </row>
    <row r="190" spans="1:11" s="119" customFormat="1" x14ac:dyDescent="0.25">
      <c r="A190" s="78" t="s">
        <v>245</v>
      </c>
      <c r="B190" s="125"/>
      <c r="C190" s="125"/>
      <c r="D190" s="125"/>
      <c r="E190" s="126"/>
      <c r="F190" s="127"/>
      <c r="G190" s="128"/>
      <c r="H190" s="129"/>
      <c r="I190" s="128"/>
      <c r="J190" s="130"/>
    </row>
  </sheetData>
  <mergeCells count="1">
    <mergeCell ref="A4:K4"/>
  </mergeCells>
  <phoneticPr fontId="3" type="noConversion"/>
  <conditionalFormatting sqref="A9:A185 I9:K185">
    <cfRule type="expression" dxfId="129" priority="43" stopIfTrue="1">
      <formula>OR(LEFT(#REF!,3)="TIR",LEFT(#REF!,2)="IR")</formula>
    </cfRule>
  </conditionalFormatting>
  <conditionalFormatting sqref="B9:F185 J9:K185">
    <cfRule type="expression" dxfId="128" priority="39" stopIfTrue="1">
      <formula>LEFT(#REF!,3)="TIR"</formula>
    </cfRule>
  </conditionalFormatting>
  <conditionalFormatting sqref="G1:G3 G9:H185 G186:G55720">
    <cfRule type="expression" dxfId="127" priority="35" stopIfTrue="1">
      <formula>LEFT(#REF!,3)="TIR"</formula>
    </cfRule>
  </conditionalFormatting>
  <conditionalFormatting sqref="G5">
    <cfRule type="expression" dxfId="126" priority="38" stopIfTrue="1">
      <formula>LEFT(#REF!,3)="TIR"</formula>
    </cfRule>
  </conditionalFormatting>
  <conditionalFormatting sqref="I9:J185 A9:A185">
    <cfRule type="expression" dxfId="125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5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5.109375" style="8" bestFit="1" customWidth="1"/>
    <col min="3" max="3" width="12.33203125" style="8" customWidth="1"/>
    <col min="4" max="4" width="7.5546875" style="8" customWidth="1"/>
    <col min="5" max="5" width="11.109375" style="59" customWidth="1"/>
    <col min="6" max="6" width="14.109375" style="59" customWidth="1"/>
    <col min="7" max="7" width="7.88671875" style="59" customWidth="1"/>
    <col min="8" max="8" width="12" style="36" bestFit="1" customWidth="1"/>
    <col min="9" max="9" width="12.5546875" style="61" customWidth="1"/>
    <col min="10" max="10" width="14.109375" style="63" customWidth="1"/>
    <col min="11" max="11" width="12.44140625" style="63" bestFit="1" customWidth="1"/>
    <col min="12" max="12" width="8.88671875" style="63" bestFit="1" customWidth="1"/>
    <col min="13" max="13" width="16.5546875" style="63" customWidth="1"/>
    <col min="14" max="14" width="11.33203125" style="61" bestFit="1" customWidth="1"/>
    <col min="15" max="15" width="22" style="61" customWidth="1"/>
    <col min="16" max="16" width="25.44140625" style="61" customWidth="1"/>
    <col min="17" max="17" width="20.6640625" style="65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2"/>
      <c r="K1" s="62"/>
      <c r="L1" s="62"/>
      <c r="M1" s="62"/>
      <c r="N1" s="61"/>
      <c r="O1" s="61"/>
      <c r="P1" s="61"/>
      <c r="Q1" s="65"/>
    </row>
    <row r="2" spans="1:17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2"/>
      <c r="K2" s="62"/>
      <c r="L2" s="62"/>
      <c r="M2" s="62"/>
      <c r="N2" s="61"/>
      <c r="O2" s="61"/>
      <c r="P2" s="61"/>
      <c r="Q2" s="65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2"/>
      <c r="K3" s="62"/>
      <c r="L3" s="62"/>
      <c r="M3" s="62"/>
      <c r="N3" s="61"/>
      <c r="O3" s="61"/>
      <c r="P3" s="61"/>
      <c r="Q3" s="65"/>
    </row>
    <row r="4" spans="1:17" s="7" customFormat="1" ht="13.8" thickBot="1" x14ac:dyDescent="0.3">
      <c r="A4" s="224" t="s">
        <v>11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6"/>
    </row>
    <row r="5" spans="1:17" s="7" customFormat="1" x14ac:dyDescent="0.25">
      <c r="A5" s="227" t="s">
        <v>12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9"/>
    </row>
    <row r="6" spans="1:17" s="7" customFormat="1" ht="28.5" customHeight="1" x14ac:dyDescent="0.25">
      <c r="A6" s="208" t="s">
        <v>157</v>
      </c>
      <c r="B6" s="206" t="s">
        <v>69</v>
      </c>
      <c r="C6" s="206" t="s">
        <v>76</v>
      </c>
      <c r="D6" s="206" t="s">
        <v>70</v>
      </c>
      <c r="E6" s="206" t="s">
        <v>5</v>
      </c>
      <c r="F6" s="206" t="s">
        <v>13</v>
      </c>
      <c r="G6" s="206" t="s">
        <v>14</v>
      </c>
      <c r="H6" s="206" t="s">
        <v>6</v>
      </c>
      <c r="I6" s="207" t="s">
        <v>66</v>
      </c>
      <c r="J6" s="207" t="s">
        <v>71</v>
      </c>
      <c r="K6" s="207" t="s">
        <v>67</v>
      </c>
      <c r="L6" s="207" t="s">
        <v>68</v>
      </c>
      <c r="M6" s="207" t="s">
        <v>134</v>
      </c>
      <c r="N6" s="207" t="s">
        <v>7</v>
      </c>
      <c r="O6" s="89" t="s">
        <v>17</v>
      </c>
      <c r="P6" s="89" t="s">
        <v>75</v>
      </c>
      <c r="Q6" s="90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9" customFormat="1" ht="12.75" customHeight="1" thickBot="1" x14ac:dyDescent="0.3">
      <c r="A9" s="100" t="s">
        <v>52</v>
      </c>
      <c r="B9" s="67"/>
      <c r="C9" s="67"/>
      <c r="D9" s="101"/>
      <c r="E9" s="101"/>
      <c r="F9" s="101"/>
      <c r="G9" s="101"/>
      <c r="H9" s="101"/>
      <c r="I9" s="67"/>
      <c r="J9" s="67"/>
      <c r="K9" s="104"/>
      <c r="L9" s="101"/>
      <c r="M9" s="101" t="s">
        <v>249</v>
      </c>
      <c r="N9" s="105">
        <v>49834.6865407</v>
      </c>
      <c r="O9" s="67"/>
      <c r="P9" s="67">
        <v>1</v>
      </c>
      <c r="Q9" s="81">
        <v>0.2052780746530673</v>
      </c>
    </row>
    <row r="10" spans="1:17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1" t="s">
        <v>249</v>
      </c>
      <c r="I10" s="131" t="s">
        <v>249</v>
      </c>
      <c r="J10" s="131" t="s">
        <v>249</v>
      </c>
      <c r="K10" s="133" t="s">
        <v>249</v>
      </c>
      <c r="L10" s="122" t="s">
        <v>249</v>
      </c>
      <c r="M10" s="122" t="s">
        <v>249</v>
      </c>
      <c r="N10" s="134">
        <v>42502.403890500005</v>
      </c>
      <c r="O10" s="121" t="s">
        <v>249</v>
      </c>
      <c r="P10" s="121">
        <v>0.85286788862990592</v>
      </c>
      <c r="Q10" s="121">
        <v>0.17507507811137374</v>
      </c>
    </row>
    <row r="11" spans="1:17" s="119" customFormat="1" x14ac:dyDescent="0.25">
      <c r="A11" s="92" t="s">
        <v>453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1" t="s">
        <v>249</v>
      </c>
      <c r="I11" s="131" t="s">
        <v>249</v>
      </c>
      <c r="J11" s="131" t="s">
        <v>249</v>
      </c>
      <c r="K11" s="135" t="s">
        <v>249</v>
      </c>
      <c r="L11" s="136" t="s">
        <v>249</v>
      </c>
      <c r="M11" s="136" t="s">
        <v>249</v>
      </c>
      <c r="N11" s="124">
        <v>26341.407100099997</v>
      </c>
      <c r="O11" s="137"/>
      <c r="P11" s="121">
        <v>0.52857575573565529</v>
      </c>
      <c r="Q11" s="121">
        <v>0.10850501344570535</v>
      </c>
    </row>
    <row r="12" spans="1:17" x14ac:dyDescent="0.25">
      <c r="A12" s="16" t="s">
        <v>480</v>
      </c>
      <c r="B12" s="117" t="s">
        <v>481</v>
      </c>
      <c r="C12" s="117" t="s">
        <v>456</v>
      </c>
      <c r="D12" s="117" t="s">
        <v>411</v>
      </c>
      <c r="E12" s="117" t="s">
        <v>412</v>
      </c>
      <c r="F12" s="117" t="s">
        <v>482</v>
      </c>
      <c r="G12" s="118">
        <v>0</v>
      </c>
      <c r="H12" s="117" t="s">
        <v>255</v>
      </c>
      <c r="I12" s="117">
        <v>0</v>
      </c>
      <c r="J12" s="117">
        <v>0</v>
      </c>
      <c r="K12" s="69">
        <v>-697521.57539436</v>
      </c>
      <c r="L12" s="60">
        <v>103.2394</v>
      </c>
      <c r="M12" s="60">
        <v>0</v>
      </c>
      <c r="N12" s="84">
        <v>-720.11708999999996</v>
      </c>
      <c r="O12" s="24">
        <v>0</v>
      </c>
      <c r="P12" s="32">
        <v>-1.4450117779147264E-2</v>
      </c>
      <c r="Q12" s="32">
        <v>-2.9662923562134074E-3</v>
      </c>
    </row>
    <row r="13" spans="1:17" x14ac:dyDescent="0.25">
      <c r="A13" s="16" t="s">
        <v>483</v>
      </c>
      <c r="B13" s="117" t="s">
        <v>484</v>
      </c>
      <c r="C13" s="117" t="s">
        <v>456</v>
      </c>
      <c r="D13" s="117" t="s">
        <v>411</v>
      </c>
      <c r="E13" s="117" t="s">
        <v>412</v>
      </c>
      <c r="F13" s="117" t="s">
        <v>485</v>
      </c>
      <c r="G13" s="118">
        <v>0</v>
      </c>
      <c r="H13" s="117" t="s">
        <v>255</v>
      </c>
      <c r="I13" s="117">
        <v>0</v>
      </c>
      <c r="J13" s="117">
        <v>0</v>
      </c>
      <c r="K13" s="69">
        <v>-558017.26031548798</v>
      </c>
      <c r="L13" s="60">
        <v>106.00689999999999</v>
      </c>
      <c r="M13" s="60">
        <v>0</v>
      </c>
      <c r="N13" s="84">
        <v>-591.53680000000008</v>
      </c>
      <c r="O13" s="24">
        <v>0</v>
      </c>
      <c r="P13" s="32">
        <v>-1.1869981353587761E-2</v>
      </c>
      <c r="Q13" s="32">
        <v>-2.4366469184323057E-3</v>
      </c>
    </row>
    <row r="14" spans="1:17" x14ac:dyDescent="0.25">
      <c r="A14" s="16" t="s">
        <v>454</v>
      </c>
      <c r="B14" s="117" t="s">
        <v>455</v>
      </c>
      <c r="C14" s="117" t="s">
        <v>456</v>
      </c>
      <c r="D14" s="117" t="s">
        <v>457</v>
      </c>
      <c r="E14" s="117" t="s">
        <v>218</v>
      </c>
      <c r="F14" s="117" t="s">
        <v>458</v>
      </c>
      <c r="G14" s="118">
        <v>14.71</v>
      </c>
      <c r="H14" s="117" t="s">
        <v>255</v>
      </c>
      <c r="I14" s="117">
        <v>2.75E-2</v>
      </c>
      <c r="J14" s="117">
        <v>1.54E-2</v>
      </c>
      <c r="K14" s="69">
        <v>1727.4568228449577</v>
      </c>
      <c r="L14" s="60">
        <v>141.94</v>
      </c>
      <c r="M14" s="69">
        <v>0</v>
      </c>
      <c r="N14" s="84">
        <v>2.4519499999999996</v>
      </c>
      <c r="O14" s="24">
        <v>9.6315129282385436E-8</v>
      </c>
      <c r="P14" s="32">
        <v>4.9201673978574975E-5</v>
      </c>
      <c r="Q14" s="32">
        <v>1.0100024904029793E-5</v>
      </c>
    </row>
    <row r="15" spans="1:17" x14ac:dyDescent="0.25">
      <c r="A15" s="16" t="s">
        <v>459</v>
      </c>
      <c r="B15" s="117" t="s">
        <v>460</v>
      </c>
      <c r="C15" s="117" t="s">
        <v>456</v>
      </c>
      <c r="D15" s="117" t="s">
        <v>457</v>
      </c>
      <c r="E15" s="117" t="s">
        <v>218</v>
      </c>
      <c r="F15" s="117" t="s">
        <v>461</v>
      </c>
      <c r="G15" s="118">
        <v>2.0699999999999998</v>
      </c>
      <c r="H15" s="117" t="s">
        <v>255</v>
      </c>
      <c r="I15" s="117">
        <v>7.4999999999999997E-3</v>
      </c>
      <c r="J15" s="117">
        <v>1.7399999999999999E-2</v>
      </c>
      <c r="K15" s="69">
        <v>7979258.9502940057</v>
      </c>
      <c r="L15" s="60">
        <v>110.35999999999999</v>
      </c>
      <c r="M15" s="60">
        <v>0</v>
      </c>
      <c r="N15" s="84">
        <v>8805.9101799999989</v>
      </c>
      <c r="O15" s="24">
        <v>3.6462902726163777E-4</v>
      </c>
      <c r="P15" s="32">
        <v>0.17670242939740796</v>
      </c>
      <c r="Q15" s="32">
        <v>3.6273134493219471E-2</v>
      </c>
    </row>
    <row r="16" spans="1:17" x14ac:dyDescent="0.25">
      <c r="A16" s="16" t="s">
        <v>462</v>
      </c>
      <c r="B16" s="117" t="s">
        <v>463</v>
      </c>
      <c r="C16" s="117" t="s">
        <v>456</v>
      </c>
      <c r="D16" s="117" t="s">
        <v>457</v>
      </c>
      <c r="E16" s="117" t="s">
        <v>218</v>
      </c>
      <c r="F16" s="117" t="s">
        <v>464</v>
      </c>
      <c r="G16" s="118">
        <v>3.63</v>
      </c>
      <c r="H16" s="117" t="s">
        <v>255</v>
      </c>
      <c r="I16" s="117">
        <v>7.4999999999999997E-3</v>
      </c>
      <c r="J16" s="117">
        <v>1.5600000000000001E-2</v>
      </c>
      <c r="K16" s="69">
        <v>2707829.7472981531</v>
      </c>
      <c r="L16" s="60">
        <v>109.59</v>
      </c>
      <c r="M16" s="60">
        <v>0</v>
      </c>
      <c r="N16" s="84">
        <v>2967.51062</v>
      </c>
      <c r="O16" s="24">
        <v>1.3522878948380162E-4</v>
      </c>
      <c r="P16" s="32">
        <v>5.9547091112461065E-2</v>
      </c>
      <c r="Q16" s="32">
        <v>1.2223712214756783E-2</v>
      </c>
    </row>
    <row r="17" spans="1:17" x14ac:dyDescent="0.25">
      <c r="A17" s="16" t="s">
        <v>465</v>
      </c>
      <c r="B17" s="117" t="s">
        <v>466</v>
      </c>
      <c r="C17" s="117" t="s">
        <v>456</v>
      </c>
      <c r="D17" s="117" t="s">
        <v>457</v>
      </c>
      <c r="E17" s="117" t="s">
        <v>218</v>
      </c>
      <c r="F17" s="117" t="s">
        <v>467</v>
      </c>
      <c r="G17" s="118">
        <v>5.6</v>
      </c>
      <c r="H17" s="117" t="s">
        <v>255</v>
      </c>
      <c r="I17" s="117">
        <v>5.0000000000000001E-3</v>
      </c>
      <c r="J17" s="117">
        <v>1.4999999999999999E-2</v>
      </c>
      <c r="K17" s="69">
        <v>3060450.3069038996</v>
      </c>
      <c r="L17" s="60">
        <v>105.57</v>
      </c>
      <c r="M17" s="60">
        <v>0</v>
      </c>
      <c r="N17" s="84">
        <v>3230.9173900000001</v>
      </c>
      <c r="O17" s="24">
        <v>1.5137557931733819E-4</v>
      </c>
      <c r="P17" s="32">
        <v>6.4832702165414619E-2</v>
      </c>
      <c r="Q17" s="32">
        <v>1.3308732275072063E-2</v>
      </c>
    </row>
    <row r="18" spans="1:17" x14ac:dyDescent="0.25">
      <c r="A18" s="16" t="s">
        <v>468</v>
      </c>
      <c r="B18" s="117" t="s">
        <v>469</v>
      </c>
      <c r="C18" s="117" t="s">
        <v>456</v>
      </c>
      <c r="D18" s="117" t="s">
        <v>457</v>
      </c>
      <c r="E18" s="117" t="s">
        <v>218</v>
      </c>
      <c r="F18" s="117" t="s">
        <v>470</v>
      </c>
      <c r="G18" s="118">
        <v>25.83</v>
      </c>
      <c r="H18" s="117" t="s">
        <v>255</v>
      </c>
      <c r="I18" s="117">
        <v>5.0000000000000001E-3</v>
      </c>
      <c r="J18" s="117">
        <v>1.66E-2</v>
      </c>
      <c r="K18" s="69">
        <v>67093.160652651874</v>
      </c>
      <c r="L18" s="60">
        <v>82.95</v>
      </c>
      <c r="M18" s="60">
        <v>0</v>
      </c>
      <c r="N18" s="84">
        <v>55.653779999999998</v>
      </c>
      <c r="O18" s="24">
        <v>1.0872578644249241E-5</v>
      </c>
      <c r="P18" s="32">
        <v>1.1167679354127679E-3</v>
      </c>
      <c r="Q18" s="32">
        <v>2.2924797161581406E-4</v>
      </c>
    </row>
    <row r="19" spans="1:17" x14ac:dyDescent="0.25">
      <c r="A19" s="16" t="s">
        <v>471</v>
      </c>
      <c r="B19" s="117" t="s">
        <v>472</v>
      </c>
      <c r="C19" s="117" t="s">
        <v>456</v>
      </c>
      <c r="D19" s="117" t="s">
        <v>457</v>
      </c>
      <c r="E19" s="117" t="s">
        <v>218</v>
      </c>
      <c r="F19" s="117" t="s">
        <v>473</v>
      </c>
      <c r="G19" s="118">
        <v>2.84</v>
      </c>
      <c r="H19" s="117" t="s">
        <v>255</v>
      </c>
      <c r="I19" s="117">
        <v>1E-3</v>
      </c>
      <c r="J19" s="117">
        <v>1.6399999999999998E-2</v>
      </c>
      <c r="K19" s="69">
        <v>3694140.2516196491</v>
      </c>
      <c r="L19" s="60">
        <v>106.72</v>
      </c>
      <c r="M19" s="60">
        <v>0</v>
      </c>
      <c r="N19" s="84">
        <v>3942.3864800000001</v>
      </c>
      <c r="O19" s="24">
        <v>4.2810663084872676E-4</v>
      </c>
      <c r="P19" s="32">
        <v>7.9109286195273881E-2</v>
      </c>
      <c r="Q19" s="32">
        <v>1.6239401957344302E-2</v>
      </c>
    </row>
    <row r="20" spans="1:17" x14ac:dyDescent="0.25">
      <c r="A20" s="16" t="s">
        <v>474</v>
      </c>
      <c r="B20" s="117" t="s">
        <v>475</v>
      </c>
      <c r="C20" s="117" t="s">
        <v>456</v>
      </c>
      <c r="D20" s="117" t="s">
        <v>457</v>
      </c>
      <c r="E20" s="117" t="s">
        <v>218</v>
      </c>
      <c r="F20" s="117" t="s">
        <v>476</v>
      </c>
      <c r="G20" s="118">
        <v>8.14</v>
      </c>
      <c r="H20" s="117" t="s">
        <v>255</v>
      </c>
      <c r="I20" s="117">
        <v>1E-3</v>
      </c>
      <c r="J20" s="117">
        <v>1.52E-2</v>
      </c>
      <c r="K20" s="69">
        <v>8159668.4611622784</v>
      </c>
      <c r="L20" s="60">
        <v>99.42</v>
      </c>
      <c r="M20" s="60">
        <v>0</v>
      </c>
      <c r="N20" s="84">
        <v>8112.34238</v>
      </c>
      <c r="O20" s="24">
        <v>1.1465475868425337E-3</v>
      </c>
      <c r="P20" s="32">
        <v>0.16278505882393074</v>
      </c>
      <c r="Q20" s="32">
        <v>3.3416203457662809E-2</v>
      </c>
    </row>
    <row r="21" spans="1:17" x14ac:dyDescent="0.25">
      <c r="A21" s="16" t="s">
        <v>477</v>
      </c>
      <c r="B21" s="117" t="s">
        <v>478</v>
      </c>
      <c r="C21" s="117" t="s">
        <v>456</v>
      </c>
      <c r="D21" s="117" t="s">
        <v>457</v>
      </c>
      <c r="E21" s="117" t="s">
        <v>218</v>
      </c>
      <c r="F21" s="117" t="s">
        <v>479</v>
      </c>
      <c r="G21" s="118">
        <v>4.97</v>
      </c>
      <c r="H21" s="117" t="s">
        <v>255</v>
      </c>
      <c r="I21" s="117">
        <v>1.1000000000000001E-2</v>
      </c>
      <c r="J21" s="117">
        <v>1.4999999999999999E-2</v>
      </c>
      <c r="K21" s="69">
        <v>541137.23819094454</v>
      </c>
      <c r="L21" s="60">
        <v>99.03</v>
      </c>
      <c r="M21" s="60">
        <v>0</v>
      </c>
      <c r="N21" s="84">
        <v>535.88820999999996</v>
      </c>
      <c r="O21" s="24">
        <v>2.042816689131742E-4</v>
      </c>
      <c r="P21" s="32">
        <v>1.0753317562504179E-2</v>
      </c>
      <c r="Q21" s="32">
        <v>2.2074203253638729E-3</v>
      </c>
    </row>
    <row r="22" spans="1:17" s="119" customFormat="1" x14ac:dyDescent="0.25">
      <c r="A22" s="92" t="s">
        <v>139</v>
      </c>
      <c r="B22" s="131" t="s">
        <v>249</v>
      </c>
      <c r="C22" s="131" t="s">
        <v>249</v>
      </c>
      <c r="D22" s="131" t="s">
        <v>249</v>
      </c>
      <c r="E22" s="131" t="s">
        <v>249</v>
      </c>
      <c r="F22" s="131" t="s">
        <v>249</v>
      </c>
      <c r="G22" s="132" t="s">
        <v>249</v>
      </c>
      <c r="H22" s="131" t="s">
        <v>249</v>
      </c>
      <c r="I22" s="131" t="s">
        <v>249</v>
      </c>
      <c r="J22" s="131" t="s">
        <v>249</v>
      </c>
      <c r="K22" s="135" t="s">
        <v>249</v>
      </c>
      <c r="L22" s="136" t="s">
        <v>249</v>
      </c>
      <c r="M22" s="136" t="s">
        <v>249</v>
      </c>
      <c r="N22" s="124">
        <v>16160.996790299998</v>
      </c>
      <c r="O22" s="137"/>
      <c r="P22" s="121">
        <v>0.32429213289224379</v>
      </c>
      <c r="Q22" s="121">
        <v>6.6570064665256445E-2</v>
      </c>
    </row>
    <row r="23" spans="1:17" s="119" customFormat="1" x14ac:dyDescent="0.25">
      <c r="A23" s="92" t="s">
        <v>486</v>
      </c>
      <c r="B23" s="131" t="s">
        <v>249</v>
      </c>
      <c r="C23" s="131" t="s">
        <v>249</v>
      </c>
      <c r="D23" s="131" t="s">
        <v>249</v>
      </c>
      <c r="E23" s="131" t="s">
        <v>249</v>
      </c>
      <c r="F23" s="131" t="s">
        <v>249</v>
      </c>
      <c r="G23" s="132" t="s">
        <v>249</v>
      </c>
      <c r="H23" s="131" t="s">
        <v>249</v>
      </c>
      <c r="I23" s="131" t="s">
        <v>249</v>
      </c>
      <c r="J23" s="131" t="s">
        <v>249</v>
      </c>
      <c r="K23" s="135" t="s">
        <v>249</v>
      </c>
      <c r="L23" s="136" t="s">
        <v>249</v>
      </c>
      <c r="M23" s="136" t="s">
        <v>249</v>
      </c>
      <c r="N23" s="124">
        <v>2424.8412901000002</v>
      </c>
      <c r="O23" s="137"/>
      <c r="P23" s="121">
        <v>4.8657701260338651E-2</v>
      </c>
      <c r="Q23" s="121">
        <v>9.9883592317664451E-3</v>
      </c>
    </row>
    <row r="24" spans="1:17" x14ac:dyDescent="0.25">
      <c r="A24" s="16" t="s">
        <v>487</v>
      </c>
      <c r="B24" s="117" t="s">
        <v>488</v>
      </c>
      <c r="C24" s="117" t="s">
        <v>456</v>
      </c>
      <c r="D24" s="117" t="s">
        <v>457</v>
      </c>
      <c r="E24" s="117" t="s">
        <v>218</v>
      </c>
      <c r="F24" s="117" t="s">
        <v>489</v>
      </c>
      <c r="G24" s="118">
        <v>0.26</v>
      </c>
      <c r="H24" s="117" t="s">
        <v>255</v>
      </c>
      <c r="I24" s="117">
        <v>0</v>
      </c>
      <c r="J24" s="117">
        <v>4.7800000000000002E-2</v>
      </c>
      <c r="K24" s="69">
        <v>702719.70888985624</v>
      </c>
      <c r="L24" s="60">
        <v>98.78</v>
      </c>
      <c r="M24" s="60">
        <v>0</v>
      </c>
      <c r="N24" s="84">
        <v>694.14652999999998</v>
      </c>
      <c r="O24" s="24">
        <v>2.0668226732054595E-5</v>
      </c>
      <c r="P24" s="32">
        <v>1.3928983569167037E-2</v>
      </c>
      <c r="Q24" s="32">
        <v>2.8593149289528191E-3</v>
      </c>
    </row>
    <row r="25" spans="1:17" x14ac:dyDescent="0.25">
      <c r="A25" s="16" t="s">
        <v>490</v>
      </c>
      <c r="B25" s="117" t="s">
        <v>491</v>
      </c>
      <c r="C25" s="117" t="s">
        <v>456</v>
      </c>
      <c r="D25" s="117" t="s">
        <v>457</v>
      </c>
      <c r="E25" s="117" t="s">
        <v>218</v>
      </c>
      <c r="F25" s="117" t="s">
        <v>492</v>
      </c>
      <c r="G25" s="118">
        <v>0.44</v>
      </c>
      <c r="H25" s="117" t="s">
        <v>255</v>
      </c>
      <c r="I25" s="117">
        <v>0</v>
      </c>
      <c r="J25" s="117">
        <v>4.82E-2</v>
      </c>
      <c r="K25" s="69">
        <v>435554.07657785603</v>
      </c>
      <c r="L25" s="60">
        <v>97.97</v>
      </c>
      <c r="M25" s="60">
        <v>0</v>
      </c>
      <c r="N25" s="84">
        <v>426.71233000000001</v>
      </c>
      <c r="O25" s="24">
        <v>1.4050131502511486E-5</v>
      </c>
      <c r="P25" s="32">
        <v>8.5625567174282095E-3</v>
      </c>
      <c r="Q25" s="32">
        <v>1.7577051570613512E-3</v>
      </c>
    </row>
    <row r="26" spans="1:17" x14ac:dyDescent="0.25">
      <c r="A26" s="16" t="s">
        <v>493</v>
      </c>
      <c r="B26" s="117" t="s">
        <v>494</v>
      </c>
      <c r="C26" s="117" t="s">
        <v>456</v>
      </c>
      <c r="D26" s="117" t="s">
        <v>457</v>
      </c>
      <c r="E26" s="117" t="s">
        <v>218</v>
      </c>
      <c r="F26" s="117" t="s">
        <v>495</v>
      </c>
      <c r="G26" s="118">
        <v>0.51</v>
      </c>
      <c r="H26" s="117" t="s">
        <v>255</v>
      </c>
      <c r="I26" s="117">
        <v>0</v>
      </c>
      <c r="J26" s="117">
        <v>4.7699999999999992E-2</v>
      </c>
      <c r="K26" s="69">
        <v>407197.15322288737</v>
      </c>
      <c r="L26" s="60">
        <v>97.64</v>
      </c>
      <c r="M26" s="60">
        <v>0</v>
      </c>
      <c r="N26" s="84">
        <v>397.58729999999997</v>
      </c>
      <c r="O26" s="24">
        <v>2.0359857661144368E-5</v>
      </c>
      <c r="P26" s="32">
        <v>7.9781238249645725E-3</v>
      </c>
      <c r="Q26" s="32">
        <v>1.6377338981324924E-3</v>
      </c>
    </row>
    <row r="27" spans="1:17" x14ac:dyDescent="0.25">
      <c r="A27" s="16" t="s">
        <v>496</v>
      </c>
      <c r="B27" s="117" t="s">
        <v>497</v>
      </c>
      <c r="C27" s="117" t="s">
        <v>456</v>
      </c>
      <c r="D27" s="117" t="s">
        <v>457</v>
      </c>
      <c r="E27" s="117" t="s">
        <v>218</v>
      </c>
      <c r="F27" s="117" t="s">
        <v>498</v>
      </c>
      <c r="G27" s="118">
        <v>0.93</v>
      </c>
      <c r="H27" s="117" t="s">
        <v>255</v>
      </c>
      <c r="I27" s="117">
        <v>0</v>
      </c>
      <c r="J27" s="117">
        <v>4.7899999999999998E-2</v>
      </c>
      <c r="K27" s="69">
        <v>614094.7862942284</v>
      </c>
      <c r="L27" s="60">
        <v>95.72</v>
      </c>
      <c r="M27" s="60">
        <v>0</v>
      </c>
      <c r="N27" s="84">
        <v>587.81153000000006</v>
      </c>
      <c r="O27" s="24">
        <v>3.4116377016346023E-5</v>
      </c>
      <c r="P27" s="32">
        <v>1.1795228801528312E-2</v>
      </c>
      <c r="Q27" s="32">
        <v>2.421301858470139E-3</v>
      </c>
    </row>
    <row r="28" spans="1:17" x14ac:dyDescent="0.25">
      <c r="A28" s="16" t="s">
        <v>499</v>
      </c>
      <c r="B28" s="117" t="s">
        <v>500</v>
      </c>
      <c r="C28" s="117" t="s">
        <v>456</v>
      </c>
      <c r="D28" s="117" t="s">
        <v>457</v>
      </c>
      <c r="E28" s="117" t="s">
        <v>218</v>
      </c>
      <c r="F28" s="117" t="s">
        <v>501</v>
      </c>
      <c r="G28" s="118">
        <v>0.68</v>
      </c>
      <c r="H28" s="117" t="s">
        <v>255</v>
      </c>
      <c r="I28" s="117">
        <v>0</v>
      </c>
      <c r="J28" s="117">
        <v>4.8000000000000001E-2</v>
      </c>
      <c r="K28" s="69">
        <v>328979.34980047948</v>
      </c>
      <c r="L28" s="60">
        <v>96.84</v>
      </c>
      <c r="M28" s="60">
        <v>0</v>
      </c>
      <c r="N28" s="84">
        <v>318.58359999999999</v>
      </c>
      <c r="O28" s="24">
        <v>1.8276630544471084E-5</v>
      </c>
      <c r="P28" s="32">
        <v>6.3928083452438828E-3</v>
      </c>
      <c r="Q28" s="32">
        <v>1.3123033887377255E-3</v>
      </c>
    </row>
    <row r="29" spans="1:17" s="119" customFormat="1" x14ac:dyDescent="0.25">
      <c r="A29" s="92" t="s">
        <v>502</v>
      </c>
      <c r="B29" s="131" t="s">
        <v>249</v>
      </c>
      <c r="C29" s="131" t="s">
        <v>249</v>
      </c>
      <c r="D29" s="131" t="s">
        <v>249</v>
      </c>
      <c r="E29" s="131" t="s">
        <v>249</v>
      </c>
      <c r="F29" s="131" t="s">
        <v>249</v>
      </c>
      <c r="G29" s="132" t="s">
        <v>249</v>
      </c>
      <c r="H29" s="131" t="s">
        <v>249</v>
      </c>
      <c r="I29" s="131" t="s">
        <v>249</v>
      </c>
      <c r="J29" s="131" t="s">
        <v>249</v>
      </c>
      <c r="K29" s="135" t="s">
        <v>249</v>
      </c>
      <c r="L29" s="136" t="s">
        <v>249</v>
      </c>
      <c r="M29" s="136" t="s">
        <v>249</v>
      </c>
      <c r="N29" s="124">
        <v>11432.611600100001</v>
      </c>
      <c r="O29" s="137"/>
      <c r="P29" s="121">
        <v>0.22941072561503892</v>
      </c>
      <c r="Q29" s="121">
        <v>4.7092992059018304E-2</v>
      </c>
    </row>
    <row r="30" spans="1:17" x14ac:dyDescent="0.25">
      <c r="A30" s="16" t="s">
        <v>527</v>
      </c>
      <c r="B30" s="117" t="s">
        <v>528</v>
      </c>
      <c r="C30" s="117" t="s">
        <v>456</v>
      </c>
      <c r="D30" s="117" t="s">
        <v>411</v>
      </c>
      <c r="E30" s="117" t="s">
        <v>412</v>
      </c>
      <c r="F30" s="117" t="s">
        <v>529</v>
      </c>
      <c r="G30" s="118">
        <v>0</v>
      </c>
      <c r="H30" s="117" t="s">
        <v>255</v>
      </c>
      <c r="I30" s="117">
        <v>0</v>
      </c>
      <c r="J30" s="117">
        <v>0</v>
      </c>
      <c r="K30" s="69">
        <v>-548298.91633413255</v>
      </c>
      <c r="L30" s="60">
        <v>96.460400000000007</v>
      </c>
      <c r="M30" s="60">
        <v>0</v>
      </c>
      <c r="N30" s="84">
        <v>-528.89132999999993</v>
      </c>
      <c r="O30" s="24">
        <v>0</v>
      </c>
      <c r="P30" s="32">
        <v>-1.0612915756338796E-2</v>
      </c>
      <c r="Q30" s="32">
        <v>-2.1785989129164294E-3</v>
      </c>
    </row>
    <row r="31" spans="1:17" x14ac:dyDescent="0.25">
      <c r="A31" s="16" t="s">
        <v>530</v>
      </c>
      <c r="B31" s="117" t="s">
        <v>531</v>
      </c>
      <c r="C31" s="117" t="s">
        <v>456</v>
      </c>
      <c r="D31" s="117" t="s">
        <v>411</v>
      </c>
      <c r="E31" s="117" t="s">
        <v>412</v>
      </c>
      <c r="F31" s="117" t="s">
        <v>532</v>
      </c>
      <c r="G31" s="118">
        <v>0</v>
      </c>
      <c r="H31" s="117" t="s">
        <v>255</v>
      </c>
      <c r="I31" s="117">
        <v>0</v>
      </c>
      <c r="J31" s="117">
        <v>0</v>
      </c>
      <c r="K31" s="69">
        <v>-548298.91633413255</v>
      </c>
      <c r="L31" s="60">
        <v>90.984300000000005</v>
      </c>
      <c r="M31" s="60">
        <v>0</v>
      </c>
      <c r="N31" s="84">
        <v>-498.86592999999999</v>
      </c>
      <c r="O31" s="24">
        <v>0</v>
      </c>
      <c r="P31" s="32">
        <v>-1.0010415729064054E-2</v>
      </c>
      <c r="Q31" s="32">
        <v>-2.0549188673390502E-3</v>
      </c>
    </row>
    <row r="32" spans="1:17" x14ac:dyDescent="0.25">
      <c r="A32" s="16" t="s">
        <v>533</v>
      </c>
      <c r="B32" s="117" t="s">
        <v>534</v>
      </c>
      <c r="C32" s="117" t="s">
        <v>456</v>
      </c>
      <c r="D32" s="117" t="s">
        <v>411</v>
      </c>
      <c r="E32" s="117" t="s">
        <v>412</v>
      </c>
      <c r="F32" s="117" t="s">
        <v>535</v>
      </c>
      <c r="G32" s="118">
        <v>0</v>
      </c>
      <c r="H32" s="117" t="s">
        <v>255</v>
      </c>
      <c r="I32" s="117">
        <v>0</v>
      </c>
      <c r="J32" s="117">
        <v>0</v>
      </c>
      <c r="K32" s="69">
        <v>-548298.91633413255</v>
      </c>
      <c r="L32" s="60">
        <v>93.680499999999995</v>
      </c>
      <c r="M32" s="60">
        <v>0</v>
      </c>
      <c r="N32" s="84">
        <v>-513.64917000000003</v>
      </c>
      <c r="O32" s="24">
        <v>0</v>
      </c>
      <c r="P32" s="32">
        <v>-1.0307061319238009E-2</v>
      </c>
      <c r="Q32" s="32">
        <v>-2.1158137029442825E-3</v>
      </c>
    </row>
    <row r="33" spans="1:17" x14ac:dyDescent="0.25">
      <c r="A33" s="16" t="s">
        <v>503</v>
      </c>
      <c r="B33" s="117" t="s">
        <v>504</v>
      </c>
      <c r="C33" s="117" t="s">
        <v>456</v>
      </c>
      <c r="D33" s="117" t="s">
        <v>457</v>
      </c>
      <c r="E33" s="117" t="s">
        <v>218</v>
      </c>
      <c r="F33" s="117" t="s">
        <v>505</v>
      </c>
      <c r="G33" s="118">
        <v>3.38</v>
      </c>
      <c r="H33" s="117" t="s">
        <v>255</v>
      </c>
      <c r="I33" s="117">
        <v>2.0099999999999996E-2</v>
      </c>
      <c r="J33" s="117">
        <v>4.3200000000000002E-2</v>
      </c>
      <c r="K33" s="69">
        <v>167743.37497718009</v>
      </c>
      <c r="L33" s="60">
        <v>93.59</v>
      </c>
      <c r="M33" s="60">
        <v>0</v>
      </c>
      <c r="N33" s="84">
        <v>156.99101999999999</v>
      </c>
      <c r="O33" s="24">
        <v>8.3437710683717917E-6</v>
      </c>
      <c r="P33" s="32">
        <v>3.1502359279773008E-3</v>
      </c>
      <c r="Q33" s="32">
        <v>6.466743659980992E-4</v>
      </c>
    </row>
    <row r="34" spans="1:17" x14ac:dyDescent="0.25">
      <c r="A34" s="16" t="s">
        <v>506</v>
      </c>
      <c r="B34" s="117" t="s">
        <v>507</v>
      </c>
      <c r="C34" s="117" t="s">
        <v>456</v>
      </c>
      <c r="D34" s="117" t="s">
        <v>457</v>
      </c>
      <c r="E34" s="117" t="s">
        <v>218</v>
      </c>
      <c r="F34" s="117" t="s">
        <v>508</v>
      </c>
      <c r="G34" s="118">
        <v>15.25</v>
      </c>
      <c r="H34" s="117" t="s">
        <v>255</v>
      </c>
      <c r="I34" s="117">
        <v>3.7499999999999999E-2</v>
      </c>
      <c r="J34" s="117">
        <v>4.4800000000000006E-2</v>
      </c>
      <c r="K34" s="69">
        <v>2374385.4527556272</v>
      </c>
      <c r="L34" s="60">
        <v>91.42</v>
      </c>
      <c r="M34" s="60">
        <v>0</v>
      </c>
      <c r="N34" s="84">
        <v>2170.66318</v>
      </c>
      <c r="O34" s="24">
        <v>9.552083443317175E-5</v>
      </c>
      <c r="P34" s="32">
        <v>4.3557275678401605E-2</v>
      </c>
      <c r="Q34" s="32">
        <v>8.9413536883951577E-3</v>
      </c>
    </row>
    <row r="35" spans="1:17" x14ac:dyDescent="0.25">
      <c r="A35" s="16" t="s">
        <v>509</v>
      </c>
      <c r="B35" s="117" t="s">
        <v>510</v>
      </c>
      <c r="C35" s="117" t="s">
        <v>456</v>
      </c>
      <c r="D35" s="117" t="s">
        <v>457</v>
      </c>
      <c r="E35" s="117" t="s">
        <v>218</v>
      </c>
      <c r="F35" s="117" t="s">
        <v>511</v>
      </c>
      <c r="G35" s="118">
        <v>4.78</v>
      </c>
      <c r="H35" s="117" t="s">
        <v>255</v>
      </c>
      <c r="I35" s="117">
        <v>2.2499999999999999E-2</v>
      </c>
      <c r="J35" s="117">
        <v>4.2500000000000003E-2</v>
      </c>
      <c r="K35" s="69">
        <v>269763.06683639321</v>
      </c>
      <c r="L35" s="60">
        <v>91.16</v>
      </c>
      <c r="M35" s="60">
        <v>0</v>
      </c>
      <c r="N35" s="84">
        <v>245.91601</v>
      </c>
      <c r="O35" s="24">
        <v>1.4257292196826467E-5</v>
      </c>
      <c r="P35" s="32">
        <v>4.9346354330765249E-3</v>
      </c>
      <c r="Q35" s="32">
        <v>1.0129724608167539E-3</v>
      </c>
    </row>
    <row r="36" spans="1:17" x14ac:dyDescent="0.25">
      <c r="A36" s="16" t="s">
        <v>512</v>
      </c>
      <c r="B36" s="117" t="s">
        <v>513</v>
      </c>
      <c r="C36" s="117" t="s">
        <v>456</v>
      </c>
      <c r="D36" s="117" t="s">
        <v>457</v>
      </c>
      <c r="E36" s="117" t="s">
        <v>218</v>
      </c>
      <c r="F36" s="117" t="s">
        <v>514</v>
      </c>
      <c r="G36" s="118">
        <v>6.27</v>
      </c>
      <c r="H36" s="117" t="s">
        <v>255</v>
      </c>
      <c r="I36" s="117">
        <v>0.01</v>
      </c>
      <c r="J36" s="117">
        <v>4.24E-2</v>
      </c>
      <c r="K36" s="69">
        <v>43863.913306730603</v>
      </c>
      <c r="L36" s="60">
        <v>82.4</v>
      </c>
      <c r="M36" s="60">
        <v>0</v>
      </c>
      <c r="N36" s="84">
        <v>36.143860000000004</v>
      </c>
      <c r="O36" s="24">
        <v>1.7929074684664092E-6</v>
      </c>
      <c r="P36" s="32">
        <v>7.2527515489600395E-4</v>
      </c>
      <c r="Q36" s="32">
        <v>1.4888308739075689E-4</v>
      </c>
    </row>
    <row r="37" spans="1:17" x14ac:dyDescent="0.25">
      <c r="A37" s="16" t="s">
        <v>515</v>
      </c>
      <c r="B37" s="117" t="s">
        <v>516</v>
      </c>
      <c r="C37" s="117" t="s">
        <v>456</v>
      </c>
      <c r="D37" s="117" t="s">
        <v>457</v>
      </c>
      <c r="E37" s="117" t="s">
        <v>218</v>
      </c>
      <c r="F37" s="117" t="s">
        <v>517</v>
      </c>
      <c r="G37" s="118">
        <v>12.1</v>
      </c>
      <c r="H37" s="117" t="s">
        <v>255</v>
      </c>
      <c r="I37" s="117">
        <v>1.4999999999999999E-2</v>
      </c>
      <c r="J37" s="117">
        <v>4.3499999999999997E-2</v>
      </c>
      <c r="K37" s="69">
        <v>8356213.2461315058</v>
      </c>
      <c r="L37" s="60">
        <v>71.599999999999994</v>
      </c>
      <c r="M37" s="60">
        <v>0</v>
      </c>
      <c r="N37" s="84">
        <v>5983.0486799999999</v>
      </c>
      <c r="O37" s="24">
        <v>4.6973373792952576E-4</v>
      </c>
      <c r="P37" s="32">
        <v>0.12005791739281117</v>
      </c>
      <c r="Q37" s="32">
        <v>2.4645258129253281E-2</v>
      </c>
    </row>
    <row r="38" spans="1:17" x14ac:dyDescent="0.25">
      <c r="A38" s="16" t="s">
        <v>518</v>
      </c>
      <c r="B38" s="117" t="s">
        <v>519</v>
      </c>
      <c r="C38" s="117" t="s">
        <v>456</v>
      </c>
      <c r="D38" s="117" t="s">
        <v>457</v>
      </c>
      <c r="E38" s="117" t="s">
        <v>218</v>
      </c>
      <c r="F38" s="117" t="s">
        <v>520</v>
      </c>
      <c r="G38" s="118">
        <v>8.07</v>
      </c>
      <c r="H38" s="117" t="s">
        <v>255</v>
      </c>
      <c r="I38" s="117">
        <v>1.3000000000000001E-2</v>
      </c>
      <c r="J38" s="117">
        <v>4.24E-2</v>
      </c>
      <c r="K38" s="69">
        <v>2611034.4583383272</v>
      </c>
      <c r="L38" s="60">
        <v>79.739999999999995</v>
      </c>
      <c r="M38" s="60">
        <v>0</v>
      </c>
      <c r="N38" s="84">
        <v>2082.0388800000001</v>
      </c>
      <c r="O38" s="24">
        <v>4.5663613459348681E-4</v>
      </c>
      <c r="P38" s="32">
        <v>4.1778909922501432E-2</v>
      </c>
      <c r="Q38" s="32">
        <v>8.5762941899950249E-3</v>
      </c>
    </row>
    <row r="39" spans="1:17" x14ac:dyDescent="0.25">
      <c r="A39" s="16" t="s">
        <v>521</v>
      </c>
      <c r="B39" s="117" t="s">
        <v>522</v>
      </c>
      <c r="C39" s="117" t="s">
        <v>456</v>
      </c>
      <c r="D39" s="117" t="s">
        <v>457</v>
      </c>
      <c r="E39" s="117" t="s">
        <v>218</v>
      </c>
      <c r="F39" s="117" t="s">
        <v>523</v>
      </c>
      <c r="G39" s="118">
        <v>17.95</v>
      </c>
      <c r="H39" s="117" t="s">
        <v>255</v>
      </c>
      <c r="I39" s="117">
        <v>2.7999999999999997E-2</v>
      </c>
      <c r="J39" s="117">
        <v>4.5499999999999999E-2</v>
      </c>
      <c r="K39" s="69">
        <v>1547416.4370306886</v>
      </c>
      <c r="L39" s="60">
        <v>74.349999999999994</v>
      </c>
      <c r="M39" s="60">
        <v>0</v>
      </c>
      <c r="N39" s="84">
        <v>1150.5041200000001</v>
      </c>
      <c r="O39" s="24">
        <v>2.5088795412250847E-4</v>
      </c>
      <c r="P39" s="32">
        <v>2.3086412293581562E-2</v>
      </c>
      <c r="Q39" s="32">
        <v>4.7391342662733271E-3</v>
      </c>
    </row>
    <row r="40" spans="1:17" x14ac:dyDescent="0.25">
      <c r="A40" s="16" t="s">
        <v>524</v>
      </c>
      <c r="B40" s="117" t="s">
        <v>525</v>
      </c>
      <c r="C40" s="117" t="s">
        <v>456</v>
      </c>
      <c r="D40" s="117" t="s">
        <v>457</v>
      </c>
      <c r="E40" s="117" t="s">
        <v>218</v>
      </c>
      <c r="F40" s="117" t="s">
        <v>526</v>
      </c>
      <c r="G40" s="118">
        <v>4.92</v>
      </c>
      <c r="H40" s="117" t="s">
        <v>255</v>
      </c>
      <c r="I40" s="117">
        <v>3.7499999999999999E-2</v>
      </c>
      <c r="J40" s="117">
        <v>4.2300000000000004E-2</v>
      </c>
      <c r="K40" s="69">
        <v>1155646.1585151041</v>
      </c>
      <c r="L40" s="60">
        <v>99.4</v>
      </c>
      <c r="M40" s="60">
        <v>0</v>
      </c>
      <c r="N40" s="84">
        <v>1148.71228</v>
      </c>
      <c r="O40" s="24">
        <v>1.4016359267718192E-4</v>
      </c>
      <c r="P40" s="32">
        <v>2.3050456614427509E-2</v>
      </c>
      <c r="Q40" s="32">
        <v>4.7317533536837394E-3</v>
      </c>
    </row>
    <row r="41" spans="1:17" s="119" customFormat="1" x14ac:dyDescent="0.25">
      <c r="A41" s="92" t="s">
        <v>536</v>
      </c>
      <c r="B41" s="131" t="s">
        <v>249</v>
      </c>
      <c r="C41" s="131" t="s">
        <v>249</v>
      </c>
      <c r="D41" s="131" t="s">
        <v>249</v>
      </c>
      <c r="E41" s="131" t="s">
        <v>249</v>
      </c>
      <c r="F41" s="131" t="s">
        <v>249</v>
      </c>
      <c r="G41" s="132" t="s">
        <v>249</v>
      </c>
      <c r="H41" s="131" t="s">
        <v>249</v>
      </c>
      <c r="I41" s="131" t="s">
        <v>249</v>
      </c>
      <c r="J41" s="131" t="s">
        <v>249</v>
      </c>
      <c r="K41" s="135" t="s">
        <v>249</v>
      </c>
      <c r="L41" s="136" t="s">
        <v>249</v>
      </c>
      <c r="M41" s="136" t="s">
        <v>249</v>
      </c>
      <c r="N41" s="124">
        <v>2303.5439001000004</v>
      </c>
      <c r="O41" s="137"/>
      <c r="P41" s="121">
        <v>4.6223706016866289E-2</v>
      </c>
      <c r="Q41" s="121">
        <v>9.4887133744717168E-3</v>
      </c>
    </row>
    <row r="42" spans="1:17" x14ac:dyDescent="0.25">
      <c r="A42" s="16" t="s">
        <v>537</v>
      </c>
      <c r="B42" s="117" t="s">
        <v>538</v>
      </c>
      <c r="C42" s="117" t="s">
        <v>456</v>
      </c>
      <c r="D42" s="117" t="s">
        <v>457</v>
      </c>
      <c r="E42" s="117" t="s">
        <v>218</v>
      </c>
      <c r="F42" s="117" t="s">
        <v>539</v>
      </c>
      <c r="G42" s="118">
        <v>2.5099999999999998</v>
      </c>
      <c r="H42" s="117" t="s">
        <v>255</v>
      </c>
      <c r="I42" s="117">
        <v>2.2200000000000001E-2</v>
      </c>
      <c r="J42" s="117">
        <v>5.1900000000000002E-2</v>
      </c>
      <c r="K42" s="69">
        <v>1665732.1078230946</v>
      </c>
      <c r="L42" s="60">
        <v>99.62</v>
      </c>
      <c r="M42" s="60">
        <v>0</v>
      </c>
      <c r="N42" s="84">
        <v>1659.4023300000001</v>
      </c>
      <c r="O42" s="24">
        <v>7.8861098008394168E-5</v>
      </c>
      <c r="P42" s="32">
        <v>3.329813921162654E-2</v>
      </c>
      <c r="Q42" s="32">
        <v>6.8353779068925013E-3</v>
      </c>
    </row>
    <row r="43" spans="1:17" x14ac:dyDescent="0.25">
      <c r="A43" s="16" t="s">
        <v>540</v>
      </c>
      <c r="B43" s="117" t="s">
        <v>541</v>
      </c>
      <c r="C43" s="117" t="s">
        <v>456</v>
      </c>
      <c r="D43" s="117" t="s">
        <v>457</v>
      </c>
      <c r="E43" s="117" t="s">
        <v>218</v>
      </c>
      <c r="F43" s="117" t="s">
        <v>542</v>
      </c>
      <c r="G43" s="118">
        <v>6.07</v>
      </c>
      <c r="H43" s="117" t="s">
        <v>255</v>
      </c>
      <c r="I43" s="117">
        <v>2.2200000000000001E-2</v>
      </c>
      <c r="J43" s="117">
        <v>5.3099999999999994E-2</v>
      </c>
      <c r="K43" s="69">
        <v>657958.69960095896</v>
      </c>
      <c r="L43" s="60">
        <v>97.9</v>
      </c>
      <c r="M43" s="60">
        <v>0</v>
      </c>
      <c r="N43" s="84">
        <v>644.14157</v>
      </c>
      <c r="O43" s="24">
        <v>3.9589026845509529E-5</v>
      </c>
      <c r="P43" s="32">
        <v>1.2925566803233111E-2</v>
      </c>
      <c r="Q43" s="32">
        <v>2.6533354671672959E-3</v>
      </c>
    </row>
    <row r="44" spans="1:17" s="119" customFormat="1" x14ac:dyDescent="0.25">
      <c r="A44" s="92" t="s">
        <v>543</v>
      </c>
      <c r="B44" s="131" t="s">
        <v>249</v>
      </c>
      <c r="C44" s="131" t="s">
        <v>249</v>
      </c>
      <c r="D44" s="131" t="s">
        <v>249</v>
      </c>
      <c r="E44" s="131" t="s">
        <v>249</v>
      </c>
      <c r="F44" s="131" t="s">
        <v>249</v>
      </c>
      <c r="G44" s="132" t="s">
        <v>249</v>
      </c>
      <c r="H44" s="131" t="s">
        <v>249</v>
      </c>
      <c r="I44" s="131" t="s">
        <v>249</v>
      </c>
      <c r="J44" s="131" t="s">
        <v>249</v>
      </c>
      <c r="K44" s="135" t="s">
        <v>249</v>
      </c>
      <c r="L44" s="136" t="s">
        <v>249</v>
      </c>
      <c r="M44" s="136" t="s">
        <v>249</v>
      </c>
      <c r="N44" s="124">
        <v>0</v>
      </c>
      <c r="O44" s="137"/>
      <c r="P44" s="121">
        <v>0</v>
      </c>
      <c r="Q44" s="121">
        <v>0</v>
      </c>
    </row>
    <row r="45" spans="1:17" s="119" customFormat="1" x14ac:dyDescent="0.25">
      <c r="A45" s="92" t="s">
        <v>544</v>
      </c>
      <c r="B45" s="131" t="s">
        <v>249</v>
      </c>
      <c r="C45" s="131" t="s">
        <v>249</v>
      </c>
      <c r="D45" s="131" t="s">
        <v>249</v>
      </c>
      <c r="E45" s="131" t="s">
        <v>249</v>
      </c>
      <c r="F45" s="131" t="s">
        <v>249</v>
      </c>
      <c r="G45" s="132" t="s">
        <v>249</v>
      </c>
      <c r="H45" s="131" t="s">
        <v>249</v>
      </c>
      <c r="I45" s="131" t="s">
        <v>249</v>
      </c>
      <c r="J45" s="131" t="s">
        <v>249</v>
      </c>
      <c r="K45" s="135" t="s">
        <v>249</v>
      </c>
      <c r="L45" s="136" t="s">
        <v>249</v>
      </c>
      <c r="M45" s="136" t="s">
        <v>249</v>
      </c>
      <c r="N45" s="124">
        <v>7332.2826501999998</v>
      </c>
      <c r="O45" s="137"/>
      <c r="P45" s="121">
        <v>0.14713211137009405</v>
      </c>
      <c r="Q45" s="121">
        <v>3.0202996541693582E-2</v>
      </c>
    </row>
    <row r="46" spans="1:17" s="119" customFormat="1" x14ac:dyDescent="0.25">
      <c r="A46" s="92" t="s">
        <v>545</v>
      </c>
      <c r="B46" s="131" t="s">
        <v>249</v>
      </c>
      <c r="C46" s="131" t="s">
        <v>249</v>
      </c>
      <c r="D46" s="131" t="s">
        <v>249</v>
      </c>
      <c r="E46" s="131" t="s">
        <v>249</v>
      </c>
      <c r="F46" s="131" t="s">
        <v>249</v>
      </c>
      <c r="G46" s="132" t="s">
        <v>249</v>
      </c>
      <c r="H46" s="131" t="s">
        <v>249</v>
      </c>
      <c r="I46" s="131" t="s">
        <v>249</v>
      </c>
      <c r="J46" s="131" t="s">
        <v>249</v>
      </c>
      <c r="K46" s="135" t="s">
        <v>249</v>
      </c>
      <c r="L46" s="136" t="s">
        <v>249</v>
      </c>
      <c r="M46" s="136" t="s">
        <v>249</v>
      </c>
      <c r="N46" s="124">
        <v>0</v>
      </c>
      <c r="O46" s="137"/>
      <c r="P46" s="121">
        <v>0</v>
      </c>
      <c r="Q46" s="121">
        <v>0</v>
      </c>
    </row>
    <row r="47" spans="1:17" s="119" customFormat="1" x14ac:dyDescent="0.25">
      <c r="A47" s="92" t="s">
        <v>546</v>
      </c>
      <c r="B47" s="131" t="s">
        <v>249</v>
      </c>
      <c r="C47" s="131" t="s">
        <v>249</v>
      </c>
      <c r="D47" s="131" t="s">
        <v>249</v>
      </c>
      <c r="E47" s="131" t="s">
        <v>249</v>
      </c>
      <c r="F47" s="131" t="s">
        <v>249</v>
      </c>
      <c r="G47" s="132" t="s">
        <v>249</v>
      </c>
      <c r="H47" s="131" t="s">
        <v>249</v>
      </c>
      <c r="I47" s="131" t="s">
        <v>249</v>
      </c>
      <c r="J47" s="131" t="s">
        <v>249</v>
      </c>
      <c r="K47" s="135" t="s">
        <v>249</v>
      </c>
      <c r="L47" s="136" t="s">
        <v>249</v>
      </c>
      <c r="M47" s="136" t="s">
        <v>249</v>
      </c>
      <c r="N47" s="124">
        <v>7332.2826501</v>
      </c>
      <c r="O47" s="137"/>
      <c r="P47" s="121">
        <v>0.14713211136808743</v>
      </c>
      <c r="Q47" s="121">
        <v>3.0202996541281665E-2</v>
      </c>
    </row>
    <row r="48" spans="1:17" x14ac:dyDescent="0.25">
      <c r="A48" s="16" t="s">
        <v>547</v>
      </c>
      <c r="B48" s="117" t="s">
        <v>548</v>
      </c>
      <c r="C48" s="117" t="s">
        <v>218</v>
      </c>
      <c r="D48" s="117" t="s">
        <v>549</v>
      </c>
      <c r="E48" s="117" t="s">
        <v>262</v>
      </c>
      <c r="F48" s="117" t="s">
        <v>550</v>
      </c>
      <c r="G48" s="118">
        <v>7.3559999999999999</v>
      </c>
      <c r="H48" s="117" t="s">
        <v>125</v>
      </c>
      <c r="I48" s="117">
        <v>2.8799999999999999E-2</v>
      </c>
      <c r="J48" s="117">
        <v>4.6104459999999993E-2</v>
      </c>
      <c r="K48" s="69">
        <v>1344799.5256089398</v>
      </c>
      <c r="L48" s="60">
        <v>88.890625</v>
      </c>
      <c r="M48" s="60">
        <v>0</v>
      </c>
      <c r="N48" s="84">
        <v>4571.2122900000004</v>
      </c>
      <c r="O48" s="24">
        <v>1.0085416530616538E-5</v>
      </c>
      <c r="P48" s="32">
        <v>9.1727521678433552E-2</v>
      </c>
      <c r="Q48" s="32">
        <v>1.8829649042846335E-2</v>
      </c>
    </row>
    <row r="49" spans="1:17" x14ac:dyDescent="0.25">
      <c r="A49" s="16" t="s">
        <v>551</v>
      </c>
      <c r="B49" s="117" t="s">
        <v>552</v>
      </c>
      <c r="C49" s="117" t="s">
        <v>218</v>
      </c>
      <c r="D49" s="117" t="s">
        <v>549</v>
      </c>
      <c r="E49" s="117" t="s">
        <v>262</v>
      </c>
      <c r="F49" s="117" t="s">
        <v>553</v>
      </c>
      <c r="G49" s="118">
        <v>7.37</v>
      </c>
      <c r="H49" s="117" t="s">
        <v>125</v>
      </c>
      <c r="I49" s="117">
        <v>4.1299999999999996E-2</v>
      </c>
      <c r="J49" s="117">
        <v>4.6090590000000001E-2</v>
      </c>
      <c r="K49" s="69">
        <v>530753.35101144027</v>
      </c>
      <c r="L49" s="60">
        <v>98.022418000000002</v>
      </c>
      <c r="M49" s="60">
        <v>0</v>
      </c>
      <c r="N49" s="84">
        <v>1989.46379</v>
      </c>
      <c r="O49" s="24">
        <v>4.7706022292161273E-6</v>
      </c>
      <c r="P49" s="32">
        <v>3.9921266252476661E-2</v>
      </c>
      <c r="Q49" s="32">
        <v>8.1949606740208819E-3</v>
      </c>
    </row>
    <row r="50" spans="1:17" x14ac:dyDescent="0.25">
      <c r="A50" s="16" t="s">
        <v>554</v>
      </c>
      <c r="B50" s="117" t="s">
        <v>555</v>
      </c>
      <c r="C50" s="117" t="s">
        <v>218</v>
      </c>
      <c r="D50" s="117" t="s">
        <v>549</v>
      </c>
      <c r="E50" s="117" t="s">
        <v>262</v>
      </c>
      <c r="F50" s="117" t="s">
        <v>498</v>
      </c>
      <c r="G50" s="118">
        <v>7.9169999999999998</v>
      </c>
      <c r="H50" s="117" t="s">
        <v>125</v>
      </c>
      <c r="I50" s="117">
        <v>3.3799999999999997E-2</v>
      </c>
      <c r="J50" s="117">
        <v>4.5816129999999997E-2</v>
      </c>
      <c r="K50" s="69">
        <v>219319.56653365301</v>
      </c>
      <c r="L50" s="60">
        <v>92.002717000000004</v>
      </c>
      <c r="M50" s="60">
        <v>0</v>
      </c>
      <c r="N50" s="84">
        <v>771.60656999999992</v>
      </c>
      <c r="O50" s="24">
        <v>2.0210990787785375E-6</v>
      </c>
      <c r="P50" s="32">
        <v>1.5483323435170573E-2</v>
      </c>
      <c r="Q50" s="32">
        <v>3.1783868240025316E-3</v>
      </c>
    </row>
    <row r="51" spans="1:17" s="119" customFormat="1" x14ac:dyDescent="0.25">
      <c r="A51" s="78" t="s">
        <v>241</v>
      </c>
      <c r="B51" s="125"/>
      <c r="C51" s="125"/>
      <c r="D51" s="125"/>
      <c r="E51" s="126"/>
      <c r="F51" s="126"/>
      <c r="G51" s="126"/>
      <c r="H51" s="127"/>
      <c r="I51" s="128"/>
      <c r="J51" s="129"/>
      <c r="K51" s="129"/>
      <c r="L51" s="129"/>
      <c r="M51" s="129"/>
      <c r="N51" s="128"/>
      <c r="O51" s="128"/>
      <c r="P51" s="128"/>
      <c r="Q51" s="138"/>
    </row>
    <row r="52" spans="1:17" s="119" customFormat="1" x14ac:dyDescent="0.25">
      <c r="A52" s="78" t="s">
        <v>242</v>
      </c>
      <c r="B52" s="125"/>
      <c r="C52" s="125"/>
      <c r="D52" s="125"/>
      <c r="E52" s="126"/>
      <c r="F52" s="126"/>
      <c r="G52" s="126"/>
      <c r="H52" s="127"/>
      <c r="I52" s="128"/>
      <c r="J52" s="129"/>
      <c r="K52" s="129"/>
      <c r="L52" s="129"/>
      <c r="M52" s="129"/>
      <c r="N52" s="128"/>
      <c r="O52" s="128"/>
      <c r="P52" s="128"/>
      <c r="Q52" s="138"/>
    </row>
    <row r="53" spans="1:17" s="119" customFormat="1" x14ac:dyDescent="0.25">
      <c r="A53" s="78" t="s">
        <v>243</v>
      </c>
      <c r="B53" s="125"/>
      <c r="C53" s="125"/>
      <c r="D53" s="125"/>
      <c r="E53" s="126"/>
      <c r="F53" s="126"/>
      <c r="G53" s="126"/>
      <c r="H53" s="127"/>
      <c r="I53" s="128"/>
      <c r="J53" s="129"/>
      <c r="K53" s="129"/>
      <c r="L53" s="129"/>
      <c r="M53" s="129"/>
      <c r="N53" s="128"/>
      <c r="O53" s="128"/>
      <c r="P53" s="128"/>
      <c r="Q53" s="138"/>
    </row>
    <row r="54" spans="1:17" s="119" customFormat="1" x14ac:dyDescent="0.25">
      <c r="A54" s="78" t="s">
        <v>244</v>
      </c>
      <c r="B54" s="125"/>
      <c r="C54" s="125"/>
      <c r="D54" s="125"/>
      <c r="E54" s="126"/>
      <c r="F54" s="126"/>
      <c r="G54" s="126"/>
      <c r="H54" s="127"/>
      <c r="I54" s="128"/>
      <c r="J54" s="129"/>
      <c r="K54" s="129"/>
      <c r="L54" s="129"/>
      <c r="M54" s="129"/>
      <c r="N54" s="128"/>
      <c r="O54" s="128"/>
      <c r="P54" s="128"/>
      <c r="Q54" s="138"/>
    </row>
    <row r="55" spans="1:17" s="119" customFormat="1" x14ac:dyDescent="0.25">
      <c r="A55" s="78" t="s">
        <v>245</v>
      </c>
      <c r="B55" s="125"/>
      <c r="C55" s="125"/>
      <c r="D55" s="125"/>
      <c r="E55" s="126"/>
      <c r="F55" s="126"/>
      <c r="G55" s="126"/>
      <c r="H55" s="127"/>
      <c r="I55" s="128"/>
      <c r="J55" s="129"/>
      <c r="K55" s="129"/>
      <c r="L55" s="129"/>
      <c r="M55" s="129"/>
      <c r="N55" s="128"/>
      <c r="O55" s="128"/>
      <c r="P55" s="128"/>
      <c r="Q55" s="138"/>
    </row>
  </sheetData>
  <mergeCells count="2">
    <mergeCell ref="A5:Q5"/>
    <mergeCell ref="A4:Q4"/>
  </mergeCells>
  <phoneticPr fontId="3" type="noConversion"/>
  <conditionalFormatting sqref="A9:A50 N9:N50">
    <cfRule type="expression" dxfId="124" priority="69" stopIfTrue="1">
      <formula>#REF!&gt;0</formula>
    </cfRule>
    <cfRule type="expression" dxfId="123" priority="70" stopIfTrue="1">
      <formula>LEFT(#REF!,3)="TIR"</formula>
    </cfRule>
  </conditionalFormatting>
  <conditionalFormatting sqref="B9:F9 H9 P9:Q50">
    <cfRule type="expression" dxfId="122" priority="66" stopIfTrue="1">
      <formula>OR(LEFT(#REF!,3)="TIR",LEFT(#REF!,2)="IR")</formula>
    </cfRule>
  </conditionalFormatting>
  <conditionalFormatting sqref="B10:J50">
    <cfRule type="expression" dxfId="121" priority="73" stopIfTrue="1">
      <formula>LEFT(#REF!,3)="TIR"</formula>
    </cfRule>
  </conditionalFormatting>
  <conditionalFormatting sqref="I1:I3 G9 I9:M9 O9:O50 K10:M50 I51:I55585">
    <cfRule type="expression" dxfId="120" priority="59" stopIfTrue="1">
      <formula>LEFT(#REF!,3)="TIR"</formula>
    </cfRule>
  </conditionalFormatting>
  <conditionalFormatting sqref="I6">
    <cfRule type="expression" dxfId="119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24" t="s">
        <v>11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6"/>
    </row>
    <row r="5" spans="1:20" s="7" customFormat="1" x14ac:dyDescent="0.25">
      <c r="A5" s="227" t="s">
        <v>18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9"/>
    </row>
    <row r="6" spans="1:20" s="7" customFormat="1" x14ac:dyDescent="0.25">
      <c r="A6" s="86" t="s">
        <v>157</v>
      </c>
      <c r="B6" s="206" t="s">
        <v>69</v>
      </c>
      <c r="C6" s="206" t="s">
        <v>76</v>
      </c>
      <c r="D6" s="206" t="s">
        <v>77</v>
      </c>
      <c r="E6" s="206" t="s">
        <v>74</v>
      </c>
      <c r="F6" s="206" t="s">
        <v>19</v>
      </c>
      <c r="G6" s="206" t="s">
        <v>70</v>
      </c>
      <c r="H6" s="206" t="s">
        <v>5</v>
      </c>
      <c r="I6" s="206" t="s">
        <v>13</v>
      </c>
      <c r="J6" s="206" t="s">
        <v>14</v>
      </c>
      <c r="K6" s="206" t="s">
        <v>6</v>
      </c>
      <c r="L6" s="207" t="s">
        <v>66</v>
      </c>
      <c r="M6" s="207" t="s">
        <v>71</v>
      </c>
      <c r="N6" s="207" t="s">
        <v>67</v>
      </c>
      <c r="O6" s="207" t="s">
        <v>68</v>
      </c>
      <c r="P6" s="207" t="s">
        <v>134</v>
      </c>
      <c r="Q6" s="207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61</v>
      </c>
      <c r="B9" s="67" t="s">
        <v>249</v>
      </c>
      <c r="C9" s="67" t="s">
        <v>249</v>
      </c>
      <c r="D9" s="67" t="s">
        <v>249</v>
      </c>
      <c r="E9" s="67" t="s">
        <v>249</v>
      </c>
      <c r="F9" s="67" t="s">
        <v>249</v>
      </c>
      <c r="G9" s="139"/>
      <c r="H9" s="139" t="s">
        <v>249</v>
      </c>
      <c r="I9" s="139" t="s">
        <v>249</v>
      </c>
      <c r="J9" s="139" t="s">
        <v>249</v>
      </c>
      <c r="K9" s="139" t="s">
        <v>249</v>
      </c>
      <c r="L9" s="140" t="s">
        <v>249</v>
      </c>
      <c r="M9" s="140" t="s">
        <v>249</v>
      </c>
      <c r="N9" s="141" t="s">
        <v>249</v>
      </c>
      <c r="O9" s="139"/>
      <c r="P9" s="139" t="s">
        <v>249</v>
      </c>
      <c r="Q9" s="103">
        <v>4.9999999999999998E-7</v>
      </c>
      <c r="R9" s="67" t="s">
        <v>249</v>
      </c>
      <c r="S9" s="67">
        <v>1</v>
      </c>
      <c r="T9" s="81">
        <v>0</v>
      </c>
    </row>
    <row r="10" spans="1:20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1" t="s">
        <v>249</v>
      </c>
      <c r="I10" s="131" t="s">
        <v>249</v>
      </c>
      <c r="J10" s="132" t="s">
        <v>249</v>
      </c>
      <c r="K10" s="131" t="s">
        <v>249</v>
      </c>
      <c r="L10" s="131" t="s">
        <v>249</v>
      </c>
      <c r="M10" s="131" t="s">
        <v>249</v>
      </c>
      <c r="N10" s="142" t="s">
        <v>249</v>
      </c>
      <c r="O10" s="143" t="s">
        <v>249</v>
      </c>
      <c r="P10" s="143" t="s">
        <v>249</v>
      </c>
      <c r="Q10" s="123">
        <v>0</v>
      </c>
      <c r="R10" s="121" t="s">
        <v>249</v>
      </c>
      <c r="S10" s="121">
        <v>0</v>
      </c>
      <c r="T10" s="121">
        <v>0</v>
      </c>
    </row>
    <row r="11" spans="1:20" s="119" customFormat="1" x14ac:dyDescent="0.25">
      <c r="A11" s="92" t="s">
        <v>138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1" t="s">
        <v>249</v>
      </c>
      <c r="H11" s="131" t="s">
        <v>249</v>
      </c>
      <c r="I11" s="131" t="s">
        <v>249</v>
      </c>
      <c r="J11" s="132" t="s">
        <v>249</v>
      </c>
      <c r="K11" s="131" t="s">
        <v>249</v>
      </c>
      <c r="L11" s="131" t="s">
        <v>249</v>
      </c>
      <c r="M11" s="131" t="s">
        <v>249</v>
      </c>
      <c r="N11" s="144" t="s">
        <v>249</v>
      </c>
      <c r="O11" s="145" t="s">
        <v>249</v>
      </c>
      <c r="P11" s="145" t="s">
        <v>249</v>
      </c>
      <c r="Q11" s="124">
        <v>0</v>
      </c>
      <c r="R11" s="137"/>
      <c r="S11" s="137">
        <v>0</v>
      </c>
      <c r="T11" s="121">
        <v>0</v>
      </c>
    </row>
    <row r="12" spans="1:20" s="119" customFormat="1" x14ac:dyDescent="0.25">
      <c r="A12" s="92" t="s">
        <v>139</v>
      </c>
      <c r="B12" s="131" t="s">
        <v>249</v>
      </c>
      <c r="C12" s="131" t="s">
        <v>249</v>
      </c>
      <c r="D12" s="131" t="s">
        <v>249</v>
      </c>
      <c r="E12" s="131" t="s">
        <v>249</v>
      </c>
      <c r="F12" s="131" t="s">
        <v>249</v>
      </c>
      <c r="G12" s="131" t="s">
        <v>249</v>
      </c>
      <c r="H12" s="131" t="s">
        <v>249</v>
      </c>
      <c r="I12" s="131" t="s">
        <v>249</v>
      </c>
      <c r="J12" s="132" t="s">
        <v>249</v>
      </c>
      <c r="K12" s="131" t="s">
        <v>249</v>
      </c>
      <c r="L12" s="131" t="s">
        <v>249</v>
      </c>
      <c r="M12" s="131" t="s">
        <v>249</v>
      </c>
      <c r="N12" s="144" t="s">
        <v>249</v>
      </c>
      <c r="O12" s="145" t="s">
        <v>249</v>
      </c>
      <c r="P12" s="145" t="s">
        <v>249</v>
      </c>
      <c r="Q12" s="124">
        <v>0</v>
      </c>
      <c r="R12" s="137"/>
      <c r="S12" s="137">
        <v>0</v>
      </c>
      <c r="T12" s="121">
        <v>0</v>
      </c>
    </row>
    <row r="13" spans="1:20" s="119" customFormat="1" x14ac:dyDescent="0.25">
      <c r="A13" s="92" t="s">
        <v>556</v>
      </c>
      <c r="B13" s="131" t="s">
        <v>249</v>
      </c>
      <c r="C13" s="131" t="s">
        <v>249</v>
      </c>
      <c r="D13" s="131" t="s">
        <v>249</v>
      </c>
      <c r="E13" s="131" t="s">
        <v>249</v>
      </c>
      <c r="F13" s="131" t="s">
        <v>249</v>
      </c>
      <c r="G13" s="131" t="s">
        <v>249</v>
      </c>
      <c r="H13" s="131" t="s">
        <v>249</v>
      </c>
      <c r="I13" s="131" t="s">
        <v>249</v>
      </c>
      <c r="J13" s="132" t="s">
        <v>249</v>
      </c>
      <c r="K13" s="131" t="s">
        <v>249</v>
      </c>
      <c r="L13" s="131" t="s">
        <v>249</v>
      </c>
      <c r="M13" s="131" t="s">
        <v>249</v>
      </c>
      <c r="N13" s="144" t="s">
        <v>249</v>
      </c>
      <c r="O13" s="145" t="s">
        <v>249</v>
      </c>
      <c r="P13" s="145" t="s">
        <v>249</v>
      </c>
      <c r="Q13" s="124">
        <v>0</v>
      </c>
      <c r="R13" s="137"/>
      <c r="S13" s="137">
        <v>0</v>
      </c>
      <c r="T13" s="121">
        <v>0</v>
      </c>
    </row>
    <row r="14" spans="1:20" s="119" customFormat="1" x14ac:dyDescent="0.25">
      <c r="A14" s="92" t="s">
        <v>557</v>
      </c>
      <c r="B14" s="131" t="s">
        <v>249</v>
      </c>
      <c r="C14" s="131" t="s">
        <v>249</v>
      </c>
      <c r="D14" s="131" t="s">
        <v>249</v>
      </c>
      <c r="E14" s="131" t="s">
        <v>249</v>
      </c>
      <c r="F14" s="131" t="s">
        <v>249</v>
      </c>
      <c r="G14" s="131" t="s">
        <v>249</v>
      </c>
      <c r="H14" s="131" t="s">
        <v>249</v>
      </c>
      <c r="I14" s="131" t="s">
        <v>249</v>
      </c>
      <c r="J14" s="132" t="s">
        <v>249</v>
      </c>
      <c r="K14" s="131" t="s">
        <v>249</v>
      </c>
      <c r="L14" s="131" t="s">
        <v>249</v>
      </c>
      <c r="M14" s="131" t="s">
        <v>249</v>
      </c>
      <c r="N14" s="144" t="s">
        <v>249</v>
      </c>
      <c r="O14" s="145" t="s">
        <v>249</v>
      </c>
      <c r="P14" s="145" t="s">
        <v>249</v>
      </c>
      <c r="Q14" s="124">
        <v>0</v>
      </c>
      <c r="R14" s="137"/>
      <c r="S14" s="137">
        <v>0</v>
      </c>
      <c r="T14" s="121">
        <v>0</v>
      </c>
    </row>
    <row r="15" spans="1:20" s="119" customFormat="1" x14ac:dyDescent="0.25">
      <c r="A15" s="92" t="s">
        <v>143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1" t="s">
        <v>249</v>
      </c>
      <c r="G15" s="131" t="s">
        <v>249</v>
      </c>
      <c r="H15" s="131" t="s">
        <v>249</v>
      </c>
      <c r="I15" s="131" t="s">
        <v>249</v>
      </c>
      <c r="J15" s="132" t="s">
        <v>249</v>
      </c>
      <c r="K15" s="131" t="s">
        <v>249</v>
      </c>
      <c r="L15" s="131" t="s">
        <v>249</v>
      </c>
      <c r="M15" s="131" t="s">
        <v>249</v>
      </c>
      <c r="N15" s="144" t="s">
        <v>249</v>
      </c>
      <c r="O15" s="145" t="s">
        <v>249</v>
      </c>
      <c r="P15" s="145" t="s">
        <v>249</v>
      </c>
      <c r="Q15" s="124">
        <v>0</v>
      </c>
      <c r="R15" s="137"/>
      <c r="S15" s="137">
        <v>0</v>
      </c>
      <c r="T15" s="121">
        <v>0</v>
      </c>
    </row>
    <row r="16" spans="1:20" s="119" customFormat="1" x14ac:dyDescent="0.25">
      <c r="A16" s="92" t="s">
        <v>144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1" t="s">
        <v>249</v>
      </c>
      <c r="G16" s="131" t="s">
        <v>249</v>
      </c>
      <c r="H16" s="131" t="s">
        <v>249</v>
      </c>
      <c r="I16" s="131" t="s">
        <v>249</v>
      </c>
      <c r="J16" s="132" t="s">
        <v>249</v>
      </c>
      <c r="K16" s="131" t="s">
        <v>249</v>
      </c>
      <c r="L16" s="131" t="s">
        <v>249</v>
      </c>
      <c r="M16" s="131" t="s">
        <v>249</v>
      </c>
      <c r="N16" s="144" t="s">
        <v>249</v>
      </c>
      <c r="O16" s="145" t="s">
        <v>249</v>
      </c>
      <c r="P16" s="145" t="s">
        <v>249</v>
      </c>
      <c r="Q16" s="124">
        <v>0</v>
      </c>
      <c r="R16" s="137"/>
      <c r="S16" s="137">
        <v>0</v>
      </c>
      <c r="T16" s="121">
        <v>0</v>
      </c>
    </row>
    <row r="17" spans="1:17" s="119" customFormat="1" x14ac:dyDescent="0.25">
      <c r="A17" s="78" t="s">
        <v>241</v>
      </c>
      <c r="B17" s="125"/>
      <c r="C17" s="125"/>
      <c r="D17" s="125"/>
      <c r="E17" s="125"/>
      <c r="F17" s="78"/>
      <c r="G17" s="146"/>
      <c r="H17" s="146"/>
      <c r="I17" s="146"/>
      <c r="J17" s="147"/>
      <c r="K17" s="130"/>
      <c r="L17" s="148"/>
      <c r="M17" s="148"/>
      <c r="N17" s="148"/>
      <c r="O17" s="130"/>
      <c r="P17" s="130"/>
      <c r="Q17" s="130"/>
    </row>
    <row r="18" spans="1:17" s="119" customFormat="1" x14ac:dyDescent="0.25">
      <c r="A18" s="78" t="s">
        <v>242</v>
      </c>
      <c r="B18" s="125"/>
      <c r="C18" s="125"/>
      <c r="D18" s="125"/>
      <c r="E18" s="125"/>
      <c r="F18" s="78"/>
      <c r="G18" s="146"/>
      <c r="H18" s="146"/>
      <c r="I18" s="146"/>
      <c r="J18" s="147"/>
      <c r="K18" s="130"/>
      <c r="L18" s="148"/>
      <c r="M18" s="148"/>
      <c r="N18" s="148"/>
      <c r="O18" s="130"/>
      <c r="P18" s="130"/>
      <c r="Q18" s="130"/>
    </row>
    <row r="19" spans="1:17" s="119" customFormat="1" x14ac:dyDescent="0.25">
      <c r="A19" s="78" t="s">
        <v>243</v>
      </c>
      <c r="B19" s="125"/>
      <c r="C19" s="125"/>
      <c r="D19" s="125"/>
      <c r="E19" s="125"/>
      <c r="F19" s="78"/>
      <c r="G19" s="146"/>
      <c r="H19" s="146"/>
      <c r="I19" s="146"/>
      <c r="J19" s="147"/>
      <c r="K19" s="130"/>
      <c r="L19" s="148"/>
      <c r="M19" s="148"/>
      <c r="N19" s="148"/>
      <c r="O19" s="130"/>
      <c r="P19" s="130"/>
      <c r="Q19" s="130"/>
    </row>
    <row r="20" spans="1:17" s="119" customFormat="1" x14ac:dyDescent="0.25">
      <c r="A20" s="78" t="s">
        <v>244</v>
      </c>
      <c r="B20" s="125"/>
      <c r="C20" s="125"/>
      <c r="D20" s="125"/>
      <c r="E20" s="125"/>
      <c r="F20" s="78"/>
      <c r="G20" s="146"/>
      <c r="H20" s="146"/>
      <c r="I20" s="146"/>
      <c r="J20" s="147"/>
      <c r="K20" s="130"/>
      <c r="L20" s="148"/>
      <c r="M20" s="148"/>
      <c r="N20" s="148"/>
      <c r="O20" s="130"/>
      <c r="P20" s="130"/>
      <c r="Q20" s="130"/>
    </row>
    <row r="21" spans="1:17" s="119" customFormat="1" x14ac:dyDescent="0.25">
      <c r="A21" s="78" t="s">
        <v>245</v>
      </c>
      <c r="B21" s="125"/>
      <c r="C21" s="125"/>
      <c r="D21" s="125"/>
      <c r="E21" s="125"/>
      <c r="F21" s="78"/>
      <c r="G21" s="146"/>
      <c r="H21" s="146"/>
      <c r="I21" s="146"/>
      <c r="J21" s="147"/>
      <c r="K21" s="130"/>
      <c r="L21" s="148"/>
      <c r="M21" s="148"/>
      <c r="N21" s="148"/>
      <c r="O21" s="130"/>
      <c r="P21" s="130"/>
      <c r="Q21" s="130"/>
    </row>
  </sheetData>
  <mergeCells count="2">
    <mergeCell ref="A5:T5"/>
    <mergeCell ref="A4:T4"/>
  </mergeCells>
  <phoneticPr fontId="3" type="noConversion"/>
  <conditionalFormatting sqref="A9:A16 Q9:Q16">
    <cfRule type="expression" dxfId="118" priority="99" stopIfTrue="1">
      <formula>#REF!&gt;0</formula>
    </cfRule>
    <cfRule type="expression" dxfId="117" priority="100" stopIfTrue="1">
      <formula>LEFT(#REF!,3)="TIR"</formula>
    </cfRule>
  </conditionalFormatting>
  <conditionalFormatting sqref="B9:I9 K9 B10:M16">
    <cfRule type="expression" dxfId="116" priority="96" stopIfTrue="1">
      <formula>LEFT(#REF!,3)="TIR"</formula>
    </cfRule>
  </conditionalFormatting>
  <conditionalFormatting sqref="K1:K3 J9 L9:P9 R9:R16 N10:P16 K17:K55551">
    <cfRule type="expression" dxfId="115" priority="89" stopIfTrue="1">
      <formula>LEFT(#REF!,3)="TIR"</formula>
    </cfRule>
  </conditionalFormatting>
  <conditionalFormatting sqref="L6">
    <cfRule type="expression" dxfId="114" priority="95" stopIfTrue="1">
      <formula>LEFT(#REF!,3)="TIR"</formula>
    </cfRule>
  </conditionalFormatting>
  <conditionalFormatting sqref="S9:T16">
    <cfRule type="expression" dxfId="113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14"/>
  <sheetViews>
    <sheetView rightToLeft="1" zoomScale="80" zoomScaleNormal="80" workbookViewId="0"/>
  </sheetViews>
  <sheetFormatPr defaultColWidth="9.109375" defaultRowHeight="13.2" x14ac:dyDescent="0.25"/>
  <cols>
    <col min="1" max="1" width="41.33203125" style="9" bestFit="1" customWidth="1"/>
    <col min="2" max="2" width="16.332031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59" customWidth="1"/>
    <col min="8" max="8" width="11.109375" style="59" customWidth="1"/>
    <col min="9" max="9" width="14.109375" style="59" customWidth="1"/>
    <col min="10" max="10" width="7.88671875" style="36" customWidth="1"/>
    <col min="11" max="11" width="12.6640625" style="61" bestFit="1" customWidth="1"/>
    <col min="12" max="12" width="12.5546875" style="63" customWidth="1"/>
    <col min="13" max="13" width="14.109375" style="63" customWidth="1"/>
    <col min="14" max="14" width="12.44140625" style="63" bestFit="1" customWidth="1"/>
    <col min="15" max="15" width="11.44140625" style="61" bestFit="1" customWidth="1"/>
    <col min="16" max="16" width="16.5546875" style="61" customWidth="1"/>
    <col min="17" max="17" width="12.33203125" style="61" bestFit="1" customWidth="1"/>
    <col min="18" max="18" width="22" style="65" customWidth="1"/>
    <col min="19" max="19" width="25.44140625" style="65" customWidth="1"/>
    <col min="20" max="20" width="20.6640625" style="65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36"/>
      <c r="K1" s="61"/>
      <c r="L1" s="62"/>
      <c r="M1" s="62"/>
      <c r="N1" s="62"/>
      <c r="O1" s="61"/>
      <c r="P1" s="61"/>
      <c r="Q1" s="61"/>
      <c r="R1" s="65"/>
      <c r="S1" s="65"/>
      <c r="T1" s="43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36"/>
      <c r="K2" s="61"/>
      <c r="L2" s="62"/>
      <c r="M2" s="62"/>
      <c r="N2" s="62"/>
      <c r="O2" s="61"/>
      <c r="P2" s="61"/>
      <c r="Q2" s="61"/>
      <c r="R2" s="65"/>
      <c r="S2" s="65"/>
      <c r="T2" s="43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36"/>
      <c r="K3" s="61"/>
      <c r="L3" s="62"/>
      <c r="M3" s="62"/>
      <c r="N3" s="62"/>
      <c r="O3" s="61"/>
      <c r="P3" s="61"/>
      <c r="Q3" s="61"/>
      <c r="R3" s="65"/>
      <c r="S3" s="65"/>
      <c r="T3" s="43"/>
    </row>
    <row r="4" spans="1:20" s="7" customFormat="1" ht="13.8" thickBot="1" x14ac:dyDescent="0.3">
      <c r="A4" s="224" t="s">
        <v>11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6"/>
    </row>
    <row r="5" spans="1:20" s="7" customFormat="1" x14ac:dyDescent="0.25">
      <c r="A5" s="227" t="s">
        <v>88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9"/>
    </row>
    <row r="6" spans="1:20" s="7" customFormat="1" x14ac:dyDescent="0.25">
      <c r="A6" s="86" t="s">
        <v>157</v>
      </c>
      <c r="B6" s="206" t="s">
        <v>69</v>
      </c>
      <c r="C6" s="206" t="s">
        <v>76</v>
      </c>
      <c r="D6" s="206" t="s">
        <v>77</v>
      </c>
      <c r="E6" s="206" t="s">
        <v>74</v>
      </c>
      <c r="F6" s="206" t="s">
        <v>19</v>
      </c>
      <c r="G6" s="206" t="s">
        <v>70</v>
      </c>
      <c r="H6" s="206" t="s">
        <v>5</v>
      </c>
      <c r="I6" s="206" t="s">
        <v>13</v>
      </c>
      <c r="J6" s="206" t="s">
        <v>14</v>
      </c>
      <c r="K6" s="206" t="s">
        <v>6</v>
      </c>
      <c r="L6" s="207" t="s">
        <v>66</v>
      </c>
      <c r="M6" s="207" t="s">
        <v>71</v>
      </c>
      <c r="N6" s="207" t="s">
        <v>67</v>
      </c>
      <c r="O6" s="207" t="s">
        <v>68</v>
      </c>
      <c r="P6" s="207" t="s">
        <v>134</v>
      </c>
      <c r="Q6" s="207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1"/>
      <c r="I7" s="52" t="s">
        <v>40</v>
      </c>
      <c r="J7" s="51" t="s">
        <v>16</v>
      </c>
      <c r="K7" s="29"/>
      <c r="L7" s="49" t="s">
        <v>9</v>
      </c>
      <c r="M7" s="49" t="s">
        <v>9</v>
      </c>
      <c r="N7" s="2" t="s">
        <v>133</v>
      </c>
      <c r="O7" s="49"/>
      <c r="P7" s="2" t="s">
        <v>135</v>
      </c>
      <c r="Q7" s="2" t="s">
        <v>135</v>
      </c>
      <c r="R7" s="53" t="s">
        <v>9</v>
      </c>
      <c r="S7" s="53" t="s">
        <v>9</v>
      </c>
      <c r="T7" s="50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53</v>
      </c>
      <c r="B9" s="67"/>
      <c r="C9" s="67"/>
      <c r="D9" s="67"/>
      <c r="E9" s="67"/>
      <c r="F9" s="67"/>
      <c r="G9" s="101"/>
      <c r="H9" s="101"/>
      <c r="I9" s="101"/>
      <c r="J9" s="101"/>
      <c r="K9" s="101"/>
      <c r="L9" s="67"/>
      <c r="M9" s="67"/>
      <c r="N9" s="104"/>
      <c r="O9" s="101"/>
      <c r="P9" s="103" t="s">
        <v>249</v>
      </c>
      <c r="Q9" s="105">
        <v>112204.24523060005</v>
      </c>
      <c r="R9" s="67" t="s">
        <v>249</v>
      </c>
      <c r="S9" s="67">
        <v>1</v>
      </c>
      <c r="T9" s="81">
        <v>0.46218955164947356</v>
      </c>
    </row>
    <row r="10" spans="1:20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1" t="s">
        <v>249</v>
      </c>
      <c r="I10" s="131" t="s">
        <v>249</v>
      </c>
      <c r="J10" s="132" t="s">
        <v>249</v>
      </c>
      <c r="K10" s="132" t="s">
        <v>249</v>
      </c>
      <c r="L10" s="131" t="s">
        <v>249</v>
      </c>
      <c r="M10" s="131" t="s">
        <v>249</v>
      </c>
      <c r="N10" s="133" t="s">
        <v>249</v>
      </c>
      <c r="O10" s="122" t="s">
        <v>249</v>
      </c>
      <c r="P10" s="123" t="s">
        <v>249</v>
      </c>
      <c r="Q10" s="134">
        <v>93563.346270400085</v>
      </c>
      <c r="R10" s="121" t="s">
        <v>249</v>
      </c>
      <c r="S10" s="121">
        <v>0.83386636644728074</v>
      </c>
      <c r="T10" s="121">
        <v>0.38540432204384428</v>
      </c>
    </row>
    <row r="11" spans="1:20" s="119" customFormat="1" x14ac:dyDescent="0.25">
      <c r="A11" s="92" t="s">
        <v>138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1" t="s">
        <v>249</v>
      </c>
      <c r="H11" s="131" t="s">
        <v>249</v>
      </c>
      <c r="I11" s="131" t="s">
        <v>249</v>
      </c>
      <c r="J11" s="132" t="s">
        <v>249</v>
      </c>
      <c r="K11" s="132" t="s">
        <v>249</v>
      </c>
      <c r="L11" s="131" t="s">
        <v>249</v>
      </c>
      <c r="M11" s="131" t="s">
        <v>249</v>
      </c>
      <c r="N11" s="135" t="s">
        <v>249</v>
      </c>
      <c r="O11" s="136" t="s">
        <v>249</v>
      </c>
      <c r="P11" s="124" t="s">
        <v>249</v>
      </c>
      <c r="Q11" s="124">
        <v>74993.618290100043</v>
      </c>
      <c r="R11" s="137"/>
      <c r="S11" s="137">
        <v>0.66836703135406839</v>
      </c>
      <c r="T11" s="137">
        <v>0.30891225855882654</v>
      </c>
    </row>
    <row r="12" spans="1:20" x14ac:dyDescent="0.25">
      <c r="A12" s="16" t="s">
        <v>1076</v>
      </c>
      <c r="B12" s="117" t="s">
        <v>1077</v>
      </c>
      <c r="C12" s="117" t="s">
        <v>456</v>
      </c>
      <c r="D12" s="117" t="s">
        <v>249</v>
      </c>
      <c r="E12" s="117" t="s">
        <v>1078</v>
      </c>
      <c r="F12" s="117" t="s">
        <v>217</v>
      </c>
      <c r="G12" s="117" t="s">
        <v>253</v>
      </c>
      <c r="H12" s="117" t="s">
        <v>254</v>
      </c>
      <c r="I12" s="117" t="s">
        <v>1079</v>
      </c>
      <c r="J12" s="118">
        <v>3.74</v>
      </c>
      <c r="K12" s="118" t="s">
        <v>255</v>
      </c>
      <c r="L12" s="117">
        <v>5.0000000000000001E-4</v>
      </c>
      <c r="M12" s="117">
        <v>2.4700000000000003E-2</v>
      </c>
      <c r="N12" s="69">
        <v>6071.4412591132204</v>
      </c>
      <c r="O12" s="60">
        <v>101.07</v>
      </c>
      <c r="P12" s="84">
        <v>0</v>
      </c>
      <c r="Q12" s="84">
        <v>6.1364099999999997</v>
      </c>
      <c r="R12" s="24">
        <v>5.1425971619773573E-6</v>
      </c>
      <c r="S12" s="24">
        <v>5.4689641977347344E-5</v>
      </c>
      <c r="T12" s="24">
        <v>2.5276981105380399E-5</v>
      </c>
    </row>
    <row r="13" spans="1:20" x14ac:dyDescent="0.25">
      <c r="A13" s="16" t="s">
        <v>865</v>
      </c>
      <c r="B13" s="117" t="s">
        <v>866</v>
      </c>
      <c r="C13" s="117" t="s">
        <v>456</v>
      </c>
      <c r="D13" s="117" t="s">
        <v>249</v>
      </c>
      <c r="E13" s="117" t="s">
        <v>867</v>
      </c>
      <c r="F13" s="117" t="s">
        <v>200</v>
      </c>
      <c r="G13" s="117" t="s">
        <v>709</v>
      </c>
      <c r="H13" s="117" t="s">
        <v>569</v>
      </c>
      <c r="I13" s="117" t="s">
        <v>868</v>
      </c>
      <c r="J13" s="118">
        <v>0.73</v>
      </c>
      <c r="K13" s="118" t="s">
        <v>255</v>
      </c>
      <c r="L13" s="117">
        <v>5.0000000000000001E-3</v>
      </c>
      <c r="M13" s="117">
        <v>2.6200000000000001E-2</v>
      </c>
      <c r="N13" s="69">
        <v>8054.9398326649471</v>
      </c>
      <c r="O13" s="60">
        <v>109.87</v>
      </c>
      <c r="P13" s="84">
        <v>0</v>
      </c>
      <c r="Q13" s="84">
        <v>8.8499599999999994</v>
      </c>
      <c r="R13" s="24">
        <v>7.1268614100133439E-5</v>
      </c>
      <c r="S13" s="24">
        <v>7.8873664555309194E-5</v>
      </c>
      <c r="T13" s="24">
        <v>3.6454583657769332E-5</v>
      </c>
    </row>
    <row r="14" spans="1:20" x14ac:dyDescent="0.25">
      <c r="A14" s="16" t="s">
        <v>960</v>
      </c>
      <c r="B14" s="117" t="s">
        <v>961</v>
      </c>
      <c r="C14" s="117" t="s">
        <v>456</v>
      </c>
      <c r="D14" s="117" t="s">
        <v>249</v>
      </c>
      <c r="E14" s="117" t="s">
        <v>867</v>
      </c>
      <c r="F14" s="117" t="s">
        <v>200</v>
      </c>
      <c r="G14" s="117" t="s">
        <v>709</v>
      </c>
      <c r="H14" s="117" t="s">
        <v>569</v>
      </c>
      <c r="I14" s="117" t="s">
        <v>962</v>
      </c>
      <c r="J14" s="118">
        <v>3.17</v>
      </c>
      <c r="K14" s="118" t="s">
        <v>255</v>
      </c>
      <c r="L14" s="117">
        <v>1E-3</v>
      </c>
      <c r="M14" s="117">
        <v>2.2599999999999999E-2</v>
      </c>
      <c r="N14" s="69">
        <v>352547.34387229779</v>
      </c>
      <c r="O14" s="60">
        <v>101.55000000000001</v>
      </c>
      <c r="P14" s="84">
        <v>0</v>
      </c>
      <c r="Q14" s="84">
        <v>358.01183000000003</v>
      </c>
      <c r="R14" s="24">
        <v>7.5515707058174152E-4</v>
      </c>
      <c r="S14" s="24">
        <v>3.1907155497033187E-3</v>
      </c>
      <c r="T14" s="24">
        <v>1.4747153893583805E-3</v>
      </c>
    </row>
    <row r="15" spans="1:20" x14ac:dyDescent="0.25">
      <c r="A15" s="16" t="s">
        <v>956</v>
      </c>
      <c r="B15" s="117" t="s">
        <v>957</v>
      </c>
      <c r="C15" s="117" t="s">
        <v>456</v>
      </c>
      <c r="D15" s="117" t="s">
        <v>249</v>
      </c>
      <c r="E15" s="117" t="s">
        <v>958</v>
      </c>
      <c r="F15" s="117" t="s">
        <v>200</v>
      </c>
      <c r="G15" s="117" t="s">
        <v>709</v>
      </c>
      <c r="H15" s="117" t="s">
        <v>569</v>
      </c>
      <c r="I15" s="117" t="s">
        <v>959</v>
      </c>
      <c r="J15" s="118">
        <v>4.46</v>
      </c>
      <c r="K15" s="118" t="s">
        <v>255</v>
      </c>
      <c r="L15" s="117">
        <v>2E-3</v>
      </c>
      <c r="M15" s="117">
        <v>2.35E-2</v>
      </c>
      <c r="N15" s="69">
        <v>2679341.0751099479</v>
      </c>
      <c r="O15" s="60">
        <v>98.65</v>
      </c>
      <c r="P15" s="84">
        <v>0</v>
      </c>
      <c r="Q15" s="84">
        <v>2643.1699700000004</v>
      </c>
      <c r="R15" s="24">
        <v>6.5502029741906862E-4</v>
      </c>
      <c r="S15" s="24">
        <v>2.3556773316088062E-2</v>
      </c>
      <c r="T15" s="24">
        <v>1.0887694497271025E-2</v>
      </c>
    </row>
    <row r="16" spans="1:20" x14ac:dyDescent="0.25">
      <c r="A16" s="16" t="s">
        <v>1080</v>
      </c>
      <c r="B16" s="117" t="s">
        <v>1081</v>
      </c>
      <c r="C16" s="117" t="s">
        <v>456</v>
      </c>
      <c r="D16" s="117" t="s">
        <v>249</v>
      </c>
      <c r="E16" s="117" t="s">
        <v>645</v>
      </c>
      <c r="F16" s="117" t="s">
        <v>225</v>
      </c>
      <c r="G16" s="117" t="s">
        <v>253</v>
      </c>
      <c r="H16" s="117" t="s">
        <v>254</v>
      </c>
      <c r="I16" s="117" t="s">
        <v>532</v>
      </c>
      <c r="J16" s="118">
        <v>8.43</v>
      </c>
      <c r="K16" s="118" t="s">
        <v>255</v>
      </c>
      <c r="L16" s="117">
        <v>1.4999999999999999E-2</v>
      </c>
      <c r="M16" s="117">
        <v>2.8900000000000002E-2</v>
      </c>
      <c r="N16" s="69">
        <v>833092.81236922042</v>
      </c>
      <c r="O16" s="60">
        <v>102.99000000000001</v>
      </c>
      <c r="P16" s="84">
        <v>0</v>
      </c>
      <c r="Q16" s="84">
        <v>858.00229000000002</v>
      </c>
      <c r="R16" s="24">
        <v>7.4808089900616035E-4</v>
      </c>
      <c r="S16" s="24">
        <v>7.6467899074286359E-3</v>
      </c>
      <c r="T16" s="24">
        <v>3.5342663988721604E-3</v>
      </c>
    </row>
    <row r="17" spans="1:20" x14ac:dyDescent="0.25">
      <c r="A17" s="16" t="s">
        <v>1082</v>
      </c>
      <c r="B17" s="117" t="s">
        <v>1083</v>
      </c>
      <c r="C17" s="117" t="s">
        <v>456</v>
      </c>
      <c r="D17" s="117" t="s">
        <v>249</v>
      </c>
      <c r="E17" s="117" t="s">
        <v>645</v>
      </c>
      <c r="F17" s="117" t="s">
        <v>225</v>
      </c>
      <c r="G17" s="117" t="s">
        <v>253</v>
      </c>
      <c r="H17" s="117" t="s">
        <v>254</v>
      </c>
      <c r="I17" s="117" t="s">
        <v>532</v>
      </c>
      <c r="J17" s="118">
        <v>11.16</v>
      </c>
      <c r="K17" s="118" t="s">
        <v>255</v>
      </c>
      <c r="L17" s="117">
        <v>1.6E-2</v>
      </c>
      <c r="M17" s="117">
        <v>2.92E-2</v>
      </c>
      <c r="N17" s="69">
        <v>994873.62919775874</v>
      </c>
      <c r="O17" s="60">
        <v>105.31000000000002</v>
      </c>
      <c r="P17" s="84">
        <v>0</v>
      </c>
      <c r="Q17" s="84">
        <v>1047.7014200000001</v>
      </c>
      <c r="R17" s="24">
        <v>7.2958381980712985E-4</v>
      </c>
      <c r="S17" s="24">
        <v>9.3374490229561624E-3</v>
      </c>
      <c r="T17" s="24">
        <v>4.3156713774699243E-3</v>
      </c>
    </row>
    <row r="18" spans="1:20" x14ac:dyDescent="0.25">
      <c r="A18" s="16" t="s">
        <v>782</v>
      </c>
      <c r="B18" s="117" t="s">
        <v>783</v>
      </c>
      <c r="C18" s="117" t="s">
        <v>456</v>
      </c>
      <c r="D18" s="117" t="s">
        <v>249</v>
      </c>
      <c r="E18" s="117" t="s">
        <v>784</v>
      </c>
      <c r="F18" s="117" t="s">
        <v>200</v>
      </c>
      <c r="G18" s="117" t="s">
        <v>709</v>
      </c>
      <c r="H18" s="117" t="s">
        <v>569</v>
      </c>
      <c r="I18" s="117" t="s">
        <v>785</v>
      </c>
      <c r="J18" s="118">
        <v>1.73</v>
      </c>
      <c r="K18" s="118" t="s">
        <v>255</v>
      </c>
      <c r="L18" s="117">
        <v>8.3000000000000001E-3</v>
      </c>
      <c r="M18" s="117">
        <v>2.4500000000000001E-2</v>
      </c>
      <c r="N18" s="69">
        <v>511530.37378278282</v>
      </c>
      <c r="O18" s="60">
        <v>108.5</v>
      </c>
      <c r="P18" s="84">
        <v>0</v>
      </c>
      <c r="Q18" s="84">
        <v>555.01045999999997</v>
      </c>
      <c r="R18" s="24">
        <v>1.6816169053208356E-4</v>
      </c>
      <c r="S18" s="24">
        <v>4.9464301360376602E-3</v>
      </c>
      <c r="T18" s="24">
        <v>2.2861883268406906E-3</v>
      </c>
    </row>
    <row r="19" spans="1:20" x14ac:dyDescent="0.25">
      <c r="A19" s="16" t="s">
        <v>951</v>
      </c>
      <c r="B19" s="117" t="s">
        <v>952</v>
      </c>
      <c r="C19" s="117" t="s">
        <v>456</v>
      </c>
      <c r="D19" s="117" t="s">
        <v>249</v>
      </c>
      <c r="E19" s="117" t="s">
        <v>784</v>
      </c>
      <c r="F19" s="117" t="s">
        <v>200</v>
      </c>
      <c r="G19" s="117" t="s">
        <v>709</v>
      </c>
      <c r="H19" s="117" t="s">
        <v>569</v>
      </c>
      <c r="I19" s="117" t="s">
        <v>953</v>
      </c>
      <c r="J19" s="118">
        <v>4.1500000000000004</v>
      </c>
      <c r="K19" s="118" t="s">
        <v>255</v>
      </c>
      <c r="L19" s="117">
        <v>1E-3</v>
      </c>
      <c r="M19" s="117">
        <v>2.3099999999999999E-2</v>
      </c>
      <c r="N19" s="69">
        <v>1329829.9798810249</v>
      </c>
      <c r="O19" s="60">
        <v>99.25</v>
      </c>
      <c r="P19" s="84">
        <v>0</v>
      </c>
      <c r="Q19" s="84">
        <v>1319.85626</v>
      </c>
      <c r="R19" s="24">
        <v>4.2388329284072379E-4</v>
      </c>
      <c r="S19" s="24">
        <v>1.176297970979134E-2</v>
      </c>
      <c r="T19" s="24">
        <v>5.436726318130314E-3</v>
      </c>
    </row>
    <row r="20" spans="1:20" x14ac:dyDescent="0.25">
      <c r="A20" s="16" t="s">
        <v>954</v>
      </c>
      <c r="B20" s="117" t="s">
        <v>955</v>
      </c>
      <c r="C20" s="117" t="s">
        <v>456</v>
      </c>
      <c r="D20" s="117" t="s">
        <v>249</v>
      </c>
      <c r="E20" s="117" t="s">
        <v>784</v>
      </c>
      <c r="F20" s="117" t="s">
        <v>200</v>
      </c>
      <c r="G20" s="117" t="s">
        <v>709</v>
      </c>
      <c r="H20" s="117" t="s">
        <v>569</v>
      </c>
      <c r="I20" s="117" t="s">
        <v>953</v>
      </c>
      <c r="J20" s="118">
        <v>6.14</v>
      </c>
      <c r="K20" s="118" t="s">
        <v>255</v>
      </c>
      <c r="L20" s="117">
        <v>1E-3</v>
      </c>
      <c r="M20" s="117">
        <v>2.35E-2</v>
      </c>
      <c r="N20" s="69">
        <v>1571588.4656271657</v>
      </c>
      <c r="O20" s="60">
        <v>94.8</v>
      </c>
      <c r="P20" s="84">
        <v>0</v>
      </c>
      <c r="Q20" s="84">
        <v>1489.8658700000001</v>
      </c>
      <c r="R20" s="24">
        <v>6.3196432151085683E-4</v>
      </c>
      <c r="S20" s="24">
        <v>1.3278159546798394E-2</v>
      </c>
      <c r="T20" s="24">
        <v>6.1370266076649265E-3</v>
      </c>
    </row>
    <row r="21" spans="1:20" x14ac:dyDescent="0.25">
      <c r="A21" s="16" t="s">
        <v>941</v>
      </c>
      <c r="B21" s="117" t="s">
        <v>942</v>
      </c>
      <c r="C21" s="117" t="s">
        <v>456</v>
      </c>
      <c r="D21" s="117" t="s">
        <v>249</v>
      </c>
      <c r="E21" s="117" t="s">
        <v>708</v>
      </c>
      <c r="F21" s="117" t="s">
        <v>200</v>
      </c>
      <c r="G21" s="117" t="s">
        <v>709</v>
      </c>
      <c r="H21" s="117" t="s">
        <v>569</v>
      </c>
      <c r="I21" s="117" t="s">
        <v>940</v>
      </c>
      <c r="J21" s="118">
        <v>5.05</v>
      </c>
      <c r="K21" s="118" t="s">
        <v>255</v>
      </c>
      <c r="L21" s="117">
        <v>1E-3</v>
      </c>
      <c r="M21" s="117">
        <v>2.3300000000000001E-2</v>
      </c>
      <c r="N21" s="69">
        <v>1982762.7179068432</v>
      </c>
      <c r="O21" s="60">
        <v>97.31</v>
      </c>
      <c r="P21" s="84">
        <v>0</v>
      </c>
      <c r="Q21" s="84">
        <v>1929.4263999999998</v>
      </c>
      <c r="R21" s="24">
        <v>5.8711819215448804E-4</v>
      </c>
      <c r="S21" s="24">
        <v>1.7195663105568592E-2</v>
      </c>
      <c r="T21" s="24">
        <v>7.9476558210781409E-3</v>
      </c>
    </row>
    <row r="22" spans="1:20" x14ac:dyDescent="0.25">
      <c r="A22" s="16" t="s">
        <v>1002</v>
      </c>
      <c r="B22" s="117" t="s">
        <v>1003</v>
      </c>
      <c r="C22" s="117" t="s">
        <v>456</v>
      </c>
      <c r="D22" s="117" t="s">
        <v>249</v>
      </c>
      <c r="E22" s="117" t="s">
        <v>708</v>
      </c>
      <c r="F22" s="117" t="s">
        <v>200</v>
      </c>
      <c r="G22" s="117" t="s">
        <v>709</v>
      </c>
      <c r="H22" s="117" t="s">
        <v>569</v>
      </c>
      <c r="I22" s="117" t="s">
        <v>1004</v>
      </c>
      <c r="J22" s="118">
        <v>3.91</v>
      </c>
      <c r="K22" s="118" t="s">
        <v>255</v>
      </c>
      <c r="L22" s="117">
        <v>1E-3</v>
      </c>
      <c r="M22" s="117">
        <v>2.4E-2</v>
      </c>
      <c r="N22" s="69">
        <v>643191.05099508935</v>
      </c>
      <c r="O22" s="60">
        <v>98.23</v>
      </c>
      <c r="P22" s="84">
        <v>0</v>
      </c>
      <c r="Q22" s="84">
        <v>631.80656999999997</v>
      </c>
      <c r="R22" s="24">
        <v>6.1866147074897751E-4</v>
      </c>
      <c r="S22" s="24">
        <v>5.6308615480771072E-3</v>
      </c>
      <c r="T22" s="24">
        <v>2.602525374306019E-3</v>
      </c>
    </row>
    <row r="23" spans="1:20" x14ac:dyDescent="0.25">
      <c r="A23" s="16" t="s">
        <v>910</v>
      </c>
      <c r="B23" s="117" t="s">
        <v>911</v>
      </c>
      <c r="C23" s="117" t="s">
        <v>456</v>
      </c>
      <c r="D23" s="117" t="s">
        <v>249</v>
      </c>
      <c r="E23" s="117" t="s">
        <v>708</v>
      </c>
      <c r="F23" s="117" t="s">
        <v>200</v>
      </c>
      <c r="G23" s="117" t="s">
        <v>709</v>
      </c>
      <c r="H23" s="117" t="s">
        <v>569</v>
      </c>
      <c r="I23" s="117" t="s">
        <v>912</v>
      </c>
      <c r="J23" s="118">
        <v>0.91</v>
      </c>
      <c r="K23" s="118" t="s">
        <v>255</v>
      </c>
      <c r="L23" s="117">
        <v>9.4999999999999998E-3</v>
      </c>
      <c r="M23" s="117">
        <v>2.5399999999999999E-2</v>
      </c>
      <c r="N23" s="69">
        <v>268.87811724032923</v>
      </c>
      <c r="O23" s="60">
        <v>111.20000000000002</v>
      </c>
      <c r="P23" s="84">
        <v>0</v>
      </c>
      <c r="Q23" s="84">
        <v>0.29899000000000003</v>
      </c>
      <c r="R23" s="24">
        <v>8.3648841409804339E-7</v>
      </c>
      <c r="S23" s="24">
        <v>2.6646941867976691E-6</v>
      </c>
      <c r="T23" s="24">
        <v>1.2315938114789733E-6</v>
      </c>
    </row>
    <row r="24" spans="1:20" x14ac:dyDescent="0.25">
      <c r="A24" s="16" t="s">
        <v>1122</v>
      </c>
      <c r="B24" s="117" t="s">
        <v>1123</v>
      </c>
      <c r="C24" s="117" t="s">
        <v>456</v>
      </c>
      <c r="D24" s="117" t="s">
        <v>249</v>
      </c>
      <c r="E24" s="117" t="s">
        <v>708</v>
      </c>
      <c r="F24" s="117" t="s">
        <v>200</v>
      </c>
      <c r="G24" s="117" t="s">
        <v>709</v>
      </c>
      <c r="H24" s="117" t="s">
        <v>569</v>
      </c>
      <c r="I24" s="117" t="s">
        <v>1124</v>
      </c>
      <c r="J24" s="118">
        <v>6.41</v>
      </c>
      <c r="K24" s="118" t="s">
        <v>255</v>
      </c>
      <c r="L24" s="117">
        <v>4.6999999999999993E-3</v>
      </c>
      <c r="M24" s="117">
        <v>2.64E-2</v>
      </c>
      <c r="N24" s="69">
        <v>30.357206295566101</v>
      </c>
      <c r="O24" s="60">
        <v>107.76999999999998</v>
      </c>
      <c r="P24" s="84">
        <v>0</v>
      </c>
      <c r="Q24" s="84">
        <v>3.2719999999999999E-2</v>
      </c>
      <c r="R24" s="24">
        <v>4.3248380950677354E-8</v>
      </c>
      <c r="S24" s="24">
        <v>2.9161106990875858E-7</v>
      </c>
      <c r="T24" s="24">
        <v>1.3477958965715242E-7</v>
      </c>
    </row>
    <row r="25" spans="1:20" x14ac:dyDescent="0.25">
      <c r="A25" s="16" t="s">
        <v>706</v>
      </c>
      <c r="B25" s="117" t="s">
        <v>707</v>
      </c>
      <c r="C25" s="117" t="s">
        <v>456</v>
      </c>
      <c r="D25" s="117" t="s">
        <v>249</v>
      </c>
      <c r="E25" s="117" t="s">
        <v>708</v>
      </c>
      <c r="F25" s="117" t="s">
        <v>200</v>
      </c>
      <c r="G25" s="117" t="s">
        <v>709</v>
      </c>
      <c r="H25" s="117" t="s">
        <v>569</v>
      </c>
      <c r="I25" s="117" t="s">
        <v>710</v>
      </c>
      <c r="J25" s="118">
        <v>3.93</v>
      </c>
      <c r="K25" s="118" t="s">
        <v>255</v>
      </c>
      <c r="L25" s="117">
        <v>1.2199999999999999E-2</v>
      </c>
      <c r="M25" s="117">
        <v>2.3399999999999997E-2</v>
      </c>
      <c r="N25" s="69">
        <v>554668.22196503577</v>
      </c>
      <c r="O25" s="60">
        <v>107.65</v>
      </c>
      <c r="P25" s="84">
        <v>0</v>
      </c>
      <c r="Q25" s="84">
        <v>597.10033999999996</v>
      </c>
      <c r="R25" s="24">
        <v>1.8393222402783772E-4</v>
      </c>
      <c r="S25" s="24">
        <v>5.3215485632727233E-3</v>
      </c>
      <c r="T25" s="24">
        <v>2.45956414453992E-3</v>
      </c>
    </row>
    <row r="26" spans="1:20" x14ac:dyDescent="0.25">
      <c r="A26" s="16" t="s">
        <v>789</v>
      </c>
      <c r="B26" s="117" t="s">
        <v>790</v>
      </c>
      <c r="C26" s="117" t="s">
        <v>456</v>
      </c>
      <c r="D26" s="117" t="s">
        <v>249</v>
      </c>
      <c r="E26" s="117" t="s">
        <v>708</v>
      </c>
      <c r="F26" s="117" t="s">
        <v>200</v>
      </c>
      <c r="G26" s="117" t="s">
        <v>709</v>
      </c>
      <c r="H26" s="117" t="s">
        <v>569</v>
      </c>
      <c r="I26" s="117" t="s">
        <v>791</v>
      </c>
      <c r="J26" s="118">
        <v>2.72</v>
      </c>
      <c r="K26" s="118" t="s">
        <v>255</v>
      </c>
      <c r="L26" s="117">
        <v>3.8E-3</v>
      </c>
      <c r="M26" s="117">
        <v>2.3900000000000001E-2</v>
      </c>
      <c r="N26" s="69">
        <v>598616.76237713243</v>
      </c>
      <c r="O26" s="60">
        <v>104.01</v>
      </c>
      <c r="P26" s="84">
        <v>0</v>
      </c>
      <c r="Q26" s="84">
        <v>622.62129000000004</v>
      </c>
      <c r="R26" s="24">
        <v>1.9953892079237749E-4</v>
      </c>
      <c r="S26" s="24">
        <v>5.5489994047943601E-3</v>
      </c>
      <c r="T26" s="24">
        <v>2.5646895470051007E-3</v>
      </c>
    </row>
    <row r="27" spans="1:20" x14ac:dyDescent="0.25">
      <c r="A27" s="16" t="s">
        <v>844</v>
      </c>
      <c r="B27" s="117" t="s">
        <v>845</v>
      </c>
      <c r="C27" s="117" t="s">
        <v>456</v>
      </c>
      <c r="D27" s="117" t="s">
        <v>249</v>
      </c>
      <c r="E27" s="117" t="s">
        <v>708</v>
      </c>
      <c r="F27" s="117" t="s">
        <v>200</v>
      </c>
      <c r="G27" s="117" t="s">
        <v>709</v>
      </c>
      <c r="H27" s="117" t="s">
        <v>569</v>
      </c>
      <c r="I27" s="117" t="s">
        <v>846</v>
      </c>
      <c r="J27" s="118">
        <v>6.71</v>
      </c>
      <c r="K27" s="118" t="s">
        <v>255</v>
      </c>
      <c r="L27" s="117">
        <v>2E-3</v>
      </c>
      <c r="M27" s="117">
        <v>2.4E-2</v>
      </c>
      <c r="N27" s="69">
        <v>212470.67882818991</v>
      </c>
      <c r="O27" s="60">
        <v>96.35</v>
      </c>
      <c r="P27" s="84">
        <v>0</v>
      </c>
      <c r="Q27" s="84">
        <v>204.71549999999999</v>
      </c>
      <c r="R27" s="24">
        <v>2.2169033654439833E-4</v>
      </c>
      <c r="S27" s="24">
        <v>1.8244897916230582E-3</v>
      </c>
      <c r="T27" s="24">
        <v>8.4326011877930266E-4</v>
      </c>
    </row>
    <row r="28" spans="1:20" x14ac:dyDescent="0.25">
      <c r="A28" s="16" t="s">
        <v>1042</v>
      </c>
      <c r="B28" s="117" t="s">
        <v>1043</v>
      </c>
      <c r="C28" s="117" t="s">
        <v>456</v>
      </c>
      <c r="D28" s="117" t="s">
        <v>249</v>
      </c>
      <c r="E28" s="117" t="s">
        <v>708</v>
      </c>
      <c r="F28" s="117" t="s">
        <v>200</v>
      </c>
      <c r="G28" s="117" t="s">
        <v>709</v>
      </c>
      <c r="H28" s="117" t="s">
        <v>569</v>
      </c>
      <c r="I28" s="117" t="s">
        <v>1041</v>
      </c>
      <c r="J28" s="118">
        <v>3.94</v>
      </c>
      <c r="K28" s="118" t="s">
        <v>255</v>
      </c>
      <c r="L28" s="117">
        <v>1.6399999999999998E-2</v>
      </c>
      <c r="M28" s="117">
        <v>2.3700000000000002E-2</v>
      </c>
      <c r="N28" s="69">
        <v>702010.39558496606</v>
      </c>
      <c r="O28" s="60">
        <v>101.76</v>
      </c>
      <c r="P28" s="84">
        <v>0</v>
      </c>
      <c r="Q28" s="84">
        <v>714.36577999999997</v>
      </c>
      <c r="R28" s="24">
        <v>5.8017388064873223E-4</v>
      </c>
      <c r="S28" s="24">
        <v>6.3666555443766763E-3</v>
      </c>
      <c r="T28" s="24">
        <v>2.9426016715620911E-3</v>
      </c>
    </row>
    <row r="29" spans="1:20" x14ac:dyDescent="0.25">
      <c r="A29" s="16" t="s">
        <v>1084</v>
      </c>
      <c r="B29" s="117" t="s">
        <v>1085</v>
      </c>
      <c r="C29" s="117" t="s">
        <v>456</v>
      </c>
      <c r="D29" s="117" t="s">
        <v>249</v>
      </c>
      <c r="E29" s="117" t="s">
        <v>708</v>
      </c>
      <c r="F29" s="117" t="s">
        <v>200</v>
      </c>
      <c r="G29" s="117" t="s">
        <v>709</v>
      </c>
      <c r="H29" s="117" t="s">
        <v>569</v>
      </c>
      <c r="I29" s="117" t="s">
        <v>532</v>
      </c>
      <c r="J29" s="118">
        <v>4.87</v>
      </c>
      <c r="K29" s="118" t="s">
        <v>255</v>
      </c>
      <c r="L29" s="117">
        <v>2.06E-2</v>
      </c>
      <c r="M29" s="117">
        <v>2.3E-2</v>
      </c>
      <c r="N29" s="69">
        <v>1410228.8398573755</v>
      </c>
      <c r="O29" s="60">
        <v>100.43000000000002</v>
      </c>
      <c r="P29" s="84">
        <v>0</v>
      </c>
      <c r="Q29" s="84">
        <v>1416.2928200000001</v>
      </c>
      <c r="R29" s="24">
        <v>7.0508022353784618E-4</v>
      </c>
      <c r="S29" s="24">
        <v>1.2622453072869586E-2</v>
      </c>
      <c r="T29" s="24">
        <v>5.8339659264661139E-3</v>
      </c>
    </row>
    <row r="30" spans="1:20" x14ac:dyDescent="0.25">
      <c r="A30" s="16" t="s">
        <v>792</v>
      </c>
      <c r="B30" s="117" t="s">
        <v>793</v>
      </c>
      <c r="C30" s="117" t="s">
        <v>456</v>
      </c>
      <c r="D30" s="117" t="s">
        <v>249</v>
      </c>
      <c r="E30" s="117" t="s">
        <v>794</v>
      </c>
      <c r="F30" s="117" t="s">
        <v>204</v>
      </c>
      <c r="G30" s="117" t="s">
        <v>253</v>
      </c>
      <c r="H30" s="117" t="s">
        <v>254</v>
      </c>
      <c r="I30" s="117" t="s">
        <v>795</v>
      </c>
      <c r="J30" s="118">
        <v>2.21</v>
      </c>
      <c r="K30" s="118" t="s">
        <v>255</v>
      </c>
      <c r="L30" s="117">
        <v>1E-3</v>
      </c>
      <c r="M30" s="117">
        <v>2.3599999999999999E-2</v>
      </c>
      <c r="N30" s="69">
        <v>284451.361034234</v>
      </c>
      <c r="O30" s="60">
        <v>104.36000000000001</v>
      </c>
      <c r="P30" s="84">
        <v>0</v>
      </c>
      <c r="Q30" s="84">
        <v>296.85343999999998</v>
      </c>
      <c r="R30" s="24">
        <v>2.6571748144025193E-4</v>
      </c>
      <c r="S30" s="24">
        <v>2.6456524830224776E-3</v>
      </c>
      <c r="T30" s="24">
        <v>1.2227929349484753E-3</v>
      </c>
    </row>
    <row r="31" spans="1:20" x14ac:dyDescent="0.25">
      <c r="A31" s="16" t="s">
        <v>796</v>
      </c>
      <c r="B31" s="117" t="s">
        <v>797</v>
      </c>
      <c r="C31" s="117" t="s">
        <v>456</v>
      </c>
      <c r="D31" s="117" t="s">
        <v>249</v>
      </c>
      <c r="E31" s="117" t="s">
        <v>794</v>
      </c>
      <c r="F31" s="117" t="s">
        <v>204</v>
      </c>
      <c r="G31" s="117" t="s">
        <v>253</v>
      </c>
      <c r="H31" s="117" t="s">
        <v>254</v>
      </c>
      <c r="I31" s="117" t="s">
        <v>798</v>
      </c>
      <c r="J31" s="118">
        <v>12.16</v>
      </c>
      <c r="K31" s="118" t="s">
        <v>255</v>
      </c>
      <c r="L31" s="117">
        <v>2.07E-2</v>
      </c>
      <c r="M31" s="117">
        <v>2.69E-2</v>
      </c>
      <c r="N31" s="69">
        <v>840158.21495366073</v>
      </c>
      <c r="O31" s="60">
        <v>102.42999999999999</v>
      </c>
      <c r="P31" s="84">
        <v>0</v>
      </c>
      <c r="Q31" s="84">
        <v>860.57406000000003</v>
      </c>
      <c r="R31" s="24">
        <v>2.4668776211894032E-4</v>
      </c>
      <c r="S31" s="24">
        <v>7.6697103414524511E-3</v>
      </c>
      <c r="T31" s="24">
        <v>3.5448599839972392E-3</v>
      </c>
    </row>
    <row r="32" spans="1:20" x14ac:dyDescent="0.25">
      <c r="A32" s="16" t="s">
        <v>883</v>
      </c>
      <c r="B32" s="117" t="s">
        <v>884</v>
      </c>
      <c r="C32" s="117" t="s">
        <v>456</v>
      </c>
      <c r="D32" s="117" t="s">
        <v>249</v>
      </c>
      <c r="E32" s="117" t="s">
        <v>885</v>
      </c>
      <c r="F32" s="117" t="s">
        <v>200</v>
      </c>
      <c r="G32" s="117" t="s">
        <v>253</v>
      </c>
      <c r="H32" s="117" t="s">
        <v>254</v>
      </c>
      <c r="I32" s="117" t="s">
        <v>886</v>
      </c>
      <c r="J32" s="118">
        <v>3.2</v>
      </c>
      <c r="K32" s="118" t="s">
        <v>255</v>
      </c>
      <c r="L32" s="117">
        <v>1.4999999999999999E-2</v>
      </c>
      <c r="M32" s="117">
        <v>2.3700000000000002E-2</v>
      </c>
      <c r="N32" s="69">
        <v>30763.698759312094</v>
      </c>
      <c r="O32" s="60">
        <v>109.37</v>
      </c>
      <c r="P32" s="84">
        <v>0</v>
      </c>
      <c r="Q32" s="84">
        <v>33.646260000000005</v>
      </c>
      <c r="R32" s="24">
        <v>9.4498400500651349E-5</v>
      </c>
      <c r="S32" s="24">
        <v>2.9986619428570502E-4</v>
      </c>
      <c r="T32" s="24">
        <v>1.3859502189174393E-4</v>
      </c>
    </row>
    <row r="33" spans="1:20" x14ac:dyDescent="0.25">
      <c r="A33" s="16" t="s">
        <v>732</v>
      </c>
      <c r="B33" s="117" t="s">
        <v>733</v>
      </c>
      <c r="C33" s="117" t="s">
        <v>456</v>
      </c>
      <c r="D33" s="117" t="s">
        <v>249</v>
      </c>
      <c r="E33" s="117" t="s">
        <v>734</v>
      </c>
      <c r="F33" s="117" t="s">
        <v>223</v>
      </c>
      <c r="G33" s="117" t="s">
        <v>709</v>
      </c>
      <c r="H33" s="117" t="s">
        <v>569</v>
      </c>
      <c r="I33" s="117" t="s">
        <v>735</v>
      </c>
      <c r="J33" s="118">
        <v>2.13</v>
      </c>
      <c r="K33" s="118" t="s">
        <v>255</v>
      </c>
      <c r="L33" s="117">
        <v>8.3000000000000001E-3</v>
      </c>
      <c r="M33" s="117">
        <v>2.3399999999999997E-2</v>
      </c>
      <c r="N33" s="69">
        <v>378022.94291304192</v>
      </c>
      <c r="O33" s="60">
        <v>109.00000000000001</v>
      </c>
      <c r="P33" s="84">
        <v>0</v>
      </c>
      <c r="Q33" s="84">
        <v>412.04500999999999</v>
      </c>
      <c r="R33" s="24">
        <v>2.7427155423234229E-4</v>
      </c>
      <c r="S33" s="24">
        <v>3.6722764736144601E-3</v>
      </c>
      <c r="T33" s="24">
        <v>1.6972878168727769E-3</v>
      </c>
    </row>
    <row r="34" spans="1:20" x14ac:dyDescent="0.25">
      <c r="A34" s="16" t="s">
        <v>736</v>
      </c>
      <c r="B34" s="117" t="s">
        <v>737</v>
      </c>
      <c r="C34" s="117" t="s">
        <v>456</v>
      </c>
      <c r="D34" s="117" t="s">
        <v>249</v>
      </c>
      <c r="E34" s="117" t="s">
        <v>734</v>
      </c>
      <c r="F34" s="117" t="s">
        <v>223</v>
      </c>
      <c r="G34" s="117" t="s">
        <v>709</v>
      </c>
      <c r="H34" s="117" t="s">
        <v>569</v>
      </c>
      <c r="I34" s="117" t="s">
        <v>735</v>
      </c>
      <c r="J34" s="118">
        <v>5.9</v>
      </c>
      <c r="K34" s="118" t="s">
        <v>255</v>
      </c>
      <c r="L34" s="117">
        <v>1.6500000000000001E-2</v>
      </c>
      <c r="M34" s="117">
        <v>2.7000000000000003E-2</v>
      </c>
      <c r="N34" s="69">
        <v>642056.80744089582</v>
      </c>
      <c r="O34" s="60">
        <v>106.13</v>
      </c>
      <c r="P34" s="84">
        <v>0</v>
      </c>
      <c r="Q34" s="84">
        <v>681.41489000000001</v>
      </c>
      <c r="R34" s="24">
        <v>3.0348342023010506E-4</v>
      </c>
      <c r="S34" s="24">
        <v>6.0729867091888455E-3</v>
      </c>
      <c r="T34" s="24">
        <v>2.8068710042932045E-3</v>
      </c>
    </row>
    <row r="35" spans="1:20" x14ac:dyDescent="0.25">
      <c r="A35" s="16" t="s">
        <v>903</v>
      </c>
      <c r="B35" s="117" t="s">
        <v>904</v>
      </c>
      <c r="C35" s="117" t="s">
        <v>456</v>
      </c>
      <c r="D35" s="117" t="s">
        <v>249</v>
      </c>
      <c r="E35" s="117" t="s">
        <v>734</v>
      </c>
      <c r="F35" s="117" t="s">
        <v>223</v>
      </c>
      <c r="G35" s="117" t="s">
        <v>709</v>
      </c>
      <c r="H35" s="117" t="s">
        <v>569</v>
      </c>
      <c r="I35" s="117" t="s">
        <v>905</v>
      </c>
      <c r="J35" s="118">
        <v>14.24</v>
      </c>
      <c r="K35" s="118" t="s">
        <v>255</v>
      </c>
      <c r="L35" s="117">
        <v>9.5999999999999992E-3</v>
      </c>
      <c r="M35" s="117">
        <v>2.7000000000000003E-2</v>
      </c>
      <c r="N35" s="69">
        <v>157168.36415403438</v>
      </c>
      <c r="O35" s="60">
        <v>86.5</v>
      </c>
      <c r="P35" s="84">
        <v>0</v>
      </c>
      <c r="Q35" s="84">
        <v>135.95063000000002</v>
      </c>
      <c r="R35" s="24">
        <v>3.9292091038508595E-4</v>
      </c>
      <c r="S35" s="24">
        <v>1.2116353505216924E-3</v>
      </c>
      <c r="T35" s="24">
        <v>5.6000519942027373E-4</v>
      </c>
    </row>
    <row r="36" spans="1:20" x14ac:dyDescent="0.25">
      <c r="A36" s="16" t="s">
        <v>1036</v>
      </c>
      <c r="B36" s="117" t="s">
        <v>1037</v>
      </c>
      <c r="C36" s="117" t="s">
        <v>456</v>
      </c>
      <c r="D36" s="117" t="s">
        <v>249</v>
      </c>
      <c r="E36" s="117" t="s">
        <v>965</v>
      </c>
      <c r="F36" s="117" t="s">
        <v>200</v>
      </c>
      <c r="G36" s="117" t="s">
        <v>253</v>
      </c>
      <c r="H36" s="117" t="s">
        <v>254</v>
      </c>
      <c r="I36" s="117" t="s">
        <v>1038</v>
      </c>
      <c r="J36" s="118">
        <v>4.37</v>
      </c>
      <c r="K36" s="118" t="s">
        <v>255</v>
      </c>
      <c r="L36" s="117">
        <v>1.3899999999999999E-2</v>
      </c>
      <c r="M36" s="117">
        <v>2.3799999999999998E-2</v>
      </c>
      <c r="N36" s="69">
        <v>963346.94492258294</v>
      </c>
      <c r="O36" s="60">
        <v>100.13000000000001</v>
      </c>
      <c r="P36" s="84">
        <v>0</v>
      </c>
      <c r="Q36" s="84">
        <v>964.59930000000008</v>
      </c>
      <c r="R36" s="24">
        <v>4.8167347246129145E-4</v>
      </c>
      <c r="S36" s="24">
        <v>8.5968164396772496E-3</v>
      </c>
      <c r="T36" s="24">
        <v>3.9733587358672514E-3</v>
      </c>
    </row>
    <row r="37" spans="1:20" x14ac:dyDescent="0.25">
      <c r="A37" s="16" t="s">
        <v>963</v>
      </c>
      <c r="B37" s="117" t="s">
        <v>964</v>
      </c>
      <c r="C37" s="117" t="s">
        <v>456</v>
      </c>
      <c r="D37" s="117" t="s">
        <v>249</v>
      </c>
      <c r="E37" s="117" t="s">
        <v>965</v>
      </c>
      <c r="F37" s="117" t="s">
        <v>200</v>
      </c>
      <c r="G37" s="117" t="s">
        <v>709</v>
      </c>
      <c r="H37" s="117" t="s">
        <v>569</v>
      </c>
      <c r="I37" s="117" t="s">
        <v>966</v>
      </c>
      <c r="J37" s="118">
        <v>4.04</v>
      </c>
      <c r="K37" s="118" t="s">
        <v>255</v>
      </c>
      <c r="L37" s="117">
        <v>1E-3</v>
      </c>
      <c r="M37" s="117">
        <v>2.3799999999999998E-2</v>
      </c>
      <c r="N37" s="69">
        <v>1664468.520971583</v>
      </c>
      <c r="O37" s="60">
        <v>99.07</v>
      </c>
      <c r="P37" s="84">
        <v>0</v>
      </c>
      <c r="Q37" s="84">
        <v>1648.9889599999999</v>
      </c>
      <c r="R37" s="24">
        <v>5.6082682801384602E-4</v>
      </c>
      <c r="S37" s="24">
        <v>1.4696315247351195E-2</v>
      </c>
      <c r="T37" s="24">
        <v>6.7924833550725705E-3</v>
      </c>
    </row>
    <row r="38" spans="1:20" x14ac:dyDescent="0.25">
      <c r="A38" s="16" t="s">
        <v>1116</v>
      </c>
      <c r="B38" s="117" t="s">
        <v>1117</v>
      </c>
      <c r="C38" s="117" t="s">
        <v>456</v>
      </c>
      <c r="D38" s="117" t="s">
        <v>249</v>
      </c>
      <c r="E38" s="117" t="s">
        <v>965</v>
      </c>
      <c r="F38" s="117" t="s">
        <v>200</v>
      </c>
      <c r="G38" s="117" t="s">
        <v>709</v>
      </c>
      <c r="H38" s="117" t="s">
        <v>569</v>
      </c>
      <c r="I38" s="117" t="s">
        <v>1118</v>
      </c>
      <c r="J38" s="118">
        <v>3.47</v>
      </c>
      <c r="K38" s="118" t="s">
        <v>255</v>
      </c>
      <c r="L38" s="117">
        <v>1.7500000000000002E-2</v>
      </c>
      <c r="M38" s="117">
        <v>2.4300000000000002E-2</v>
      </c>
      <c r="N38" s="69">
        <v>451259.42791302007</v>
      </c>
      <c r="O38" s="60">
        <v>109.67</v>
      </c>
      <c r="P38" s="84">
        <v>0</v>
      </c>
      <c r="Q38" s="84">
        <v>494.89621</v>
      </c>
      <c r="R38" s="24">
        <v>1.3666511723804962E-4</v>
      </c>
      <c r="S38" s="24">
        <v>4.4106727778694885E-3</v>
      </c>
      <c r="T38" s="24">
        <v>2.0385668736760368E-3</v>
      </c>
    </row>
    <row r="39" spans="1:20" x14ac:dyDescent="0.25">
      <c r="A39" s="16" t="s">
        <v>643</v>
      </c>
      <c r="B39" s="117" t="s">
        <v>644</v>
      </c>
      <c r="C39" s="117" t="s">
        <v>456</v>
      </c>
      <c r="D39" s="117" t="s">
        <v>249</v>
      </c>
      <c r="E39" s="117" t="s">
        <v>645</v>
      </c>
      <c r="F39" s="117" t="s">
        <v>225</v>
      </c>
      <c r="G39" s="117" t="s">
        <v>646</v>
      </c>
      <c r="H39" s="117" t="s">
        <v>569</v>
      </c>
      <c r="I39" s="117" t="s">
        <v>647</v>
      </c>
      <c r="J39" s="118">
        <v>4.2</v>
      </c>
      <c r="K39" s="118" t="s">
        <v>255</v>
      </c>
      <c r="L39" s="117">
        <v>3.85E-2</v>
      </c>
      <c r="M39" s="117">
        <v>2.52E-2</v>
      </c>
      <c r="N39" s="69">
        <v>468721.53427021269</v>
      </c>
      <c r="O39" s="60">
        <v>120.55</v>
      </c>
      <c r="P39" s="84">
        <v>0</v>
      </c>
      <c r="Q39" s="84">
        <v>565.04381000000001</v>
      </c>
      <c r="R39" s="24">
        <v>1.8148990792730713E-4</v>
      </c>
      <c r="S39" s="24">
        <v>5.035850549493316E-3</v>
      </c>
      <c r="T39" s="24">
        <v>2.3275175076440707E-3</v>
      </c>
    </row>
    <row r="40" spans="1:20" x14ac:dyDescent="0.25">
      <c r="A40" s="16" t="s">
        <v>681</v>
      </c>
      <c r="B40" s="117" t="s">
        <v>682</v>
      </c>
      <c r="C40" s="117" t="s">
        <v>456</v>
      </c>
      <c r="D40" s="117" t="s">
        <v>249</v>
      </c>
      <c r="E40" s="117" t="s">
        <v>645</v>
      </c>
      <c r="F40" s="117" t="s">
        <v>225</v>
      </c>
      <c r="G40" s="117" t="s">
        <v>646</v>
      </c>
      <c r="H40" s="117" t="s">
        <v>569</v>
      </c>
      <c r="I40" s="117" t="s">
        <v>683</v>
      </c>
      <c r="J40" s="118">
        <v>1.86</v>
      </c>
      <c r="K40" s="118" t="s">
        <v>255</v>
      </c>
      <c r="L40" s="117">
        <v>4.4999999999999998E-2</v>
      </c>
      <c r="M40" s="117">
        <v>2.63E-2</v>
      </c>
      <c r="N40" s="69">
        <v>997463.76675330906</v>
      </c>
      <c r="O40" s="60">
        <v>117.23000000000002</v>
      </c>
      <c r="P40" s="84">
        <v>0</v>
      </c>
      <c r="Q40" s="84">
        <v>1169.3267700000001</v>
      </c>
      <c r="R40" s="24">
        <v>3.3748218213434418E-4</v>
      </c>
      <c r="S40" s="24">
        <v>1.0421412911755894E-2</v>
      </c>
      <c r="T40" s="24">
        <v>4.8166681612384918E-3</v>
      </c>
    </row>
    <row r="41" spans="1:20" x14ac:dyDescent="0.25">
      <c r="A41" s="16" t="s">
        <v>767</v>
      </c>
      <c r="B41" s="117" t="s">
        <v>768</v>
      </c>
      <c r="C41" s="117" t="s">
        <v>456</v>
      </c>
      <c r="D41" s="117" t="s">
        <v>249</v>
      </c>
      <c r="E41" s="117" t="s">
        <v>645</v>
      </c>
      <c r="F41" s="117" t="s">
        <v>225</v>
      </c>
      <c r="G41" s="117" t="s">
        <v>646</v>
      </c>
      <c r="H41" s="117" t="s">
        <v>569</v>
      </c>
      <c r="I41" s="117" t="s">
        <v>769</v>
      </c>
      <c r="J41" s="118">
        <v>6.66</v>
      </c>
      <c r="K41" s="118" t="s">
        <v>255</v>
      </c>
      <c r="L41" s="117">
        <v>2.3900000000000001E-2</v>
      </c>
      <c r="M41" s="117">
        <v>2.8199999999999999E-2</v>
      </c>
      <c r="N41" s="69">
        <v>1241486.8545532897</v>
      </c>
      <c r="O41" s="60">
        <v>108.05</v>
      </c>
      <c r="P41" s="84">
        <v>0</v>
      </c>
      <c r="Q41" s="84">
        <v>1341.4265500000001</v>
      </c>
      <c r="R41" s="24">
        <v>3.1921820783196981E-4</v>
      </c>
      <c r="S41" s="24">
        <v>1.1955221010070747E-2</v>
      </c>
      <c r="T41" s="24">
        <v>5.5255782385149653E-3</v>
      </c>
    </row>
    <row r="42" spans="1:20" x14ac:dyDescent="0.25">
      <c r="A42" s="16" t="s">
        <v>930</v>
      </c>
      <c r="B42" s="117" t="s">
        <v>931</v>
      </c>
      <c r="C42" s="117" t="s">
        <v>456</v>
      </c>
      <c r="D42" s="117" t="s">
        <v>249</v>
      </c>
      <c r="E42" s="117" t="s">
        <v>645</v>
      </c>
      <c r="F42" s="117" t="s">
        <v>225</v>
      </c>
      <c r="G42" s="117" t="s">
        <v>646</v>
      </c>
      <c r="H42" s="117" t="s">
        <v>569</v>
      </c>
      <c r="I42" s="117" t="s">
        <v>932</v>
      </c>
      <c r="J42" s="118">
        <v>3.75</v>
      </c>
      <c r="K42" s="118" t="s">
        <v>255</v>
      </c>
      <c r="L42" s="117">
        <v>0.01</v>
      </c>
      <c r="M42" s="117">
        <v>2.3700000000000002E-2</v>
      </c>
      <c r="N42" s="69">
        <v>383910.94012809196</v>
      </c>
      <c r="O42" s="60">
        <v>104.44</v>
      </c>
      <c r="P42" s="84">
        <v>0</v>
      </c>
      <c r="Q42" s="84">
        <v>400.95659000000001</v>
      </c>
      <c r="R42" s="24">
        <v>3.1946229689100393E-4</v>
      </c>
      <c r="S42" s="24">
        <v>3.5734529400020614E-3</v>
      </c>
      <c r="T42" s="24">
        <v>1.651612612180046E-3</v>
      </c>
    </row>
    <row r="43" spans="1:20" x14ac:dyDescent="0.25">
      <c r="A43" s="16" t="s">
        <v>933</v>
      </c>
      <c r="B43" s="117" t="s">
        <v>934</v>
      </c>
      <c r="C43" s="117" t="s">
        <v>456</v>
      </c>
      <c r="D43" s="117" t="s">
        <v>249</v>
      </c>
      <c r="E43" s="117" t="s">
        <v>645</v>
      </c>
      <c r="F43" s="117" t="s">
        <v>200</v>
      </c>
      <c r="G43" s="117" t="s">
        <v>646</v>
      </c>
      <c r="H43" s="117" t="s">
        <v>569</v>
      </c>
      <c r="I43" s="117" t="s">
        <v>932</v>
      </c>
      <c r="J43" s="118">
        <v>11.64</v>
      </c>
      <c r="K43" s="118" t="s">
        <v>255</v>
      </c>
      <c r="L43" s="117">
        <v>1.2500000000000001E-2</v>
      </c>
      <c r="M43" s="117">
        <v>2.8999999999999998E-2</v>
      </c>
      <c r="N43" s="69">
        <v>2033591.8041260075</v>
      </c>
      <c r="O43" s="60">
        <v>91.1</v>
      </c>
      <c r="P43" s="84">
        <v>0</v>
      </c>
      <c r="Q43" s="84">
        <v>1852.60213</v>
      </c>
      <c r="R43" s="24">
        <v>4.7382429522569477E-4</v>
      </c>
      <c r="S43" s="24">
        <v>1.6510980722632792E-2</v>
      </c>
      <c r="T43" s="24">
        <v>7.6312027774867522E-3</v>
      </c>
    </row>
    <row r="44" spans="1:20" x14ac:dyDescent="0.25">
      <c r="A44" s="16" t="s">
        <v>4008</v>
      </c>
      <c r="B44" s="117" t="s">
        <v>744</v>
      </c>
      <c r="C44" s="117" t="s">
        <v>456</v>
      </c>
      <c r="D44" s="117" t="s">
        <v>249</v>
      </c>
      <c r="E44" s="117" t="s">
        <v>745</v>
      </c>
      <c r="F44" s="117" t="s">
        <v>204</v>
      </c>
      <c r="G44" s="117" t="s">
        <v>646</v>
      </c>
      <c r="H44" s="117" t="s">
        <v>569</v>
      </c>
      <c r="I44" s="117" t="s">
        <v>746</v>
      </c>
      <c r="J44" s="118">
        <v>6.24</v>
      </c>
      <c r="K44" s="118" t="s">
        <v>255</v>
      </c>
      <c r="L44" s="117">
        <v>2.6499999999999999E-2</v>
      </c>
      <c r="M44" s="117">
        <v>2.6499999999999999E-2</v>
      </c>
      <c r="N44" s="69">
        <v>568288.8067980496</v>
      </c>
      <c r="O44" s="60">
        <v>112.76000000000002</v>
      </c>
      <c r="P44" s="84">
        <v>0</v>
      </c>
      <c r="Q44" s="84">
        <v>640.80246</v>
      </c>
      <c r="R44" s="24">
        <v>3.8000330988402351E-4</v>
      </c>
      <c r="S44" s="24">
        <v>5.7110357873094274E-3</v>
      </c>
      <c r="T44" s="24">
        <v>2.6395810699906424E-3</v>
      </c>
    </row>
    <row r="45" spans="1:20" x14ac:dyDescent="0.25">
      <c r="A45" s="16" t="s">
        <v>924</v>
      </c>
      <c r="B45" s="117" t="s">
        <v>925</v>
      </c>
      <c r="C45" s="117" t="s">
        <v>456</v>
      </c>
      <c r="D45" s="117" t="s">
        <v>249</v>
      </c>
      <c r="E45" s="117" t="s">
        <v>629</v>
      </c>
      <c r="F45" s="117" t="s">
        <v>223</v>
      </c>
      <c r="G45" s="117" t="s">
        <v>630</v>
      </c>
      <c r="H45" s="117" t="s">
        <v>254</v>
      </c>
      <c r="I45" s="117" t="s">
        <v>926</v>
      </c>
      <c r="J45" s="118">
        <v>7.69</v>
      </c>
      <c r="K45" s="118" t="s">
        <v>255</v>
      </c>
      <c r="L45" s="117">
        <v>9.0000000000000011E-3</v>
      </c>
      <c r="M45" s="117">
        <v>3.2000000000000001E-2</v>
      </c>
      <c r="N45" s="69">
        <v>879434.32635341899</v>
      </c>
      <c r="O45" s="60">
        <v>92.19</v>
      </c>
      <c r="P45" s="84">
        <v>0</v>
      </c>
      <c r="Q45" s="84">
        <v>810.75050999999996</v>
      </c>
      <c r="R45" s="24">
        <v>4.6198580284546669E-4</v>
      </c>
      <c r="S45" s="24">
        <v>7.2256669819734621E-3</v>
      </c>
      <c r="T45" s="24">
        <v>3.339627782766719E-3</v>
      </c>
    </row>
    <row r="46" spans="1:20" x14ac:dyDescent="0.25">
      <c r="A46" s="16" t="s">
        <v>627</v>
      </c>
      <c r="B46" s="117" t="s">
        <v>628</v>
      </c>
      <c r="C46" s="117" t="s">
        <v>456</v>
      </c>
      <c r="D46" s="117" t="s">
        <v>249</v>
      </c>
      <c r="E46" s="117" t="s">
        <v>629</v>
      </c>
      <c r="F46" s="117" t="s">
        <v>223</v>
      </c>
      <c r="G46" s="117" t="s">
        <v>630</v>
      </c>
      <c r="H46" s="117" t="s">
        <v>254</v>
      </c>
      <c r="I46" s="117" t="s">
        <v>631</v>
      </c>
      <c r="J46" s="118">
        <v>1</v>
      </c>
      <c r="K46" s="118" t="s">
        <v>255</v>
      </c>
      <c r="L46" s="117">
        <v>6.5000000000000006E-3</v>
      </c>
      <c r="M46" s="117">
        <v>2.5499999999999998E-2</v>
      </c>
      <c r="N46" s="69">
        <v>84991.963240776357</v>
      </c>
      <c r="O46" s="60">
        <v>109.23</v>
      </c>
      <c r="P46" s="84">
        <v>0.30742524240000002</v>
      </c>
      <c r="Q46" s="84">
        <v>93.144149999999996</v>
      </c>
      <c r="R46" s="24">
        <v>7.7847344179784975E-5</v>
      </c>
      <c r="S46" s="24">
        <v>8.3013035566142706E-4</v>
      </c>
      <c r="T46" s="24">
        <v>3.8367757689377301E-4</v>
      </c>
    </row>
    <row r="47" spans="1:20" x14ac:dyDescent="0.25">
      <c r="A47" s="16" t="s">
        <v>661</v>
      </c>
      <c r="B47" s="117" t="s">
        <v>662</v>
      </c>
      <c r="C47" s="117" t="s">
        <v>456</v>
      </c>
      <c r="D47" s="117" t="s">
        <v>249</v>
      </c>
      <c r="E47" s="117" t="s">
        <v>629</v>
      </c>
      <c r="F47" s="117" t="s">
        <v>223</v>
      </c>
      <c r="G47" s="117" t="s">
        <v>646</v>
      </c>
      <c r="H47" s="117" t="s">
        <v>569</v>
      </c>
      <c r="I47" s="117" t="s">
        <v>663</v>
      </c>
      <c r="J47" s="118">
        <v>3.35</v>
      </c>
      <c r="K47" s="118" t="s">
        <v>255</v>
      </c>
      <c r="L47" s="117">
        <v>1.34E-2</v>
      </c>
      <c r="M47" s="117">
        <v>0.03</v>
      </c>
      <c r="N47" s="69">
        <v>1186356.5250188941</v>
      </c>
      <c r="O47" s="60">
        <v>107.07</v>
      </c>
      <c r="P47" s="84">
        <v>0</v>
      </c>
      <c r="Q47" s="84">
        <v>1270.2319299999999</v>
      </c>
      <c r="R47" s="24">
        <v>3.8363096346485758E-4</v>
      </c>
      <c r="S47" s="24">
        <v>1.1320711862456213E-2</v>
      </c>
      <c r="T47" s="24">
        <v>5.2323147400615139E-3</v>
      </c>
    </row>
    <row r="48" spans="1:20" x14ac:dyDescent="0.25">
      <c r="A48" s="16" t="s">
        <v>777</v>
      </c>
      <c r="B48" s="117" t="s">
        <v>778</v>
      </c>
      <c r="C48" s="117" t="s">
        <v>456</v>
      </c>
      <c r="D48" s="117" t="s">
        <v>249</v>
      </c>
      <c r="E48" s="117" t="s">
        <v>629</v>
      </c>
      <c r="F48" s="117" t="s">
        <v>223</v>
      </c>
      <c r="G48" s="117" t="s">
        <v>646</v>
      </c>
      <c r="H48" s="117" t="s">
        <v>569</v>
      </c>
      <c r="I48" s="117" t="s">
        <v>779</v>
      </c>
      <c r="J48" s="118">
        <v>3.33</v>
      </c>
      <c r="K48" s="118" t="s">
        <v>255</v>
      </c>
      <c r="L48" s="117">
        <v>1.77E-2</v>
      </c>
      <c r="M48" s="117">
        <v>3.0099999999999998E-2</v>
      </c>
      <c r="N48" s="69">
        <v>900840.02463380445</v>
      </c>
      <c r="O48" s="60">
        <v>107.4</v>
      </c>
      <c r="P48" s="84">
        <v>0</v>
      </c>
      <c r="Q48" s="84">
        <v>967.50218999999993</v>
      </c>
      <c r="R48" s="24">
        <v>3.2676041639346869E-4</v>
      </c>
      <c r="S48" s="24">
        <v>8.6226879206897002E-3</v>
      </c>
      <c r="T48" s="24">
        <v>3.9853162640769045E-3</v>
      </c>
    </row>
    <row r="49" spans="1:20" x14ac:dyDescent="0.25">
      <c r="A49" s="16" t="s">
        <v>780</v>
      </c>
      <c r="B49" s="117" t="s">
        <v>781</v>
      </c>
      <c r="C49" s="117" t="s">
        <v>456</v>
      </c>
      <c r="D49" s="117" t="s">
        <v>249</v>
      </c>
      <c r="E49" s="117" t="s">
        <v>629</v>
      </c>
      <c r="F49" s="117" t="s">
        <v>223</v>
      </c>
      <c r="G49" s="117" t="s">
        <v>646</v>
      </c>
      <c r="H49" s="117" t="s">
        <v>569</v>
      </c>
      <c r="I49" s="117" t="s">
        <v>779</v>
      </c>
      <c r="J49" s="118">
        <v>6.33</v>
      </c>
      <c r="K49" s="118" t="s">
        <v>255</v>
      </c>
      <c r="L49" s="117">
        <v>2.4799999999999999E-2</v>
      </c>
      <c r="M49" s="117">
        <v>3.1400000000000004E-2</v>
      </c>
      <c r="N49" s="69">
        <v>1753843.3177409493</v>
      </c>
      <c r="O49" s="60">
        <v>107.59</v>
      </c>
      <c r="P49" s="84">
        <v>0</v>
      </c>
      <c r="Q49" s="84">
        <v>1886.96003</v>
      </c>
      <c r="R49" s="24">
        <v>5.3235654615462467E-4</v>
      </c>
      <c r="S49" s="24">
        <v>1.6817189279442639E-2</v>
      </c>
      <c r="T49" s="24">
        <v>7.7727291730699272E-3</v>
      </c>
    </row>
    <row r="50" spans="1:20" x14ac:dyDescent="0.25">
      <c r="A50" s="16" t="s">
        <v>927</v>
      </c>
      <c r="B50" s="117" t="s">
        <v>928</v>
      </c>
      <c r="C50" s="117" t="s">
        <v>456</v>
      </c>
      <c r="D50" s="117" t="s">
        <v>249</v>
      </c>
      <c r="E50" s="117" t="s">
        <v>629</v>
      </c>
      <c r="F50" s="117" t="s">
        <v>223</v>
      </c>
      <c r="G50" s="117" t="s">
        <v>630</v>
      </c>
      <c r="H50" s="117" t="s">
        <v>254</v>
      </c>
      <c r="I50" s="117" t="s">
        <v>929</v>
      </c>
      <c r="J50" s="118">
        <v>11.18</v>
      </c>
      <c r="K50" s="118" t="s">
        <v>255</v>
      </c>
      <c r="L50" s="117">
        <v>1.6899999999999998E-2</v>
      </c>
      <c r="M50" s="117">
        <v>3.32E-2</v>
      </c>
      <c r="N50" s="69">
        <v>1481801.0172811826</v>
      </c>
      <c r="O50" s="60">
        <v>92.05</v>
      </c>
      <c r="P50" s="84">
        <v>0</v>
      </c>
      <c r="Q50" s="84">
        <v>1363.99784</v>
      </c>
      <c r="R50" s="24">
        <v>5.5334235178971006E-4</v>
      </c>
      <c r="S50" s="24">
        <v>1.215638354143141E-2</v>
      </c>
      <c r="T50" s="24">
        <v>5.6185534586932224E-3</v>
      </c>
    </row>
    <row r="51" spans="1:20" x14ac:dyDescent="0.25">
      <c r="A51" s="16" t="s">
        <v>603</v>
      </c>
      <c r="B51" s="117" t="s">
        <v>604</v>
      </c>
      <c r="C51" s="117" t="s">
        <v>456</v>
      </c>
      <c r="D51" s="117" t="s">
        <v>249</v>
      </c>
      <c r="E51" s="117" t="s">
        <v>605</v>
      </c>
      <c r="F51" s="117" t="s">
        <v>223</v>
      </c>
      <c r="G51" s="117" t="s">
        <v>585</v>
      </c>
      <c r="H51" s="117" t="s">
        <v>254</v>
      </c>
      <c r="I51" s="117" t="s">
        <v>606</v>
      </c>
      <c r="J51" s="118">
        <v>2.52</v>
      </c>
      <c r="K51" s="118" t="s">
        <v>255</v>
      </c>
      <c r="L51" s="117">
        <v>3.2000000000000001E-2</v>
      </c>
      <c r="M51" s="117">
        <v>2.9900000000000003E-2</v>
      </c>
      <c r="N51" s="69">
        <v>413290.79252410756</v>
      </c>
      <c r="O51" s="60">
        <v>112.5</v>
      </c>
      <c r="P51" s="84">
        <v>0</v>
      </c>
      <c r="Q51" s="84">
        <v>464.95213999999999</v>
      </c>
      <c r="R51" s="24">
        <v>2.9460889532255548E-4</v>
      </c>
      <c r="S51" s="24">
        <v>4.1438016809830962E-3</v>
      </c>
      <c r="T51" s="24">
        <v>1.9152218410579121E-3</v>
      </c>
    </row>
    <row r="52" spans="1:20" x14ac:dyDescent="0.25">
      <c r="A52" s="16" t="s">
        <v>799</v>
      </c>
      <c r="B52" s="117" t="s">
        <v>800</v>
      </c>
      <c r="C52" s="117" t="s">
        <v>456</v>
      </c>
      <c r="D52" s="117" t="s">
        <v>249</v>
      </c>
      <c r="E52" s="117" t="s">
        <v>605</v>
      </c>
      <c r="F52" s="117" t="s">
        <v>223</v>
      </c>
      <c r="G52" s="117" t="s">
        <v>585</v>
      </c>
      <c r="H52" s="117" t="s">
        <v>254</v>
      </c>
      <c r="I52" s="117" t="s">
        <v>801</v>
      </c>
      <c r="J52" s="118">
        <v>4.29</v>
      </c>
      <c r="K52" s="118" t="s">
        <v>255</v>
      </c>
      <c r="L52" s="117">
        <v>1.1399999999999999E-2</v>
      </c>
      <c r="M52" s="117">
        <v>3.1E-2</v>
      </c>
      <c r="N52" s="69">
        <v>441292.11325364723</v>
      </c>
      <c r="O52" s="60">
        <v>100.96000000000001</v>
      </c>
      <c r="P52" s="84">
        <v>5.5169144285999998</v>
      </c>
      <c r="Q52" s="84">
        <v>451.04543000000001</v>
      </c>
      <c r="R52" s="24">
        <v>1.8675213205243002E-4</v>
      </c>
      <c r="S52" s="24">
        <v>4.0198606485255519E-3</v>
      </c>
      <c r="T52" s="24">
        <v>1.8579375908353872E-3</v>
      </c>
    </row>
    <row r="53" spans="1:20" x14ac:dyDescent="0.25">
      <c r="A53" s="16" t="s">
        <v>894</v>
      </c>
      <c r="B53" s="117" t="s">
        <v>895</v>
      </c>
      <c r="C53" s="117" t="s">
        <v>456</v>
      </c>
      <c r="D53" s="117" t="s">
        <v>249</v>
      </c>
      <c r="E53" s="117" t="s">
        <v>605</v>
      </c>
      <c r="F53" s="117" t="s">
        <v>223</v>
      </c>
      <c r="G53" s="117" t="s">
        <v>666</v>
      </c>
      <c r="H53" s="117" t="s">
        <v>569</v>
      </c>
      <c r="I53" s="117" t="s">
        <v>896</v>
      </c>
      <c r="J53" s="118">
        <v>6.5</v>
      </c>
      <c r="K53" s="118" t="s">
        <v>255</v>
      </c>
      <c r="L53" s="117">
        <v>9.1999999999999998E-3</v>
      </c>
      <c r="M53" s="117">
        <v>3.2899999999999999E-2</v>
      </c>
      <c r="N53" s="69">
        <v>886468.71944627201</v>
      </c>
      <c r="O53" s="60">
        <v>96.51</v>
      </c>
      <c r="P53" s="84">
        <v>0</v>
      </c>
      <c r="Q53" s="84">
        <v>855.53095999999994</v>
      </c>
      <c r="R53" s="24">
        <v>4.4289952768020977E-4</v>
      </c>
      <c r="S53" s="24">
        <v>7.6247646267013237E-3</v>
      </c>
      <c r="T53" s="24">
        <v>3.5240865442478504E-3</v>
      </c>
    </row>
    <row r="54" spans="1:20" x14ac:dyDescent="0.25">
      <c r="A54" s="16" t="s">
        <v>938</v>
      </c>
      <c r="B54" s="117" t="s">
        <v>939</v>
      </c>
      <c r="C54" s="117" t="s">
        <v>456</v>
      </c>
      <c r="D54" s="117" t="s">
        <v>249</v>
      </c>
      <c r="E54" s="117" t="s">
        <v>605</v>
      </c>
      <c r="F54" s="117" t="s">
        <v>223</v>
      </c>
      <c r="G54" s="117" t="s">
        <v>666</v>
      </c>
      <c r="H54" s="117" t="s">
        <v>569</v>
      </c>
      <c r="I54" s="117" t="s">
        <v>940</v>
      </c>
      <c r="J54" s="118">
        <v>8.2799999999999994</v>
      </c>
      <c r="K54" s="118" t="s">
        <v>255</v>
      </c>
      <c r="L54" s="117">
        <v>9.1999999999999998E-3</v>
      </c>
      <c r="M54" s="117">
        <v>3.27E-2</v>
      </c>
      <c r="N54" s="69">
        <v>303572.06295566098</v>
      </c>
      <c r="O54" s="60">
        <v>96.469671000000005</v>
      </c>
      <c r="P54" s="84">
        <v>0</v>
      </c>
      <c r="Q54" s="84">
        <v>292.85496999999998</v>
      </c>
      <c r="R54" s="24">
        <v>1.5167136792368019E-4</v>
      </c>
      <c r="S54" s="24">
        <v>2.6100168438202135E-3</v>
      </c>
      <c r="T54" s="24">
        <v>1.2063225148428386E-3</v>
      </c>
    </row>
    <row r="55" spans="1:20" x14ac:dyDescent="0.25">
      <c r="A55" s="16" t="s">
        <v>607</v>
      </c>
      <c r="B55" s="117" t="s">
        <v>608</v>
      </c>
      <c r="C55" s="117" t="s">
        <v>456</v>
      </c>
      <c r="D55" s="117" t="s">
        <v>249</v>
      </c>
      <c r="E55" s="117" t="s">
        <v>609</v>
      </c>
      <c r="F55" s="117" t="s">
        <v>223</v>
      </c>
      <c r="G55" s="117" t="s">
        <v>585</v>
      </c>
      <c r="H55" s="117" t="s">
        <v>254</v>
      </c>
      <c r="I55" s="117" t="s">
        <v>610</v>
      </c>
      <c r="J55" s="118">
        <v>2.61</v>
      </c>
      <c r="K55" s="118" t="s">
        <v>255</v>
      </c>
      <c r="L55" s="117">
        <v>2.3399999999999997E-2</v>
      </c>
      <c r="M55" s="117">
        <v>3.1400000000000004E-2</v>
      </c>
      <c r="N55" s="69">
        <v>712966.2655280116</v>
      </c>
      <c r="O55" s="60">
        <v>110.3</v>
      </c>
      <c r="P55" s="84">
        <v>0</v>
      </c>
      <c r="Q55" s="84">
        <v>786.40179000000001</v>
      </c>
      <c r="R55" s="24">
        <v>2.7538267033166958E-4</v>
      </c>
      <c r="S55" s="24">
        <v>7.0086634278747825E-3</v>
      </c>
      <c r="T55" s="24">
        <v>3.2393310073915082E-3</v>
      </c>
    </row>
    <row r="56" spans="1:20" x14ac:dyDescent="0.25">
      <c r="A56" s="16" t="s">
        <v>808</v>
      </c>
      <c r="B56" s="117" t="s">
        <v>809</v>
      </c>
      <c r="C56" s="117" t="s">
        <v>456</v>
      </c>
      <c r="D56" s="117" t="s">
        <v>249</v>
      </c>
      <c r="E56" s="117" t="s">
        <v>609</v>
      </c>
      <c r="F56" s="117" t="s">
        <v>223</v>
      </c>
      <c r="G56" s="117" t="s">
        <v>585</v>
      </c>
      <c r="H56" s="117" t="s">
        <v>254</v>
      </c>
      <c r="I56" s="117" t="s">
        <v>810</v>
      </c>
      <c r="J56" s="118">
        <v>5.89</v>
      </c>
      <c r="K56" s="118" t="s">
        <v>255</v>
      </c>
      <c r="L56" s="117">
        <v>6.5000000000000006E-3</v>
      </c>
      <c r="M56" s="117">
        <v>3.1800000000000002E-2</v>
      </c>
      <c r="N56" s="69">
        <v>1104709.4373430109</v>
      </c>
      <c r="O56" s="60">
        <v>95.32</v>
      </c>
      <c r="P56" s="84">
        <v>0</v>
      </c>
      <c r="Q56" s="84">
        <v>1053.0090400000001</v>
      </c>
      <c r="R56" s="24">
        <v>5.1750316381268021E-4</v>
      </c>
      <c r="S56" s="24">
        <v>9.384752224266343E-3</v>
      </c>
      <c r="T56" s="24">
        <v>4.3375344228750619E-3</v>
      </c>
    </row>
    <row r="57" spans="1:20" x14ac:dyDescent="0.25">
      <c r="A57" s="16" t="s">
        <v>1071</v>
      </c>
      <c r="B57" s="117" t="s">
        <v>1072</v>
      </c>
      <c r="C57" s="117" t="s">
        <v>456</v>
      </c>
      <c r="D57" s="117" t="s">
        <v>249</v>
      </c>
      <c r="E57" s="117" t="s">
        <v>609</v>
      </c>
      <c r="F57" s="117" t="s">
        <v>223</v>
      </c>
      <c r="G57" s="117" t="s">
        <v>585</v>
      </c>
      <c r="H57" s="117" t="s">
        <v>254</v>
      </c>
      <c r="I57" s="117" t="s">
        <v>1073</v>
      </c>
      <c r="J57" s="118">
        <v>8.8000000000000007</v>
      </c>
      <c r="K57" s="118" t="s">
        <v>255</v>
      </c>
      <c r="L57" s="117">
        <v>2.6600000000000002E-2</v>
      </c>
      <c r="M57" s="117">
        <v>3.0299999999999997E-2</v>
      </c>
      <c r="N57" s="69">
        <v>150964.12529598118</v>
      </c>
      <c r="O57" s="60">
        <v>99.52</v>
      </c>
      <c r="P57" s="84">
        <v>0</v>
      </c>
      <c r="Q57" s="84">
        <v>150.23949999999999</v>
      </c>
      <c r="R57" s="24">
        <v>5.0321375098660393E-4</v>
      </c>
      <c r="S57" s="24">
        <v>1.3389823147175101E-3</v>
      </c>
      <c r="T57" s="24">
        <v>6.1886363570586034E-4</v>
      </c>
    </row>
    <row r="58" spans="1:20" x14ac:dyDescent="0.25">
      <c r="A58" s="16" t="s">
        <v>664</v>
      </c>
      <c r="B58" s="117" t="s">
        <v>665</v>
      </c>
      <c r="C58" s="117" t="s">
        <v>456</v>
      </c>
      <c r="D58" s="117" t="s">
        <v>249</v>
      </c>
      <c r="E58" s="117" t="s">
        <v>634</v>
      </c>
      <c r="F58" s="117" t="s">
        <v>223</v>
      </c>
      <c r="G58" s="117" t="s">
        <v>666</v>
      </c>
      <c r="H58" s="117" t="s">
        <v>569</v>
      </c>
      <c r="I58" s="117" t="s">
        <v>667</v>
      </c>
      <c r="J58" s="118">
        <v>2.2599999999999998</v>
      </c>
      <c r="K58" s="118" t="s">
        <v>255</v>
      </c>
      <c r="L58" s="117">
        <v>1.34E-2</v>
      </c>
      <c r="M58" s="117">
        <v>2.9600000000000001E-2</v>
      </c>
      <c r="N58" s="69">
        <v>149591.14086252608</v>
      </c>
      <c r="O58" s="60">
        <v>109.13999999999999</v>
      </c>
      <c r="P58" s="84">
        <v>0</v>
      </c>
      <c r="Q58" s="84">
        <v>163.26376999999999</v>
      </c>
      <c r="R58" s="24">
        <v>2.8056252896794664E-4</v>
      </c>
      <c r="S58" s="24">
        <v>1.45505876060628E-3</v>
      </c>
      <c r="T58" s="24">
        <v>6.725129561882552E-4</v>
      </c>
    </row>
    <row r="59" spans="1:20" x14ac:dyDescent="0.25">
      <c r="A59" s="16" t="s">
        <v>890</v>
      </c>
      <c r="B59" s="117" t="s">
        <v>891</v>
      </c>
      <c r="C59" s="117" t="s">
        <v>456</v>
      </c>
      <c r="D59" s="117" t="s">
        <v>249</v>
      </c>
      <c r="E59" s="117" t="s">
        <v>634</v>
      </c>
      <c r="F59" s="117" t="s">
        <v>223</v>
      </c>
      <c r="G59" s="117" t="s">
        <v>585</v>
      </c>
      <c r="H59" s="117" t="s">
        <v>254</v>
      </c>
      <c r="I59" s="117" t="s">
        <v>470</v>
      </c>
      <c r="J59" s="118">
        <v>4.37</v>
      </c>
      <c r="K59" s="118" t="s">
        <v>255</v>
      </c>
      <c r="L59" s="117">
        <v>6.8999999999999999E-3</v>
      </c>
      <c r="M59" s="117">
        <v>3.0099999999999998E-2</v>
      </c>
      <c r="N59" s="69">
        <v>79555.309227841164</v>
      </c>
      <c r="O59" s="60">
        <v>100.81</v>
      </c>
      <c r="P59" s="84">
        <v>0</v>
      </c>
      <c r="Q59" s="84">
        <v>80.19971000000001</v>
      </c>
      <c r="R59" s="24">
        <v>4.61243675949914E-4</v>
      </c>
      <c r="S59" s="24">
        <v>7.1476538017946714E-4</v>
      </c>
      <c r="T59" s="24">
        <v>3.3035709059971348E-4</v>
      </c>
    </row>
    <row r="60" spans="1:20" x14ac:dyDescent="0.25">
      <c r="A60" s="16" t="s">
        <v>747</v>
      </c>
      <c r="B60" s="117" t="s">
        <v>748</v>
      </c>
      <c r="C60" s="117" t="s">
        <v>456</v>
      </c>
      <c r="D60" s="117" t="s">
        <v>249</v>
      </c>
      <c r="E60" s="117" t="s">
        <v>634</v>
      </c>
      <c r="F60" s="117" t="s">
        <v>223</v>
      </c>
      <c r="G60" s="117" t="s">
        <v>585</v>
      </c>
      <c r="H60" s="117" t="s">
        <v>254</v>
      </c>
      <c r="I60" s="117" t="s">
        <v>749</v>
      </c>
      <c r="J60" s="118">
        <v>3.59</v>
      </c>
      <c r="K60" s="118" t="s">
        <v>255</v>
      </c>
      <c r="L60" s="117">
        <v>1.8200000000000001E-2</v>
      </c>
      <c r="M60" s="117">
        <v>2.9600000000000001E-2</v>
      </c>
      <c r="N60" s="69">
        <v>304482.8608661273</v>
      </c>
      <c r="O60" s="60">
        <v>107.72</v>
      </c>
      <c r="P60" s="84">
        <v>0</v>
      </c>
      <c r="Q60" s="84">
        <v>327.98894000000001</v>
      </c>
      <c r="R60" s="24">
        <v>5.7037847700585449E-4</v>
      </c>
      <c r="S60" s="24">
        <v>2.9231419838520669E-3</v>
      </c>
      <c r="T60" s="24">
        <v>1.3510456829243394E-3</v>
      </c>
    </row>
    <row r="61" spans="1:20" x14ac:dyDescent="0.25">
      <c r="A61" s="16" t="s">
        <v>802</v>
      </c>
      <c r="B61" s="117" t="s">
        <v>803</v>
      </c>
      <c r="C61" s="117" t="s">
        <v>456</v>
      </c>
      <c r="D61" s="117" t="s">
        <v>249</v>
      </c>
      <c r="E61" s="117" t="s">
        <v>634</v>
      </c>
      <c r="F61" s="117" t="s">
        <v>223</v>
      </c>
      <c r="G61" s="117" t="s">
        <v>585</v>
      </c>
      <c r="H61" s="117" t="s">
        <v>254</v>
      </c>
      <c r="I61" s="117" t="s">
        <v>804</v>
      </c>
      <c r="J61" s="118">
        <v>4.6500000000000004</v>
      </c>
      <c r="K61" s="118" t="s">
        <v>255</v>
      </c>
      <c r="L61" s="117">
        <v>7.8000000000000005E-3</v>
      </c>
      <c r="M61" s="117">
        <v>2.98E-2</v>
      </c>
      <c r="N61" s="69">
        <v>185310.79832310617</v>
      </c>
      <c r="O61" s="60">
        <v>99.78</v>
      </c>
      <c r="P61" s="84">
        <v>0</v>
      </c>
      <c r="Q61" s="84">
        <v>184.90311</v>
      </c>
      <c r="R61" s="24">
        <v>4.7080995508919251E-4</v>
      </c>
      <c r="S61" s="24">
        <v>1.6479154564962369E-3</v>
      </c>
      <c r="T61" s="24">
        <v>7.616493059942333E-4</v>
      </c>
    </row>
    <row r="62" spans="1:20" x14ac:dyDescent="0.25">
      <c r="A62" s="16" t="s">
        <v>892</v>
      </c>
      <c r="B62" s="117" t="s">
        <v>893</v>
      </c>
      <c r="C62" s="117" t="s">
        <v>456</v>
      </c>
      <c r="D62" s="117" t="s">
        <v>249</v>
      </c>
      <c r="E62" s="117" t="s">
        <v>634</v>
      </c>
      <c r="F62" s="117" t="s">
        <v>223</v>
      </c>
      <c r="G62" s="117" t="s">
        <v>585</v>
      </c>
      <c r="H62" s="117" t="s">
        <v>254</v>
      </c>
      <c r="I62" s="117" t="s">
        <v>470</v>
      </c>
      <c r="J62" s="118">
        <v>4.37</v>
      </c>
      <c r="K62" s="118" t="s">
        <v>255</v>
      </c>
      <c r="L62" s="117">
        <v>6.8999999999999999E-3</v>
      </c>
      <c r="M62" s="117">
        <v>2.92E-2</v>
      </c>
      <c r="N62" s="69">
        <v>93012.153907967717</v>
      </c>
      <c r="O62" s="60">
        <v>101.2</v>
      </c>
      <c r="P62" s="84">
        <v>0</v>
      </c>
      <c r="Q62" s="84">
        <v>94.128299999999996</v>
      </c>
      <c r="R62" s="24">
        <v>4.8043467927669274E-4</v>
      </c>
      <c r="S62" s="24">
        <v>8.3890141417153428E-4</v>
      </c>
      <c r="T62" s="24">
        <v>3.8773146849405073E-4</v>
      </c>
    </row>
    <row r="63" spans="1:20" x14ac:dyDescent="0.25">
      <c r="A63" s="16" t="s">
        <v>825</v>
      </c>
      <c r="B63" s="117" t="s">
        <v>826</v>
      </c>
      <c r="C63" s="117" t="s">
        <v>456</v>
      </c>
      <c r="D63" s="117" t="s">
        <v>249</v>
      </c>
      <c r="E63" s="117" t="s">
        <v>827</v>
      </c>
      <c r="F63" s="117" t="s">
        <v>201</v>
      </c>
      <c r="G63" s="117" t="s">
        <v>666</v>
      </c>
      <c r="H63" s="117" t="s">
        <v>569</v>
      </c>
      <c r="I63" s="117" t="s">
        <v>824</v>
      </c>
      <c r="J63" s="118">
        <v>5.28</v>
      </c>
      <c r="K63" s="118" t="s">
        <v>255</v>
      </c>
      <c r="L63" s="117">
        <v>4.4000000000000003E-3</v>
      </c>
      <c r="M63" s="117">
        <v>2.7400000000000001E-2</v>
      </c>
      <c r="N63" s="69">
        <v>459226.58284080954</v>
      </c>
      <c r="O63" s="60">
        <v>98.69</v>
      </c>
      <c r="P63" s="84">
        <v>0</v>
      </c>
      <c r="Q63" s="84">
        <v>453.21071000000001</v>
      </c>
      <c r="R63" s="24">
        <v>6.0679506498146523E-4</v>
      </c>
      <c r="S63" s="24">
        <v>4.0391583140956021E-3</v>
      </c>
      <c r="T63" s="24">
        <v>1.8668567702330901E-3</v>
      </c>
    </row>
    <row r="64" spans="1:20" x14ac:dyDescent="0.25">
      <c r="A64" s="16" t="s">
        <v>805</v>
      </c>
      <c r="B64" s="117" t="s">
        <v>806</v>
      </c>
      <c r="C64" s="117" t="s">
        <v>456</v>
      </c>
      <c r="D64" s="117" t="s">
        <v>249</v>
      </c>
      <c r="E64" s="117" t="s">
        <v>689</v>
      </c>
      <c r="F64" s="117" t="s">
        <v>223</v>
      </c>
      <c r="G64" s="117" t="s">
        <v>666</v>
      </c>
      <c r="H64" s="117" t="s">
        <v>569</v>
      </c>
      <c r="I64" s="117" t="s">
        <v>807</v>
      </c>
      <c r="J64" s="118">
        <v>5.49</v>
      </c>
      <c r="K64" s="118" t="s">
        <v>255</v>
      </c>
      <c r="L64" s="117">
        <v>8.3999999999999995E-3</v>
      </c>
      <c r="M64" s="117">
        <v>3.0099999999999998E-2</v>
      </c>
      <c r="N64" s="69">
        <v>337772.48601287702</v>
      </c>
      <c r="O64" s="60">
        <v>98.550000000000011</v>
      </c>
      <c r="P64" s="84">
        <v>0</v>
      </c>
      <c r="Q64" s="84">
        <v>332.87478000000004</v>
      </c>
      <c r="R64" s="24">
        <v>4.1146605678264958E-4</v>
      </c>
      <c r="S64" s="24">
        <v>2.9666861473546038E-3</v>
      </c>
      <c r="T64" s="24">
        <v>1.3711713403305285E-3</v>
      </c>
    </row>
    <row r="65" spans="1:20" x14ac:dyDescent="0.25">
      <c r="A65" s="16" t="s">
        <v>1137</v>
      </c>
      <c r="B65" s="117" t="s">
        <v>1138</v>
      </c>
      <c r="C65" s="117" t="s">
        <v>456</v>
      </c>
      <c r="D65" s="117" t="s">
        <v>249</v>
      </c>
      <c r="E65" s="117" t="s">
        <v>784</v>
      </c>
      <c r="F65" s="117" t="s">
        <v>200</v>
      </c>
      <c r="G65" s="117" t="s">
        <v>585</v>
      </c>
      <c r="H65" s="117" t="s">
        <v>254</v>
      </c>
      <c r="I65" s="117" t="s">
        <v>1139</v>
      </c>
      <c r="J65" s="118">
        <v>1.4</v>
      </c>
      <c r="K65" s="118" t="s">
        <v>255</v>
      </c>
      <c r="L65" s="117">
        <v>2.4199999999999999E-2</v>
      </c>
      <c r="M65" s="117">
        <v>3.56E-2</v>
      </c>
      <c r="N65" s="69">
        <v>17.607179651428339</v>
      </c>
      <c r="O65" s="60">
        <v>5557000</v>
      </c>
      <c r="P65" s="84">
        <v>0</v>
      </c>
      <c r="Q65" s="84">
        <v>978.43097</v>
      </c>
      <c r="R65" s="24">
        <v>6.108725549536252E-4</v>
      </c>
      <c r="S65" s="24">
        <v>8.7200886917348543E-3</v>
      </c>
      <c r="T65" s="24">
        <v>4.0303338827765772E-3</v>
      </c>
    </row>
    <row r="66" spans="1:20" x14ac:dyDescent="0.25">
      <c r="A66" s="16" t="s">
        <v>1140</v>
      </c>
      <c r="B66" s="117" t="s">
        <v>1141</v>
      </c>
      <c r="C66" s="117" t="s">
        <v>456</v>
      </c>
      <c r="D66" s="117" t="s">
        <v>249</v>
      </c>
      <c r="E66" s="117" t="s">
        <v>784</v>
      </c>
      <c r="F66" s="117" t="s">
        <v>200</v>
      </c>
      <c r="G66" s="117" t="s">
        <v>585</v>
      </c>
      <c r="H66" s="117" t="s">
        <v>254</v>
      </c>
      <c r="I66" s="117" t="s">
        <v>1142</v>
      </c>
      <c r="J66" s="118">
        <v>1.01</v>
      </c>
      <c r="K66" s="118" t="s">
        <v>255</v>
      </c>
      <c r="L66" s="117">
        <v>1.95E-2</v>
      </c>
      <c r="M66" s="117">
        <v>3.56E-2</v>
      </c>
      <c r="N66" s="69">
        <v>9.8205562366156336</v>
      </c>
      <c r="O66" s="60">
        <v>5397000</v>
      </c>
      <c r="P66" s="84">
        <v>8.5658613289999987</v>
      </c>
      <c r="Q66" s="84">
        <v>538.58127999999999</v>
      </c>
      <c r="R66" s="24">
        <v>3.9568702351487303E-4</v>
      </c>
      <c r="S66" s="24">
        <v>4.8000080468712921E-3</v>
      </c>
      <c r="T66" s="24">
        <v>2.2185135670973076E-3</v>
      </c>
    </row>
    <row r="67" spans="1:20" x14ac:dyDescent="0.25">
      <c r="A67" s="16" t="s">
        <v>1159</v>
      </c>
      <c r="B67" s="117" t="s">
        <v>1160</v>
      </c>
      <c r="C67" s="117" t="s">
        <v>456</v>
      </c>
      <c r="D67" s="117" t="s">
        <v>249</v>
      </c>
      <c r="E67" s="117" t="s">
        <v>784</v>
      </c>
      <c r="F67" s="117" t="s">
        <v>200</v>
      </c>
      <c r="G67" s="117" t="s">
        <v>666</v>
      </c>
      <c r="H67" s="117" t="s">
        <v>569</v>
      </c>
      <c r="I67" s="117" t="s">
        <v>1161</v>
      </c>
      <c r="J67" s="118">
        <v>4.34</v>
      </c>
      <c r="K67" s="118" t="s">
        <v>255</v>
      </c>
      <c r="L67" s="117">
        <v>1.4999999999999999E-2</v>
      </c>
      <c r="M67" s="117">
        <v>3.7999999999999999E-2</v>
      </c>
      <c r="N67" s="69">
        <v>3.1935781022935541</v>
      </c>
      <c r="O67" s="60">
        <v>4910638</v>
      </c>
      <c r="P67" s="84">
        <v>0</v>
      </c>
      <c r="Q67" s="84">
        <v>156.82506000000001</v>
      </c>
      <c r="R67" s="24">
        <v>1.1373951500440039E-4</v>
      </c>
      <c r="S67" s="24">
        <v>1.3976749246670311E-3</v>
      </c>
      <c r="T67" s="24">
        <v>6.4599074678356688E-4</v>
      </c>
    </row>
    <row r="68" spans="1:20" x14ac:dyDescent="0.25">
      <c r="A68" s="16" t="s">
        <v>943</v>
      </c>
      <c r="B68" s="117" t="s">
        <v>944</v>
      </c>
      <c r="C68" s="117" t="s">
        <v>456</v>
      </c>
      <c r="D68" s="117" t="s">
        <v>249</v>
      </c>
      <c r="E68" s="117" t="s">
        <v>679</v>
      </c>
      <c r="F68" s="117" t="s">
        <v>223</v>
      </c>
      <c r="G68" s="117" t="s">
        <v>666</v>
      </c>
      <c r="H68" s="117" t="s">
        <v>569</v>
      </c>
      <c r="I68" s="117" t="s">
        <v>945</v>
      </c>
      <c r="J68" s="118">
        <v>6.82</v>
      </c>
      <c r="K68" s="118" t="s">
        <v>255</v>
      </c>
      <c r="L68" s="117">
        <v>3.4999999999999996E-3</v>
      </c>
      <c r="M68" s="117">
        <v>3.3000000000000002E-2</v>
      </c>
      <c r="N68" s="69">
        <v>2181480.413530699</v>
      </c>
      <c r="O68" s="60">
        <v>88.99</v>
      </c>
      <c r="P68" s="84">
        <v>122.707548327</v>
      </c>
      <c r="Q68" s="84">
        <v>1966.942</v>
      </c>
      <c r="R68" s="24">
        <v>7.4905146657480151E-4</v>
      </c>
      <c r="S68" s="24">
        <v>1.7530014091334763E-2</v>
      </c>
      <c r="T68" s="24">
        <v>8.1021893532829681E-3</v>
      </c>
    </row>
    <row r="69" spans="1:20" x14ac:dyDescent="0.25">
      <c r="A69" s="16" t="s">
        <v>677</v>
      </c>
      <c r="B69" s="117" t="s">
        <v>678</v>
      </c>
      <c r="C69" s="117" t="s">
        <v>456</v>
      </c>
      <c r="D69" s="117" t="s">
        <v>249</v>
      </c>
      <c r="E69" s="117" t="s">
        <v>679</v>
      </c>
      <c r="F69" s="117" t="s">
        <v>223</v>
      </c>
      <c r="G69" s="117" t="s">
        <v>666</v>
      </c>
      <c r="H69" s="117" t="s">
        <v>569</v>
      </c>
      <c r="I69" s="117" t="s">
        <v>680</v>
      </c>
      <c r="J69" s="118">
        <v>2.6</v>
      </c>
      <c r="K69" s="118" t="s">
        <v>255</v>
      </c>
      <c r="L69" s="117">
        <v>3.7000000000000005E-2</v>
      </c>
      <c r="M69" s="117">
        <v>3.0499999999999999E-2</v>
      </c>
      <c r="N69" s="69">
        <v>46836.190550082785</v>
      </c>
      <c r="O69" s="60">
        <v>114.36</v>
      </c>
      <c r="P69" s="84">
        <v>0</v>
      </c>
      <c r="Q69" s="84">
        <v>53.561870000000006</v>
      </c>
      <c r="R69" s="24">
        <v>1.2458721754202907E-4</v>
      </c>
      <c r="S69" s="24">
        <v>4.7736045895519066E-4</v>
      </c>
      <c r="T69" s="24">
        <v>2.2063101649968651E-4</v>
      </c>
    </row>
    <row r="70" spans="1:20" x14ac:dyDescent="0.25">
      <c r="A70" s="16" t="s">
        <v>738</v>
      </c>
      <c r="B70" s="117" t="s">
        <v>739</v>
      </c>
      <c r="C70" s="117" t="s">
        <v>456</v>
      </c>
      <c r="D70" s="117" t="s">
        <v>249</v>
      </c>
      <c r="E70" s="117" t="s">
        <v>679</v>
      </c>
      <c r="F70" s="117" t="s">
        <v>223</v>
      </c>
      <c r="G70" s="117" t="s">
        <v>585</v>
      </c>
      <c r="H70" s="117" t="s">
        <v>254</v>
      </c>
      <c r="I70" s="117" t="s">
        <v>740</v>
      </c>
      <c r="J70" s="118">
        <v>3.19</v>
      </c>
      <c r="K70" s="118" t="s">
        <v>255</v>
      </c>
      <c r="L70" s="117">
        <v>2.6000000000000002E-2</v>
      </c>
      <c r="M70" s="117">
        <v>2.8799999999999999E-2</v>
      </c>
      <c r="N70" s="69">
        <v>226548.69372603853</v>
      </c>
      <c r="O70" s="60">
        <v>111.35999999999999</v>
      </c>
      <c r="P70" s="84">
        <v>3.3074789170000001</v>
      </c>
      <c r="Q70" s="84">
        <v>255.59210000000002</v>
      </c>
      <c r="R70" s="24">
        <v>6.2806065759152979E-4</v>
      </c>
      <c r="S70" s="24">
        <v>2.2779182683748903E-3</v>
      </c>
      <c r="T70" s="24">
        <v>1.0528300231543359E-3</v>
      </c>
    </row>
    <row r="71" spans="1:20" x14ac:dyDescent="0.25">
      <c r="A71" s="16" t="s">
        <v>700</v>
      </c>
      <c r="B71" s="117" t="s">
        <v>701</v>
      </c>
      <c r="C71" s="117" t="s">
        <v>456</v>
      </c>
      <c r="D71" s="117" t="s">
        <v>249</v>
      </c>
      <c r="E71" s="117" t="s">
        <v>679</v>
      </c>
      <c r="F71" s="117" t="s">
        <v>223</v>
      </c>
      <c r="G71" s="117" t="s">
        <v>666</v>
      </c>
      <c r="H71" s="117" t="s">
        <v>569</v>
      </c>
      <c r="I71" s="117" t="s">
        <v>702</v>
      </c>
      <c r="J71" s="118">
        <v>4.08</v>
      </c>
      <c r="K71" s="118" t="s">
        <v>255</v>
      </c>
      <c r="L71" s="117">
        <v>2.81E-2</v>
      </c>
      <c r="M71" s="117">
        <v>3.1200000000000002E-2</v>
      </c>
      <c r="N71" s="69">
        <v>436922.41043106833</v>
      </c>
      <c r="O71" s="60">
        <v>112.12</v>
      </c>
      <c r="P71" s="84">
        <v>0</v>
      </c>
      <c r="Q71" s="84">
        <v>489.87741</v>
      </c>
      <c r="R71" s="24">
        <v>3.2728692117311797E-4</v>
      </c>
      <c r="S71" s="24">
        <v>4.3659436324642899E-3</v>
      </c>
      <c r="T71" s="24">
        <v>2.0178935300155442E-3</v>
      </c>
    </row>
    <row r="72" spans="1:20" x14ac:dyDescent="0.25">
      <c r="A72" s="16" t="s">
        <v>811</v>
      </c>
      <c r="B72" s="117" t="s">
        <v>812</v>
      </c>
      <c r="C72" s="117" t="s">
        <v>456</v>
      </c>
      <c r="D72" s="117" t="s">
        <v>249</v>
      </c>
      <c r="E72" s="117" t="s">
        <v>679</v>
      </c>
      <c r="F72" s="117" t="s">
        <v>223</v>
      </c>
      <c r="G72" s="117" t="s">
        <v>585</v>
      </c>
      <c r="H72" s="117" t="s">
        <v>254</v>
      </c>
      <c r="I72" s="117" t="s">
        <v>813</v>
      </c>
      <c r="J72" s="118">
        <v>2.72</v>
      </c>
      <c r="K72" s="118" t="s">
        <v>255</v>
      </c>
      <c r="L72" s="117">
        <v>2.4E-2</v>
      </c>
      <c r="M72" s="117">
        <v>2.9399999999999999E-2</v>
      </c>
      <c r="N72" s="69">
        <v>310689.11170874216</v>
      </c>
      <c r="O72" s="60">
        <v>110.4</v>
      </c>
      <c r="P72" s="84">
        <v>26.473178889000003</v>
      </c>
      <c r="Q72" s="84">
        <v>347.48672999999997</v>
      </c>
      <c r="R72" s="24">
        <v>5.3845226485750119E-4</v>
      </c>
      <c r="S72" s="24">
        <v>3.0969125034962077E-3</v>
      </c>
      <c r="T72" s="24">
        <v>1.4313606014885608E-3</v>
      </c>
    </row>
    <row r="73" spans="1:20" x14ac:dyDescent="0.25">
      <c r="A73" s="16" t="s">
        <v>814</v>
      </c>
      <c r="B73" s="117" t="s">
        <v>815</v>
      </c>
      <c r="C73" s="117" t="s">
        <v>456</v>
      </c>
      <c r="D73" s="117" t="s">
        <v>249</v>
      </c>
      <c r="E73" s="117" t="s">
        <v>679</v>
      </c>
      <c r="F73" s="117" t="s">
        <v>223</v>
      </c>
      <c r="G73" s="117" t="s">
        <v>666</v>
      </c>
      <c r="H73" s="117" t="s">
        <v>569</v>
      </c>
      <c r="I73" s="117" t="s">
        <v>813</v>
      </c>
      <c r="J73" s="118">
        <v>3.87</v>
      </c>
      <c r="K73" s="118" t="s">
        <v>255</v>
      </c>
      <c r="L73" s="117">
        <v>2.6000000000000002E-2</v>
      </c>
      <c r="M73" s="117">
        <v>2.9300000000000003E-2</v>
      </c>
      <c r="N73" s="69">
        <v>184638.39637332349</v>
      </c>
      <c r="O73" s="60">
        <v>111.25</v>
      </c>
      <c r="P73" s="84">
        <v>0</v>
      </c>
      <c r="Q73" s="84">
        <v>205.41022000000001</v>
      </c>
      <c r="R73" s="24">
        <v>3.7662243675307903E-4</v>
      </c>
      <c r="S73" s="24">
        <v>1.8306813577137371E-3</v>
      </c>
      <c r="T73" s="24">
        <v>8.461217959347617E-4</v>
      </c>
    </row>
    <row r="74" spans="1:20" x14ac:dyDescent="0.25">
      <c r="A74" s="16" t="s">
        <v>582</v>
      </c>
      <c r="B74" s="117" t="s">
        <v>583</v>
      </c>
      <c r="C74" s="117" t="s">
        <v>456</v>
      </c>
      <c r="D74" s="117" t="s">
        <v>249</v>
      </c>
      <c r="E74" s="117" t="s">
        <v>584</v>
      </c>
      <c r="F74" s="117" t="s">
        <v>223</v>
      </c>
      <c r="G74" s="117" t="s">
        <v>585</v>
      </c>
      <c r="H74" s="117" t="s">
        <v>254</v>
      </c>
      <c r="I74" s="117" t="s">
        <v>586</v>
      </c>
      <c r="J74" s="118">
        <v>0.03</v>
      </c>
      <c r="K74" s="118" t="s">
        <v>255</v>
      </c>
      <c r="L74" s="117">
        <v>4.9000000000000002E-2</v>
      </c>
      <c r="M74" s="117">
        <v>0.45</v>
      </c>
      <c r="N74" s="69">
        <v>55.267024421836929</v>
      </c>
      <c r="O74" s="60">
        <v>117.36</v>
      </c>
      <c r="P74" s="84">
        <v>0</v>
      </c>
      <c r="Q74" s="84">
        <v>6.4860000000000001E-2</v>
      </c>
      <c r="R74" s="24">
        <v>4.155332419630039E-7</v>
      </c>
      <c r="S74" s="24">
        <v>5.7805299493527141E-7</v>
      </c>
      <c r="T74" s="24">
        <v>2.6717005455876854E-7</v>
      </c>
    </row>
    <row r="75" spans="1:20" x14ac:dyDescent="0.25">
      <c r="A75" s="16" t="s">
        <v>684</v>
      </c>
      <c r="B75" s="117" t="s">
        <v>685</v>
      </c>
      <c r="C75" s="117" t="s">
        <v>456</v>
      </c>
      <c r="D75" s="117" t="s">
        <v>249</v>
      </c>
      <c r="E75" s="117" t="s">
        <v>584</v>
      </c>
      <c r="F75" s="117" t="s">
        <v>223</v>
      </c>
      <c r="G75" s="117" t="s">
        <v>585</v>
      </c>
      <c r="H75" s="117" t="s">
        <v>254</v>
      </c>
      <c r="I75" s="117" t="s">
        <v>686</v>
      </c>
      <c r="J75" s="118">
        <v>3.27</v>
      </c>
      <c r="K75" s="118" t="s">
        <v>255</v>
      </c>
      <c r="L75" s="117">
        <v>2.35E-2</v>
      </c>
      <c r="M75" s="117">
        <v>2.8500000000000001E-2</v>
      </c>
      <c r="N75" s="69">
        <v>502889.64044203795</v>
      </c>
      <c r="O75" s="60">
        <v>110.9</v>
      </c>
      <c r="P75" s="84">
        <v>13.167272632</v>
      </c>
      <c r="Q75" s="84">
        <v>564.46149000000003</v>
      </c>
      <c r="R75" s="24">
        <v>5.2926233594475353E-4</v>
      </c>
      <c r="S75" s="24">
        <v>5.0306607280315415E-3</v>
      </c>
      <c r="T75" s="24">
        <v>2.3251188263895125E-3</v>
      </c>
    </row>
    <row r="76" spans="1:20" x14ac:dyDescent="0.25">
      <c r="A76" s="16" t="s">
        <v>617</v>
      </c>
      <c r="B76" s="117" t="s">
        <v>618</v>
      </c>
      <c r="C76" s="117" t="s">
        <v>456</v>
      </c>
      <c r="D76" s="117" t="s">
        <v>249</v>
      </c>
      <c r="E76" s="117" t="s">
        <v>584</v>
      </c>
      <c r="F76" s="117" t="s">
        <v>223</v>
      </c>
      <c r="G76" s="117" t="s">
        <v>585</v>
      </c>
      <c r="H76" s="117" t="s">
        <v>254</v>
      </c>
      <c r="I76" s="117" t="s">
        <v>619</v>
      </c>
      <c r="J76" s="118">
        <v>1.72</v>
      </c>
      <c r="K76" s="118" t="s">
        <v>255</v>
      </c>
      <c r="L76" s="117">
        <v>1.7600000000000001E-2</v>
      </c>
      <c r="M76" s="117">
        <v>2.9600000000000001E-2</v>
      </c>
      <c r="N76" s="69">
        <v>834187.21579373023</v>
      </c>
      <c r="O76" s="60">
        <v>111.29</v>
      </c>
      <c r="P76" s="84">
        <v>0</v>
      </c>
      <c r="Q76" s="84">
        <v>928.36694999999997</v>
      </c>
      <c r="R76" s="24">
        <v>6.2458274202464197E-4</v>
      </c>
      <c r="S76" s="24">
        <v>8.2739021869630489E-3</v>
      </c>
      <c r="T76" s="24">
        <v>3.8241111421840504E-3</v>
      </c>
    </row>
    <row r="77" spans="1:20" x14ac:dyDescent="0.25">
      <c r="A77" s="16" t="s">
        <v>655</v>
      </c>
      <c r="B77" s="117" t="s">
        <v>656</v>
      </c>
      <c r="C77" s="117" t="s">
        <v>456</v>
      </c>
      <c r="D77" s="117" t="s">
        <v>249</v>
      </c>
      <c r="E77" s="117" t="s">
        <v>584</v>
      </c>
      <c r="F77" s="117" t="s">
        <v>223</v>
      </c>
      <c r="G77" s="117" t="s">
        <v>585</v>
      </c>
      <c r="H77" s="117" t="s">
        <v>254</v>
      </c>
      <c r="I77" s="117" t="s">
        <v>657</v>
      </c>
      <c r="J77" s="118">
        <v>2.41</v>
      </c>
      <c r="K77" s="118" t="s">
        <v>255</v>
      </c>
      <c r="L77" s="117">
        <v>2.1499999999999998E-2</v>
      </c>
      <c r="M77" s="117">
        <v>2.9300000000000003E-2</v>
      </c>
      <c r="N77" s="69">
        <v>133367.07031928215</v>
      </c>
      <c r="O77" s="60">
        <v>112.3</v>
      </c>
      <c r="P77" s="84">
        <v>0</v>
      </c>
      <c r="Q77" s="84">
        <v>149.77122</v>
      </c>
      <c r="R77" s="24">
        <v>1.0920149908357742E-4</v>
      </c>
      <c r="S77" s="24">
        <v>1.3348088540874102E-3</v>
      </c>
      <c r="T77" s="24">
        <v>6.1693470580840768E-4</v>
      </c>
    </row>
    <row r="78" spans="1:20" x14ac:dyDescent="0.25">
      <c r="A78" s="16" t="s">
        <v>828</v>
      </c>
      <c r="B78" s="117" t="s">
        <v>829</v>
      </c>
      <c r="C78" s="117" t="s">
        <v>456</v>
      </c>
      <c r="D78" s="117" t="s">
        <v>249</v>
      </c>
      <c r="E78" s="117" t="s">
        <v>584</v>
      </c>
      <c r="F78" s="117" t="s">
        <v>223</v>
      </c>
      <c r="G78" s="117" t="s">
        <v>585</v>
      </c>
      <c r="H78" s="117" t="s">
        <v>254</v>
      </c>
      <c r="I78" s="117" t="s">
        <v>830</v>
      </c>
      <c r="J78" s="118">
        <v>4.43</v>
      </c>
      <c r="K78" s="118" t="s">
        <v>255</v>
      </c>
      <c r="L78" s="117">
        <v>6.5000000000000006E-3</v>
      </c>
      <c r="M78" s="117">
        <v>2.6800000000000001E-2</v>
      </c>
      <c r="N78" s="69">
        <v>168091.38550522082</v>
      </c>
      <c r="O78" s="60">
        <v>101.81</v>
      </c>
      <c r="P78" s="84">
        <v>0</v>
      </c>
      <c r="Q78" s="84">
        <v>171.13383999999999</v>
      </c>
      <c r="R78" s="24">
        <v>3.3377303649432432E-4</v>
      </c>
      <c r="S78" s="24">
        <v>1.5251993331294102E-3</v>
      </c>
      <c r="T78" s="24">
        <v>7.0493119595515814E-4</v>
      </c>
    </row>
    <row r="79" spans="1:20" x14ac:dyDescent="0.25">
      <c r="A79" s="16" t="s">
        <v>851</v>
      </c>
      <c r="B79" s="117" t="s">
        <v>852</v>
      </c>
      <c r="C79" s="117" t="s">
        <v>456</v>
      </c>
      <c r="D79" s="117" t="s">
        <v>249</v>
      </c>
      <c r="E79" s="117" t="s">
        <v>584</v>
      </c>
      <c r="F79" s="117" t="s">
        <v>223</v>
      </c>
      <c r="G79" s="117" t="s">
        <v>585</v>
      </c>
      <c r="H79" s="117" t="s">
        <v>254</v>
      </c>
      <c r="I79" s="117" t="s">
        <v>853</v>
      </c>
      <c r="J79" s="118">
        <v>5.17</v>
      </c>
      <c r="K79" s="118" t="s">
        <v>255</v>
      </c>
      <c r="L79" s="117">
        <v>1.43E-2</v>
      </c>
      <c r="M79" s="117">
        <v>3.0800000000000001E-2</v>
      </c>
      <c r="N79" s="69">
        <v>404237.77417001181</v>
      </c>
      <c r="O79" s="60">
        <v>102.75000000000001</v>
      </c>
      <c r="P79" s="84">
        <v>0</v>
      </c>
      <c r="Q79" s="84">
        <v>415.35431</v>
      </c>
      <c r="R79" s="24">
        <v>1.0047667880543145E-3</v>
      </c>
      <c r="S79" s="24">
        <v>3.7017700100951765E-3</v>
      </c>
      <c r="T79" s="24">
        <v>1.7109194212753568E-3</v>
      </c>
    </row>
    <row r="80" spans="1:20" x14ac:dyDescent="0.25">
      <c r="A80" s="16" t="s">
        <v>935</v>
      </c>
      <c r="B80" s="117" t="s">
        <v>936</v>
      </c>
      <c r="C80" s="117" t="s">
        <v>456</v>
      </c>
      <c r="D80" s="117" t="s">
        <v>249</v>
      </c>
      <c r="E80" s="117" t="s">
        <v>584</v>
      </c>
      <c r="F80" s="117" t="s">
        <v>223</v>
      </c>
      <c r="G80" s="117" t="s">
        <v>585</v>
      </c>
      <c r="H80" s="117" t="s">
        <v>254</v>
      </c>
      <c r="I80" s="117" t="s">
        <v>937</v>
      </c>
      <c r="J80" s="118">
        <v>5.99</v>
      </c>
      <c r="K80" s="118" t="s">
        <v>255</v>
      </c>
      <c r="L80" s="117">
        <v>2.5000000000000001E-3</v>
      </c>
      <c r="M80" s="117">
        <v>3.1099999999999999E-2</v>
      </c>
      <c r="N80" s="69">
        <v>544449.59329119837</v>
      </c>
      <c r="O80" s="60">
        <v>92.21</v>
      </c>
      <c r="P80" s="84">
        <v>0</v>
      </c>
      <c r="Q80" s="84">
        <v>502.03697</v>
      </c>
      <c r="R80" s="24">
        <v>4.1957654815109213E-4</v>
      </c>
      <c r="S80" s="24">
        <v>4.4743135071959447E-3</v>
      </c>
      <c r="T80" s="24">
        <v>2.0679809538300775E-3</v>
      </c>
    </row>
    <row r="81" spans="1:20" x14ac:dyDescent="0.25">
      <c r="A81" s="16" t="s">
        <v>1065</v>
      </c>
      <c r="B81" s="117" t="s">
        <v>1066</v>
      </c>
      <c r="C81" s="117" t="s">
        <v>456</v>
      </c>
      <c r="D81" s="117" t="s">
        <v>249</v>
      </c>
      <c r="E81" s="117" t="s">
        <v>584</v>
      </c>
      <c r="F81" s="117" t="s">
        <v>223</v>
      </c>
      <c r="G81" s="117" t="s">
        <v>585</v>
      </c>
      <c r="H81" s="117" t="s">
        <v>254</v>
      </c>
      <c r="I81" s="117" t="s">
        <v>1067</v>
      </c>
      <c r="J81" s="118">
        <v>6.73</v>
      </c>
      <c r="K81" s="118" t="s">
        <v>255</v>
      </c>
      <c r="L81" s="117">
        <v>3.61E-2</v>
      </c>
      <c r="M81" s="117">
        <v>3.3500000000000002E-2</v>
      </c>
      <c r="N81" s="69">
        <v>266354.12803729693</v>
      </c>
      <c r="O81" s="60">
        <v>104.99000000000001</v>
      </c>
      <c r="P81" s="84">
        <v>0</v>
      </c>
      <c r="Q81" s="84">
        <v>279.64519999999999</v>
      </c>
      <c r="R81" s="24">
        <v>5.7974531223768634E-4</v>
      </c>
      <c r="S81" s="24">
        <v>2.4922871628010016E-3</v>
      </c>
      <c r="T81" s="24">
        <v>1.1519090863567334E-3</v>
      </c>
    </row>
    <row r="82" spans="1:20" x14ac:dyDescent="0.25">
      <c r="A82" s="16" t="s">
        <v>1177</v>
      </c>
      <c r="B82" s="117" t="s">
        <v>1178</v>
      </c>
      <c r="C82" s="117" t="s">
        <v>456</v>
      </c>
      <c r="D82" s="117" t="s">
        <v>249</v>
      </c>
      <c r="E82" s="117" t="s">
        <v>965</v>
      </c>
      <c r="F82" s="117" t="s">
        <v>200</v>
      </c>
      <c r="G82" s="117" t="s">
        <v>666</v>
      </c>
      <c r="H82" s="117" t="s">
        <v>569</v>
      </c>
      <c r="I82" s="117" t="s">
        <v>1179</v>
      </c>
      <c r="J82" s="118">
        <v>0.25</v>
      </c>
      <c r="K82" s="118" t="s">
        <v>255</v>
      </c>
      <c r="L82" s="117">
        <v>1.5900000000000001E-2</v>
      </c>
      <c r="M82" s="117">
        <v>6.3099999999999989E-2</v>
      </c>
      <c r="N82" s="69">
        <v>4.9057245373634819</v>
      </c>
      <c r="O82" s="60">
        <v>5566000</v>
      </c>
      <c r="P82" s="84">
        <v>0</v>
      </c>
      <c r="Q82" s="84">
        <v>273.05263000000002</v>
      </c>
      <c r="R82" s="24">
        <v>3.2770370991072026E-4</v>
      </c>
      <c r="S82" s="24">
        <v>2.4335320774969559E-3</v>
      </c>
      <c r="T82" s="24">
        <v>1.1247530998229299E-3</v>
      </c>
    </row>
    <row r="83" spans="1:20" x14ac:dyDescent="0.25">
      <c r="A83" s="16" t="s">
        <v>1180</v>
      </c>
      <c r="B83" s="117" t="s">
        <v>1181</v>
      </c>
      <c r="C83" s="117" t="s">
        <v>456</v>
      </c>
      <c r="D83" s="117" t="s">
        <v>249</v>
      </c>
      <c r="E83" s="117" t="s">
        <v>965</v>
      </c>
      <c r="F83" s="117" t="s">
        <v>200</v>
      </c>
      <c r="G83" s="117" t="s">
        <v>666</v>
      </c>
      <c r="H83" s="117" t="s">
        <v>569</v>
      </c>
      <c r="I83" s="117" t="s">
        <v>1179</v>
      </c>
      <c r="J83" s="118">
        <v>1.49</v>
      </c>
      <c r="K83" s="118" t="s">
        <v>255</v>
      </c>
      <c r="L83" s="117">
        <v>2.0199999999999999E-2</v>
      </c>
      <c r="M83" s="117">
        <v>3.3799999999999997E-2</v>
      </c>
      <c r="N83" s="69">
        <v>8.9159114890077635</v>
      </c>
      <c r="O83" s="60">
        <v>5510000</v>
      </c>
      <c r="P83" s="84">
        <v>0</v>
      </c>
      <c r="Q83" s="84">
        <v>491.26671999999996</v>
      </c>
      <c r="R83" s="24">
        <v>4.2365937225030952E-4</v>
      </c>
      <c r="S83" s="24">
        <v>4.3783256060442085E-3</v>
      </c>
      <c r="T83" s="24">
        <v>2.0236163488329827E-3</v>
      </c>
    </row>
    <row r="84" spans="1:20" x14ac:dyDescent="0.25">
      <c r="A84" s="16" t="s">
        <v>1182</v>
      </c>
      <c r="B84" s="117" t="s">
        <v>1183</v>
      </c>
      <c r="C84" s="117" t="s">
        <v>456</v>
      </c>
      <c r="D84" s="117" t="s">
        <v>249</v>
      </c>
      <c r="E84" s="117" t="s">
        <v>965</v>
      </c>
      <c r="F84" s="117" t="s">
        <v>200</v>
      </c>
      <c r="G84" s="117" t="s">
        <v>666</v>
      </c>
      <c r="H84" s="117" t="s">
        <v>569</v>
      </c>
      <c r="I84" s="117" t="s">
        <v>1179</v>
      </c>
      <c r="J84" s="118">
        <v>2.56</v>
      </c>
      <c r="K84" s="118" t="s">
        <v>255</v>
      </c>
      <c r="L84" s="117">
        <v>2.5899999999999999E-2</v>
      </c>
      <c r="M84" s="117">
        <v>3.6600000000000001E-2</v>
      </c>
      <c r="N84" s="69">
        <v>4.5535809443349153</v>
      </c>
      <c r="O84" s="60">
        <v>5460000</v>
      </c>
      <c r="P84" s="84">
        <v>0</v>
      </c>
      <c r="Q84" s="84">
        <v>248.62551999999999</v>
      </c>
      <c r="R84" s="24">
        <v>2.155745369660993E-4</v>
      </c>
      <c r="S84" s="24">
        <v>2.2158298867304845E-3</v>
      </c>
      <c r="T84" s="24">
        <v>1.0241334218794665E-3</v>
      </c>
    </row>
    <row r="85" spans="1:20" x14ac:dyDescent="0.25">
      <c r="A85" s="16" t="s">
        <v>1152</v>
      </c>
      <c r="B85" s="117" t="s">
        <v>1153</v>
      </c>
      <c r="C85" s="117" t="s">
        <v>456</v>
      </c>
      <c r="D85" s="117" t="s">
        <v>249</v>
      </c>
      <c r="E85" s="117" t="s">
        <v>965</v>
      </c>
      <c r="F85" s="117" t="s">
        <v>200</v>
      </c>
      <c r="G85" s="117" t="s">
        <v>666</v>
      </c>
      <c r="H85" s="117" t="s">
        <v>569</v>
      </c>
      <c r="I85" s="117" t="s">
        <v>1154</v>
      </c>
      <c r="J85" s="118">
        <v>2.8</v>
      </c>
      <c r="K85" s="118" t="s">
        <v>255</v>
      </c>
      <c r="L85" s="117">
        <v>2.9700000000000001E-2</v>
      </c>
      <c r="M85" s="117">
        <v>2.9100000000000001E-2</v>
      </c>
      <c r="N85" s="69">
        <v>10.09984253453484</v>
      </c>
      <c r="O85" s="60">
        <v>5594000</v>
      </c>
      <c r="P85" s="84">
        <v>0</v>
      </c>
      <c r="Q85" s="84">
        <v>564.98518999999999</v>
      </c>
      <c r="R85" s="24">
        <v>7.2141732389534568E-4</v>
      </c>
      <c r="S85" s="24">
        <v>5.0353281093674582E-3</v>
      </c>
      <c r="T85" s="24">
        <v>2.327276041276537E-3</v>
      </c>
    </row>
    <row r="86" spans="1:20" x14ac:dyDescent="0.25">
      <c r="A86" s="16" t="s">
        <v>1168</v>
      </c>
      <c r="B86" s="117" t="s">
        <v>1169</v>
      </c>
      <c r="C86" s="117" t="s">
        <v>456</v>
      </c>
      <c r="D86" s="117" t="s">
        <v>249</v>
      </c>
      <c r="E86" s="117" t="s">
        <v>965</v>
      </c>
      <c r="F86" s="117" t="s">
        <v>200</v>
      </c>
      <c r="G86" s="117" t="s">
        <v>585</v>
      </c>
      <c r="H86" s="117" t="s">
        <v>254</v>
      </c>
      <c r="I86" s="117" t="s">
        <v>1170</v>
      </c>
      <c r="J86" s="118">
        <v>4.7300000000000004</v>
      </c>
      <c r="K86" s="118" t="s">
        <v>255</v>
      </c>
      <c r="L86" s="117">
        <v>3.0899999999999997E-2</v>
      </c>
      <c r="M86" s="117">
        <v>3.5200000000000002E-2</v>
      </c>
      <c r="N86" s="69">
        <v>6.0319768909289841</v>
      </c>
      <c r="O86" s="60">
        <v>5195000</v>
      </c>
      <c r="P86" s="84">
        <v>0</v>
      </c>
      <c r="Q86" s="84">
        <v>313.3612</v>
      </c>
      <c r="R86" s="24">
        <v>3.1747246794363074E-4</v>
      </c>
      <c r="S86" s="24">
        <v>2.7927749021972028E-3</v>
      </c>
      <c r="T86" s="24">
        <v>1.2907913799044275E-3</v>
      </c>
    </row>
    <row r="87" spans="1:20" x14ac:dyDescent="0.25">
      <c r="A87" s="16" t="s">
        <v>760</v>
      </c>
      <c r="B87" s="117" t="s">
        <v>761</v>
      </c>
      <c r="C87" s="117" t="s">
        <v>456</v>
      </c>
      <c r="D87" s="117" t="s">
        <v>249</v>
      </c>
      <c r="E87" s="117" t="s">
        <v>722</v>
      </c>
      <c r="F87" s="117" t="s">
        <v>223</v>
      </c>
      <c r="G87" s="117" t="s">
        <v>585</v>
      </c>
      <c r="H87" s="117" t="s">
        <v>254</v>
      </c>
      <c r="I87" s="117" t="s">
        <v>762</v>
      </c>
      <c r="J87" s="118">
        <v>2.13</v>
      </c>
      <c r="K87" s="118" t="s">
        <v>255</v>
      </c>
      <c r="L87" s="117">
        <v>1.6E-2</v>
      </c>
      <c r="M87" s="117">
        <v>3.1E-2</v>
      </c>
      <c r="N87" s="69">
        <v>169033.87949620921</v>
      </c>
      <c r="O87" s="60">
        <v>109.97000000000001</v>
      </c>
      <c r="P87" s="84">
        <v>0</v>
      </c>
      <c r="Q87" s="84">
        <v>185.88656</v>
      </c>
      <c r="R87" s="24">
        <v>4.3599201227782178E-4</v>
      </c>
      <c r="S87" s="24">
        <v>1.6566802763832104E-3</v>
      </c>
      <c r="T87" s="24">
        <v>7.6570031416808198E-4</v>
      </c>
    </row>
    <row r="88" spans="1:20" x14ac:dyDescent="0.25">
      <c r="A88" s="16" t="s">
        <v>786</v>
      </c>
      <c r="B88" s="117" t="s">
        <v>787</v>
      </c>
      <c r="C88" s="117" t="s">
        <v>456</v>
      </c>
      <c r="D88" s="117" t="s">
        <v>249</v>
      </c>
      <c r="E88" s="117" t="s">
        <v>722</v>
      </c>
      <c r="F88" s="117" t="s">
        <v>223</v>
      </c>
      <c r="G88" s="117" t="s">
        <v>585</v>
      </c>
      <c r="H88" s="117" t="s">
        <v>254</v>
      </c>
      <c r="I88" s="117" t="s">
        <v>788</v>
      </c>
      <c r="J88" s="118">
        <v>2.97</v>
      </c>
      <c r="K88" s="118" t="s">
        <v>255</v>
      </c>
      <c r="L88" s="117">
        <v>1.4199999999999999E-2</v>
      </c>
      <c r="M88" s="117">
        <v>2.9600000000000001E-2</v>
      </c>
      <c r="N88" s="69">
        <v>245674.39994185176</v>
      </c>
      <c r="O88" s="60">
        <v>107.02000000000001</v>
      </c>
      <c r="P88" s="84">
        <v>0</v>
      </c>
      <c r="Q88" s="84">
        <v>262.92073999999997</v>
      </c>
      <c r="R88" s="24">
        <v>2.5516687643599152E-4</v>
      </c>
      <c r="S88" s="24">
        <v>2.343233444150444E-3</v>
      </c>
      <c r="T88" s="24">
        <v>1.0830180149619454E-3</v>
      </c>
    </row>
    <row r="89" spans="1:20" x14ac:dyDescent="0.25">
      <c r="A89" s="16" t="s">
        <v>946</v>
      </c>
      <c r="B89" s="117" t="s">
        <v>947</v>
      </c>
      <c r="C89" s="117" t="s">
        <v>456</v>
      </c>
      <c r="D89" s="117" t="s">
        <v>249</v>
      </c>
      <c r="E89" s="117" t="s">
        <v>722</v>
      </c>
      <c r="F89" s="117" t="s">
        <v>223</v>
      </c>
      <c r="G89" s="117" t="s">
        <v>585</v>
      </c>
      <c r="H89" s="117" t="s">
        <v>254</v>
      </c>
      <c r="I89" s="117" t="s">
        <v>948</v>
      </c>
      <c r="J89" s="118">
        <v>4.59</v>
      </c>
      <c r="K89" s="118" t="s">
        <v>255</v>
      </c>
      <c r="L89" s="117">
        <v>1.4199999999999999E-2</v>
      </c>
      <c r="M89" s="117">
        <v>2.87E-2</v>
      </c>
      <c r="N89" s="69">
        <v>131516.97518343641</v>
      </c>
      <c r="O89" s="60">
        <v>106.913082</v>
      </c>
      <c r="P89" s="84">
        <v>0</v>
      </c>
      <c r="Q89" s="84">
        <v>140.60885000000002</v>
      </c>
      <c r="R89" s="24">
        <v>1.3659858643721222E-4</v>
      </c>
      <c r="S89" s="24">
        <v>1.2531508920275106E-3</v>
      </c>
      <c r="T89" s="24">
        <v>5.7919324893533305E-4</v>
      </c>
    </row>
    <row r="90" spans="1:20" x14ac:dyDescent="0.25">
      <c r="A90" s="16" t="s">
        <v>595</v>
      </c>
      <c r="B90" s="117" t="s">
        <v>596</v>
      </c>
      <c r="C90" s="117" t="s">
        <v>456</v>
      </c>
      <c r="D90" s="117" t="s">
        <v>249</v>
      </c>
      <c r="E90" s="117" t="s">
        <v>597</v>
      </c>
      <c r="F90" s="117" t="s">
        <v>223</v>
      </c>
      <c r="G90" s="117" t="s">
        <v>585</v>
      </c>
      <c r="H90" s="117" t="s">
        <v>254</v>
      </c>
      <c r="I90" s="117" t="s">
        <v>598</v>
      </c>
      <c r="J90" s="118">
        <v>0.97</v>
      </c>
      <c r="K90" s="118" t="s">
        <v>255</v>
      </c>
      <c r="L90" s="117">
        <v>0.04</v>
      </c>
      <c r="M90" s="117">
        <v>3.0099999999999998E-2</v>
      </c>
      <c r="N90" s="69">
        <v>37077.855202420695</v>
      </c>
      <c r="O90" s="60">
        <v>112.25</v>
      </c>
      <c r="P90" s="84">
        <v>0</v>
      </c>
      <c r="Q90" s="84">
        <v>41.619889999999998</v>
      </c>
      <c r="R90" s="24">
        <v>4.5544084178222952E-4</v>
      </c>
      <c r="S90" s="24">
        <v>3.7092972653987903E-4</v>
      </c>
      <c r="T90" s="24">
        <v>1.7143984400292851E-4</v>
      </c>
    </row>
    <row r="91" spans="1:20" x14ac:dyDescent="0.25">
      <c r="A91" s="16" t="s">
        <v>640</v>
      </c>
      <c r="B91" s="117" t="s">
        <v>641</v>
      </c>
      <c r="C91" s="117" t="s">
        <v>456</v>
      </c>
      <c r="D91" s="117" t="s">
        <v>249</v>
      </c>
      <c r="E91" s="117" t="s">
        <v>597</v>
      </c>
      <c r="F91" s="117" t="s">
        <v>223</v>
      </c>
      <c r="G91" s="117" t="s">
        <v>585</v>
      </c>
      <c r="H91" s="117" t="s">
        <v>254</v>
      </c>
      <c r="I91" s="117" t="s">
        <v>642</v>
      </c>
      <c r="J91" s="118">
        <v>2.92</v>
      </c>
      <c r="K91" s="118" t="s">
        <v>255</v>
      </c>
      <c r="L91" s="117">
        <v>0.04</v>
      </c>
      <c r="M91" s="117">
        <v>2.8799999999999999E-2</v>
      </c>
      <c r="N91" s="69">
        <v>506795.98021774087</v>
      </c>
      <c r="O91" s="60">
        <v>115.78</v>
      </c>
      <c r="P91" s="84">
        <v>0</v>
      </c>
      <c r="Q91" s="84">
        <v>586.76839000000007</v>
      </c>
      <c r="R91" s="24">
        <v>5.596357946804863E-4</v>
      </c>
      <c r="S91" s="24">
        <v>5.2294669314345878E-3</v>
      </c>
      <c r="T91" s="24">
        <v>2.4170049764055007E-3</v>
      </c>
    </row>
    <row r="92" spans="1:20" x14ac:dyDescent="0.25">
      <c r="A92" s="16" t="s">
        <v>658</v>
      </c>
      <c r="B92" s="117" t="s">
        <v>659</v>
      </c>
      <c r="C92" s="117" t="s">
        <v>456</v>
      </c>
      <c r="D92" s="117" t="s">
        <v>249</v>
      </c>
      <c r="E92" s="117" t="s">
        <v>597</v>
      </c>
      <c r="F92" s="117" t="s">
        <v>223</v>
      </c>
      <c r="G92" s="117" t="s">
        <v>585</v>
      </c>
      <c r="H92" s="117" t="s">
        <v>254</v>
      </c>
      <c r="I92" s="117" t="s">
        <v>660</v>
      </c>
      <c r="J92" s="118">
        <v>4.2699999999999996</v>
      </c>
      <c r="K92" s="118" t="s">
        <v>255</v>
      </c>
      <c r="L92" s="117">
        <v>3.5000000000000003E-2</v>
      </c>
      <c r="M92" s="117">
        <v>3.1200000000000002E-2</v>
      </c>
      <c r="N92" s="69">
        <v>402068.559072648</v>
      </c>
      <c r="O92" s="60">
        <v>115.14</v>
      </c>
      <c r="P92" s="84">
        <v>0</v>
      </c>
      <c r="Q92" s="84">
        <v>462.94173999999998</v>
      </c>
      <c r="R92" s="24">
        <v>4.5606062358866768E-4</v>
      </c>
      <c r="S92" s="24">
        <v>4.1258843553429805E-3</v>
      </c>
      <c r="T92" s="24">
        <v>1.9069406403535495E-3</v>
      </c>
    </row>
    <row r="93" spans="1:20" x14ac:dyDescent="0.25">
      <c r="A93" s="16" t="s">
        <v>880</v>
      </c>
      <c r="B93" s="117" t="s">
        <v>881</v>
      </c>
      <c r="C93" s="117" t="s">
        <v>456</v>
      </c>
      <c r="D93" s="117" t="s">
        <v>249</v>
      </c>
      <c r="E93" s="117" t="s">
        <v>597</v>
      </c>
      <c r="F93" s="117" t="s">
        <v>223</v>
      </c>
      <c r="G93" s="117" t="s">
        <v>585</v>
      </c>
      <c r="H93" s="117" t="s">
        <v>254</v>
      </c>
      <c r="I93" s="117" t="s">
        <v>882</v>
      </c>
      <c r="J93" s="118">
        <v>6.82</v>
      </c>
      <c r="K93" s="118" t="s">
        <v>255</v>
      </c>
      <c r="L93" s="117">
        <v>2.5000000000000001E-2</v>
      </c>
      <c r="M93" s="117">
        <v>3.1800000000000002E-2</v>
      </c>
      <c r="N93" s="69">
        <v>116741.29695087271</v>
      </c>
      <c r="O93" s="60">
        <v>106.56000000000002</v>
      </c>
      <c r="P93" s="84">
        <v>0</v>
      </c>
      <c r="Q93" s="84">
        <v>124.39953</v>
      </c>
      <c r="R93" s="24">
        <v>1.9703054994420213E-4</v>
      </c>
      <c r="S93" s="24">
        <v>1.1086882652642637E-3</v>
      </c>
      <c r="T93" s="24">
        <v>5.1242413224152268E-4</v>
      </c>
    </row>
    <row r="94" spans="1:20" x14ac:dyDescent="0.25">
      <c r="A94" s="16" t="s">
        <v>591</v>
      </c>
      <c r="B94" s="117" t="s">
        <v>592</v>
      </c>
      <c r="C94" s="117" t="s">
        <v>456</v>
      </c>
      <c r="D94" s="117" t="s">
        <v>249</v>
      </c>
      <c r="E94" s="117" t="s">
        <v>593</v>
      </c>
      <c r="F94" s="117" t="s">
        <v>235</v>
      </c>
      <c r="G94" s="117" t="s">
        <v>585</v>
      </c>
      <c r="H94" s="117" t="s">
        <v>254</v>
      </c>
      <c r="I94" s="117" t="s">
        <v>594</v>
      </c>
      <c r="J94" s="118">
        <v>3.38</v>
      </c>
      <c r="K94" s="118" t="s">
        <v>255</v>
      </c>
      <c r="L94" s="117">
        <v>2.9900000000000003E-2</v>
      </c>
      <c r="M94" s="117">
        <v>2.5699999999999997E-2</v>
      </c>
      <c r="N94" s="69">
        <v>1230.6031555592763</v>
      </c>
      <c r="O94" s="60">
        <v>112.51</v>
      </c>
      <c r="P94" s="84">
        <v>0.23614703810000001</v>
      </c>
      <c r="Q94" s="84">
        <v>1.4229100000000001</v>
      </c>
      <c r="R94" s="24">
        <v>6.94679083224258E-6</v>
      </c>
      <c r="S94" s="24">
        <v>1.2681427490338377E-5</v>
      </c>
      <c r="T94" s="24">
        <v>5.8612232860348028E-6</v>
      </c>
    </row>
    <row r="95" spans="1:20" x14ac:dyDescent="0.25">
      <c r="A95" s="16" t="s">
        <v>652</v>
      </c>
      <c r="B95" s="117" t="s">
        <v>653</v>
      </c>
      <c r="C95" s="117" t="s">
        <v>456</v>
      </c>
      <c r="D95" s="117" t="s">
        <v>249</v>
      </c>
      <c r="E95" s="117" t="s">
        <v>593</v>
      </c>
      <c r="F95" s="117" t="s">
        <v>235</v>
      </c>
      <c r="G95" s="117" t="s">
        <v>585</v>
      </c>
      <c r="H95" s="117" t="s">
        <v>254</v>
      </c>
      <c r="I95" s="117" t="s">
        <v>654</v>
      </c>
      <c r="J95" s="118">
        <v>2.9</v>
      </c>
      <c r="K95" s="118" t="s">
        <v>255</v>
      </c>
      <c r="L95" s="117">
        <v>4.2999999999999997E-2</v>
      </c>
      <c r="M95" s="117">
        <v>2.6499999999999999E-2</v>
      </c>
      <c r="N95" s="69">
        <v>27938.733277320101</v>
      </c>
      <c r="O95" s="60">
        <v>116.38999999999999</v>
      </c>
      <c r="P95" s="84">
        <v>6.5193727369999994</v>
      </c>
      <c r="Q95" s="84">
        <v>33.617620000000002</v>
      </c>
      <c r="R95" s="24">
        <v>5.4791708685736205E-5</v>
      </c>
      <c r="S95" s="24">
        <v>2.9961094547634724E-4</v>
      </c>
      <c r="T95" s="24">
        <v>1.384770485589878E-4</v>
      </c>
    </row>
    <row r="96" spans="1:20" x14ac:dyDescent="0.25">
      <c r="A96" s="16" t="s">
        <v>1060</v>
      </c>
      <c r="B96" s="117" t="s">
        <v>1061</v>
      </c>
      <c r="C96" s="117" t="s">
        <v>456</v>
      </c>
      <c r="D96" s="117" t="s">
        <v>249</v>
      </c>
      <c r="E96" s="117" t="s">
        <v>699</v>
      </c>
      <c r="F96" s="117" t="s">
        <v>204</v>
      </c>
      <c r="G96" s="117" t="s">
        <v>585</v>
      </c>
      <c r="H96" s="117" t="s">
        <v>254</v>
      </c>
      <c r="I96" s="117" t="s">
        <v>1062</v>
      </c>
      <c r="J96" s="118">
        <v>3.94</v>
      </c>
      <c r="K96" s="118" t="s">
        <v>255</v>
      </c>
      <c r="L96" s="117">
        <v>2.2000000000000002E-2</v>
      </c>
      <c r="M96" s="117">
        <v>3.0800000000000001E-2</v>
      </c>
      <c r="N96" s="69">
        <v>8438.6730738502665</v>
      </c>
      <c r="O96" s="60">
        <v>99.64</v>
      </c>
      <c r="P96" s="84">
        <v>0</v>
      </c>
      <c r="Q96" s="84">
        <v>8.4082900000000009</v>
      </c>
      <c r="R96" s="24">
        <v>3.08342863795883E-5</v>
      </c>
      <c r="S96" s="24">
        <v>7.4937360727479087E-5</v>
      </c>
      <c r="T96" s="24">
        <v>3.4635265156428426E-5</v>
      </c>
    </row>
    <row r="97" spans="1:20" x14ac:dyDescent="0.25">
      <c r="A97" s="16" t="s">
        <v>697</v>
      </c>
      <c r="B97" s="117" t="s">
        <v>698</v>
      </c>
      <c r="C97" s="117" t="s">
        <v>456</v>
      </c>
      <c r="D97" s="117" t="s">
        <v>249</v>
      </c>
      <c r="E97" s="117" t="s">
        <v>699</v>
      </c>
      <c r="F97" s="117" t="s">
        <v>204</v>
      </c>
      <c r="G97" s="117" t="s">
        <v>585</v>
      </c>
      <c r="H97" s="117" t="s">
        <v>254</v>
      </c>
      <c r="I97" s="117" t="s">
        <v>508</v>
      </c>
      <c r="J97" s="118">
        <v>1.45</v>
      </c>
      <c r="K97" s="118" t="s">
        <v>255</v>
      </c>
      <c r="L97" s="117">
        <v>1.8000000000000002E-2</v>
      </c>
      <c r="M97" s="117">
        <v>3.2899999999999999E-2</v>
      </c>
      <c r="N97" s="69">
        <v>156261.05085620709</v>
      </c>
      <c r="O97" s="60">
        <v>109.59</v>
      </c>
      <c r="P97" s="84">
        <v>0</v>
      </c>
      <c r="Q97" s="84">
        <v>171.24648999999999</v>
      </c>
      <c r="R97" s="24">
        <v>1.7489453850360093E-4</v>
      </c>
      <c r="S97" s="24">
        <v>1.5262033058380049E-3</v>
      </c>
      <c r="T97" s="24">
        <v>7.0539522165121186E-4</v>
      </c>
    </row>
    <row r="98" spans="1:20" x14ac:dyDescent="0.25">
      <c r="A98" s="16" t="s">
        <v>4009</v>
      </c>
      <c r="B98" s="117" t="s">
        <v>575</v>
      </c>
      <c r="C98" s="117" t="s">
        <v>456</v>
      </c>
      <c r="D98" s="117" t="s">
        <v>249</v>
      </c>
      <c r="E98" s="117" t="s">
        <v>576</v>
      </c>
      <c r="F98" s="117" t="s">
        <v>212</v>
      </c>
      <c r="G98" s="117" t="s">
        <v>577</v>
      </c>
      <c r="H98" s="117" t="s">
        <v>254</v>
      </c>
      <c r="I98" s="117" t="s">
        <v>578</v>
      </c>
      <c r="J98" s="118">
        <v>5.63</v>
      </c>
      <c r="K98" s="118" t="s">
        <v>255</v>
      </c>
      <c r="L98" s="117">
        <v>5.1500000000000004E-2</v>
      </c>
      <c r="M98" s="117">
        <v>3.2599999999999997E-2</v>
      </c>
      <c r="N98" s="69">
        <v>874509.99330395437</v>
      </c>
      <c r="O98" s="60">
        <v>151.19999999999999</v>
      </c>
      <c r="P98" s="84">
        <v>0</v>
      </c>
      <c r="Q98" s="84">
        <v>1322.2591100000002</v>
      </c>
      <c r="R98" s="24">
        <v>2.7963110379455104E-4</v>
      </c>
      <c r="S98" s="24">
        <v>1.1784394674929796E-2</v>
      </c>
      <c r="T98" s="24">
        <v>5.446624091266246E-3</v>
      </c>
    </row>
    <row r="99" spans="1:20" x14ac:dyDescent="0.25">
      <c r="A99" s="16" t="s">
        <v>1086</v>
      </c>
      <c r="B99" s="117" t="s">
        <v>1087</v>
      </c>
      <c r="C99" s="117" t="s">
        <v>456</v>
      </c>
      <c r="D99" s="117" t="s">
        <v>249</v>
      </c>
      <c r="E99" s="117" t="s">
        <v>1088</v>
      </c>
      <c r="F99" s="117" t="s">
        <v>223</v>
      </c>
      <c r="G99" s="117" t="s">
        <v>568</v>
      </c>
      <c r="H99" s="117" t="s">
        <v>569</v>
      </c>
      <c r="I99" s="117" t="s">
        <v>1089</v>
      </c>
      <c r="J99" s="118">
        <v>7.73</v>
      </c>
      <c r="K99" s="118" t="s">
        <v>255</v>
      </c>
      <c r="L99" s="117">
        <v>2.5600000000000001E-2</v>
      </c>
      <c r="M99" s="117">
        <v>4.0500000000000001E-2</v>
      </c>
      <c r="N99" s="69">
        <v>219340.9025774225</v>
      </c>
      <c r="O99" s="60">
        <v>94.1</v>
      </c>
      <c r="P99" s="84">
        <v>0</v>
      </c>
      <c r="Q99" s="84">
        <v>206.39979</v>
      </c>
      <c r="R99" s="24">
        <v>3.281939867421524E-4</v>
      </c>
      <c r="S99" s="24">
        <v>1.8395007209915371E-3</v>
      </c>
      <c r="T99" s="24">
        <v>8.5019801349396184E-4</v>
      </c>
    </row>
    <row r="100" spans="1:20" x14ac:dyDescent="0.25">
      <c r="A100" s="16" t="s">
        <v>636</v>
      </c>
      <c r="B100" s="117" t="s">
        <v>637</v>
      </c>
      <c r="C100" s="117" t="s">
        <v>456</v>
      </c>
      <c r="D100" s="117" t="s">
        <v>249</v>
      </c>
      <c r="E100" s="117" t="s">
        <v>638</v>
      </c>
      <c r="F100" s="117" t="s">
        <v>206</v>
      </c>
      <c r="G100" s="117" t="s">
        <v>568</v>
      </c>
      <c r="H100" s="117" t="s">
        <v>569</v>
      </c>
      <c r="I100" s="117" t="s">
        <v>639</v>
      </c>
      <c r="J100" s="118">
        <v>1.1499999999999999</v>
      </c>
      <c r="K100" s="118" t="s">
        <v>255</v>
      </c>
      <c r="L100" s="117">
        <v>2.2000000000000002E-2</v>
      </c>
      <c r="M100" s="117">
        <v>2.75E-2</v>
      </c>
      <c r="N100" s="69">
        <v>150491.2928346738</v>
      </c>
      <c r="O100" s="60">
        <v>111.64</v>
      </c>
      <c r="P100" s="84">
        <v>0</v>
      </c>
      <c r="Q100" s="84">
        <v>168.00848000000002</v>
      </c>
      <c r="R100" s="24">
        <v>1.8965137628593805E-4</v>
      </c>
      <c r="S100" s="24">
        <v>1.4973451285618664E-3</v>
      </c>
      <c r="T100" s="24">
        <v>6.920572736345324E-4</v>
      </c>
    </row>
    <row r="101" spans="1:20" x14ac:dyDescent="0.25">
      <c r="A101" s="16" t="s">
        <v>836</v>
      </c>
      <c r="B101" s="117" t="s">
        <v>837</v>
      </c>
      <c r="C101" s="117" t="s">
        <v>456</v>
      </c>
      <c r="D101" s="117" t="s">
        <v>249</v>
      </c>
      <c r="E101" s="117" t="s">
        <v>638</v>
      </c>
      <c r="F101" s="117" t="s">
        <v>206</v>
      </c>
      <c r="G101" s="117" t="s">
        <v>568</v>
      </c>
      <c r="H101" s="117" t="s">
        <v>569</v>
      </c>
      <c r="I101" s="117" t="s">
        <v>835</v>
      </c>
      <c r="J101" s="118">
        <v>4.45</v>
      </c>
      <c r="K101" s="118" t="s">
        <v>255</v>
      </c>
      <c r="L101" s="117">
        <v>2.1000000000000001E-2</v>
      </c>
      <c r="M101" s="117">
        <v>2.5899999999999999E-2</v>
      </c>
      <c r="N101" s="69">
        <v>594774.69363395299</v>
      </c>
      <c r="O101" s="60">
        <v>106.1</v>
      </c>
      <c r="P101" s="84">
        <v>0</v>
      </c>
      <c r="Q101" s="84">
        <v>631.05594999999994</v>
      </c>
      <c r="R101" s="24">
        <v>4.686069566307026E-4</v>
      </c>
      <c r="S101" s="24">
        <v>5.624171783367605E-3</v>
      </c>
      <c r="T101" s="24">
        <v>2.5994334349542935E-3</v>
      </c>
    </row>
    <row r="102" spans="1:20" x14ac:dyDescent="0.25">
      <c r="A102" s="16" t="s">
        <v>967</v>
      </c>
      <c r="B102" s="117" t="s">
        <v>968</v>
      </c>
      <c r="C102" s="117" t="s">
        <v>456</v>
      </c>
      <c r="D102" s="117" t="s">
        <v>249</v>
      </c>
      <c r="E102" s="117" t="s">
        <v>638</v>
      </c>
      <c r="F102" s="117" t="s">
        <v>206</v>
      </c>
      <c r="G102" s="117" t="s">
        <v>568</v>
      </c>
      <c r="H102" s="117" t="s">
        <v>569</v>
      </c>
      <c r="I102" s="117" t="s">
        <v>969</v>
      </c>
      <c r="J102" s="118">
        <v>9.32</v>
      </c>
      <c r="K102" s="118" t="s">
        <v>255</v>
      </c>
      <c r="L102" s="117">
        <v>5.7999999999999996E-3</v>
      </c>
      <c r="M102" s="117">
        <v>2.9300000000000003E-2</v>
      </c>
      <c r="N102" s="69">
        <v>243156.83277545412</v>
      </c>
      <c r="O102" s="60">
        <v>87.7</v>
      </c>
      <c r="P102" s="84">
        <v>0</v>
      </c>
      <c r="Q102" s="84">
        <v>213.24854000000002</v>
      </c>
      <c r="R102" s="24">
        <v>5.083102848160375E-4</v>
      </c>
      <c r="S102" s="24">
        <v>1.9005389641161584E-3</v>
      </c>
      <c r="T102" s="24">
        <v>8.7840925171720223E-4</v>
      </c>
    </row>
    <row r="103" spans="1:20" x14ac:dyDescent="0.25">
      <c r="A103" s="16" t="s">
        <v>632</v>
      </c>
      <c r="B103" s="117" t="s">
        <v>633</v>
      </c>
      <c r="C103" s="117" t="s">
        <v>456</v>
      </c>
      <c r="D103" s="117" t="s">
        <v>249</v>
      </c>
      <c r="E103" s="117" t="s">
        <v>634</v>
      </c>
      <c r="F103" s="117" t="s">
        <v>223</v>
      </c>
      <c r="G103" s="117" t="s">
        <v>577</v>
      </c>
      <c r="H103" s="117" t="s">
        <v>254</v>
      </c>
      <c r="I103" s="117" t="s">
        <v>635</v>
      </c>
      <c r="J103" s="118">
        <v>1.0900000000000001</v>
      </c>
      <c r="K103" s="118" t="s">
        <v>255</v>
      </c>
      <c r="L103" s="117">
        <v>2.5000000000000001E-2</v>
      </c>
      <c r="M103" s="117">
        <v>2.87E-2</v>
      </c>
      <c r="N103" s="69">
        <v>757.4601096742897</v>
      </c>
      <c r="O103" s="60">
        <v>112.16</v>
      </c>
      <c r="P103" s="84">
        <v>0</v>
      </c>
      <c r="Q103" s="84">
        <v>0.84957000000000005</v>
      </c>
      <c r="R103" s="24">
        <v>1.6084874768053494E-6</v>
      </c>
      <c r="S103" s="24">
        <v>7.5716386510508569E-6</v>
      </c>
      <c r="T103" s="24">
        <v>3.4995322733810202E-6</v>
      </c>
    </row>
    <row r="104" spans="1:20" x14ac:dyDescent="0.25">
      <c r="A104" s="16" t="s">
        <v>694</v>
      </c>
      <c r="B104" s="117" t="s">
        <v>695</v>
      </c>
      <c r="C104" s="117" t="s">
        <v>456</v>
      </c>
      <c r="D104" s="117" t="s">
        <v>249</v>
      </c>
      <c r="E104" s="117" t="s">
        <v>634</v>
      </c>
      <c r="F104" s="117" t="s">
        <v>223</v>
      </c>
      <c r="G104" s="117" t="s">
        <v>577</v>
      </c>
      <c r="H104" s="117" t="s">
        <v>254</v>
      </c>
      <c r="I104" s="117" t="s">
        <v>696</v>
      </c>
      <c r="J104" s="118">
        <v>1.94</v>
      </c>
      <c r="K104" s="118" t="s">
        <v>255</v>
      </c>
      <c r="L104" s="117">
        <v>1.95E-2</v>
      </c>
      <c r="M104" s="117">
        <v>3.2099999999999997E-2</v>
      </c>
      <c r="N104" s="69">
        <v>34933.230018943264</v>
      </c>
      <c r="O104" s="60">
        <v>110.25</v>
      </c>
      <c r="P104" s="84">
        <v>0</v>
      </c>
      <c r="Q104" s="84">
        <v>38.513889999999996</v>
      </c>
      <c r="R104" s="24">
        <v>6.1385705603143171E-5</v>
      </c>
      <c r="S104" s="24">
        <v>3.4324806446357694E-4</v>
      </c>
      <c r="T104" s="24">
        <v>1.5864566901897022E-4</v>
      </c>
    </row>
    <row r="105" spans="1:20" x14ac:dyDescent="0.25">
      <c r="A105" s="16" t="s">
        <v>774</v>
      </c>
      <c r="B105" s="117" t="s">
        <v>775</v>
      </c>
      <c r="C105" s="117" t="s">
        <v>456</v>
      </c>
      <c r="D105" s="117" t="s">
        <v>249</v>
      </c>
      <c r="E105" s="117" t="s">
        <v>634</v>
      </c>
      <c r="F105" s="117" t="s">
        <v>223</v>
      </c>
      <c r="G105" s="117" t="s">
        <v>577</v>
      </c>
      <c r="H105" s="117" t="s">
        <v>254</v>
      </c>
      <c r="I105" s="117" t="s">
        <v>776</v>
      </c>
      <c r="J105" s="118">
        <v>3.5</v>
      </c>
      <c r="K105" s="118" t="s">
        <v>255</v>
      </c>
      <c r="L105" s="117">
        <v>3.3500000000000002E-2</v>
      </c>
      <c r="M105" s="117">
        <v>3.3799999999999997E-2</v>
      </c>
      <c r="N105" s="69">
        <v>82711.414455397884</v>
      </c>
      <c r="O105" s="60">
        <v>111.29</v>
      </c>
      <c r="P105" s="84">
        <v>0</v>
      </c>
      <c r="Q105" s="84">
        <v>92.049530000000004</v>
      </c>
      <c r="R105" s="24">
        <v>1.2411124819628052E-4</v>
      </c>
      <c r="S105" s="24">
        <v>8.2037475329762742E-4</v>
      </c>
      <c r="T105" s="24">
        <v>3.7916863941117791E-4</v>
      </c>
    </row>
    <row r="106" spans="1:20" x14ac:dyDescent="0.25">
      <c r="A106" s="16" t="s">
        <v>897</v>
      </c>
      <c r="B106" s="117" t="s">
        <v>898</v>
      </c>
      <c r="C106" s="117" t="s">
        <v>456</v>
      </c>
      <c r="D106" s="117" t="s">
        <v>249</v>
      </c>
      <c r="E106" s="117" t="s">
        <v>634</v>
      </c>
      <c r="F106" s="117" t="s">
        <v>223</v>
      </c>
      <c r="G106" s="117" t="s">
        <v>568</v>
      </c>
      <c r="H106" s="117" t="s">
        <v>569</v>
      </c>
      <c r="I106" s="117" t="s">
        <v>899</v>
      </c>
      <c r="J106" s="118">
        <v>5.16</v>
      </c>
      <c r="K106" s="118" t="s">
        <v>255</v>
      </c>
      <c r="L106" s="117">
        <v>1.3300000000000001E-2</v>
      </c>
      <c r="M106" s="117">
        <v>3.9199999999999999E-2</v>
      </c>
      <c r="N106" s="69">
        <v>21465.127945648921</v>
      </c>
      <c r="O106" s="60">
        <v>97.5</v>
      </c>
      <c r="P106" s="84">
        <v>0.1587231995</v>
      </c>
      <c r="Q106" s="84">
        <v>21.087220000000002</v>
      </c>
      <c r="R106" s="24">
        <v>1.8075897217388566E-5</v>
      </c>
      <c r="S106" s="24">
        <v>1.8793602645480965E-4</v>
      </c>
      <c r="T106" s="24">
        <v>8.6862067805932089E-5</v>
      </c>
    </row>
    <row r="107" spans="1:20" x14ac:dyDescent="0.25">
      <c r="A107" s="16" t="s">
        <v>1008</v>
      </c>
      <c r="B107" s="117" t="s">
        <v>1009</v>
      </c>
      <c r="C107" s="117" t="s">
        <v>456</v>
      </c>
      <c r="D107" s="117" t="s">
        <v>249</v>
      </c>
      <c r="E107" s="117" t="s">
        <v>634</v>
      </c>
      <c r="F107" s="117" t="s">
        <v>223</v>
      </c>
      <c r="G107" s="117" t="s">
        <v>577</v>
      </c>
      <c r="H107" s="117" t="s">
        <v>254</v>
      </c>
      <c r="I107" s="117" t="s">
        <v>1010</v>
      </c>
      <c r="J107" s="118">
        <v>5.75</v>
      </c>
      <c r="K107" s="118" t="s">
        <v>255</v>
      </c>
      <c r="L107" s="117">
        <v>1.8700000000000001E-2</v>
      </c>
      <c r="M107" s="117">
        <v>4.0399999999999998E-2</v>
      </c>
      <c r="N107" s="69">
        <v>96089.431094009255</v>
      </c>
      <c r="O107" s="60">
        <v>95.22</v>
      </c>
      <c r="P107" s="84">
        <v>0</v>
      </c>
      <c r="Q107" s="84">
        <v>91.496359999999996</v>
      </c>
      <c r="R107" s="24">
        <v>1.7185067966104896E-4</v>
      </c>
      <c r="S107" s="24">
        <v>8.1544472592777939E-4</v>
      </c>
      <c r="T107" s="24">
        <v>3.7689003227148817E-4</v>
      </c>
    </row>
    <row r="108" spans="1:20" x14ac:dyDescent="0.25">
      <c r="A108" s="16" t="s">
        <v>1157</v>
      </c>
      <c r="B108" s="117" t="s">
        <v>1158</v>
      </c>
      <c r="C108" s="117" t="s">
        <v>456</v>
      </c>
      <c r="D108" s="117" t="s">
        <v>249</v>
      </c>
      <c r="E108" s="117" t="s">
        <v>867</v>
      </c>
      <c r="F108" s="117" t="s">
        <v>200</v>
      </c>
      <c r="G108" s="117" t="s">
        <v>568</v>
      </c>
      <c r="H108" s="117" t="s">
        <v>569</v>
      </c>
      <c r="I108" s="117" t="s">
        <v>523</v>
      </c>
      <c r="J108" s="118">
        <v>4.3899999999999997</v>
      </c>
      <c r="K108" s="118" t="s">
        <v>255</v>
      </c>
      <c r="L108" s="117">
        <v>1.09E-2</v>
      </c>
      <c r="M108" s="117">
        <v>3.7000000000000005E-2</v>
      </c>
      <c r="N108" s="69">
        <v>5.2609038510216051</v>
      </c>
      <c r="O108" s="60">
        <v>4827766</v>
      </c>
      <c r="P108" s="84">
        <v>0</v>
      </c>
      <c r="Q108" s="84">
        <v>253.98412999999999</v>
      </c>
      <c r="R108" s="24">
        <v>2.8971330200019854E-4</v>
      </c>
      <c r="S108" s="24">
        <v>2.263587527174365E-3</v>
      </c>
      <c r="T108" s="24">
        <v>1.0462065043040604E-3</v>
      </c>
    </row>
    <row r="109" spans="1:20" x14ac:dyDescent="0.25">
      <c r="A109" s="16" t="s">
        <v>1162</v>
      </c>
      <c r="B109" s="117" t="s">
        <v>1163</v>
      </c>
      <c r="C109" s="117" t="s">
        <v>456</v>
      </c>
      <c r="D109" s="117" t="s">
        <v>249</v>
      </c>
      <c r="E109" s="117" t="s">
        <v>867</v>
      </c>
      <c r="F109" s="117" t="s">
        <v>200</v>
      </c>
      <c r="G109" s="117" t="s">
        <v>568</v>
      </c>
      <c r="H109" s="117" t="s">
        <v>569</v>
      </c>
      <c r="I109" s="117" t="s">
        <v>1164</v>
      </c>
      <c r="J109" s="118">
        <v>5.03</v>
      </c>
      <c r="K109" s="118" t="s">
        <v>255</v>
      </c>
      <c r="L109" s="117">
        <v>2.9900000000000003E-2</v>
      </c>
      <c r="M109" s="117">
        <v>3.4000000000000002E-2</v>
      </c>
      <c r="N109" s="69">
        <v>2.9021489218561189</v>
      </c>
      <c r="O109" s="60">
        <v>5169986</v>
      </c>
      <c r="P109" s="84">
        <v>0</v>
      </c>
      <c r="Q109" s="84">
        <v>150.04069000000001</v>
      </c>
      <c r="R109" s="24">
        <v>1.8138430761600744E-4</v>
      </c>
      <c r="S109" s="24">
        <v>1.337210456624339E-3</v>
      </c>
      <c r="T109" s="24">
        <v>6.1804470140819107E-4</v>
      </c>
    </row>
    <row r="110" spans="1:20" x14ac:dyDescent="0.25">
      <c r="A110" s="16" t="s">
        <v>1149</v>
      </c>
      <c r="B110" s="117" t="s">
        <v>1150</v>
      </c>
      <c r="C110" s="117" t="s">
        <v>456</v>
      </c>
      <c r="D110" s="117" t="s">
        <v>249</v>
      </c>
      <c r="E110" s="117" t="s">
        <v>867</v>
      </c>
      <c r="F110" s="117" t="s">
        <v>200</v>
      </c>
      <c r="G110" s="117" t="s">
        <v>568</v>
      </c>
      <c r="H110" s="117" t="s">
        <v>569</v>
      </c>
      <c r="I110" s="117" t="s">
        <v>1151</v>
      </c>
      <c r="J110" s="118">
        <v>2.67</v>
      </c>
      <c r="K110" s="118" t="s">
        <v>255</v>
      </c>
      <c r="L110" s="117">
        <v>2.3199999999999998E-2</v>
      </c>
      <c r="M110" s="117">
        <v>3.5900000000000001E-2</v>
      </c>
      <c r="N110" s="69">
        <v>0.41892944687881201</v>
      </c>
      <c r="O110" s="60">
        <v>5424000</v>
      </c>
      <c r="P110" s="84">
        <v>0</v>
      </c>
      <c r="Q110" s="84">
        <v>22.722729999999999</v>
      </c>
      <c r="R110" s="24">
        <v>6.9821574479802007E-5</v>
      </c>
      <c r="S110" s="24">
        <v>2.0251221291405397E-4</v>
      </c>
      <c r="T110" s="24">
        <v>9.3599028890289327E-5</v>
      </c>
    </row>
    <row r="111" spans="1:20" x14ac:dyDescent="0.25">
      <c r="A111" s="16" t="s">
        <v>1134</v>
      </c>
      <c r="B111" s="117" t="s">
        <v>1135</v>
      </c>
      <c r="C111" s="117" t="s">
        <v>456</v>
      </c>
      <c r="D111" s="117" t="s">
        <v>249</v>
      </c>
      <c r="E111" s="117" t="s">
        <v>867</v>
      </c>
      <c r="F111" s="117" t="s">
        <v>200</v>
      </c>
      <c r="G111" s="117" t="s">
        <v>577</v>
      </c>
      <c r="H111" s="117" t="s">
        <v>254</v>
      </c>
      <c r="I111" s="117" t="s">
        <v>1136</v>
      </c>
      <c r="J111" s="118">
        <v>0.79</v>
      </c>
      <c r="K111" s="118" t="s">
        <v>255</v>
      </c>
      <c r="L111" s="117">
        <v>2.2000000000000002E-2</v>
      </c>
      <c r="M111" s="117">
        <v>3.9199999999999999E-2</v>
      </c>
      <c r="N111" s="69">
        <v>3.6944720061703942</v>
      </c>
      <c r="O111" s="60">
        <v>5519000</v>
      </c>
      <c r="P111" s="84">
        <v>0</v>
      </c>
      <c r="Q111" s="84">
        <v>203.89791</v>
      </c>
      <c r="R111" s="24">
        <v>7.3390385501994324E-4</v>
      </c>
      <c r="S111" s="24">
        <v>1.8172031689260319E-3</v>
      </c>
      <c r="T111" s="24">
        <v>8.3989231790192523E-4</v>
      </c>
    </row>
    <row r="112" spans="1:20" x14ac:dyDescent="0.25">
      <c r="A112" s="16" t="s">
        <v>565</v>
      </c>
      <c r="B112" s="117" t="s">
        <v>566</v>
      </c>
      <c r="C112" s="117" t="s">
        <v>456</v>
      </c>
      <c r="D112" s="117" t="s">
        <v>249</v>
      </c>
      <c r="E112" s="117" t="s">
        <v>567</v>
      </c>
      <c r="F112" s="117" t="s">
        <v>223</v>
      </c>
      <c r="G112" s="117" t="s">
        <v>568</v>
      </c>
      <c r="H112" s="117" t="s">
        <v>569</v>
      </c>
      <c r="I112" s="117" t="s">
        <v>570</v>
      </c>
      <c r="J112" s="118">
        <v>1.46</v>
      </c>
      <c r="K112" s="118" t="s">
        <v>255</v>
      </c>
      <c r="L112" s="117">
        <v>4.7500000000000001E-2</v>
      </c>
      <c r="M112" s="117">
        <v>3.27E-2</v>
      </c>
      <c r="N112" s="69">
        <v>465028.19310033403</v>
      </c>
      <c r="O112" s="60">
        <v>137.97999999999999</v>
      </c>
      <c r="P112" s="84">
        <v>14.91638543</v>
      </c>
      <c r="Q112" s="84">
        <v>656.56229000000008</v>
      </c>
      <c r="R112" s="24">
        <v>3.6029296117702942E-4</v>
      </c>
      <c r="S112" s="24">
        <v>5.8514924159121223E-3</v>
      </c>
      <c r="T112" s="24">
        <v>2.7044986561907186E-3</v>
      </c>
    </row>
    <row r="113" spans="1:20" x14ac:dyDescent="0.25">
      <c r="A113" s="16" t="s">
        <v>819</v>
      </c>
      <c r="B113" s="117" t="s">
        <v>820</v>
      </c>
      <c r="C113" s="117" t="s">
        <v>456</v>
      </c>
      <c r="D113" s="117" t="s">
        <v>249</v>
      </c>
      <c r="E113" s="117" t="s">
        <v>567</v>
      </c>
      <c r="F113" s="117" t="s">
        <v>223</v>
      </c>
      <c r="G113" s="117" t="s">
        <v>568</v>
      </c>
      <c r="H113" s="117" t="s">
        <v>569</v>
      </c>
      <c r="I113" s="117" t="s">
        <v>821</v>
      </c>
      <c r="J113" s="118">
        <v>4.28</v>
      </c>
      <c r="K113" s="118" t="s">
        <v>255</v>
      </c>
      <c r="L113" s="117">
        <v>5.0000000000000001E-3</v>
      </c>
      <c r="M113" s="117">
        <v>3.15E-2</v>
      </c>
      <c r="N113" s="69">
        <v>601232.30077862088</v>
      </c>
      <c r="O113" s="60">
        <v>99.19</v>
      </c>
      <c r="P113" s="84">
        <v>0</v>
      </c>
      <c r="Q113" s="84">
        <v>596.36231999999995</v>
      </c>
      <c r="R113" s="24">
        <v>3.3684994359493614E-4</v>
      </c>
      <c r="S113" s="24">
        <v>5.3149710937796281E-3</v>
      </c>
      <c r="T113" s="24">
        <v>2.4565241068639186E-3</v>
      </c>
    </row>
    <row r="114" spans="1:20" x14ac:dyDescent="0.25">
      <c r="A114" s="16" t="s">
        <v>992</v>
      </c>
      <c r="B114" s="117" t="s">
        <v>993</v>
      </c>
      <c r="C114" s="117" t="s">
        <v>456</v>
      </c>
      <c r="D114" s="117" t="s">
        <v>249</v>
      </c>
      <c r="E114" s="117" t="s">
        <v>567</v>
      </c>
      <c r="F114" s="117" t="s">
        <v>223</v>
      </c>
      <c r="G114" s="117" t="s">
        <v>568</v>
      </c>
      <c r="H114" s="117" t="s">
        <v>569</v>
      </c>
      <c r="I114" s="117" t="s">
        <v>994</v>
      </c>
      <c r="J114" s="118">
        <v>6.1</v>
      </c>
      <c r="K114" s="118" t="s">
        <v>255</v>
      </c>
      <c r="L114" s="117">
        <v>5.8999999999999999E-3</v>
      </c>
      <c r="M114" s="117">
        <v>3.3700000000000001E-2</v>
      </c>
      <c r="N114" s="69">
        <v>713017.07465740328</v>
      </c>
      <c r="O114" s="60">
        <v>91.47</v>
      </c>
      <c r="P114" s="84">
        <v>0</v>
      </c>
      <c r="Q114" s="84">
        <v>652.19672000000003</v>
      </c>
      <c r="R114" s="24">
        <v>6.4855404532256674E-4</v>
      </c>
      <c r="S114" s="24">
        <v>5.8125850644921463E-3</v>
      </c>
      <c r="T114" s="24">
        <v>2.6865160848820518E-3</v>
      </c>
    </row>
    <row r="115" spans="1:20" x14ac:dyDescent="0.25">
      <c r="A115" s="16" t="s">
        <v>1174</v>
      </c>
      <c r="B115" s="117" t="s">
        <v>1175</v>
      </c>
      <c r="C115" s="117" t="s">
        <v>456</v>
      </c>
      <c r="D115" s="117" t="s">
        <v>249</v>
      </c>
      <c r="E115" s="117" t="s">
        <v>958</v>
      </c>
      <c r="F115" s="117" t="s">
        <v>200</v>
      </c>
      <c r="G115" s="117" t="s">
        <v>568</v>
      </c>
      <c r="H115" s="117" t="s">
        <v>569</v>
      </c>
      <c r="I115" s="117" t="s">
        <v>1176</v>
      </c>
      <c r="J115" s="118">
        <v>4.7300000000000004</v>
      </c>
      <c r="K115" s="118" t="s">
        <v>255</v>
      </c>
      <c r="L115" s="117">
        <v>3.1699999999999999E-2</v>
      </c>
      <c r="M115" s="117">
        <v>3.5099999999999999E-2</v>
      </c>
      <c r="N115" s="69">
        <v>1.016966410901464</v>
      </c>
      <c r="O115" s="60">
        <v>5221000</v>
      </c>
      <c r="P115" s="84">
        <v>0</v>
      </c>
      <c r="Q115" s="84">
        <v>53.095819999999996</v>
      </c>
      <c r="R115" s="24">
        <v>6.0211155174746238E-5</v>
      </c>
      <c r="S115" s="24">
        <v>4.7320687279593096E-4</v>
      </c>
      <c r="T115" s="24">
        <v>2.187112723750008E-4</v>
      </c>
    </row>
    <row r="116" spans="1:20" x14ac:dyDescent="0.25">
      <c r="A116" s="16" t="s">
        <v>1165</v>
      </c>
      <c r="B116" s="117" t="s">
        <v>1166</v>
      </c>
      <c r="C116" s="117" t="s">
        <v>456</v>
      </c>
      <c r="D116" s="117" t="s">
        <v>249</v>
      </c>
      <c r="E116" s="117" t="s">
        <v>958</v>
      </c>
      <c r="F116" s="117" t="s">
        <v>200</v>
      </c>
      <c r="G116" s="117" t="s">
        <v>577</v>
      </c>
      <c r="H116" s="117" t="s">
        <v>254</v>
      </c>
      <c r="I116" s="117" t="s">
        <v>1167</v>
      </c>
      <c r="J116" s="118">
        <v>4.07</v>
      </c>
      <c r="K116" s="118" t="s">
        <v>255</v>
      </c>
      <c r="L116" s="117">
        <v>2E-3</v>
      </c>
      <c r="M116" s="117">
        <v>3.7000000000000005E-2</v>
      </c>
      <c r="N116" s="69">
        <v>0.18517895840295301</v>
      </c>
      <c r="O116" s="60">
        <v>4729000</v>
      </c>
      <c r="P116" s="84">
        <v>0</v>
      </c>
      <c r="Q116" s="84">
        <v>8.7571100000000008</v>
      </c>
      <c r="R116" s="24">
        <v>1.6155902844438405E-5</v>
      </c>
      <c r="S116" s="24">
        <v>7.8046155758211766E-5</v>
      </c>
      <c r="T116" s="24">
        <v>3.6072117737852877E-5</v>
      </c>
    </row>
    <row r="117" spans="1:20" x14ac:dyDescent="0.25">
      <c r="A117" s="16" t="s">
        <v>1143</v>
      </c>
      <c r="B117" s="117" t="s">
        <v>1144</v>
      </c>
      <c r="C117" s="117" t="s">
        <v>456</v>
      </c>
      <c r="D117" s="117" t="s">
        <v>249</v>
      </c>
      <c r="E117" s="117" t="s">
        <v>958</v>
      </c>
      <c r="F117" s="117" t="s">
        <v>200</v>
      </c>
      <c r="G117" s="117" t="s">
        <v>568</v>
      </c>
      <c r="H117" s="117" t="s">
        <v>569</v>
      </c>
      <c r="I117" s="117" t="s">
        <v>1145</v>
      </c>
      <c r="J117" s="118">
        <v>2.04</v>
      </c>
      <c r="K117" s="118" t="s">
        <v>255</v>
      </c>
      <c r="L117" s="117">
        <v>1.46E-2</v>
      </c>
      <c r="M117" s="117">
        <v>3.4599999999999999E-2</v>
      </c>
      <c r="N117" s="69">
        <v>11.56002415735157</v>
      </c>
      <c r="O117" s="60">
        <v>5387000</v>
      </c>
      <c r="P117" s="84">
        <v>0</v>
      </c>
      <c r="Q117" s="84">
        <v>622.73850000000004</v>
      </c>
      <c r="R117" s="24">
        <v>4.3404889262762625E-4</v>
      </c>
      <c r="S117" s="24">
        <v>5.5500440176765109E-3</v>
      </c>
      <c r="T117" s="24">
        <v>2.5651723561647497E-3</v>
      </c>
    </row>
    <row r="118" spans="1:20" x14ac:dyDescent="0.25">
      <c r="A118" s="16" t="s">
        <v>1146</v>
      </c>
      <c r="B118" s="117" t="s">
        <v>1147</v>
      </c>
      <c r="C118" s="117" t="s">
        <v>456</v>
      </c>
      <c r="D118" s="117" t="s">
        <v>249</v>
      </c>
      <c r="E118" s="117" t="s">
        <v>958</v>
      </c>
      <c r="F118" s="117" t="s">
        <v>200</v>
      </c>
      <c r="G118" s="117" t="s">
        <v>568</v>
      </c>
      <c r="H118" s="117" t="s">
        <v>569</v>
      </c>
      <c r="I118" s="117" t="s">
        <v>1148</v>
      </c>
      <c r="J118" s="118">
        <v>2.68</v>
      </c>
      <c r="K118" s="118" t="s">
        <v>255</v>
      </c>
      <c r="L118" s="117">
        <v>2.4199999999999999E-2</v>
      </c>
      <c r="M118" s="117">
        <v>3.7999999999999999E-2</v>
      </c>
      <c r="N118" s="69">
        <v>17.850037301792867</v>
      </c>
      <c r="O118" s="60">
        <v>5405000</v>
      </c>
      <c r="P118" s="84">
        <v>0</v>
      </c>
      <c r="Q118" s="84">
        <v>964.79452000000003</v>
      </c>
      <c r="R118" s="24">
        <v>5.8942138759057153E-4</v>
      </c>
      <c r="S118" s="24">
        <v>8.5985563025460631E-3</v>
      </c>
      <c r="T118" s="24">
        <v>3.9741628823065202E-3</v>
      </c>
    </row>
    <row r="119" spans="1:20" x14ac:dyDescent="0.25">
      <c r="A119" s="16" t="s">
        <v>1131</v>
      </c>
      <c r="B119" s="117" t="s">
        <v>1132</v>
      </c>
      <c r="C119" s="117" t="s">
        <v>456</v>
      </c>
      <c r="D119" s="117" t="s">
        <v>249</v>
      </c>
      <c r="E119" s="117" t="s">
        <v>1127</v>
      </c>
      <c r="F119" s="117" t="s">
        <v>201</v>
      </c>
      <c r="G119" s="117" t="s">
        <v>577</v>
      </c>
      <c r="H119" s="117" t="s">
        <v>254</v>
      </c>
      <c r="I119" s="117" t="s">
        <v>1133</v>
      </c>
      <c r="J119" s="118">
        <v>0.66</v>
      </c>
      <c r="K119" s="118" t="s">
        <v>255</v>
      </c>
      <c r="L119" s="117">
        <v>3.85E-2</v>
      </c>
      <c r="M119" s="117">
        <v>2.4900000000000002E-2</v>
      </c>
      <c r="N119" s="69">
        <v>63350.419885395095</v>
      </c>
      <c r="O119" s="60">
        <v>117.44000000000001</v>
      </c>
      <c r="P119" s="84">
        <v>0</v>
      </c>
      <c r="Q119" s="84">
        <v>74.39873</v>
      </c>
      <c r="R119" s="24">
        <v>2.5340167954158039E-4</v>
      </c>
      <c r="S119" s="24">
        <v>6.6306519728462267E-4</v>
      </c>
      <c r="T119" s="24">
        <v>3.0646180624734949E-4</v>
      </c>
    </row>
    <row r="120" spans="1:20" x14ac:dyDescent="0.25">
      <c r="A120" s="16" t="s">
        <v>1125</v>
      </c>
      <c r="B120" s="117" t="s">
        <v>1126</v>
      </c>
      <c r="C120" s="117" t="s">
        <v>456</v>
      </c>
      <c r="D120" s="117" t="s">
        <v>249</v>
      </c>
      <c r="E120" s="117" t="s">
        <v>1127</v>
      </c>
      <c r="F120" s="117" t="s">
        <v>201</v>
      </c>
      <c r="G120" s="117" t="s">
        <v>568</v>
      </c>
      <c r="H120" s="117" t="s">
        <v>569</v>
      </c>
      <c r="I120" s="117" t="s">
        <v>1128</v>
      </c>
      <c r="J120" s="118">
        <v>2.2000000000000002</v>
      </c>
      <c r="K120" s="118" t="s">
        <v>255</v>
      </c>
      <c r="L120" s="117">
        <v>2.4E-2</v>
      </c>
      <c r="M120" s="117">
        <v>2.4300000000000002E-2</v>
      </c>
      <c r="N120" s="69">
        <v>122116.08534523963</v>
      </c>
      <c r="O120" s="60">
        <v>111.91</v>
      </c>
      <c r="P120" s="84">
        <v>0</v>
      </c>
      <c r="Q120" s="84">
        <v>136.66010999999997</v>
      </c>
      <c r="R120" s="24">
        <v>4.1368407305622436E-4</v>
      </c>
      <c r="S120" s="24">
        <v>1.2179584624373054E-3</v>
      </c>
      <c r="T120" s="24">
        <v>5.6292767568158031E-4</v>
      </c>
    </row>
    <row r="121" spans="1:20" x14ac:dyDescent="0.25">
      <c r="A121" s="16" t="s">
        <v>1129</v>
      </c>
      <c r="B121" s="117" t="s">
        <v>1130</v>
      </c>
      <c r="C121" s="117" t="s">
        <v>456</v>
      </c>
      <c r="D121" s="117" t="s">
        <v>249</v>
      </c>
      <c r="E121" s="117" t="s">
        <v>1127</v>
      </c>
      <c r="F121" s="117" t="s">
        <v>201</v>
      </c>
      <c r="G121" s="117" t="s">
        <v>568</v>
      </c>
      <c r="H121" s="117" t="s">
        <v>569</v>
      </c>
      <c r="I121" s="117" t="s">
        <v>1128</v>
      </c>
      <c r="J121" s="118">
        <v>3.14</v>
      </c>
      <c r="K121" s="118" t="s">
        <v>255</v>
      </c>
      <c r="L121" s="117">
        <v>2.4E-2</v>
      </c>
      <c r="M121" s="117">
        <v>2.3E-2</v>
      </c>
      <c r="N121" s="69">
        <v>120997.27840009017</v>
      </c>
      <c r="O121" s="60">
        <v>112.33999999999999</v>
      </c>
      <c r="P121" s="84">
        <v>0</v>
      </c>
      <c r="Q121" s="84">
        <v>135.92833999999999</v>
      </c>
      <c r="R121" s="24">
        <v>4.0989396946156256E-4</v>
      </c>
      <c r="S121" s="24">
        <v>1.2114366949364762E-3</v>
      </c>
      <c r="T121" s="24">
        <v>5.5991338288441004E-4</v>
      </c>
    </row>
    <row r="122" spans="1:20" x14ac:dyDescent="0.25">
      <c r="A122" s="16" t="s">
        <v>876</v>
      </c>
      <c r="B122" s="117" t="s">
        <v>877</v>
      </c>
      <c r="C122" s="117" t="s">
        <v>456</v>
      </c>
      <c r="D122" s="117" t="s">
        <v>249</v>
      </c>
      <c r="E122" s="117" t="s">
        <v>878</v>
      </c>
      <c r="F122" s="117" t="s">
        <v>200</v>
      </c>
      <c r="G122" s="117" t="s">
        <v>577</v>
      </c>
      <c r="H122" s="117" t="s">
        <v>254</v>
      </c>
      <c r="I122" s="117" t="s">
        <v>879</v>
      </c>
      <c r="J122" s="118">
        <v>1.72</v>
      </c>
      <c r="K122" s="118" t="s">
        <v>255</v>
      </c>
      <c r="L122" s="117">
        <v>2E-3</v>
      </c>
      <c r="M122" s="117">
        <v>2.64E-2</v>
      </c>
      <c r="N122" s="69">
        <v>384844.33315006172</v>
      </c>
      <c r="O122" s="60">
        <v>105.86</v>
      </c>
      <c r="P122" s="84">
        <v>0</v>
      </c>
      <c r="Q122" s="84">
        <v>407.39621</v>
      </c>
      <c r="R122" s="24">
        <v>6.9014612949880642E-4</v>
      </c>
      <c r="S122" s="24">
        <v>3.6308448861513843E-3</v>
      </c>
      <c r="T122" s="24">
        <v>1.6781385700390921E-3</v>
      </c>
    </row>
    <row r="123" spans="1:20" x14ac:dyDescent="0.25">
      <c r="A123" s="16" t="s">
        <v>949</v>
      </c>
      <c r="B123" s="117" t="s">
        <v>950</v>
      </c>
      <c r="C123" s="117" t="s">
        <v>456</v>
      </c>
      <c r="D123" s="117" t="s">
        <v>249</v>
      </c>
      <c r="E123" s="117" t="s">
        <v>878</v>
      </c>
      <c r="F123" s="117" t="s">
        <v>200</v>
      </c>
      <c r="G123" s="117" t="s">
        <v>577</v>
      </c>
      <c r="H123" s="117" t="s">
        <v>254</v>
      </c>
      <c r="I123" s="117" t="s">
        <v>520</v>
      </c>
      <c r="J123" s="118">
        <v>3.95</v>
      </c>
      <c r="K123" s="118" t="s">
        <v>255</v>
      </c>
      <c r="L123" s="117">
        <v>2E-3</v>
      </c>
      <c r="M123" s="117">
        <v>2.5499999999999998E-2</v>
      </c>
      <c r="N123" s="69">
        <v>491756.38478187524</v>
      </c>
      <c r="O123" s="60">
        <v>99.050000000000011</v>
      </c>
      <c r="P123" s="84">
        <v>1.0679854</v>
      </c>
      <c r="Q123" s="84">
        <v>488.15267999999998</v>
      </c>
      <c r="R123" s="24">
        <v>6.1096022291450057E-4</v>
      </c>
      <c r="S123" s="24">
        <v>4.3505722889250562E-3</v>
      </c>
      <c r="T123" s="24">
        <v>2.0107890556368959E-3</v>
      </c>
    </row>
    <row r="124" spans="1:20" x14ac:dyDescent="0.25">
      <c r="A124" s="16" t="s">
        <v>887</v>
      </c>
      <c r="B124" s="117" t="s">
        <v>888</v>
      </c>
      <c r="C124" s="117" t="s">
        <v>456</v>
      </c>
      <c r="D124" s="117" t="s">
        <v>249</v>
      </c>
      <c r="E124" s="117" t="s">
        <v>878</v>
      </c>
      <c r="F124" s="117" t="s">
        <v>200</v>
      </c>
      <c r="G124" s="117" t="s">
        <v>577</v>
      </c>
      <c r="H124" s="117" t="s">
        <v>254</v>
      </c>
      <c r="I124" s="117" t="s">
        <v>889</v>
      </c>
      <c r="J124" s="118">
        <v>3.21</v>
      </c>
      <c r="K124" s="118" t="s">
        <v>255</v>
      </c>
      <c r="L124" s="117">
        <v>2E-3</v>
      </c>
      <c r="M124" s="117">
        <v>2.6699999999999998E-2</v>
      </c>
      <c r="N124" s="69">
        <v>425431.70243106893</v>
      </c>
      <c r="O124" s="60">
        <v>103.03</v>
      </c>
      <c r="P124" s="84">
        <v>0</v>
      </c>
      <c r="Q124" s="84">
        <v>438.32228000000003</v>
      </c>
      <c r="R124" s="24">
        <v>5.0489992052165419E-4</v>
      </c>
      <c r="S124" s="24">
        <v>3.9064678800625448E-3</v>
      </c>
      <c r="T124" s="24">
        <v>1.805528638019177E-3</v>
      </c>
    </row>
    <row r="125" spans="1:20" x14ac:dyDescent="0.25">
      <c r="A125" s="16" t="s">
        <v>687</v>
      </c>
      <c r="B125" s="117" t="s">
        <v>688</v>
      </c>
      <c r="C125" s="117" t="s">
        <v>456</v>
      </c>
      <c r="D125" s="117" t="s">
        <v>249</v>
      </c>
      <c r="E125" s="117" t="s">
        <v>689</v>
      </c>
      <c r="F125" s="117" t="s">
        <v>223</v>
      </c>
      <c r="G125" s="117" t="s">
        <v>568</v>
      </c>
      <c r="H125" s="117" t="s">
        <v>569</v>
      </c>
      <c r="I125" s="117" t="s">
        <v>690</v>
      </c>
      <c r="J125" s="118">
        <v>4.13</v>
      </c>
      <c r="K125" s="118" t="s">
        <v>255</v>
      </c>
      <c r="L125" s="117">
        <v>2.4E-2</v>
      </c>
      <c r="M125" s="117">
        <v>3.1400000000000004E-2</v>
      </c>
      <c r="N125" s="69">
        <v>624487.41325235763</v>
      </c>
      <c r="O125" s="60">
        <v>109.47</v>
      </c>
      <c r="P125" s="84">
        <v>0</v>
      </c>
      <c r="Q125" s="84">
        <v>683.62636999999995</v>
      </c>
      <c r="R125" s="24">
        <v>5.7943586454350775E-4</v>
      </c>
      <c r="S125" s="24">
        <v>6.0926961238857227E-3</v>
      </c>
      <c r="T125" s="24">
        <v>2.8159804898352275E-3</v>
      </c>
    </row>
    <row r="126" spans="1:20" x14ac:dyDescent="0.25">
      <c r="A126" s="16" t="s">
        <v>999</v>
      </c>
      <c r="B126" s="117" t="s">
        <v>1000</v>
      </c>
      <c r="C126" s="117" t="s">
        <v>456</v>
      </c>
      <c r="D126" s="117" t="s">
        <v>249</v>
      </c>
      <c r="E126" s="117" t="s">
        <v>689</v>
      </c>
      <c r="F126" s="117" t="s">
        <v>223</v>
      </c>
      <c r="G126" s="117" t="s">
        <v>568</v>
      </c>
      <c r="H126" s="117" t="s">
        <v>569</v>
      </c>
      <c r="I126" s="117" t="s">
        <v>1001</v>
      </c>
      <c r="J126" s="118">
        <v>6.28</v>
      </c>
      <c r="K126" s="118" t="s">
        <v>255</v>
      </c>
      <c r="L126" s="117">
        <v>1.4999999999999999E-2</v>
      </c>
      <c r="M126" s="117">
        <v>3.3099999999999997E-2</v>
      </c>
      <c r="N126" s="69">
        <v>151787.83074944763</v>
      </c>
      <c r="O126" s="60">
        <v>95.95</v>
      </c>
      <c r="P126" s="84">
        <v>1.2230469430000002</v>
      </c>
      <c r="Q126" s="84">
        <v>146.86347000000001</v>
      </c>
      <c r="R126" s="24">
        <v>5.7983882683412661E-4</v>
      </c>
      <c r="S126" s="24">
        <v>1.3088940592057721E-3</v>
      </c>
      <c r="T126" s="24">
        <v>6.0495715838097537E-4</v>
      </c>
    </row>
    <row r="127" spans="1:20" x14ac:dyDescent="0.25">
      <c r="A127" s="16" t="s">
        <v>741</v>
      </c>
      <c r="B127" s="117" t="s">
        <v>742</v>
      </c>
      <c r="C127" s="117" t="s">
        <v>456</v>
      </c>
      <c r="D127" s="117" t="s">
        <v>249</v>
      </c>
      <c r="E127" s="117" t="s">
        <v>675</v>
      </c>
      <c r="F127" s="117" t="s">
        <v>223</v>
      </c>
      <c r="G127" s="117" t="s">
        <v>577</v>
      </c>
      <c r="H127" s="117" t="s">
        <v>254</v>
      </c>
      <c r="I127" s="117" t="s">
        <v>743</v>
      </c>
      <c r="J127" s="118">
        <v>2.2400000000000002</v>
      </c>
      <c r="K127" s="118" t="s">
        <v>255</v>
      </c>
      <c r="L127" s="117">
        <v>1.3999999999999999E-2</v>
      </c>
      <c r="M127" s="117">
        <v>3.1600000000000003E-2</v>
      </c>
      <c r="N127" s="69">
        <v>262272.30415023642</v>
      </c>
      <c r="O127" s="60">
        <v>107.61</v>
      </c>
      <c r="P127" s="84">
        <v>2.053659997</v>
      </c>
      <c r="Q127" s="84">
        <v>284.28489000000002</v>
      </c>
      <c r="R127" s="24">
        <v>2.9515226665567906E-4</v>
      </c>
      <c r="S127" s="24">
        <v>2.533637559040151E-3</v>
      </c>
      <c r="T127" s="24">
        <v>1.1710208074550341E-3</v>
      </c>
    </row>
    <row r="128" spans="1:20" x14ac:dyDescent="0.25">
      <c r="A128" s="16" t="s">
        <v>1119</v>
      </c>
      <c r="B128" s="117" t="s">
        <v>1120</v>
      </c>
      <c r="C128" s="117" t="s">
        <v>456</v>
      </c>
      <c r="D128" s="117" t="s">
        <v>249</v>
      </c>
      <c r="E128" s="117" t="s">
        <v>708</v>
      </c>
      <c r="F128" s="117" t="s">
        <v>200</v>
      </c>
      <c r="G128" s="117" t="s">
        <v>568</v>
      </c>
      <c r="H128" s="117" t="s">
        <v>569</v>
      </c>
      <c r="I128" s="117" t="s">
        <v>1121</v>
      </c>
      <c r="J128" s="118">
        <v>1.22</v>
      </c>
      <c r="K128" s="118" t="s">
        <v>255</v>
      </c>
      <c r="L128" s="117">
        <v>1.9E-2</v>
      </c>
      <c r="M128" s="117">
        <v>3.5699999999999996E-2</v>
      </c>
      <c r="N128" s="69">
        <v>3.3848285019556199</v>
      </c>
      <c r="O128" s="60">
        <v>5453000</v>
      </c>
      <c r="P128" s="84">
        <v>0</v>
      </c>
      <c r="Q128" s="84">
        <v>184.57470000000001</v>
      </c>
      <c r="R128" s="24">
        <v>1.5528160849415633E-4</v>
      </c>
      <c r="S128" s="24">
        <v>1.644988561891447E-3</v>
      </c>
      <c r="T128" s="24">
        <v>7.6029652588912016E-4</v>
      </c>
    </row>
    <row r="129" spans="1:20" x14ac:dyDescent="0.25">
      <c r="A129" s="16" t="s">
        <v>1171</v>
      </c>
      <c r="B129" s="117" t="s">
        <v>1172</v>
      </c>
      <c r="C129" s="117" t="s">
        <v>456</v>
      </c>
      <c r="D129" s="117" t="s">
        <v>249</v>
      </c>
      <c r="E129" s="117" t="s">
        <v>708</v>
      </c>
      <c r="F129" s="117" t="s">
        <v>200</v>
      </c>
      <c r="G129" s="117" t="s">
        <v>568</v>
      </c>
      <c r="H129" s="117" t="s">
        <v>569</v>
      </c>
      <c r="I129" s="117" t="s">
        <v>1173</v>
      </c>
      <c r="J129" s="118">
        <v>4.38</v>
      </c>
      <c r="K129" s="118" t="s">
        <v>255</v>
      </c>
      <c r="L129" s="117">
        <v>3.3099999999999997E-2</v>
      </c>
      <c r="M129" s="117">
        <v>3.5299999999999998E-2</v>
      </c>
      <c r="N129" s="69">
        <v>8.8521613557870751</v>
      </c>
      <c r="O129" s="60">
        <v>5170870</v>
      </c>
      <c r="P129" s="84">
        <v>0</v>
      </c>
      <c r="Q129" s="84">
        <v>457.73376000000002</v>
      </c>
      <c r="R129" s="24">
        <v>6.3099018859413185E-4</v>
      </c>
      <c r="S129" s="24">
        <v>4.0794691774742944E-3</v>
      </c>
      <c r="T129" s="24">
        <v>1.8854880301046909E-3</v>
      </c>
    </row>
    <row r="130" spans="1:20" x14ac:dyDescent="0.25">
      <c r="A130" s="16" t="s">
        <v>1155</v>
      </c>
      <c r="B130" s="117" t="s">
        <v>1156</v>
      </c>
      <c r="C130" s="117" t="s">
        <v>456</v>
      </c>
      <c r="D130" s="117" t="s">
        <v>249</v>
      </c>
      <c r="E130" s="117" t="s">
        <v>708</v>
      </c>
      <c r="F130" s="117" t="s">
        <v>200</v>
      </c>
      <c r="G130" s="117" t="s">
        <v>568</v>
      </c>
      <c r="H130" s="117" t="s">
        <v>569</v>
      </c>
      <c r="I130" s="117" t="s">
        <v>875</v>
      </c>
      <c r="J130" s="118">
        <v>2.68</v>
      </c>
      <c r="K130" s="118" t="s">
        <v>255</v>
      </c>
      <c r="L130" s="117">
        <v>1.89E-2</v>
      </c>
      <c r="M130" s="117">
        <v>3.27E-2</v>
      </c>
      <c r="N130" s="69">
        <v>2.6016125795300149</v>
      </c>
      <c r="O130" s="60">
        <v>5395000</v>
      </c>
      <c r="P130" s="84">
        <v>0</v>
      </c>
      <c r="Q130" s="84">
        <v>140.357</v>
      </c>
      <c r="R130" s="24">
        <v>3.2520157244125185E-4</v>
      </c>
      <c r="S130" s="24">
        <v>1.2509063245471769E-3</v>
      </c>
      <c r="T130" s="24">
        <v>5.7815583329795051E-4</v>
      </c>
    </row>
    <row r="131" spans="1:20" x14ac:dyDescent="0.25">
      <c r="A131" s="16" t="s">
        <v>648</v>
      </c>
      <c r="B131" s="117" t="s">
        <v>649</v>
      </c>
      <c r="C131" s="117" t="s">
        <v>456</v>
      </c>
      <c r="D131" s="117" t="s">
        <v>249</v>
      </c>
      <c r="E131" s="117" t="s">
        <v>650</v>
      </c>
      <c r="F131" s="117" t="s">
        <v>223</v>
      </c>
      <c r="G131" s="117" t="s">
        <v>568</v>
      </c>
      <c r="H131" s="117" t="s">
        <v>569</v>
      </c>
      <c r="I131" s="117" t="s">
        <v>651</v>
      </c>
      <c r="J131" s="118">
        <v>0.78</v>
      </c>
      <c r="K131" s="118" t="s">
        <v>255</v>
      </c>
      <c r="L131" s="117">
        <v>2.75E-2</v>
      </c>
      <c r="M131" s="117">
        <v>3.1699999999999999E-2</v>
      </c>
      <c r="N131" s="69">
        <v>4436.4254120112582</v>
      </c>
      <c r="O131" s="60">
        <v>112.87</v>
      </c>
      <c r="P131" s="84">
        <v>0</v>
      </c>
      <c r="Q131" s="84">
        <v>5.00739</v>
      </c>
      <c r="R131" s="24">
        <v>1.6045955158515212E-5</v>
      </c>
      <c r="S131" s="24">
        <v>4.4627455848117932E-5</v>
      </c>
      <c r="T131" s="24">
        <v>2.0626343809698303E-5</v>
      </c>
    </row>
    <row r="132" spans="1:20" x14ac:dyDescent="0.25">
      <c r="A132" s="16" t="s">
        <v>691</v>
      </c>
      <c r="B132" s="117" t="s">
        <v>692</v>
      </c>
      <c r="C132" s="117" t="s">
        <v>456</v>
      </c>
      <c r="D132" s="117" t="s">
        <v>249</v>
      </c>
      <c r="E132" s="117" t="s">
        <v>650</v>
      </c>
      <c r="F132" s="117" t="s">
        <v>223</v>
      </c>
      <c r="G132" s="117" t="s">
        <v>568</v>
      </c>
      <c r="H132" s="117" t="s">
        <v>569</v>
      </c>
      <c r="I132" s="117" t="s">
        <v>693</v>
      </c>
      <c r="J132" s="118">
        <v>3.84</v>
      </c>
      <c r="K132" s="118" t="s">
        <v>255</v>
      </c>
      <c r="L132" s="117">
        <v>1.9599999999999999E-2</v>
      </c>
      <c r="M132" s="117">
        <v>3.1200000000000002E-2</v>
      </c>
      <c r="N132" s="69">
        <v>474529.46095365105</v>
      </c>
      <c r="O132" s="60">
        <v>108.21000000000001</v>
      </c>
      <c r="P132" s="84">
        <v>0</v>
      </c>
      <c r="Q132" s="84">
        <v>513.48833000000002</v>
      </c>
      <c r="R132" s="24">
        <v>4.5148496707784401E-4</v>
      </c>
      <c r="S132" s="24">
        <v>4.5763716777800032E-3</v>
      </c>
      <c r="T132" s="24">
        <v>2.1151511739344888E-3</v>
      </c>
    </row>
    <row r="133" spans="1:20" x14ac:dyDescent="0.25">
      <c r="A133" s="16" t="s">
        <v>838</v>
      </c>
      <c r="B133" s="117" t="s">
        <v>839</v>
      </c>
      <c r="C133" s="117" t="s">
        <v>456</v>
      </c>
      <c r="D133" s="117" t="s">
        <v>249</v>
      </c>
      <c r="E133" s="117" t="s">
        <v>650</v>
      </c>
      <c r="F133" s="117" t="s">
        <v>223</v>
      </c>
      <c r="G133" s="117" t="s">
        <v>568</v>
      </c>
      <c r="H133" s="117" t="s">
        <v>569</v>
      </c>
      <c r="I133" s="117" t="s">
        <v>840</v>
      </c>
      <c r="J133" s="118">
        <v>6.07</v>
      </c>
      <c r="K133" s="118" t="s">
        <v>255</v>
      </c>
      <c r="L133" s="117">
        <v>1.5800000000000002E-2</v>
      </c>
      <c r="M133" s="117">
        <v>3.2799999999999996E-2</v>
      </c>
      <c r="N133" s="69">
        <v>415785.71406461048</v>
      </c>
      <c r="O133" s="60">
        <v>100.66</v>
      </c>
      <c r="P133" s="84">
        <v>0</v>
      </c>
      <c r="Q133" s="84">
        <v>418.5299</v>
      </c>
      <c r="R133" s="24">
        <v>3.5017962799435638E-4</v>
      </c>
      <c r="S133" s="24">
        <v>3.7300718804341606E-3</v>
      </c>
      <c r="T133" s="24">
        <v>1.7240002500381734E-3</v>
      </c>
    </row>
    <row r="134" spans="1:20" x14ac:dyDescent="0.25">
      <c r="A134" s="16" t="s">
        <v>620</v>
      </c>
      <c r="B134" s="117" t="s">
        <v>621</v>
      </c>
      <c r="C134" s="117" t="s">
        <v>456</v>
      </c>
      <c r="D134" s="117" t="s">
        <v>249</v>
      </c>
      <c r="E134" s="117" t="s">
        <v>622</v>
      </c>
      <c r="F134" s="117" t="s">
        <v>201</v>
      </c>
      <c r="G134" s="117" t="s">
        <v>568</v>
      </c>
      <c r="H134" s="117" t="s">
        <v>569</v>
      </c>
      <c r="I134" s="117" t="s">
        <v>623</v>
      </c>
      <c r="J134" s="118">
        <v>2.98</v>
      </c>
      <c r="K134" s="118" t="s">
        <v>255</v>
      </c>
      <c r="L134" s="117">
        <v>2.2499999999999999E-2</v>
      </c>
      <c r="M134" s="117">
        <v>2.4799999999999999E-2</v>
      </c>
      <c r="N134" s="69">
        <v>116183.56764786797</v>
      </c>
      <c r="O134" s="60">
        <v>113.07000000000001</v>
      </c>
      <c r="P134" s="84">
        <v>0</v>
      </c>
      <c r="Q134" s="84">
        <v>131.36876000000001</v>
      </c>
      <c r="R134" s="24">
        <v>2.8398676490201972E-4</v>
      </c>
      <c r="S134" s="24">
        <v>1.1708002645533903E-3</v>
      </c>
      <c r="T134" s="24">
        <v>5.4113164934501648E-4</v>
      </c>
    </row>
    <row r="135" spans="1:20" x14ac:dyDescent="0.25">
      <c r="A135" s="16" t="s">
        <v>900</v>
      </c>
      <c r="B135" s="117" t="s">
        <v>901</v>
      </c>
      <c r="C135" s="117" t="s">
        <v>456</v>
      </c>
      <c r="D135" s="117" t="s">
        <v>249</v>
      </c>
      <c r="E135" s="117" t="s">
        <v>722</v>
      </c>
      <c r="F135" s="117" t="s">
        <v>223</v>
      </c>
      <c r="G135" s="117" t="s">
        <v>577</v>
      </c>
      <c r="H135" s="117" t="s">
        <v>254</v>
      </c>
      <c r="I135" s="117" t="s">
        <v>902</v>
      </c>
      <c r="J135" s="118">
        <v>7.19</v>
      </c>
      <c r="K135" s="118" t="s">
        <v>255</v>
      </c>
      <c r="L135" s="117">
        <v>1.15E-2</v>
      </c>
      <c r="M135" s="117">
        <v>3.7699999999999997E-2</v>
      </c>
      <c r="N135" s="69">
        <v>79877.736030198183</v>
      </c>
      <c r="O135" s="60">
        <v>92.59</v>
      </c>
      <c r="P135" s="84">
        <v>0</v>
      </c>
      <c r="Q135" s="84">
        <v>73.958799999999997</v>
      </c>
      <c r="R135" s="24">
        <v>1.7373711398487615E-4</v>
      </c>
      <c r="S135" s="24">
        <v>6.5914440089143937E-4</v>
      </c>
      <c r="T135" s="24">
        <v>3.0464965512027518E-4</v>
      </c>
    </row>
    <row r="136" spans="1:20" x14ac:dyDescent="0.25">
      <c r="A136" s="16" t="s">
        <v>1044</v>
      </c>
      <c r="B136" s="117" t="s">
        <v>1045</v>
      </c>
      <c r="C136" s="117" t="s">
        <v>456</v>
      </c>
      <c r="D136" s="117" t="s">
        <v>249</v>
      </c>
      <c r="E136" s="117" t="s">
        <v>1046</v>
      </c>
      <c r="F136" s="117" t="s">
        <v>204</v>
      </c>
      <c r="G136" s="117" t="s">
        <v>671</v>
      </c>
      <c r="H136" s="117" t="s">
        <v>254</v>
      </c>
      <c r="I136" s="117" t="s">
        <v>1047</v>
      </c>
      <c r="J136" s="118">
        <v>2.25</v>
      </c>
      <c r="K136" s="118" t="s">
        <v>255</v>
      </c>
      <c r="L136" s="117">
        <v>3.2000000000000001E-2</v>
      </c>
      <c r="M136" s="117">
        <v>4.2999999999999997E-2</v>
      </c>
      <c r="N136" s="69">
        <v>119093.88912430254</v>
      </c>
      <c r="O136" s="60">
        <v>101.36</v>
      </c>
      <c r="P136" s="84">
        <v>0</v>
      </c>
      <c r="Q136" s="84">
        <v>120.71357</v>
      </c>
      <c r="R136" s="24">
        <v>2.0615696451495243E-4</v>
      </c>
      <c r="S136" s="24">
        <v>1.0758378147984664E-3</v>
      </c>
      <c r="T136" s="24">
        <v>4.9724099726925256E-4</v>
      </c>
    </row>
    <row r="137" spans="1:20" x14ac:dyDescent="0.25">
      <c r="A137" s="16" t="s">
        <v>763</v>
      </c>
      <c r="B137" s="117" t="s">
        <v>764</v>
      </c>
      <c r="C137" s="117" t="s">
        <v>456</v>
      </c>
      <c r="D137" s="117" t="s">
        <v>249</v>
      </c>
      <c r="E137" s="117" t="s">
        <v>765</v>
      </c>
      <c r="F137" s="117" t="s">
        <v>204</v>
      </c>
      <c r="G137" s="117" t="s">
        <v>671</v>
      </c>
      <c r="H137" s="117" t="s">
        <v>254</v>
      </c>
      <c r="I137" s="117" t="s">
        <v>766</v>
      </c>
      <c r="J137" s="118">
        <v>0.5</v>
      </c>
      <c r="K137" s="118" t="s">
        <v>255</v>
      </c>
      <c r="L137" s="117">
        <v>3.15E-2</v>
      </c>
      <c r="M137" s="117">
        <v>4.1299999999999996E-2</v>
      </c>
      <c r="N137" s="69">
        <v>27558.499493447711</v>
      </c>
      <c r="O137" s="60">
        <v>110.56000000000002</v>
      </c>
      <c r="P137" s="84">
        <v>0.4821761665</v>
      </c>
      <c r="Q137" s="84">
        <v>30.950849999999999</v>
      </c>
      <c r="R137" s="24">
        <v>2.0324430900398236E-4</v>
      </c>
      <c r="S137" s="24">
        <v>2.7584384117009474E-4</v>
      </c>
      <c r="T137" s="24">
        <v>1.2749214127567469E-4</v>
      </c>
    </row>
    <row r="138" spans="1:20" x14ac:dyDescent="0.25">
      <c r="A138" s="16" t="s">
        <v>986</v>
      </c>
      <c r="B138" s="117" t="s">
        <v>987</v>
      </c>
      <c r="C138" s="117" t="s">
        <v>456</v>
      </c>
      <c r="D138" s="117" t="s">
        <v>249</v>
      </c>
      <c r="E138" s="117" t="s">
        <v>765</v>
      </c>
      <c r="F138" s="117" t="s">
        <v>204</v>
      </c>
      <c r="G138" s="117" t="s">
        <v>671</v>
      </c>
      <c r="H138" s="117" t="s">
        <v>254</v>
      </c>
      <c r="I138" s="117" t="s">
        <v>988</v>
      </c>
      <c r="J138" s="118">
        <v>2.82</v>
      </c>
      <c r="K138" s="118" t="s">
        <v>255</v>
      </c>
      <c r="L138" s="117">
        <v>0.01</v>
      </c>
      <c r="M138" s="117">
        <v>3.6900000000000002E-2</v>
      </c>
      <c r="N138" s="69">
        <v>34901.844614070469</v>
      </c>
      <c r="O138" s="60">
        <v>100.59</v>
      </c>
      <c r="P138" s="84">
        <v>0</v>
      </c>
      <c r="Q138" s="84">
        <v>35.107769999999995</v>
      </c>
      <c r="R138" s="24">
        <v>9.4515274957403944E-5</v>
      </c>
      <c r="S138" s="24">
        <v>3.1289163728027557E-4</v>
      </c>
      <c r="T138" s="24">
        <v>1.4461524554944025E-4</v>
      </c>
    </row>
    <row r="139" spans="1:20" x14ac:dyDescent="0.25">
      <c r="A139" s="16" t="s">
        <v>1090</v>
      </c>
      <c r="B139" s="117" t="s">
        <v>1091</v>
      </c>
      <c r="C139" s="117" t="s">
        <v>456</v>
      </c>
      <c r="D139" s="117" t="s">
        <v>249</v>
      </c>
      <c r="E139" s="117" t="s">
        <v>1092</v>
      </c>
      <c r="F139" s="117" t="s">
        <v>228</v>
      </c>
      <c r="G139" s="117" t="s">
        <v>671</v>
      </c>
      <c r="H139" s="117" t="s">
        <v>254</v>
      </c>
      <c r="I139" s="117" t="s">
        <v>1093</v>
      </c>
      <c r="J139" s="118">
        <v>4.8499999999999996</v>
      </c>
      <c r="K139" s="118" t="s">
        <v>255</v>
      </c>
      <c r="L139" s="117">
        <v>0.03</v>
      </c>
      <c r="M139" s="117">
        <v>4.2500000000000003E-2</v>
      </c>
      <c r="N139" s="69">
        <v>153125.57659854929</v>
      </c>
      <c r="O139" s="60">
        <v>95.81</v>
      </c>
      <c r="P139" s="84">
        <v>0</v>
      </c>
      <c r="Q139" s="84">
        <v>146.70961</v>
      </c>
      <c r="R139" s="24">
        <v>5.4698645657184756E-4</v>
      </c>
      <c r="S139" s="24">
        <v>1.3075228098409751E-3</v>
      </c>
      <c r="T139" s="24">
        <v>6.0432338125186019E-4</v>
      </c>
    </row>
    <row r="140" spans="1:20" x14ac:dyDescent="0.25">
      <c r="A140" s="16" t="s">
        <v>1033</v>
      </c>
      <c r="B140" s="117" t="s">
        <v>1034</v>
      </c>
      <c r="C140" s="117" t="s">
        <v>456</v>
      </c>
      <c r="D140" s="117" t="s">
        <v>249</v>
      </c>
      <c r="E140" s="117" t="s">
        <v>755</v>
      </c>
      <c r="F140" s="117" t="s">
        <v>223</v>
      </c>
      <c r="G140" s="117" t="s">
        <v>671</v>
      </c>
      <c r="H140" s="117" t="s">
        <v>254</v>
      </c>
      <c r="I140" s="117" t="s">
        <v>1035</v>
      </c>
      <c r="J140" s="118">
        <v>4.59</v>
      </c>
      <c r="K140" s="118" t="s">
        <v>255</v>
      </c>
      <c r="L140" s="117">
        <v>1.5300000000000001E-2</v>
      </c>
      <c r="M140" s="117">
        <v>2.8900000000000002E-2</v>
      </c>
      <c r="N140" s="69">
        <v>21120.0806228068</v>
      </c>
      <c r="O140" s="60">
        <v>105.22</v>
      </c>
      <c r="P140" s="84">
        <v>0</v>
      </c>
      <c r="Q140" s="84">
        <v>22.222549999999998</v>
      </c>
      <c r="R140" s="24">
        <v>5.350591433627081E-5</v>
      </c>
      <c r="S140" s="24">
        <v>1.980544493154304E-4</v>
      </c>
      <c r="T140" s="24">
        <v>9.1538697131282162E-5</v>
      </c>
    </row>
    <row r="141" spans="1:20" x14ac:dyDescent="0.25">
      <c r="A141" s="16" t="s">
        <v>753</v>
      </c>
      <c r="B141" s="117" t="s">
        <v>754</v>
      </c>
      <c r="C141" s="117" t="s">
        <v>456</v>
      </c>
      <c r="D141" s="117" t="s">
        <v>249</v>
      </c>
      <c r="E141" s="117" t="s">
        <v>755</v>
      </c>
      <c r="F141" s="117" t="s">
        <v>223</v>
      </c>
      <c r="G141" s="117" t="s">
        <v>671</v>
      </c>
      <c r="H141" s="117" t="s">
        <v>254</v>
      </c>
      <c r="I141" s="117" t="s">
        <v>756</v>
      </c>
      <c r="J141" s="118">
        <v>4.12</v>
      </c>
      <c r="K141" s="118" t="s">
        <v>255</v>
      </c>
      <c r="L141" s="117">
        <v>1.83E-2</v>
      </c>
      <c r="M141" s="117">
        <v>2.9600000000000001E-2</v>
      </c>
      <c r="N141" s="69">
        <v>57305.033700372849</v>
      </c>
      <c r="O141" s="60">
        <v>107.06</v>
      </c>
      <c r="P141" s="84">
        <v>0</v>
      </c>
      <c r="Q141" s="84">
        <v>61.350769999999997</v>
      </c>
      <c r="R141" s="24">
        <v>2.7550496971333099E-4</v>
      </c>
      <c r="S141" s="24">
        <v>5.4677761856436946E-4</v>
      </c>
      <c r="T141" s="24">
        <v>2.5271490237623278E-4</v>
      </c>
    </row>
    <row r="142" spans="1:20" x14ac:dyDescent="0.25">
      <c r="A142" s="16" t="s">
        <v>983</v>
      </c>
      <c r="B142" s="117" t="s">
        <v>984</v>
      </c>
      <c r="C142" s="117" t="s">
        <v>456</v>
      </c>
      <c r="D142" s="117" t="s">
        <v>249</v>
      </c>
      <c r="E142" s="117" t="s">
        <v>985</v>
      </c>
      <c r="F142" s="117" t="s">
        <v>228</v>
      </c>
      <c r="G142" s="117" t="s">
        <v>671</v>
      </c>
      <c r="H142" s="117" t="s">
        <v>254</v>
      </c>
      <c r="I142" s="117" t="s">
        <v>982</v>
      </c>
      <c r="J142" s="118">
        <v>5.09</v>
      </c>
      <c r="K142" s="118" t="s">
        <v>255</v>
      </c>
      <c r="L142" s="117">
        <v>7.4999999999999997E-3</v>
      </c>
      <c r="M142" s="117">
        <v>4.2900000000000001E-2</v>
      </c>
      <c r="N142" s="69">
        <v>151786.03147783049</v>
      </c>
      <c r="O142" s="60">
        <v>90.28</v>
      </c>
      <c r="P142" s="84">
        <v>0.61568023839999997</v>
      </c>
      <c r="Q142" s="84">
        <v>137.64810999999997</v>
      </c>
      <c r="R142" s="24">
        <v>1.4486731345455443E-4</v>
      </c>
      <c r="S142" s="24">
        <v>1.226763833374648E-3</v>
      </c>
      <c r="T142" s="24">
        <v>5.66997426127218E-4</v>
      </c>
    </row>
    <row r="143" spans="1:20" x14ac:dyDescent="0.25">
      <c r="A143" s="16" t="s">
        <v>1068</v>
      </c>
      <c r="B143" s="117" t="s">
        <v>1069</v>
      </c>
      <c r="C143" s="117" t="s">
        <v>456</v>
      </c>
      <c r="D143" s="117" t="s">
        <v>249</v>
      </c>
      <c r="E143" s="117" t="s">
        <v>717</v>
      </c>
      <c r="F143" s="117" t="s">
        <v>223</v>
      </c>
      <c r="G143" s="117" t="s">
        <v>718</v>
      </c>
      <c r="H143" s="117" t="s">
        <v>569</v>
      </c>
      <c r="I143" s="117" t="s">
        <v>1070</v>
      </c>
      <c r="J143" s="118">
        <v>1.99</v>
      </c>
      <c r="K143" s="118" t="s">
        <v>255</v>
      </c>
      <c r="L143" s="117">
        <v>2.5000000000000001E-2</v>
      </c>
      <c r="M143" s="117">
        <v>3.5000000000000003E-2</v>
      </c>
      <c r="N143" s="69">
        <v>5162.4584667257141</v>
      </c>
      <c r="O143" s="60">
        <v>111.20000000000002</v>
      </c>
      <c r="P143" s="84">
        <v>0</v>
      </c>
      <c r="Q143" s="84">
        <v>5.7406499999999996</v>
      </c>
      <c r="R143" s="24">
        <v>1.4514578982786657E-5</v>
      </c>
      <c r="S143" s="24">
        <v>5.1162502703903267E-5</v>
      </c>
      <c r="T143" s="24">
        <v>2.3646774185982029E-5</v>
      </c>
    </row>
    <row r="144" spans="1:20" x14ac:dyDescent="0.25">
      <c r="A144" s="16" t="s">
        <v>715</v>
      </c>
      <c r="B144" s="117" t="s">
        <v>716</v>
      </c>
      <c r="C144" s="117" t="s">
        <v>456</v>
      </c>
      <c r="D144" s="117" t="s">
        <v>249</v>
      </c>
      <c r="E144" s="117" t="s">
        <v>717</v>
      </c>
      <c r="F144" s="117" t="s">
        <v>223</v>
      </c>
      <c r="G144" s="117" t="s">
        <v>718</v>
      </c>
      <c r="H144" s="117" t="s">
        <v>569</v>
      </c>
      <c r="I144" s="117" t="s">
        <v>719</v>
      </c>
      <c r="J144" s="118">
        <v>4.97</v>
      </c>
      <c r="K144" s="118" t="s">
        <v>255</v>
      </c>
      <c r="L144" s="117">
        <v>1.9E-2</v>
      </c>
      <c r="M144" s="117">
        <v>3.8699999999999998E-2</v>
      </c>
      <c r="N144" s="69">
        <v>151646.13178012049</v>
      </c>
      <c r="O144" s="60">
        <v>102.11000000000001</v>
      </c>
      <c r="P144" s="84">
        <v>0</v>
      </c>
      <c r="Q144" s="84">
        <v>154.84586999999999</v>
      </c>
      <c r="R144" s="24">
        <v>5.045802171816581E-4</v>
      </c>
      <c r="S144" s="24">
        <v>1.3800357524954934E-3</v>
      </c>
      <c r="T144" s="24">
        <v>6.3783810570613585E-4</v>
      </c>
    </row>
    <row r="145" spans="1:20" x14ac:dyDescent="0.25">
      <c r="A145" s="16" t="s">
        <v>973</v>
      </c>
      <c r="B145" s="117" t="s">
        <v>974</v>
      </c>
      <c r="C145" s="117" t="s">
        <v>456</v>
      </c>
      <c r="D145" s="117" t="s">
        <v>249</v>
      </c>
      <c r="E145" s="117" t="s">
        <v>717</v>
      </c>
      <c r="F145" s="117" t="s">
        <v>223</v>
      </c>
      <c r="G145" s="117" t="s">
        <v>718</v>
      </c>
      <c r="H145" s="117" t="s">
        <v>569</v>
      </c>
      <c r="I145" s="117" t="s">
        <v>975</v>
      </c>
      <c r="J145" s="118">
        <v>6.71</v>
      </c>
      <c r="K145" s="118" t="s">
        <v>255</v>
      </c>
      <c r="L145" s="117">
        <v>3.9000000000000003E-3</v>
      </c>
      <c r="M145" s="117">
        <v>4.1500000000000002E-2</v>
      </c>
      <c r="N145" s="69">
        <v>165272.90644749801</v>
      </c>
      <c r="O145" s="60">
        <v>83.82</v>
      </c>
      <c r="P145" s="84">
        <v>0</v>
      </c>
      <c r="Q145" s="84">
        <v>138.53174999999999</v>
      </c>
      <c r="R145" s="24">
        <v>7.0328896360637454E-4</v>
      </c>
      <c r="S145" s="24">
        <v>1.2346391147259371E-3</v>
      </c>
      <c r="T145" s="24">
        <v>5.7063729888408386E-4</v>
      </c>
    </row>
    <row r="146" spans="1:20" x14ac:dyDescent="0.25">
      <c r="A146" s="16" t="s">
        <v>673</v>
      </c>
      <c r="B146" s="117" t="s">
        <v>674</v>
      </c>
      <c r="C146" s="117" t="s">
        <v>456</v>
      </c>
      <c r="D146" s="117" t="s">
        <v>249</v>
      </c>
      <c r="E146" s="117" t="s">
        <v>675</v>
      </c>
      <c r="F146" s="117" t="s">
        <v>223</v>
      </c>
      <c r="G146" s="117" t="s">
        <v>671</v>
      </c>
      <c r="H146" s="117" t="s">
        <v>254</v>
      </c>
      <c r="I146" s="117" t="s">
        <v>676</v>
      </c>
      <c r="J146" s="118">
        <v>1.71</v>
      </c>
      <c r="K146" s="118" t="s">
        <v>255</v>
      </c>
      <c r="L146" s="117">
        <v>2.0499999999999997E-2</v>
      </c>
      <c r="M146" s="117">
        <v>3.7900000000000003E-2</v>
      </c>
      <c r="N146" s="69">
        <v>94887.013208063916</v>
      </c>
      <c r="O146" s="60">
        <v>110.12000000000002</v>
      </c>
      <c r="P146" s="84">
        <v>0</v>
      </c>
      <c r="Q146" s="84">
        <v>104.48958</v>
      </c>
      <c r="R146" s="24">
        <v>2.5645374365079006E-4</v>
      </c>
      <c r="S146" s="24">
        <v>9.3124444431897377E-4</v>
      </c>
      <c r="T146" s="24">
        <v>4.3041145219584962E-4</v>
      </c>
    </row>
    <row r="147" spans="1:20" x14ac:dyDescent="0.25">
      <c r="A147" s="16" t="s">
        <v>703</v>
      </c>
      <c r="B147" s="117" t="s">
        <v>704</v>
      </c>
      <c r="C147" s="117" t="s">
        <v>456</v>
      </c>
      <c r="D147" s="117" t="s">
        <v>249</v>
      </c>
      <c r="E147" s="117" t="s">
        <v>675</v>
      </c>
      <c r="F147" s="117" t="s">
        <v>223</v>
      </c>
      <c r="G147" s="117" t="s">
        <v>671</v>
      </c>
      <c r="H147" s="117" t="s">
        <v>254</v>
      </c>
      <c r="I147" s="117" t="s">
        <v>705</v>
      </c>
      <c r="J147" s="118">
        <v>2.5499999999999998</v>
      </c>
      <c r="K147" s="118" t="s">
        <v>255</v>
      </c>
      <c r="L147" s="117">
        <v>2.0499999999999997E-2</v>
      </c>
      <c r="M147" s="117">
        <v>3.6900000000000002E-2</v>
      </c>
      <c r="N147" s="69">
        <v>232062.92418323056</v>
      </c>
      <c r="O147" s="60">
        <v>108.46000000000001</v>
      </c>
      <c r="P147" s="84">
        <v>0</v>
      </c>
      <c r="Q147" s="84">
        <v>251.69545000000002</v>
      </c>
      <c r="R147" s="24">
        <v>2.6335500948716984E-4</v>
      </c>
      <c r="S147" s="24">
        <v>2.2431900814690237E-3</v>
      </c>
      <c r="T147" s="24">
        <v>1.0367790180187142E-3</v>
      </c>
    </row>
    <row r="148" spans="1:20" x14ac:dyDescent="0.25">
      <c r="A148" s="16" t="s">
        <v>822</v>
      </c>
      <c r="B148" s="117" t="s">
        <v>823</v>
      </c>
      <c r="C148" s="117" t="s">
        <v>456</v>
      </c>
      <c r="D148" s="117" t="s">
        <v>249</v>
      </c>
      <c r="E148" s="117" t="s">
        <v>675</v>
      </c>
      <c r="F148" s="117" t="s">
        <v>223</v>
      </c>
      <c r="G148" s="117" t="s">
        <v>671</v>
      </c>
      <c r="H148" s="117" t="s">
        <v>254</v>
      </c>
      <c r="I148" s="117" t="s">
        <v>824</v>
      </c>
      <c r="J148" s="118">
        <v>5.27</v>
      </c>
      <c r="K148" s="118" t="s">
        <v>255</v>
      </c>
      <c r="L148" s="117">
        <v>8.3999999999999995E-3</v>
      </c>
      <c r="M148" s="117">
        <v>4.2300000000000004E-2</v>
      </c>
      <c r="N148" s="69">
        <v>265018.14069008443</v>
      </c>
      <c r="O148" s="60">
        <v>93.32</v>
      </c>
      <c r="P148" s="84">
        <v>0</v>
      </c>
      <c r="Q148" s="84">
        <v>247.31493</v>
      </c>
      <c r="R148" s="24">
        <v>3.9131562720823033E-4</v>
      </c>
      <c r="S148" s="24">
        <v>2.2041494908835494E-3</v>
      </c>
      <c r="T148" s="24">
        <v>1.0187348649598831E-3</v>
      </c>
    </row>
    <row r="149" spans="1:20" x14ac:dyDescent="0.25">
      <c r="A149" s="16" t="s">
        <v>916</v>
      </c>
      <c r="B149" s="117" t="s">
        <v>917</v>
      </c>
      <c r="C149" s="117" t="s">
        <v>456</v>
      </c>
      <c r="D149" s="117" t="s">
        <v>249</v>
      </c>
      <c r="E149" s="117" t="s">
        <v>675</v>
      </c>
      <c r="F149" s="117" t="s">
        <v>223</v>
      </c>
      <c r="G149" s="117" t="s">
        <v>671</v>
      </c>
      <c r="H149" s="117" t="s">
        <v>254</v>
      </c>
      <c r="I149" s="117" t="s">
        <v>918</v>
      </c>
      <c r="J149" s="118">
        <v>6.25</v>
      </c>
      <c r="K149" s="118" t="s">
        <v>255</v>
      </c>
      <c r="L149" s="117">
        <v>5.0000000000000001E-3</v>
      </c>
      <c r="M149" s="117">
        <v>4.0300000000000002E-2</v>
      </c>
      <c r="N149" s="69">
        <v>105674.14225562905</v>
      </c>
      <c r="O149" s="60">
        <v>88.06</v>
      </c>
      <c r="P149" s="84">
        <v>3.4250292451000002</v>
      </c>
      <c r="Q149" s="84">
        <v>93.966630000000009</v>
      </c>
      <c r="R149" s="24">
        <v>6.029481637569099E-4</v>
      </c>
      <c r="S149" s="24">
        <v>8.3746055959720207E-4</v>
      </c>
      <c r="T149" s="24">
        <v>3.8706552056434805E-4</v>
      </c>
    </row>
    <row r="150" spans="1:20" x14ac:dyDescent="0.25">
      <c r="A150" s="16" t="s">
        <v>919</v>
      </c>
      <c r="B150" s="117" t="s">
        <v>920</v>
      </c>
      <c r="C150" s="117" t="s">
        <v>456</v>
      </c>
      <c r="D150" s="117" t="s">
        <v>249</v>
      </c>
      <c r="E150" s="117" t="s">
        <v>675</v>
      </c>
      <c r="F150" s="117" t="s">
        <v>223</v>
      </c>
      <c r="G150" s="117" t="s">
        <v>671</v>
      </c>
      <c r="H150" s="117" t="s">
        <v>254</v>
      </c>
      <c r="I150" s="117" t="s">
        <v>918</v>
      </c>
      <c r="J150" s="118">
        <v>6.14</v>
      </c>
      <c r="K150" s="118" t="s">
        <v>255</v>
      </c>
      <c r="L150" s="117">
        <v>9.7000000000000003E-3</v>
      </c>
      <c r="M150" s="117">
        <v>4.4699999999999997E-2</v>
      </c>
      <c r="N150" s="69">
        <v>235230.80199610311</v>
      </c>
      <c r="O150" s="60">
        <v>88.66</v>
      </c>
      <c r="P150" s="84">
        <v>8.2309095679999995</v>
      </c>
      <c r="Q150" s="84">
        <v>211.1499</v>
      </c>
      <c r="R150" s="24">
        <v>5.7969604935668355E-4</v>
      </c>
      <c r="S150" s="24">
        <v>1.8818352154684407E-3</v>
      </c>
      <c r="T150" s="24">
        <v>8.6976457451554915E-4</v>
      </c>
    </row>
    <row r="151" spans="1:20" x14ac:dyDescent="0.25">
      <c r="A151" s="16" t="s">
        <v>872</v>
      </c>
      <c r="B151" s="117" t="s">
        <v>873</v>
      </c>
      <c r="C151" s="117" t="s">
        <v>456</v>
      </c>
      <c r="D151" s="117" t="s">
        <v>249</v>
      </c>
      <c r="E151" s="117" t="s">
        <v>874</v>
      </c>
      <c r="F151" s="117" t="s">
        <v>234</v>
      </c>
      <c r="G151" s="117" t="s">
        <v>718</v>
      </c>
      <c r="H151" s="117" t="s">
        <v>569</v>
      </c>
      <c r="I151" s="117" t="s">
        <v>875</v>
      </c>
      <c r="J151" s="118">
        <v>1.29</v>
      </c>
      <c r="K151" s="118" t="s">
        <v>255</v>
      </c>
      <c r="L151" s="117">
        <v>1.8500000000000003E-2</v>
      </c>
      <c r="M151" s="117">
        <v>3.5699999999999996E-2</v>
      </c>
      <c r="N151" s="69">
        <v>32239.923072796602</v>
      </c>
      <c r="O151" s="60">
        <v>109.43</v>
      </c>
      <c r="P151" s="84">
        <v>0</v>
      </c>
      <c r="Q151" s="84">
        <v>35.280149999999999</v>
      </c>
      <c r="R151" s="24">
        <v>5.463652906859511E-5</v>
      </c>
      <c r="S151" s="24">
        <v>3.1442794278855408E-4</v>
      </c>
      <c r="T151" s="24">
        <v>1.4532530990350812E-4</v>
      </c>
    </row>
    <row r="152" spans="1:20" x14ac:dyDescent="0.25">
      <c r="A152" s="16" t="s">
        <v>1022</v>
      </c>
      <c r="B152" s="117" t="s">
        <v>1023</v>
      </c>
      <c r="C152" s="117" t="s">
        <v>456</v>
      </c>
      <c r="D152" s="117" t="s">
        <v>249</v>
      </c>
      <c r="E152" s="117" t="s">
        <v>874</v>
      </c>
      <c r="F152" s="117" t="s">
        <v>234</v>
      </c>
      <c r="G152" s="117" t="s">
        <v>718</v>
      </c>
      <c r="H152" s="117" t="s">
        <v>569</v>
      </c>
      <c r="I152" s="117" t="s">
        <v>1024</v>
      </c>
      <c r="J152" s="118">
        <v>0</v>
      </c>
      <c r="K152" s="118" t="s">
        <v>255</v>
      </c>
      <c r="L152" s="117">
        <v>0.01</v>
      </c>
      <c r="M152" s="117">
        <v>4.7100000000000003E-2</v>
      </c>
      <c r="N152" s="69">
        <v>417894.00203643861</v>
      </c>
      <c r="O152" s="60">
        <v>92.686800000000005</v>
      </c>
      <c r="P152" s="84">
        <v>0</v>
      </c>
      <c r="Q152" s="84">
        <v>387.33258000000001</v>
      </c>
      <c r="R152" s="24">
        <v>3.52933726250267E-4</v>
      </c>
      <c r="S152" s="24">
        <v>3.4520314200586744E-3</v>
      </c>
      <c r="T152" s="24">
        <v>1.5954928543168141E-3</v>
      </c>
    </row>
    <row r="153" spans="1:20" x14ac:dyDescent="0.25">
      <c r="A153" s="16" t="s">
        <v>1039</v>
      </c>
      <c r="B153" s="117" t="s">
        <v>1040</v>
      </c>
      <c r="C153" s="117" t="s">
        <v>456</v>
      </c>
      <c r="D153" s="117" t="s">
        <v>249</v>
      </c>
      <c r="E153" s="117" t="s">
        <v>874</v>
      </c>
      <c r="F153" s="117" t="s">
        <v>234</v>
      </c>
      <c r="G153" s="117" t="s">
        <v>718</v>
      </c>
      <c r="H153" s="117" t="s">
        <v>569</v>
      </c>
      <c r="I153" s="117" t="s">
        <v>1041</v>
      </c>
      <c r="J153" s="118">
        <v>2.59</v>
      </c>
      <c r="K153" s="118" t="s">
        <v>255</v>
      </c>
      <c r="L153" s="117">
        <v>3.5400000000000001E-2</v>
      </c>
      <c r="M153" s="117">
        <v>4.5899999999999996E-2</v>
      </c>
      <c r="N153" s="69">
        <v>0</v>
      </c>
      <c r="O153" s="60">
        <v>0</v>
      </c>
      <c r="P153" s="84">
        <v>2.4294997270000001</v>
      </c>
      <c r="Q153" s="84">
        <v>2.4295</v>
      </c>
      <c r="R153" s="24">
        <v>0</v>
      </c>
      <c r="S153" s="24">
        <v>2.1652478433475822E-5</v>
      </c>
      <c r="T153" s="24">
        <v>1.0007549299268086E-5</v>
      </c>
    </row>
    <row r="154" spans="1:20" x14ac:dyDescent="0.25">
      <c r="A154" s="16" t="s">
        <v>1039</v>
      </c>
      <c r="B154" s="117" t="s">
        <v>1051</v>
      </c>
      <c r="C154" s="117" t="s">
        <v>456</v>
      </c>
      <c r="D154" s="117" t="s">
        <v>249</v>
      </c>
      <c r="E154" s="117" t="s">
        <v>874</v>
      </c>
      <c r="F154" s="117" t="s">
        <v>234</v>
      </c>
      <c r="G154" s="117" t="s">
        <v>718</v>
      </c>
      <c r="H154" s="117" t="s">
        <v>569</v>
      </c>
      <c r="I154" s="117" t="s">
        <v>1052</v>
      </c>
      <c r="J154" s="118">
        <v>0</v>
      </c>
      <c r="K154" s="118" t="s">
        <v>255</v>
      </c>
      <c r="L154" s="117">
        <v>3.5400000000000001E-2</v>
      </c>
      <c r="M154" s="117">
        <v>4.5100000000000001E-2</v>
      </c>
      <c r="N154" s="69">
        <v>122500.72599367832</v>
      </c>
      <c r="O154" s="60">
        <v>99.490382999999994</v>
      </c>
      <c r="P154" s="84">
        <v>2.4294997270000001</v>
      </c>
      <c r="Q154" s="84">
        <v>124.30594000000001</v>
      </c>
      <c r="R154" s="24">
        <v>1.7830996054450201E-4</v>
      </c>
      <c r="S154" s="24">
        <v>1.1078541613512821E-3</v>
      </c>
      <c r="T154" s="24">
        <v>5.1203861812795261E-4</v>
      </c>
    </row>
    <row r="155" spans="1:20" x14ac:dyDescent="0.25">
      <c r="A155" s="16" t="s">
        <v>770</v>
      </c>
      <c r="B155" s="117" t="s">
        <v>771</v>
      </c>
      <c r="C155" s="117" t="s">
        <v>456</v>
      </c>
      <c r="D155" s="117" t="s">
        <v>249</v>
      </c>
      <c r="E155" s="117" t="s">
        <v>772</v>
      </c>
      <c r="F155" s="117" t="s">
        <v>223</v>
      </c>
      <c r="G155" s="117" t="s">
        <v>718</v>
      </c>
      <c r="H155" s="117" t="s">
        <v>569</v>
      </c>
      <c r="I155" s="117" t="s">
        <v>773</v>
      </c>
      <c r="J155" s="118">
        <v>3.5</v>
      </c>
      <c r="K155" s="118" t="s">
        <v>255</v>
      </c>
      <c r="L155" s="117">
        <v>2.75E-2</v>
      </c>
      <c r="M155" s="117">
        <v>3.0099999999999998E-2</v>
      </c>
      <c r="N155" s="69">
        <v>332677.33891359973</v>
      </c>
      <c r="O155" s="60">
        <v>110.48</v>
      </c>
      <c r="P155" s="84">
        <v>0</v>
      </c>
      <c r="Q155" s="84">
        <v>367.54192</v>
      </c>
      <c r="R155" s="24">
        <v>6.5132180112068363E-4</v>
      </c>
      <c r="S155" s="24">
        <v>3.2756507496185618E-3</v>
      </c>
      <c r="T155" s="24">
        <v>1.5139715513264652E-3</v>
      </c>
    </row>
    <row r="156" spans="1:20" x14ac:dyDescent="0.25">
      <c r="A156" s="16" t="s">
        <v>913</v>
      </c>
      <c r="B156" s="117" t="s">
        <v>914</v>
      </c>
      <c r="C156" s="117" t="s">
        <v>456</v>
      </c>
      <c r="D156" s="117" t="s">
        <v>249</v>
      </c>
      <c r="E156" s="117" t="s">
        <v>772</v>
      </c>
      <c r="F156" s="117" t="s">
        <v>223</v>
      </c>
      <c r="G156" s="117" t="s">
        <v>718</v>
      </c>
      <c r="H156" s="117" t="s">
        <v>569</v>
      </c>
      <c r="I156" s="117" t="s">
        <v>915</v>
      </c>
      <c r="J156" s="118">
        <v>5.15</v>
      </c>
      <c r="K156" s="118" t="s">
        <v>255</v>
      </c>
      <c r="L156" s="117">
        <v>8.5000000000000006E-3</v>
      </c>
      <c r="M156" s="117">
        <v>3.4200000000000001E-2</v>
      </c>
      <c r="N156" s="69">
        <v>138978.32614173117</v>
      </c>
      <c r="O156" s="60">
        <v>96.94</v>
      </c>
      <c r="P156" s="84">
        <v>0</v>
      </c>
      <c r="Q156" s="84">
        <v>134.72558999999998</v>
      </c>
      <c r="R156" s="24">
        <v>2.2119387904335626E-4</v>
      </c>
      <c r="S156" s="24">
        <v>1.2007174035448883E-3</v>
      </c>
      <c r="T156" s="24">
        <v>5.5495903840213189E-4</v>
      </c>
    </row>
    <row r="157" spans="1:20" x14ac:dyDescent="0.25">
      <c r="A157" s="16" t="s">
        <v>1063</v>
      </c>
      <c r="B157" s="117" t="s">
        <v>1064</v>
      </c>
      <c r="C157" s="117" t="s">
        <v>456</v>
      </c>
      <c r="D157" s="117" t="s">
        <v>249</v>
      </c>
      <c r="E157" s="117" t="s">
        <v>772</v>
      </c>
      <c r="F157" s="117" t="s">
        <v>223</v>
      </c>
      <c r="G157" s="117" t="s">
        <v>718</v>
      </c>
      <c r="H157" s="117" t="s">
        <v>569</v>
      </c>
      <c r="I157" s="117" t="s">
        <v>1062</v>
      </c>
      <c r="J157" s="118">
        <v>6.48</v>
      </c>
      <c r="K157" s="118" t="s">
        <v>255</v>
      </c>
      <c r="L157" s="117">
        <v>3.1800000000000002E-2</v>
      </c>
      <c r="M157" s="117">
        <v>3.6400000000000002E-2</v>
      </c>
      <c r="N157" s="69">
        <v>113320.4153807187</v>
      </c>
      <c r="O157" s="60">
        <v>101.6</v>
      </c>
      <c r="P157" s="84">
        <v>0</v>
      </c>
      <c r="Q157" s="84">
        <v>115.13354</v>
      </c>
      <c r="R157" s="24">
        <v>3.2878995001064444E-4</v>
      </c>
      <c r="S157" s="24">
        <v>1.0261068087341946E-3</v>
      </c>
      <c r="T157" s="24">
        <v>4.7425584587332958E-4</v>
      </c>
    </row>
    <row r="158" spans="1:20" x14ac:dyDescent="0.25">
      <c r="A158" s="16" t="s">
        <v>668</v>
      </c>
      <c r="B158" s="117" t="s">
        <v>669</v>
      </c>
      <c r="C158" s="117" t="s">
        <v>456</v>
      </c>
      <c r="D158" s="117" t="s">
        <v>249</v>
      </c>
      <c r="E158" s="117" t="s">
        <v>670</v>
      </c>
      <c r="F158" s="117" t="s">
        <v>225</v>
      </c>
      <c r="G158" s="117" t="s">
        <v>671</v>
      </c>
      <c r="H158" s="117" t="s">
        <v>254</v>
      </c>
      <c r="I158" s="117" t="s">
        <v>672</v>
      </c>
      <c r="J158" s="118">
        <v>2.5499999999999998</v>
      </c>
      <c r="K158" s="118" t="s">
        <v>255</v>
      </c>
      <c r="L158" s="117">
        <v>1.9400000000000001E-2</v>
      </c>
      <c r="M158" s="117">
        <v>2.9900000000000003E-2</v>
      </c>
      <c r="N158" s="69">
        <v>165040.59759239192</v>
      </c>
      <c r="O158" s="60">
        <v>109.98999999999998</v>
      </c>
      <c r="P158" s="84">
        <v>0</v>
      </c>
      <c r="Q158" s="84">
        <v>181.52814999999998</v>
      </c>
      <c r="R158" s="24">
        <v>4.5661138786391009E-4</v>
      </c>
      <c r="S158" s="24">
        <v>1.617836737165575E-3</v>
      </c>
      <c r="T158" s="24">
        <v>7.4774723619260421E-4</v>
      </c>
    </row>
    <row r="159" spans="1:20" x14ac:dyDescent="0.25">
      <c r="A159" s="16" t="s">
        <v>724</v>
      </c>
      <c r="B159" s="117" t="s">
        <v>725</v>
      </c>
      <c r="C159" s="117" t="s">
        <v>456</v>
      </c>
      <c r="D159" s="117" t="s">
        <v>249</v>
      </c>
      <c r="E159" s="117" t="s">
        <v>670</v>
      </c>
      <c r="F159" s="117" t="s">
        <v>225</v>
      </c>
      <c r="G159" s="117" t="s">
        <v>671</v>
      </c>
      <c r="H159" s="117" t="s">
        <v>254</v>
      </c>
      <c r="I159" s="117" t="s">
        <v>726</v>
      </c>
      <c r="J159" s="118">
        <v>3.52</v>
      </c>
      <c r="K159" s="118" t="s">
        <v>255</v>
      </c>
      <c r="L159" s="117">
        <v>1.23E-2</v>
      </c>
      <c r="M159" s="117">
        <v>2.9300000000000003E-2</v>
      </c>
      <c r="N159" s="69">
        <v>661434.80380714219</v>
      </c>
      <c r="O159" s="60">
        <v>105.97000000000001</v>
      </c>
      <c r="P159" s="84">
        <v>0</v>
      </c>
      <c r="Q159" s="84">
        <v>700.92246</v>
      </c>
      <c r="R159" s="24">
        <v>5.2012986842028938E-4</v>
      </c>
      <c r="S159" s="24">
        <v>6.2468443913104837E-3</v>
      </c>
      <c r="T159" s="24">
        <v>2.8872262084438213E-3</v>
      </c>
    </row>
    <row r="160" spans="1:20" x14ac:dyDescent="0.25">
      <c r="A160" s="16" t="s">
        <v>720</v>
      </c>
      <c r="B160" s="117" t="s">
        <v>721</v>
      </c>
      <c r="C160" s="117" t="s">
        <v>456</v>
      </c>
      <c r="D160" s="117" t="s">
        <v>249</v>
      </c>
      <c r="E160" s="117" t="s">
        <v>722</v>
      </c>
      <c r="F160" s="117" t="s">
        <v>223</v>
      </c>
      <c r="G160" s="117" t="s">
        <v>718</v>
      </c>
      <c r="H160" s="117" t="s">
        <v>569</v>
      </c>
      <c r="I160" s="117" t="s">
        <v>723</v>
      </c>
      <c r="J160" s="118">
        <v>2.17</v>
      </c>
      <c r="K160" s="118" t="s">
        <v>255</v>
      </c>
      <c r="L160" s="117">
        <v>2.1499999999999998E-2</v>
      </c>
      <c r="M160" s="117">
        <v>3.4799999999999998E-2</v>
      </c>
      <c r="N160" s="69">
        <v>281892.77372318669</v>
      </c>
      <c r="O160" s="60">
        <v>110.54000000000002</v>
      </c>
      <c r="P160" s="84">
        <v>0</v>
      </c>
      <c r="Q160" s="84">
        <v>311.60427000000004</v>
      </c>
      <c r="R160" s="24">
        <v>1.4372757288800541E-4</v>
      </c>
      <c r="S160" s="24">
        <v>2.7771165819938169E-3</v>
      </c>
      <c r="T160" s="24">
        <v>1.2835542679100408E-3</v>
      </c>
    </row>
    <row r="161" spans="1:20" x14ac:dyDescent="0.25">
      <c r="A161" s="16" t="s">
        <v>757</v>
      </c>
      <c r="B161" s="117" t="s">
        <v>758</v>
      </c>
      <c r="C161" s="117" t="s">
        <v>456</v>
      </c>
      <c r="D161" s="117" t="s">
        <v>249</v>
      </c>
      <c r="E161" s="117" t="s">
        <v>729</v>
      </c>
      <c r="F161" s="117" t="s">
        <v>224</v>
      </c>
      <c r="G161" s="117" t="s">
        <v>730</v>
      </c>
      <c r="H161" s="117" t="s">
        <v>569</v>
      </c>
      <c r="I161" s="117" t="s">
        <v>759</v>
      </c>
      <c r="J161" s="118">
        <v>1.22</v>
      </c>
      <c r="K161" s="118" t="s">
        <v>255</v>
      </c>
      <c r="L161" s="117">
        <v>4.6500000000000007E-2</v>
      </c>
      <c r="M161" s="117">
        <v>4.41E-2</v>
      </c>
      <c r="N161" s="69">
        <v>6395.6052222432891</v>
      </c>
      <c r="O161" s="60">
        <v>113.5</v>
      </c>
      <c r="P161" s="84">
        <v>0</v>
      </c>
      <c r="Q161" s="84">
        <v>7.25901</v>
      </c>
      <c r="R161" s="24">
        <v>2.2311641361287013E-5</v>
      </c>
      <c r="S161" s="24">
        <v>6.4694611020121572E-5</v>
      </c>
      <c r="T161" s="24">
        <v>2.9901173261527078E-5</v>
      </c>
    </row>
    <row r="162" spans="1:20" x14ac:dyDescent="0.25">
      <c r="A162" s="16" t="s">
        <v>727</v>
      </c>
      <c r="B162" s="117" t="s">
        <v>728</v>
      </c>
      <c r="C162" s="117" t="s">
        <v>456</v>
      </c>
      <c r="D162" s="117" t="s">
        <v>249</v>
      </c>
      <c r="E162" s="117" t="s">
        <v>729</v>
      </c>
      <c r="F162" s="117" t="s">
        <v>224</v>
      </c>
      <c r="G162" s="117" t="s">
        <v>730</v>
      </c>
      <c r="H162" s="117" t="s">
        <v>569</v>
      </c>
      <c r="I162" s="117" t="s">
        <v>731</v>
      </c>
      <c r="J162" s="118">
        <v>2.3199999999999998</v>
      </c>
      <c r="K162" s="118" t="s">
        <v>255</v>
      </c>
      <c r="L162" s="117">
        <v>2.8500000000000001E-2</v>
      </c>
      <c r="M162" s="117">
        <v>4.1100000000000005E-2</v>
      </c>
      <c r="N162" s="69">
        <v>159168.42319076444</v>
      </c>
      <c r="O162" s="60">
        <v>109.76000000000002</v>
      </c>
      <c r="P162" s="84">
        <v>0</v>
      </c>
      <c r="Q162" s="84">
        <v>174.70326</v>
      </c>
      <c r="R162" s="24">
        <v>2.9313821628824526E-4</v>
      </c>
      <c r="S162" s="24">
        <v>1.5570111419666267E-3</v>
      </c>
      <c r="T162" s="24">
        <v>7.1963428161879006E-4</v>
      </c>
    </row>
    <row r="163" spans="1:20" x14ac:dyDescent="0.25">
      <c r="A163" s="16" t="s">
        <v>869</v>
      </c>
      <c r="B163" s="117" t="s">
        <v>870</v>
      </c>
      <c r="C163" s="117" t="s">
        <v>456</v>
      </c>
      <c r="D163" s="117" t="s">
        <v>249</v>
      </c>
      <c r="E163" s="117" t="s">
        <v>729</v>
      </c>
      <c r="F163" s="117" t="s">
        <v>224</v>
      </c>
      <c r="G163" s="117" t="s">
        <v>730</v>
      </c>
      <c r="H163" s="117" t="s">
        <v>569</v>
      </c>
      <c r="I163" s="117" t="s">
        <v>871</v>
      </c>
      <c r="J163" s="118">
        <v>3.92</v>
      </c>
      <c r="K163" s="118" t="s">
        <v>255</v>
      </c>
      <c r="L163" s="117">
        <v>2.4500000000000001E-2</v>
      </c>
      <c r="M163" s="117">
        <v>4.7199999999999999E-2</v>
      </c>
      <c r="N163" s="69">
        <v>367289.38862743368</v>
      </c>
      <c r="O163" s="60">
        <v>101.92000000000002</v>
      </c>
      <c r="P163" s="84">
        <v>4.9980081069999995</v>
      </c>
      <c r="Q163" s="84">
        <v>379.33934999999997</v>
      </c>
      <c r="R163" s="24">
        <v>7.1771253273558125E-4</v>
      </c>
      <c r="S163" s="24">
        <v>3.380793206356755E-3</v>
      </c>
      <c r="T163" s="24">
        <v>1.5625672962656149E-3</v>
      </c>
    </row>
    <row r="164" spans="1:20" x14ac:dyDescent="0.25">
      <c r="A164" s="16" t="s">
        <v>976</v>
      </c>
      <c r="B164" s="117" t="s">
        <v>977</v>
      </c>
      <c r="C164" s="117" t="s">
        <v>456</v>
      </c>
      <c r="D164" s="117" t="s">
        <v>249</v>
      </c>
      <c r="E164" s="117" t="s">
        <v>729</v>
      </c>
      <c r="F164" s="117" t="s">
        <v>224</v>
      </c>
      <c r="G164" s="117" t="s">
        <v>730</v>
      </c>
      <c r="H164" s="117" t="s">
        <v>569</v>
      </c>
      <c r="I164" s="117" t="s">
        <v>978</v>
      </c>
      <c r="J164" s="118">
        <v>5.0199999999999996</v>
      </c>
      <c r="K164" s="118" t="s">
        <v>255</v>
      </c>
      <c r="L164" s="117">
        <v>4.3E-3</v>
      </c>
      <c r="M164" s="117">
        <v>4.7500000000000001E-2</v>
      </c>
      <c r="N164" s="69">
        <v>117929.81412026926</v>
      </c>
      <c r="O164" s="60">
        <v>87.77</v>
      </c>
      <c r="P164" s="84">
        <v>1.055968773</v>
      </c>
      <c r="Q164" s="84">
        <v>104.56297000000001</v>
      </c>
      <c r="R164" s="24">
        <v>1.8868770259243081E-4</v>
      </c>
      <c r="S164" s="24">
        <v>9.3189851939295314E-4</v>
      </c>
      <c r="T164" s="24">
        <v>4.3071375886103726E-4</v>
      </c>
    </row>
    <row r="165" spans="1:20" x14ac:dyDescent="0.25">
      <c r="A165" s="16" t="s">
        <v>4010</v>
      </c>
      <c r="B165" s="117" t="s">
        <v>1108</v>
      </c>
      <c r="C165" s="117" t="s">
        <v>456</v>
      </c>
      <c r="D165" s="117" t="s">
        <v>249</v>
      </c>
      <c r="E165" s="117" t="s">
        <v>729</v>
      </c>
      <c r="F165" s="117" t="s">
        <v>224</v>
      </c>
      <c r="G165" s="117" t="s">
        <v>730</v>
      </c>
      <c r="H165" s="117" t="s">
        <v>569</v>
      </c>
      <c r="I165" s="117" t="s">
        <v>1109</v>
      </c>
      <c r="J165" s="118">
        <v>0</v>
      </c>
      <c r="K165" s="118" t="s">
        <v>255</v>
      </c>
      <c r="L165" s="117">
        <v>4.3E-3</v>
      </c>
      <c r="M165" s="117">
        <v>4.6100000000000002E-2</v>
      </c>
      <c r="N165" s="69">
        <v>333929.26925122709</v>
      </c>
      <c r="O165" s="60">
        <v>86.067920000000001</v>
      </c>
      <c r="P165" s="84">
        <v>0</v>
      </c>
      <c r="Q165" s="84">
        <v>287.40598</v>
      </c>
      <c r="R165" s="24">
        <v>5.3428683080196339E-4</v>
      </c>
      <c r="S165" s="24">
        <v>2.5614537080065791E-3</v>
      </c>
      <c r="T165" s="24">
        <v>1.1838771408744424E-3</v>
      </c>
    </row>
    <row r="166" spans="1:20" x14ac:dyDescent="0.25">
      <c r="A166" s="16" t="s">
        <v>979</v>
      </c>
      <c r="B166" s="117" t="s">
        <v>980</v>
      </c>
      <c r="C166" s="117" t="s">
        <v>456</v>
      </c>
      <c r="D166" s="117" t="s">
        <v>249</v>
      </c>
      <c r="E166" s="117" t="s">
        <v>981</v>
      </c>
      <c r="F166" s="117" t="s">
        <v>224</v>
      </c>
      <c r="G166" s="117" t="s">
        <v>730</v>
      </c>
      <c r="H166" s="117" t="s">
        <v>569</v>
      </c>
      <c r="I166" s="117" t="s">
        <v>982</v>
      </c>
      <c r="J166" s="118">
        <v>6.05</v>
      </c>
      <c r="K166" s="118" t="s">
        <v>255</v>
      </c>
      <c r="L166" s="117">
        <v>1.54E-2</v>
      </c>
      <c r="M166" s="117">
        <v>4.5700000000000005E-2</v>
      </c>
      <c r="N166" s="69">
        <v>18557.68806630755</v>
      </c>
      <c r="O166" s="60">
        <v>90.46</v>
      </c>
      <c r="P166" s="84">
        <v>0.15456341230000001</v>
      </c>
      <c r="Q166" s="84">
        <v>16.941849999999999</v>
      </c>
      <c r="R166" s="24">
        <v>5.3021965903735859E-5</v>
      </c>
      <c r="S166" s="24">
        <v>1.5099116762633561E-4</v>
      </c>
      <c r="T166" s="24">
        <v>6.9786540068246566E-5</v>
      </c>
    </row>
    <row r="167" spans="1:20" x14ac:dyDescent="0.25">
      <c r="A167" s="16" t="s">
        <v>970</v>
      </c>
      <c r="B167" s="117" t="s">
        <v>971</v>
      </c>
      <c r="C167" s="117" t="s">
        <v>456</v>
      </c>
      <c r="D167" s="117" t="s">
        <v>249</v>
      </c>
      <c r="E167" s="117" t="s">
        <v>601</v>
      </c>
      <c r="F167" s="117" t="s">
        <v>226</v>
      </c>
      <c r="G167" s="117" t="s">
        <v>564</v>
      </c>
      <c r="H167" s="117" t="s">
        <v>254</v>
      </c>
      <c r="I167" s="117" t="s">
        <v>972</v>
      </c>
      <c r="J167" s="118">
        <v>4.22</v>
      </c>
      <c r="K167" s="118" t="s">
        <v>255</v>
      </c>
      <c r="L167" s="117">
        <v>7.4999999999999997E-3</v>
      </c>
      <c r="M167" s="117">
        <v>4.1100000000000005E-2</v>
      </c>
      <c r="N167" s="69">
        <v>581556.27351099846</v>
      </c>
      <c r="O167" s="60">
        <v>94.68</v>
      </c>
      <c r="P167" s="84">
        <v>0</v>
      </c>
      <c r="Q167" s="84">
        <v>550.61748</v>
      </c>
      <c r="R167" s="24">
        <v>3.778893872487821E-4</v>
      </c>
      <c r="S167" s="24">
        <v>4.9072784979604057E-3</v>
      </c>
      <c r="T167" s="24">
        <v>2.2680928487914219E-3</v>
      </c>
    </row>
    <row r="168" spans="1:20" x14ac:dyDescent="0.25">
      <c r="A168" s="16" t="s">
        <v>599</v>
      </c>
      <c r="B168" s="117" t="s">
        <v>600</v>
      </c>
      <c r="C168" s="117" t="s">
        <v>456</v>
      </c>
      <c r="D168" s="117" t="s">
        <v>249</v>
      </c>
      <c r="E168" s="117" t="s">
        <v>601</v>
      </c>
      <c r="F168" s="117" t="s">
        <v>226</v>
      </c>
      <c r="G168" s="117" t="s">
        <v>564</v>
      </c>
      <c r="H168" s="117" t="s">
        <v>254</v>
      </c>
      <c r="I168" s="117" t="s">
        <v>602</v>
      </c>
      <c r="J168" s="118">
        <v>1.0900000000000001</v>
      </c>
      <c r="K168" s="118" t="s">
        <v>255</v>
      </c>
      <c r="L168" s="117">
        <v>2.4E-2</v>
      </c>
      <c r="M168" s="117">
        <v>3.3099999999999997E-2</v>
      </c>
      <c r="N168" s="69">
        <v>19456.246254767571</v>
      </c>
      <c r="O168" s="60">
        <v>111.48</v>
      </c>
      <c r="P168" s="84">
        <v>0</v>
      </c>
      <c r="Q168" s="84">
        <v>21.689820000000001</v>
      </c>
      <c r="R168" s="24">
        <v>1.1611225321985612E-4</v>
      </c>
      <c r="S168" s="24">
        <v>1.9330658974108772E-4</v>
      </c>
      <c r="T168" s="24">
        <v>8.9344286043322062E-5</v>
      </c>
    </row>
    <row r="169" spans="1:20" x14ac:dyDescent="0.25">
      <c r="A169" s="16" t="s">
        <v>711</v>
      </c>
      <c r="B169" s="117" t="s">
        <v>712</v>
      </c>
      <c r="C169" s="117" t="s">
        <v>456</v>
      </c>
      <c r="D169" s="117" t="s">
        <v>249</v>
      </c>
      <c r="E169" s="117" t="s">
        <v>713</v>
      </c>
      <c r="F169" s="117" t="s">
        <v>223</v>
      </c>
      <c r="G169" s="117" t="s">
        <v>564</v>
      </c>
      <c r="H169" s="117" t="s">
        <v>254</v>
      </c>
      <c r="I169" s="117" t="s">
        <v>714</v>
      </c>
      <c r="J169" s="118">
        <v>3.52</v>
      </c>
      <c r="K169" s="118" t="s">
        <v>255</v>
      </c>
      <c r="L169" s="117">
        <v>1.8000000000000002E-2</v>
      </c>
      <c r="M169" s="117">
        <v>3.32E-2</v>
      </c>
      <c r="N169" s="69">
        <v>360677.00374860759</v>
      </c>
      <c r="O169" s="60">
        <v>106.61</v>
      </c>
      <c r="P169" s="84">
        <v>1.8227940499999999</v>
      </c>
      <c r="Q169" s="84">
        <v>386.34055000000001</v>
      </c>
      <c r="R169" s="24">
        <v>4.3039289077996198E-4</v>
      </c>
      <c r="S169" s="24">
        <v>3.4431901324767184E-3</v>
      </c>
      <c r="T169" s="24">
        <v>1.5914065035733062E-3</v>
      </c>
    </row>
    <row r="170" spans="1:20" x14ac:dyDescent="0.25">
      <c r="A170" s="16" t="s">
        <v>1053</v>
      </c>
      <c r="B170" s="117" t="s">
        <v>1054</v>
      </c>
      <c r="C170" s="117" t="s">
        <v>456</v>
      </c>
      <c r="D170" s="117" t="s">
        <v>249</v>
      </c>
      <c r="E170" s="117" t="s">
        <v>1055</v>
      </c>
      <c r="F170" s="117" t="s">
        <v>223</v>
      </c>
      <c r="G170" s="117" t="s">
        <v>730</v>
      </c>
      <c r="H170" s="117" t="s">
        <v>569</v>
      </c>
      <c r="I170" s="117" t="s">
        <v>1056</v>
      </c>
      <c r="J170" s="118">
        <v>4.42</v>
      </c>
      <c r="K170" s="118" t="s">
        <v>255</v>
      </c>
      <c r="L170" s="117">
        <v>2.8900000000000002E-2</v>
      </c>
      <c r="M170" s="117">
        <v>3.5200000000000002E-2</v>
      </c>
      <c r="N170" s="69">
        <v>149736.92005287978</v>
      </c>
      <c r="O170" s="60">
        <v>101.01</v>
      </c>
      <c r="P170" s="84">
        <v>0</v>
      </c>
      <c r="Q170" s="84">
        <v>151.24926000000002</v>
      </c>
      <c r="R170" s="24">
        <v>7.4868460026439895E-4</v>
      </c>
      <c r="S170" s="24">
        <v>1.3479816177111249E-3</v>
      </c>
      <c r="T170" s="24">
        <v>6.2302301952163691E-4</v>
      </c>
    </row>
    <row r="171" spans="1:20" x14ac:dyDescent="0.25">
      <c r="A171" s="16" t="s">
        <v>4011</v>
      </c>
      <c r="B171" s="117" t="s">
        <v>562</v>
      </c>
      <c r="C171" s="117" t="s">
        <v>456</v>
      </c>
      <c r="D171" s="117" t="s">
        <v>249</v>
      </c>
      <c r="E171" s="117" t="s">
        <v>563</v>
      </c>
      <c r="F171" s="117" t="s">
        <v>223</v>
      </c>
      <c r="G171" s="117" t="s">
        <v>564</v>
      </c>
      <c r="H171" s="117" t="s">
        <v>254</v>
      </c>
      <c r="I171" s="117" t="s">
        <v>561</v>
      </c>
      <c r="J171" s="118">
        <v>1.2</v>
      </c>
      <c r="K171" s="118" t="s">
        <v>255</v>
      </c>
      <c r="L171" s="117">
        <v>4.9500000000000002E-2</v>
      </c>
      <c r="M171" s="117">
        <v>6.1600000000000002E-2</v>
      </c>
      <c r="N171" s="69">
        <v>357150.12832302629</v>
      </c>
      <c r="O171" s="60">
        <v>134.31</v>
      </c>
      <c r="P171" s="84">
        <v>0</v>
      </c>
      <c r="Q171" s="84">
        <v>479.68834000000004</v>
      </c>
      <c r="R171" s="24">
        <v>5.4217768297573892E-4</v>
      </c>
      <c r="S171" s="24">
        <v>4.27513539273094E-3</v>
      </c>
      <c r="T171" s="24">
        <v>1.9759229104071093E-3</v>
      </c>
    </row>
    <row r="172" spans="1:20" x14ac:dyDescent="0.25">
      <c r="A172" s="16" t="s">
        <v>1074</v>
      </c>
      <c r="B172" s="117" t="s">
        <v>1075</v>
      </c>
      <c r="C172" s="117" t="s">
        <v>456</v>
      </c>
      <c r="D172" s="117" t="s">
        <v>249</v>
      </c>
      <c r="E172" s="117" t="s">
        <v>563</v>
      </c>
      <c r="F172" s="117" t="s">
        <v>223</v>
      </c>
      <c r="G172" s="117" t="s">
        <v>730</v>
      </c>
      <c r="H172" s="117" t="s">
        <v>569</v>
      </c>
      <c r="I172" s="117" t="s">
        <v>485</v>
      </c>
      <c r="J172" s="118">
        <v>3.77</v>
      </c>
      <c r="K172" s="118" t="s">
        <v>255</v>
      </c>
      <c r="L172" s="117">
        <v>2.8500000000000001E-2</v>
      </c>
      <c r="M172" s="117">
        <v>0.05</v>
      </c>
      <c r="N172" s="69">
        <v>387.21597167757909</v>
      </c>
      <c r="O172" s="60">
        <v>104.62</v>
      </c>
      <c r="P172" s="84">
        <v>0</v>
      </c>
      <c r="Q172" s="84">
        <v>0.40511000000000003</v>
      </c>
      <c r="R172" s="24">
        <v>6.3026510356556977E-6</v>
      </c>
      <c r="S172" s="24">
        <v>3.6104694538733859E-6</v>
      </c>
      <c r="T172" s="24">
        <v>1.6687212581298599E-6</v>
      </c>
    </row>
    <row r="173" spans="1:20" x14ac:dyDescent="0.25">
      <c r="A173" s="16" t="s">
        <v>1057</v>
      </c>
      <c r="B173" s="117" t="s">
        <v>1058</v>
      </c>
      <c r="C173" s="117" t="s">
        <v>456</v>
      </c>
      <c r="D173" s="117" t="s">
        <v>249</v>
      </c>
      <c r="E173" s="117" t="s">
        <v>563</v>
      </c>
      <c r="F173" s="117" t="s">
        <v>223</v>
      </c>
      <c r="G173" s="117" t="s">
        <v>564</v>
      </c>
      <c r="H173" s="117" t="s">
        <v>254</v>
      </c>
      <c r="I173" s="117" t="s">
        <v>1059</v>
      </c>
      <c r="J173" s="118">
        <v>4.74</v>
      </c>
      <c r="K173" s="118" t="s">
        <v>255</v>
      </c>
      <c r="L173" s="117">
        <v>3.6200000000000003E-2</v>
      </c>
      <c r="M173" s="117">
        <v>4.5100000000000001E-2</v>
      </c>
      <c r="N173" s="69">
        <v>1151063.6281626292</v>
      </c>
      <c r="O173" s="60">
        <v>99.56</v>
      </c>
      <c r="P173" s="84">
        <v>0</v>
      </c>
      <c r="Q173" s="84">
        <v>1145.9989499999999</v>
      </c>
      <c r="R173" s="24">
        <v>6.4768389376038626E-4</v>
      </c>
      <c r="S173" s="24">
        <v>1.0213507943881843E-2</v>
      </c>
      <c r="T173" s="24">
        <v>4.7205766573510857E-3</v>
      </c>
    </row>
    <row r="174" spans="1:20" x14ac:dyDescent="0.25">
      <c r="A174" s="16" t="s">
        <v>587</v>
      </c>
      <c r="B174" s="117" t="s">
        <v>588</v>
      </c>
      <c r="C174" s="117" t="s">
        <v>456</v>
      </c>
      <c r="D174" s="117" t="s">
        <v>249</v>
      </c>
      <c r="E174" s="117" t="s">
        <v>589</v>
      </c>
      <c r="F174" s="117" t="s">
        <v>226</v>
      </c>
      <c r="G174" s="117" t="s">
        <v>564</v>
      </c>
      <c r="H174" s="117" t="s">
        <v>254</v>
      </c>
      <c r="I174" s="117" t="s">
        <v>590</v>
      </c>
      <c r="J174" s="118">
        <v>0.99</v>
      </c>
      <c r="K174" s="118" t="s">
        <v>255</v>
      </c>
      <c r="L174" s="117">
        <v>4.3400000000000001E-2</v>
      </c>
      <c r="M174" s="117">
        <v>3.85E-2</v>
      </c>
      <c r="N174" s="69">
        <v>200.27404887621717</v>
      </c>
      <c r="O174" s="60">
        <v>111.83000000000001</v>
      </c>
      <c r="P174" s="84">
        <v>4.8368440359999997E-3</v>
      </c>
      <c r="Q174" s="84">
        <v>0.2288</v>
      </c>
      <c r="R174" s="24">
        <v>2.3021077262333061E-7</v>
      </c>
      <c r="S174" s="24">
        <v>2.0391385328583117E-6</v>
      </c>
      <c r="T174" s="24">
        <v>9.4246852425294843E-7</v>
      </c>
    </row>
    <row r="175" spans="1:20" x14ac:dyDescent="0.25">
      <c r="A175" s="16" t="s">
        <v>624</v>
      </c>
      <c r="B175" s="117" t="s">
        <v>625</v>
      </c>
      <c r="C175" s="117" t="s">
        <v>456</v>
      </c>
      <c r="D175" s="117" t="s">
        <v>249</v>
      </c>
      <c r="E175" s="117" t="s">
        <v>589</v>
      </c>
      <c r="F175" s="117" t="s">
        <v>226</v>
      </c>
      <c r="G175" s="117" t="s">
        <v>564</v>
      </c>
      <c r="H175" s="117" t="s">
        <v>254</v>
      </c>
      <c r="I175" s="117" t="s">
        <v>626</v>
      </c>
      <c r="J175" s="118">
        <v>3.56</v>
      </c>
      <c r="K175" s="118" t="s">
        <v>255</v>
      </c>
      <c r="L175" s="117">
        <v>3.9E-2</v>
      </c>
      <c r="M175" s="117">
        <v>4.4400000000000002E-2</v>
      </c>
      <c r="N175" s="69">
        <v>631553.06400695932</v>
      </c>
      <c r="O175" s="60">
        <v>111.7</v>
      </c>
      <c r="P175" s="84">
        <v>0</v>
      </c>
      <c r="Q175" s="84">
        <v>705.44477000000006</v>
      </c>
      <c r="R175" s="24">
        <v>4.2894817818622821E-4</v>
      </c>
      <c r="S175" s="24">
        <v>6.287148659573292E-3</v>
      </c>
      <c r="T175" s="24">
        <v>2.9058544201217688E-3</v>
      </c>
    </row>
    <row r="176" spans="1:20" x14ac:dyDescent="0.25">
      <c r="A176" s="16" t="s">
        <v>841</v>
      </c>
      <c r="B176" s="117" t="s">
        <v>842</v>
      </c>
      <c r="C176" s="117" t="s">
        <v>456</v>
      </c>
      <c r="D176" s="117" t="s">
        <v>249</v>
      </c>
      <c r="E176" s="117" t="s">
        <v>589</v>
      </c>
      <c r="F176" s="117" t="s">
        <v>226</v>
      </c>
      <c r="G176" s="117" t="s">
        <v>564</v>
      </c>
      <c r="H176" s="117" t="s">
        <v>254</v>
      </c>
      <c r="I176" s="117" t="s">
        <v>843</v>
      </c>
      <c r="J176" s="118">
        <v>4.6399999999999997</v>
      </c>
      <c r="K176" s="118" t="s">
        <v>255</v>
      </c>
      <c r="L176" s="117">
        <v>3.2500000000000001E-2</v>
      </c>
      <c r="M176" s="117">
        <v>4.5100000000000001E-2</v>
      </c>
      <c r="N176" s="69">
        <v>201646.95969344702</v>
      </c>
      <c r="O176" s="60">
        <v>105.39</v>
      </c>
      <c r="P176" s="84">
        <v>3.6508767200000003</v>
      </c>
      <c r="Q176" s="84">
        <v>216.16660999999999</v>
      </c>
      <c r="R176" s="24">
        <v>5.0996566637185757E-4</v>
      </c>
      <c r="S176" s="24">
        <v>1.9265457341274251E-3</v>
      </c>
      <c r="T176" s="24">
        <v>8.904293090885605E-4</v>
      </c>
    </row>
    <row r="177" spans="1:20" x14ac:dyDescent="0.25">
      <c r="A177" s="16" t="s">
        <v>1102</v>
      </c>
      <c r="B177" s="117" t="s">
        <v>1103</v>
      </c>
      <c r="C177" s="117" t="s">
        <v>456</v>
      </c>
      <c r="D177" s="117" t="s">
        <v>249</v>
      </c>
      <c r="E177" s="117" t="s">
        <v>1100</v>
      </c>
      <c r="F177" s="117" t="s">
        <v>226</v>
      </c>
      <c r="G177" s="117" t="s">
        <v>615</v>
      </c>
      <c r="H177" s="117" t="s">
        <v>569</v>
      </c>
      <c r="I177" s="117" t="s">
        <v>1104</v>
      </c>
      <c r="J177" s="118">
        <v>3.69</v>
      </c>
      <c r="K177" s="118" t="s">
        <v>255</v>
      </c>
      <c r="L177" s="117">
        <v>3.85E-2</v>
      </c>
      <c r="M177" s="117">
        <v>4.3299999999999998E-2</v>
      </c>
      <c r="N177" s="69">
        <v>7589.3015738915246</v>
      </c>
      <c r="O177" s="60">
        <v>101.63</v>
      </c>
      <c r="P177" s="84">
        <v>0</v>
      </c>
      <c r="Q177" s="84">
        <v>7.7130100000000006</v>
      </c>
      <c r="R177" s="24">
        <v>6.2412019522134246E-5</v>
      </c>
      <c r="S177" s="24">
        <v>6.8740803738293215E-5</v>
      </c>
      <c r="T177" s="24">
        <v>3.1771281259826198E-5</v>
      </c>
    </row>
    <row r="178" spans="1:20" x14ac:dyDescent="0.25">
      <c r="A178" s="16" t="s">
        <v>4012</v>
      </c>
      <c r="B178" s="117" t="s">
        <v>1099</v>
      </c>
      <c r="C178" s="117" t="s">
        <v>456</v>
      </c>
      <c r="D178" s="117" t="s">
        <v>249</v>
      </c>
      <c r="E178" s="117" t="s">
        <v>1100</v>
      </c>
      <c r="F178" s="117" t="s">
        <v>226</v>
      </c>
      <c r="G178" s="117" t="s">
        <v>615</v>
      </c>
      <c r="H178" s="117" t="s">
        <v>569</v>
      </c>
      <c r="I178" s="117" t="s">
        <v>1101</v>
      </c>
      <c r="J178" s="118">
        <v>0</v>
      </c>
      <c r="K178" s="118" t="s">
        <v>255</v>
      </c>
      <c r="L178" s="117">
        <v>3.85E-2</v>
      </c>
      <c r="M178" s="117">
        <v>4.2699999999999995E-2</v>
      </c>
      <c r="N178" s="69">
        <v>80750.168746205833</v>
      </c>
      <c r="O178" s="60">
        <v>101.63</v>
      </c>
      <c r="P178" s="84">
        <v>0</v>
      </c>
      <c r="Q178" s="84">
        <v>82.066399999999987</v>
      </c>
      <c r="R178" s="24">
        <v>6.6406388771550853E-4</v>
      </c>
      <c r="S178" s="24">
        <v>7.3140191649022444E-4</v>
      </c>
      <c r="T178" s="24">
        <v>3.3804632385818251E-4</v>
      </c>
    </row>
    <row r="179" spans="1:20" x14ac:dyDescent="0.25">
      <c r="A179" s="16" t="s">
        <v>831</v>
      </c>
      <c r="B179" s="117" t="s">
        <v>832</v>
      </c>
      <c r="C179" s="117" t="s">
        <v>456</v>
      </c>
      <c r="D179" s="117" t="s">
        <v>249</v>
      </c>
      <c r="E179" s="117" t="s">
        <v>833</v>
      </c>
      <c r="F179" s="117" t="s">
        <v>225</v>
      </c>
      <c r="G179" s="117" t="s">
        <v>834</v>
      </c>
      <c r="H179" s="117" t="s">
        <v>254</v>
      </c>
      <c r="I179" s="117" t="s">
        <v>835</v>
      </c>
      <c r="J179" s="118">
        <v>3.57</v>
      </c>
      <c r="K179" s="118" t="s">
        <v>255</v>
      </c>
      <c r="L179" s="117">
        <v>2.75E-2</v>
      </c>
      <c r="M179" s="117">
        <v>3.9599999999999996E-2</v>
      </c>
      <c r="N179" s="69">
        <v>50814.521378013451</v>
      </c>
      <c r="O179" s="60">
        <v>106.24</v>
      </c>
      <c r="P179" s="84">
        <v>1.9016508396</v>
      </c>
      <c r="Q179" s="84">
        <v>54.909550000000003</v>
      </c>
      <c r="R179" s="24">
        <v>5.7180664952764825E-5</v>
      </c>
      <c r="S179" s="24">
        <v>4.8937141270502678E-4</v>
      </c>
      <c r="T179" s="24">
        <v>2.2618235382820581E-4</v>
      </c>
    </row>
    <row r="180" spans="1:20" x14ac:dyDescent="0.25">
      <c r="A180" s="16" t="s">
        <v>854</v>
      </c>
      <c r="B180" s="117" t="s">
        <v>855</v>
      </c>
      <c r="C180" s="117" t="s">
        <v>456</v>
      </c>
      <c r="D180" s="117" t="s">
        <v>249</v>
      </c>
      <c r="E180" s="117" t="s">
        <v>856</v>
      </c>
      <c r="F180" s="117" t="s">
        <v>228</v>
      </c>
      <c r="G180" s="117" t="s">
        <v>834</v>
      </c>
      <c r="H180" s="117" t="s">
        <v>254</v>
      </c>
      <c r="I180" s="117" t="s">
        <v>853</v>
      </c>
      <c r="J180" s="118">
        <v>3.18</v>
      </c>
      <c r="K180" s="118" t="s">
        <v>255</v>
      </c>
      <c r="L180" s="117">
        <v>2.8799999999999999E-2</v>
      </c>
      <c r="M180" s="117">
        <v>3.78E-2</v>
      </c>
      <c r="N180" s="69">
        <v>172838.83843683908</v>
      </c>
      <c r="O180" s="60">
        <v>108.32</v>
      </c>
      <c r="P180" s="84">
        <v>2.770271207</v>
      </c>
      <c r="Q180" s="84">
        <v>189.98929999999999</v>
      </c>
      <c r="R180" s="24">
        <v>6.8451025123500626E-4</v>
      </c>
      <c r="S180" s="24">
        <v>1.6932452030628392E-3</v>
      </c>
      <c r="T180" s="24">
        <v>7.8260024123623546E-4</v>
      </c>
    </row>
    <row r="181" spans="1:20" x14ac:dyDescent="0.25">
      <c r="A181" s="16" t="s">
        <v>611</v>
      </c>
      <c r="B181" s="117" t="s">
        <v>613</v>
      </c>
      <c r="C181" s="117" t="s">
        <v>456</v>
      </c>
      <c r="D181" s="117" t="s">
        <v>249</v>
      </c>
      <c r="E181" s="117" t="s">
        <v>614</v>
      </c>
      <c r="F181" s="117" t="s">
        <v>224</v>
      </c>
      <c r="G181" s="117" t="s">
        <v>615</v>
      </c>
      <c r="H181" s="117" t="s">
        <v>569</v>
      </c>
      <c r="I181" s="117" t="s">
        <v>616</v>
      </c>
      <c r="J181" s="118">
        <v>2.4</v>
      </c>
      <c r="K181" s="118" t="s">
        <v>255</v>
      </c>
      <c r="L181" s="117">
        <v>0.04</v>
      </c>
      <c r="M181" s="117">
        <v>7.3700000000000002E-2</v>
      </c>
      <c r="N181" s="69">
        <v>279832.62047159008</v>
      </c>
      <c r="O181" s="60">
        <v>103.93</v>
      </c>
      <c r="P181" s="84">
        <v>0</v>
      </c>
      <c r="Q181" s="84">
        <v>290.83004</v>
      </c>
      <c r="R181" s="24">
        <v>1.0781444247201136E-4</v>
      </c>
      <c r="S181" s="24">
        <v>2.5919700221884792E-3</v>
      </c>
      <c r="T181" s="24">
        <v>1.1979814624441694E-3</v>
      </c>
    </row>
    <row r="182" spans="1:20" x14ac:dyDescent="0.25">
      <c r="A182" s="16" t="s">
        <v>750</v>
      </c>
      <c r="B182" s="117" t="s">
        <v>751</v>
      </c>
      <c r="C182" s="117" t="s">
        <v>456</v>
      </c>
      <c r="D182" s="117" t="s">
        <v>249</v>
      </c>
      <c r="E182" s="117" t="s">
        <v>614</v>
      </c>
      <c r="F182" s="117" t="s">
        <v>224</v>
      </c>
      <c r="G182" s="117" t="s">
        <v>615</v>
      </c>
      <c r="H182" s="117" t="s">
        <v>569</v>
      </c>
      <c r="I182" s="117" t="s">
        <v>752</v>
      </c>
      <c r="J182" s="118">
        <v>3.08</v>
      </c>
      <c r="K182" s="118" t="s">
        <v>255</v>
      </c>
      <c r="L182" s="117">
        <v>2.7799999999999998E-2</v>
      </c>
      <c r="M182" s="117">
        <v>7.6600000000000001E-2</v>
      </c>
      <c r="N182" s="69">
        <v>47985.056958048452</v>
      </c>
      <c r="O182" s="60">
        <v>99.89</v>
      </c>
      <c r="P182" s="84">
        <v>0</v>
      </c>
      <c r="Q182" s="84">
        <v>47.932269999999995</v>
      </c>
      <c r="R182" s="24">
        <v>3.4173234104175193E-5</v>
      </c>
      <c r="S182" s="24">
        <v>4.2718766924986217E-4</v>
      </c>
      <c r="T182" s="24">
        <v>1.974416773207774E-4</v>
      </c>
    </row>
    <row r="183" spans="1:20" x14ac:dyDescent="0.25">
      <c r="A183" s="16" t="s">
        <v>816</v>
      </c>
      <c r="B183" s="117" t="s">
        <v>817</v>
      </c>
      <c r="C183" s="117" t="s">
        <v>456</v>
      </c>
      <c r="D183" s="117" t="s">
        <v>249</v>
      </c>
      <c r="E183" s="117" t="s">
        <v>614</v>
      </c>
      <c r="F183" s="117" t="s">
        <v>224</v>
      </c>
      <c r="G183" s="117" t="s">
        <v>615</v>
      </c>
      <c r="H183" s="117" t="s">
        <v>569</v>
      </c>
      <c r="I183" s="117" t="s">
        <v>818</v>
      </c>
      <c r="J183" s="118">
        <v>4.9400000000000004</v>
      </c>
      <c r="K183" s="118" t="s">
        <v>255</v>
      </c>
      <c r="L183" s="117">
        <v>1.29E-2</v>
      </c>
      <c r="M183" s="117">
        <v>7.1500000000000008E-2</v>
      </c>
      <c r="N183" s="69">
        <v>76087.699538609348</v>
      </c>
      <c r="O183" s="60">
        <v>85.02</v>
      </c>
      <c r="P183" s="84">
        <v>16.060019291700002</v>
      </c>
      <c r="Q183" s="84">
        <v>68.988009999999989</v>
      </c>
      <c r="R183" s="24">
        <v>9.251528793704151E-5</v>
      </c>
      <c r="S183" s="24">
        <v>6.1484313591002857E-4</v>
      </c>
      <c r="T183" s="24">
        <v>2.841740733210124E-4</v>
      </c>
    </row>
    <row r="184" spans="1:20" x14ac:dyDescent="0.25">
      <c r="A184" s="16" t="s">
        <v>995</v>
      </c>
      <c r="B184" s="117" t="s">
        <v>996</v>
      </c>
      <c r="C184" s="117" t="s">
        <v>456</v>
      </c>
      <c r="D184" s="117" t="s">
        <v>249</v>
      </c>
      <c r="E184" s="117" t="s">
        <v>997</v>
      </c>
      <c r="F184" s="117" t="s">
        <v>225</v>
      </c>
      <c r="G184" s="117" t="s">
        <v>615</v>
      </c>
      <c r="H184" s="117" t="s">
        <v>569</v>
      </c>
      <c r="I184" s="117" t="s">
        <v>998</v>
      </c>
      <c r="J184" s="118">
        <v>4.1900000000000004</v>
      </c>
      <c r="K184" s="118" t="s">
        <v>255</v>
      </c>
      <c r="L184" s="117">
        <v>1.8000000000000002E-2</v>
      </c>
      <c r="M184" s="117">
        <v>3.8699999999999998E-2</v>
      </c>
      <c r="N184" s="69">
        <v>620116.07520850434</v>
      </c>
      <c r="O184" s="60">
        <v>102.19</v>
      </c>
      <c r="P184" s="84">
        <v>37.946574073999997</v>
      </c>
      <c r="Q184" s="84">
        <v>642.50770999999997</v>
      </c>
      <c r="R184" s="24">
        <v>5.932236127326111E-4</v>
      </c>
      <c r="S184" s="24">
        <v>5.7262335188791678E-3</v>
      </c>
      <c r="T184" s="24">
        <v>2.6466053027309499E-3</v>
      </c>
    </row>
    <row r="185" spans="1:20" x14ac:dyDescent="0.25">
      <c r="A185" s="16" t="s">
        <v>1105</v>
      </c>
      <c r="B185" s="117" t="s">
        <v>1106</v>
      </c>
      <c r="C185" s="117" t="s">
        <v>456</v>
      </c>
      <c r="D185" s="117" t="s">
        <v>249</v>
      </c>
      <c r="E185" s="117" t="s">
        <v>997</v>
      </c>
      <c r="F185" s="117" t="s">
        <v>225</v>
      </c>
      <c r="G185" s="117" t="s">
        <v>615</v>
      </c>
      <c r="H185" s="117" t="s">
        <v>569</v>
      </c>
      <c r="I185" s="117" t="s">
        <v>1107</v>
      </c>
      <c r="J185" s="118">
        <v>6.46</v>
      </c>
      <c r="K185" s="118" t="s">
        <v>255</v>
      </c>
      <c r="L185" s="117">
        <v>3.3000000000000002E-2</v>
      </c>
      <c r="M185" s="117">
        <v>4.2000000000000003E-2</v>
      </c>
      <c r="N185" s="69">
        <v>394643.68184235931</v>
      </c>
      <c r="O185" s="60">
        <v>97.42</v>
      </c>
      <c r="P185" s="84">
        <v>18.349345464999999</v>
      </c>
      <c r="Q185" s="84">
        <v>393.19966999999997</v>
      </c>
      <c r="R185" s="24">
        <v>6.7460458434591333E-4</v>
      </c>
      <c r="S185" s="24">
        <v>3.5043207963469068E-3</v>
      </c>
      <c r="T185" s="24">
        <v>1.6196604576995031E-3</v>
      </c>
    </row>
    <row r="186" spans="1:20" x14ac:dyDescent="0.25">
      <c r="A186" s="16" t="s">
        <v>857</v>
      </c>
      <c r="B186" s="117" t="s">
        <v>858</v>
      </c>
      <c r="C186" s="117" t="s">
        <v>456</v>
      </c>
      <c r="D186" s="117" t="s">
        <v>249</v>
      </c>
      <c r="E186" s="117" t="s">
        <v>859</v>
      </c>
      <c r="F186" s="117" t="s">
        <v>223</v>
      </c>
      <c r="G186" s="117" t="s">
        <v>834</v>
      </c>
      <c r="H186" s="117" t="s">
        <v>254</v>
      </c>
      <c r="I186" s="117" t="s">
        <v>860</v>
      </c>
      <c r="J186" s="118">
        <v>2.25</v>
      </c>
      <c r="K186" s="118" t="s">
        <v>255</v>
      </c>
      <c r="L186" s="117">
        <v>1E-3</v>
      </c>
      <c r="M186" s="117">
        <v>3.3300000000000003E-2</v>
      </c>
      <c r="N186" s="69">
        <v>139791.97516346807</v>
      </c>
      <c r="O186" s="60">
        <v>103.63</v>
      </c>
      <c r="P186" s="84">
        <v>0</v>
      </c>
      <c r="Q186" s="84">
        <v>144.86642000000001</v>
      </c>
      <c r="R186" s="24">
        <v>2.4684708933882162E-4</v>
      </c>
      <c r="S186" s="24">
        <v>1.2910957130211364E-3</v>
      </c>
      <c r="T186" s="24">
        <v>5.967309487377964E-4</v>
      </c>
    </row>
    <row r="187" spans="1:20" x14ac:dyDescent="0.25">
      <c r="A187" s="16" t="s">
        <v>1005</v>
      </c>
      <c r="B187" s="117" t="s">
        <v>1006</v>
      </c>
      <c r="C187" s="117" t="s">
        <v>456</v>
      </c>
      <c r="D187" s="117" t="s">
        <v>249</v>
      </c>
      <c r="E187" s="117" t="s">
        <v>859</v>
      </c>
      <c r="F187" s="117" t="s">
        <v>223</v>
      </c>
      <c r="G187" s="117" t="s">
        <v>834</v>
      </c>
      <c r="H187" s="117" t="s">
        <v>254</v>
      </c>
      <c r="I187" s="117" t="s">
        <v>1007</v>
      </c>
      <c r="J187" s="118">
        <v>3.49</v>
      </c>
      <c r="K187" s="118" t="s">
        <v>255</v>
      </c>
      <c r="L187" s="117">
        <v>3.0000000000000001E-3</v>
      </c>
      <c r="M187" s="117">
        <v>3.9599999999999996E-2</v>
      </c>
      <c r="N187" s="69">
        <v>226962.61714817039</v>
      </c>
      <c r="O187" s="60">
        <v>94.81</v>
      </c>
      <c r="P187" s="84">
        <v>0.36575518749999997</v>
      </c>
      <c r="Q187" s="84">
        <v>215.54901000000001</v>
      </c>
      <c r="R187" s="24">
        <v>4.4624973878916712E-4</v>
      </c>
      <c r="S187" s="24">
        <v>1.9210414860597097E-3</v>
      </c>
      <c r="T187" s="24">
        <v>8.8788530314197565E-4</v>
      </c>
    </row>
    <row r="188" spans="1:20" x14ac:dyDescent="0.25">
      <c r="A188" s="16" t="s">
        <v>1048</v>
      </c>
      <c r="B188" s="117" t="s">
        <v>1049</v>
      </c>
      <c r="C188" s="117" t="s">
        <v>456</v>
      </c>
      <c r="D188" s="117" t="s">
        <v>249</v>
      </c>
      <c r="E188" s="117" t="s">
        <v>859</v>
      </c>
      <c r="F188" s="117" t="s">
        <v>223</v>
      </c>
      <c r="G188" s="117" t="s">
        <v>834</v>
      </c>
      <c r="H188" s="117" t="s">
        <v>254</v>
      </c>
      <c r="I188" s="117" t="s">
        <v>1050</v>
      </c>
      <c r="J188" s="118">
        <v>2.99</v>
      </c>
      <c r="K188" s="118" t="s">
        <v>255</v>
      </c>
      <c r="L188" s="117">
        <v>3.0000000000000001E-3</v>
      </c>
      <c r="M188" s="117">
        <v>3.9599999999999996E-2</v>
      </c>
      <c r="N188" s="69">
        <v>150902.63677462953</v>
      </c>
      <c r="O188" s="60">
        <v>92.74</v>
      </c>
      <c r="P188" s="84">
        <v>0.23369942769999999</v>
      </c>
      <c r="Q188" s="84">
        <v>140.18079999999998</v>
      </c>
      <c r="R188" s="24">
        <v>5.5945811283368378E-4</v>
      </c>
      <c r="S188" s="24">
        <v>1.2493359739812256E-3</v>
      </c>
      <c r="T188" s="24">
        <v>5.77430033673941E-4</v>
      </c>
    </row>
    <row r="189" spans="1:20" x14ac:dyDescent="0.25">
      <c r="A189" s="16" t="s">
        <v>989</v>
      </c>
      <c r="B189" s="117" t="s">
        <v>990</v>
      </c>
      <c r="C189" s="117" t="s">
        <v>456</v>
      </c>
      <c r="D189" s="117" t="s">
        <v>249</v>
      </c>
      <c r="E189" s="117" t="s">
        <v>991</v>
      </c>
      <c r="F189" s="117" t="s">
        <v>226</v>
      </c>
      <c r="G189" s="117" t="s">
        <v>615</v>
      </c>
      <c r="H189" s="117" t="s">
        <v>569</v>
      </c>
      <c r="I189" s="117" t="s">
        <v>988</v>
      </c>
      <c r="J189" s="118">
        <v>4.05</v>
      </c>
      <c r="K189" s="118" t="s">
        <v>255</v>
      </c>
      <c r="L189" s="117">
        <v>1.5700000000000002E-2</v>
      </c>
      <c r="M189" s="117">
        <v>5.5800000000000002E-2</v>
      </c>
      <c r="N189" s="69">
        <v>155556.79721486292</v>
      </c>
      <c r="O189" s="60">
        <v>93.79</v>
      </c>
      <c r="P189" s="84">
        <v>0</v>
      </c>
      <c r="Q189" s="84">
        <v>145.89671999999999</v>
      </c>
      <c r="R189" s="24">
        <v>3.37577241187644E-4</v>
      </c>
      <c r="S189" s="24">
        <v>1.3002780750421324E-3</v>
      </c>
      <c r="T189" s="24">
        <v>6.0097494052336372E-4</v>
      </c>
    </row>
    <row r="190" spans="1:20" x14ac:dyDescent="0.25">
      <c r="A190" s="16" t="s">
        <v>1025</v>
      </c>
      <c r="B190" s="117" t="s">
        <v>1026</v>
      </c>
      <c r="C190" s="117" t="s">
        <v>456</v>
      </c>
      <c r="D190" s="117" t="s">
        <v>249</v>
      </c>
      <c r="E190" s="117" t="s">
        <v>1027</v>
      </c>
      <c r="F190" s="117" t="s">
        <v>205</v>
      </c>
      <c r="G190" s="117" t="s">
        <v>615</v>
      </c>
      <c r="H190" s="117" t="s">
        <v>569</v>
      </c>
      <c r="I190" s="117" t="s">
        <v>1028</v>
      </c>
      <c r="J190" s="118">
        <v>4.04</v>
      </c>
      <c r="K190" s="118" t="s">
        <v>255</v>
      </c>
      <c r="L190" s="117">
        <v>3.3000000000000002E-2</v>
      </c>
      <c r="M190" s="117">
        <v>4.7400000000000005E-2</v>
      </c>
      <c r="N190" s="69">
        <v>151331.97874326771</v>
      </c>
      <c r="O190" s="60">
        <v>99.9</v>
      </c>
      <c r="P190" s="84">
        <v>0</v>
      </c>
      <c r="Q190" s="84">
        <v>151.18064999999999</v>
      </c>
      <c r="R190" s="24">
        <v>5.8204607208949119E-4</v>
      </c>
      <c r="S190" s="24">
        <v>1.3473701435208301E-3</v>
      </c>
      <c r="T190" s="24">
        <v>6.2274040253977928E-4</v>
      </c>
    </row>
    <row r="191" spans="1:20" x14ac:dyDescent="0.25">
      <c r="A191" s="16" t="s">
        <v>1094</v>
      </c>
      <c r="B191" s="117" t="s">
        <v>1095</v>
      </c>
      <c r="C191" s="117" t="s">
        <v>456</v>
      </c>
      <c r="D191" s="117" t="s">
        <v>249</v>
      </c>
      <c r="E191" s="117" t="s">
        <v>1096</v>
      </c>
      <c r="F191" s="117" t="s">
        <v>223</v>
      </c>
      <c r="G191" s="117" t="s">
        <v>1097</v>
      </c>
      <c r="H191" s="117" t="s">
        <v>254</v>
      </c>
      <c r="I191" s="117" t="s">
        <v>1098</v>
      </c>
      <c r="J191" s="118">
        <v>4.1900000000000004</v>
      </c>
      <c r="K191" s="118" t="s">
        <v>255</v>
      </c>
      <c r="L191" s="117">
        <v>9.3999999999999986E-3</v>
      </c>
      <c r="M191" s="117">
        <v>5.8200000000000002E-2</v>
      </c>
      <c r="N191" s="69">
        <v>83567.964098928453</v>
      </c>
      <c r="O191" s="60">
        <v>89.04</v>
      </c>
      <c r="P191" s="84">
        <v>0</v>
      </c>
      <c r="Q191" s="84">
        <v>74.408919999999995</v>
      </c>
      <c r="R191" s="24">
        <v>2.0408313983327257E-4</v>
      </c>
      <c r="S191" s="24">
        <v>6.6315601381281247E-4</v>
      </c>
      <c r="T191" s="24">
        <v>3.0650378069779587E-4</v>
      </c>
    </row>
    <row r="192" spans="1:20" x14ac:dyDescent="0.25">
      <c r="A192" s="16" t="s">
        <v>4013</v>
      </c>
      <c r="B192" s="117" t="s">
        <v>558</v>
      </c>
      <c r="C192" s="117" t="s">
        <v>456</v>
      </c>
      <c r="D192" s="117" t="s">
        <v>249</v>
      </c>
      <c r="E192" s="117" t="s">
        <v>559</v>
      </c>
      <c r="F192" s="117" t="s">
        <v>228</v>
      </c>
      <c r="G192" s="117" t="s">
        <v>560</v>
      </c>
      <c r="H192" s="117" t="s">
        <v>254</v>
      </c>
      <c r="I192" s="117" t="s">
        <v>561</v>
      </c>
      <c r="J192" s="118">
        <v>1.1499999999999999</v>
      </c>
      <c r="K192" s="118" t="s">
        <v>255</v>
      </c>
      <c r="L192" s="117">
        <v>4.9500000000000002E-2</v>
      </c>
      <c r="M192" s="117">
        <v>0.1242</v>
      </c>
      <c r="N192" s="69">
        <v>179628.61188635975</v>
      </c>
      <c r="O192" s="60">
        <v>128.6</v>
      </c>
      <c r="P192" s="84">
        <v>0</v>
      </c>
      <c r="Q192" s="84">
        <v>231.00239000000002</v>
      </c>
      <c r="R192" s="24">
        <v>3.2638207526236173E-4</v>
      </c>
      <c r="S192" s="24">
        <v>2.058766934577638E-3</v>
      </c>
      <c r="T192" s="24">
        <v>9.515405664431996E-4</v>
      </c>
    </row>
    <row r="193" spans="1:20" x14ac:dyDescent="0.25">
      <c r="A193" s="16" t="s">
        <v>1015</v>
      </c>
      <c r="B193" s="117" t="s">
        <v>1016</v>
      </c>
      <c r="C193" s="117" t="s">
        <v>456</v>
      </c>
      <c r="D193" s="117" t="s">
        <v>249</v>
      </c>
      <c r="E193" s="117" t="s">
        <v>1017</v>
      </c>
      <c r="F193" s="117" t="s">
        <v>223</v>
      </c>
      <c r="G193" s="117" t="s">
        <v>573</v>
      </c>
      <c r="H193" s="117" t="s">
        <v>573</v>
      </c>
      <c r="I193" s="117" t="s">
        <v>1018</v>
      </c>
      <c r="J193" s="118">
        <v>3.25</v>
      </c>
      <c r="K193" s="118" t="s">
        <v>255</v>
      </c>
      <c r="L193" s="117">
        <v>1.9E-2</v>
      </c>
      <c r="M193" s="117">
        <v>3.5499999999999997E-2</v>
      </c>
      <c r="N193" s="69">
        <v>363773.43876039813</v>
      </c>
      <c r="O193" s="60">
        <v>101.4</v>
      </c>
      <c r="P193" s="84">
        <v>9.5198825890000016</v>
      </c>
      <c r="Q193" s="84">
        <v>372.85316</v>
      </c>
      <c r="R193" s="24">
        <v>6.7912038520250332E-4</v>
      </c>
      <c r="S193" s="24">
        <v>3.3229862135226631E-3</v>
      </c>
      <c r="T193" s="24">
        <v>1.5358495081654216E-3</v>
      </c>
    </row>
    <row r="194" spans="1:20" x14ac:dyDescent="0.25">
      <c r="A194" s="16" t="s">
        <v>1112</v>
      </c>
      <c r="B194" s="117" t="s">
        <v>1113</v>
      </c>
      <c r="C194" s="117" t="s">
        <v>456</v>
      </c>
      <c r="D194" s="117" t="s">
        <v>249</v>
      </c>
      <c r="E194" s="117" t="s">
        <v>1114</v>
      </c>
      <c r="F194" s="117" t="s">
        <v>231</v>
      </c>
      <c r="G194" s="117" t="s">
        <v>573</v>
      </c>
      <c r="H194" s="117" t="s">
        <v>573</v>
      </c>
      <c r="I194" s="117" t="s">
        <v>1115</v>
      </c>
      <c r="J194" s="118">
        <v>3.15</v>
      </c>
      <c r="K194" s="118" t="s">
        <v>255</v>
      </c>
      <c r="L194" s="117">
        <v>1.5800000000000002E-2</v>
      </c>
      <c r="M194" s="117">
        <v>6.3299999999999995E-2</v>
      </c>
      <c r="N194" s="69">
        <v>151786.03147783049</v>
      </c>
      <c r="O194" s="60">
        <v>95.09</v>
      </c>
      <c r="P194" s="84">
        <v>0</v>
      </c>
      <c r="Q194" s="84">
        <v>144.33333999999999</v>
      </c>
      <c r="R194" s="24">
        <v>1.7924930506493968E-4</v>
      </c>
      <c r="S194" s="24">
        <v>1.2863447341352268E-3</v>
      </c>
      <c r="T194" s="24">
        <v>5.945350959366217E-4</v>
      </c>
    </row>
    <row r="195" spans="1:20" x14ac:dyDescent="0.25">
      <c r="A195" s="16" t="s">
        <v>1019</v>
      </c>
      <c r="B195" s="117" t="s">
        <v>1020</v>
      </c>
      <c r="C195" s="117" t="s">
        <v>456</v>
      </c>
      <c r="D195" s="117" t="s">
        <v>249</v>
      </c>
      <c r="E195" s="117" t="s">
        <v>772</v>
      </c>
      <c r="F195" s="117" t="s">
        <v>223</v>
      </c>
      <c r="G195" s="117" t="s">
        <v>573</v>
      </c>
      <c r="H195" s="117" t="s">
        <v>573</v>
      </c>
      <c r="I195" s="117" t="s">
        <v>1021</v>
      </c>
      <c r="J195" s="118">
        <v>0</v>
      </c>
      <c r="K195" s="118" t="s">
        <v>255</v>
      </c>
      <c r="L195" s="117">
        <v>8.5000000000000006E-3</v>
      </c>
      <c r="M195" s="117">
        <v>3.3700000000000001E-2</v>
      </c>
      <c r="N195" s="69">
        <v>197321.84092117965</v>
      </c>
      <c r="O195" s="60">
        <v>96.359786999999997</v>
      </c>
      <c r="P195" s="84">
        <v>0</v>
      </c>
      <c r="Q195" s="84">
        <v>190.13891000000001</v>
      </c>
      <c r="R195" s="24">
        <v>3.1405172752491551E-4</v>
      </c>
      <c r="S195" s="24">
        <v>1.694578575072896E-3</v>
      </c>
      <c r="T195" s="24">
        <v>7.832165118477456E-4</v>
      </c>
    </row>
    <row r="196" spans="1:20" x14ac:dyDescent="0.25">
      <c r="A196" s="16" t="s">
        <v>861</v>
      </c>
      <c r="B196" s="117" t="s">
        <v>862</v>
      </c>
      <c r="C196" s="117" t="s">
        <v>456</v>
      </c>
      <c r="D196" s="117" t="s">
        <v>249</v>
      </c>
      <c r="E196" s="117" t="s">
        <v>863</v>
      </c>
      <c r="F196" s="117" t="s">
        <v>231</v>
      </c>
      <c r="G196" s="117" t="s">
        <v>573</v>
      </c>
      <c r="H196" s="117" t="s">
        <v>573</v>
      </c>
      <c r="I196" s="117" t="s">
        <v>864</v>
      </c>
      <c r="J196" s="118">
        <v>2.36</v>
      </c>
      <c r="K196" s="118" t="s">
        <v>255</v>
      </c>
      <c r="L196" s="117">
        <v>1.6500000000000001E-2</v>
      </c>
      <c r="M196" s="117">
        <v>3.6499999999999998E-2</v>
      </c>
      <c r="N196" s="69">
        <v>122523.96768331865</v>
      </c>
      <c r="O196" s="60">
        <v>106.4</v>
      </c>
      <c r="P196" s="84">
        <v>5.3677260330000003</v>
      </c>
      <c r="Q196" s="84">
        <v>131.67621</v>
      </c>
      <c r="R196" s="24">
        <v>4.849520483698856E-4</v>
      </c>
      <c r="S196" s="24">
        <v>1.1735403569569185E-3</v>
      </c>
      <c r="T196" s="24">
        <v>5.423980914244813E-4</v>
      </c>
    </row>
    <row r="197" spans="1:20" x14ac:dyDescent="0.25">
      <c r="A197" s="16" t="s">
        <v>1011</v>
      </c>
      <c r="B197" s="117" t="s">
        <v>1012</v>
      </c>
      <c r="C197" s="117" t="s">
        <v>456</v>
      </c>
      <c r="D197" s="117" t="s">
        <v>249</v>
      </c>
      <c r="E197" s="117" t="s">
        <v>1013</v>
      </c>
      <c r="F197" s="117" t="s">
        <v>231</v>
      </c>
      <c r="G197" s="117" t="s">
        <v>573</v>
      </c>
      <c r="H197" s="117" t="s">
        <v>573</v>
      </c>
      <c r="I197" s="117" t="s">
        <v>1014</v>
      </c>
      <c r="J197" s="118">
        <v>2.87</v>
      </c>
      <c r="K197" s="118" t="s">
        <v>255</v>
      </c>
      <c r="L197" s="117">
        <v>2.9500000000000002E-2</v>
      </c>
      <c r="M197" s="117">
        <v>5.3600000000000002E-2</v>
      </c>
      <c r="N197" s="69">
        <v>136762.25008215485</v>
      </c>
      <c r="O197" s="60">
        <v>100.70000000000002</v>
      </c>
      <c r="P197" s="84">
        <v>0</v>
      </c>
      <c r="Q197" s="84">
        <v>137.71958999999998</v>
      </c>
      <c r="R197" s="24">
        <v>7.515193898382515E-4</v>
      </c>
      <c r="S197" s="24">
        <v>1.2274008859197911E-3</v>
      </c>
      <c r="T197" s="24">
        <v>5.6729186515743488E-4</v>
      </c>
    </row>
    <row r="198" spans="1:20" x14ac:dyDescent="0.25">
      <c r="A198" s="16" t="s">
        <v>847</v>
      </c>
      <c r="B198" s="117" t="s">
        <v>848</v>
      </c>
      <c r="C198" s="117" t="s">
        <v>456</v>
      </c>
      <c r="D198" s="117" t="s">
        <v>249</v>
      </c>
      <c r="E198" s="117" t="s">
        <v>849</v>
      </c>
      <c r="F198" s="117" t="s">
        <v>228</v>
      </c>
      <c r="G198" s="117" t="s">
        <v>573</v>
      </c>
      <c r="H198" s="117" t="s">
        <v>573</v>
      </c>
      <c r="I198" s="117" t="s">
        <v>850</v>
      </c>
      <c r="J198" s="118">
        <v>3.31</v>
      </c>
      <c r="K198" s="118" t="s">
        <v>255</v>
      </c>
      <c r="L198" s="117">
        <v>3.7000000000000005E-2</v>
      </c>
      <c r="M198" s="117">
        <v>6.5599999999999992E-2</v>
      </c>
      <c r="N198" s="69">
        <v>286244.35979004932</v>
      </c>
      <c r="O198" s="60">
        <v>102.66999999999999</v>
      </c>
      <c r="P198" s="84">
        <v>0</v>
      </c>
      <c r="Q198" s="84">
        <v>293.88708000000003</v>
      </c>
      <c r="R198" s="24">
        <v>3.2570108892393903E-4</v>
      </c>
      <c r="S198" s="24">
        <v>2.6192153371381701E-3</v>
      </c>
      <c r="T198" s="24">
        <v>1.2105739623453156E-3</v>
      </c>
    </row>
    <row r="199" spans="1:20" x14ac:dyDescent="0.25">
      <c r="A199" s="16" t="s">
        <v>921</v>
      </c>
      <c r="B199" s="117" t="s">
        <v>922</v>
      </c>
      <c r="C199" s="117" t="s">
        <v>456</v>
      </c>
      <c r="D199" s="117" t="s">
        <v>249</v>
      </c>
      <c r="E199" s="117" t="s">
        <v>849</v>
      </c>
      <c r="F199" s="117" t="s">
        <v>228</v>
      </c>
      <c r="G199" s="117" t="s">
        <v>573</v>
      </c>
      <c r="H199" s="117" t="s">
        <v>573</v>
      </c>
      <c r="I199" s="117" t="s">
        <v>923</v>
      </c>
      <c r="J199" s="118">
        <v>4.78</v>
      </c>
      <c r="K199" s="118" t="s">
        <v>255</v>
      </c>
      <c r="L199" s="117">
        <v>2.5000000000000001E-2</v>
      </c>
      <c r="M199" s="117">
        <v>6.5299999999999997E-2</v>
      </c>
      <c r="N199" s="69">
        <v>79435.379927221074</v>
      </c>
      <c r="O199" s="60">
        <v>91.65</v>
      </c>
      <c r="P199" s="84">
        <v>0</v>
      </c>
      <c r="Q199" s="84">
        <v>72.802530000000004</v>
      </c>
      <c r="R199" s="24">
        <v>5.55919797937022E-4</v>
      </c>
      <c r="S199" s="24">
        <v>6.4883935407593189E-4</v>
      </c>
      <c r="T199" s="24">
        <v>2.9988677015288902E-4</v>
      </c>
    </row>
    <row r="200" spans="1:20" x14ac:dyDescent="0.25">
      <c r="A200" s="16" t="s">
        <v>4014</v>
      </c>
      <c r="B200" s="117" t="s">
        <v>571</v>
      </c>
      <c r="C200" s="117" t="s">
        <v>456</v>
      </c>
      <c r="D200" s="117" t="s">
        <v>249</v>
      </c>
      <c r="E200" s="117" t="s">
        <v>572</v>
      </c>
      <c r="F200" s="117" t="s">
        <v>228</v>
      </c>
      <c r="G200" s="117" t="s">
        <v>573</v>
      </c>
      <c r="H200" s="117" t="s">
        <v>573</v>
      </c>
      <c r="I200" s="117" t="s">
        <v>574</v>
      </c>
      <c r="J200" s="118">
        <v>1.66</v>
      </c>
      <c r="K200" s="118" t="s">
        <v>255</v>
      </c>
      <c r="L200" s="117">
        <v>6.3200000000000006E-2</v>
      </c>
      <c r="M200" s="117">
        <v>0.45</v>
      </c>
      <c r="N200" s="69">
        <v>282.42939198743215</v>
      </c>
      <c r="O200" s="60">
        <v>9.77</v>
      </c>
      <c r="P200" s="84">
        <v>0</v>
      </c>
      <c r="Q200" s="84">
        <v>2.759E-2</v>
      </c>
      <c r="R200" s="24">
        <v>3.2636211959130976E-6</v>
      </c>
      <c r="S200" s="24">
        <v>2.4589087465717145E-7</v>
      </c>
      <c r="T200" s="24">
        <v>1.1364819311249496E-7</v>
      </c>
    </row>
    <row r="201" spans="1:20" x14ac:dyDescent="0.25">
      <c r="A201" s="16" t="s">
        <v>579</v>
      </c>
      <c r="B201" s="117" t="s">
        <v>580</v>
      </c>
      <c r="C201" s="117" t="s">
        <v>456</v>
      </c>
      <c r="D201" s="117" t="s">
        <v>249</v>
      </c>
      <c r="E201" s="117" t="s">
        <v>572</v>
      </c>
      <c r="F201" s="117" t="s">
        <v>228</v>
      </c>
      <c r="G201" s="117" t="s">
        <v>573</v>
      </c>
      <c r="H201" s="117" t="s">
        <v>573</v>
      </c>
      <c r="I201" s="117" t="s">
        <v>581</v>
      </c>
      <c r="J201" s="118">
        <v>1.26</v>
      </c>
      <c r="K201" s="118" t="s">
        <v>255</v>
      </c>
      <c r="L201" s="117">
        <v>6.7799999999999999E-2</v>
      </c>
      <c r="M201" s="117">
        <v>0.45</v>
      </c>
      <c r="N201" s="69">
        <v>125113.82133827567</v>
      </c>
      <c r="O201" s="60">
        <v>22.6</v>
      </c>
      <c r="P201" s="84">
        <v>0</v>
      </c>
      <c r="Q201" s="84">
        <v>28.27572</v>
      </c>
      <c r="R201" s="24">
        <v>2.7549294652644122E-4</v>
      </c>
      <c r="S201" s="24">
        <v>2.5200222987898789E-4</v>
      </c>
      <c r="T201" s="24">
        <v>1.1647279764243697E-4</v>
      </c>
    </row>
    <row r="202" spans="1:20" x14ac:dyDescent="0.25">
      <c r="A202" s="16" t="s">
        <v>906</v>
      </c>
      <c r="B202" s="117" t="s">
        <v>907</v>
      </c>
      <c r="C202" s="117" t="s">
        <v>456</v>
      </c>
      <c r="D202" s="117" t="s">
        <v>249</v>
      </c>
      <c r="E202" s="117" t="s">
        <v>908</v>
      </c>
      <c r="F202" s="117" t="s">
        <v>223</v>
      </c>
      <c r="G202" s="117" t="s">
        <v>573</v>
      </c>
      <c r="H202" s="117" t="s">
        <v>573</v>
      </c>
      <c r="I202" s="117" t="s">
        <v>909</v>
      </c>
      <c r="J202" s="118">
        <v>6.09</v>
      </c>
      <c r="K202" s="118" t="s">
        <v>255</v>
      </c>
      <c r="L202" s="117">
        <v>6.4000000000000003E-3</v>
      </c>
      <c r="M202" s="117">
        <v>3.5000000000000003E-2</v>
      </c>
      <c r="N202" s="69">
        <v>102890.59001375105</v>
      </c>
      <c r="O202" s="60">
        <v>92.96</v>
      </c>
      <c r="P202" s="84">
        <v>0</v>
      </c>
      <c r="Q202" s="84">
        <v>95.647089999999992</v>
      </c>
      <c r="R202" s="24">
        <v>4.6097433965928188E-4</v>
      </c>
      <c r="S202" s="24">
        <v>8.5243735478482039E-4</v>
      </c>
      <c r="T202" s="24">
        <v>3.9398763881725934E-4</v>
      </c>
    </row>
    <row r="203" spans="1:20" x14ac:dyDescent="0.25">
      <c r="A203" s="16" t="s">
        <v>1110</v>
      </c>
      <c r="B203" s="117" t="s">
        <v>1111</v>
      </c>
      <c r="C203" s="117" t="s">
        <v>456</v>
      </c>
      <c r="D203" s="117" t="s">
        <v>249</v>
      </c>
      <c r="E203" s="117" t="s">
        <v>1096</v>
      </c>
      <c r="F203" s="117" t="s">
        <v>223</v>
      </c>
      <c r="G203" s="117" t="s">
        <v>573</v>
      </c>
      <c r="H203" s="117" t="s">
        <v>573</v>
      </c>
      <c r="I203" s="117" t="s">
        <v>498</v>
      </c>
      <c r="J203" s="118">
        <v>3.85</v>
      </c>
      <c r="K203" s="118" t="s">
        <v>255</v>
      </c>
      <c r="L203" s="117">
        <v>1.0800000000000001E-2</v>
      </c>
      <c r="M203" s="117">
        <v>3.8800000000000001E-2</v>
      </c>
      <c r="N203" s="69">
        <v>52523.850117909431</v>
      </c>
      <c r="O203" s="60">
        <v>100.35000000000001</v>
      </c>
      <c r="P203" s="84">
        <v>0</v>
      </c>
      <c r="Q203" s="84">
        <v>52.707680000000003</v>
      </c>
      <c r="R203" s="24">
        <v>1.7265655342661132E-4</v>
      </c>
      <c r="S203" s="24">
        <v>4.6974764539145709E-4</v>
      </c>
      <c r="T203" s="24">
        <v>2.1711245361187345E-4</v>
      </c>
    </row>
    <row r="204" spans="1:20" x14ac:dyDescent="0.25">
      <c r="A204" s="16" t="s">
        <v>1029</v>
      </c>
      <c r="B204" s="117" t="s">
        <v>1030</v>
      </c>
      <c r="C204" s="117" t="s">
        <v>456</v>
      </c>
      <c r="D204" s="117" t="s">
        <v>249</v>
      </c>
      <c r="E204" s="117" t="s">
        <v>1031</v>
      </c>
      <c r="F204" s="117" t="s">
        <v>223</v>
      </c>
      <c r="G204" s="117" t="s">
        <v>573</v>
      </c>
      <c r="H204" s="117" t="s">
        <v>573</v>
      </c>
      <c r="I204" s="117" t="s">
        <v>1032</v>
      </c>
      <c r="J204" s="118">
        <v>3.05</v>
      </c>
      <c r="K204" s="118" t="s">
        <v>255</v>
      </c>
      <c r="L204" s="117">
        <v>3.4300000000000004E-2</v>
      </c>
      <c r="M204" s="117">
        <v>4.53E-2</v>
      </c>
      <c r="N204" s="69">
        <v>245064.61926221647</v>
      </c>
      <c r="O204" s="60">
        <v>102.02</v>
      </c>
      <c r="P204" s="84">
        <v>0</v>
      </c>
      <c r="Q204" s="84">
        <v>250.01492000000002</v>
      </c>
      <c r="R204" s="24">
        <v>3.6907322178044647E-4</v>
      </c>
      <c r="S204" s="24">
        <v>2.228212662419092E-3</v>
      </c>
      <c r="T204" s="24">
        <v>1.0298566114231599E-3</v>
      </c>
    </row>
    <row r="205" spans="1:20" s="119" customFormat="1" x14ac:dyDescent="0.25">
      <c r="A205" s="92" t="s">
        <v>139</v>
      </c>
      <c r="B205" s="131" t="s">
        <v>249</v>
      </c>
      <c r="C205" s="131" t="s">
        <v>249</v>
      </c>
      <c r="D205" s="131" t="s">
        <v>249</v>
      </c>
      <c r="E205" s="131" t="s">
        <v>249</v>
      </c>
      <c r="F205" s="131" t="s">
        <v>249</v>
      </c>
      <c r="G205" s="131" t="s">
        <v>249</v>
      </c>
      <c r="H205" s="131" t="s">
        <v>249</v>
      </c>
      <c r="I205" s="131" t="s">
        <v>249</v>
      </c>
      <c r="J205" s="132" t="s">
        <v>249</v>
      </c>
      <c r="K205" s="132" t="s">
        <v>249</v>
      </c>
      <c r="L205" s="131" t="s">
        <v>249</v>
      </c>
      <c r="M205" s="131" t="s">
        <v>249</v>
      </c>
      <c r="N205" s="135" t="s">
        <v>249</v>
      </c>
      <c r="O205" s="136" t="s">
        <v>249</v>
      </c>
      <c r="P205" s="124" t="s">
        <v>249</v>
      </c>
      <c r="Q205" s="124">
        <v>18066.852360100002</v>
      </c>
      <c r="R205" s="137"/>
      <c r="S205" s="137">
        <v>0.16101754726810333</v>
      </c>
      <c r="T205" s="137">
        <v>7.4420627979542603E-2</v>
      </c>
    </row>
    <row r="206" spans="1:20" x14ac:dyDescent="0.25">
      <c r="A206" s="16" t="s">
        <v>1502</v>
      </c>
      <c r="B206" s="117" t="s">
        <v>1503</v>
      </c>
      <c r="C206" s="117" t="s">
        <v>456</v>
      </c>
      <c r="D206" s="117" t="s">
        <v>249</v>
      </c>
      <c r="E206" s="117" t="s">
        <v>1100</v>
      </c>
      <c r="F206" s="117" t="s">
        <v>226</v>
      </c>
      <c r="G206" s="117" t="s">
        <v>615</v>
      </c>
      <c r="H206" s="117" t="s">
        <v>569</v>
      </c>
      <c r="I206" s="117" t="s">
        <v>1101</v>
      </c>
      <c r="J206" s="118">
        <v>0</v>
      </c>
      <c r="K206" s="118" t="s">
        <v>255</v>
      </c>
      <c r="L206" s="117">
        <v>4.7500000000000001E-2</v>
      </c>
      <c r="M206" s="117">
        <v>5.8899999999999994E-2</v>
      </c>
      <c r="N206" s="69">
        <v>137871.42447723699</v>
      </c>
      <c r="O206" s="60">
        <v>100.25</v>
      </c>
      <c r="P206" s="84">
        <v>0</v>
      </c>
      <c r="Q206" s="84">
        <v>138.21610000000001</v>
      </c>
      <c r="R206" s="24">
        <v>6.2668829307834992E-4</v>
      </c>
      <c r="S206" s="24">
        <v>1.2318259413085565E-3</v>
      </c>
      <c r="T206" s="24">
        <v>5.6933707952359252E-4</v>
      </c>
    </row>
    <row r="207" spans="1:20" x14ac:dyDescent="0.25">
      <c r="A207" s="16" t="s">
        <v>1324</v>
      </c>
      <c r="B207" s="117" t="s">
        <v>1325</v>
      </c>
      <c r="C207" s="117" t="s">
        <v>456</v>
      </c>
      <c r="D207" s="117" t="s">
        <v>249</v>
      </c>
      <c r="E207" s="117" t="s">
        <v>1326</v>
      </c>
      <c r="F207" s="117" t="s">
        <v>226</v>
      </c>
      <c r="G207" s="117" t="s">
        <v>730</v>
      </c>
      <c r="H207" s="117" t="s">
        <v>569</v>
      </c>
      <c r="I207" s="117" t="s">
        <v>1327</v>
      </c>
      <c r="J207" s="118">
        <v>3.18</v>
      </c>
      <c r="K207" s="118" t="s">
        <v>255</v>
      </c>
      <c r="L207" s="117">
        <v>2.5499999999999998E-2</v>
      </c>
      <c r="M207" s="117">
        <v>6.2300000000000001E-2</v>
      </c>
      <c r="N207" s="69">
        <v>277412.97325552779</v>
      </c>
      <c r="O207" s="60">
        <v>89.91</v>
      </c>
      <c r="P207" s="84">
        <v>0</v>
      </c>
      <c r="Q207" s="84">
        <v>249.422</v>
      </c>
      <c r="R207" s="24">
        <v>4.7641720320721253E-4</v>
      </c>
      <c r="S207" s="24">
        <v>2.2229283703784344E-3</v>
      </c>
      <c r="T207" s="24">
        <v>1.0274142668541036E-3</v>
      </c>
    </row>
    <row r="208" spans="1:20" x14ac:dyDescent="0.25">
      <c r="A208" s="16" t="s">
        <v>1539</v>
      </c>
      <c r="B208" s="117" t="s">
        <v>1540</v>
      </c>
      <c r="C208" s="117" t="s">
        <v>456</v>
      </c>
      <c r="D208" s="117" t="s">
        <v>249</v>
      </c>
      <c r="E208" s="117" t="s">
        <v>1541</v>
      </c>
      <c r="F208" s="117" t="s">
        <v>201</v>
      </c>
      <c r="G208" s="117" t="s">
        <v>730</v>
      </c>
      <c r="H208" s="117" t="s">
        <v>569</v>
      </c>
      <c r="I208" s="117" t="s">
        <v>1542</v>
      </c>
      <c r="J208" s="118">
        <v>2.0499999999999998</v>
      </c>
      <c r="K208" s="118" t="s">
        <v>255</v>
      </c>
      <c r="L208" s="117">
        <v>3.27E-2</v>
      </c>
      <c r="M208" s="117">
        <v>5.6600000000000004E-2</v>
      </c>
      <c r="N208" s="69">
        <v>62988.076858094973</v>
      </c>
      <c r="O208" s="60">
        <v>96.6</v>
      </c>
      <c r="P208" s="84">
        <v>0</v>
      </c>
      <c r="Q208" s="84">
        <v>60.84648</v>
      </c>
      <c r="R208" s="24">
        <v>1.9958641940123821E-4</v>
      </c>
      <c r="S208" s="24">
        <v>5.4228322533563206E-4</v>
      </c>
      <c r="T208" s="24">
        <v>2.5063764078490621E-4</v>
      </c>
    </row>
    <row r="209" spans="1:20" x14ac:dyDescent="0.25">
      <c r="A209" s="16" t="s">
        <v>1274</v>
      </c>
      <c r="B209" s="117" t="s">
        <v>1275</v>
      </c>
      <c r="C209" s="117" t="s">
        <v>456</v>
      </c>
      <c r="D209" s="117" t="s">
        <v>249</v>
      </c>
      <c r="E209" s="117" t="s">
        <v>1276</v>
      </c>
      <c r="F209" s="117" t="s">
        <v>212</v>
      </c>
      <c r="G209" s="117" t="s">
        <v>585</v>
      </c>
      <c r="H209" s="117" t="s">
        <v>254</v>
      </c>
      <c r="I209" s="117" t="s">
        <v>1277</v>
      </c>
      <c r="J209" s="118">
        <v>8.17</v>
      </c>
      <c r="K209" s="118" t="s">
        <v>255</v>
      </c>
      <c r="L209" s="117">
        <v>2.4E-2</v>
      </c>
      <c r="M209" s="117">
        <v>5.3800000000000001E-2</v>
      </c>
      <c r="N209" s="69">
        <v>129205.82943586681</v>
      </c>
      <c r="O209" s="60">
        <v>79.239999999999995</v>
      </c>
      <c r="P209" s="84">
        <v>0</v>
      </c>
      <c r="Q209" s="84">
        <v>102.3827</v>
      </c>
      <c r="R209" s="24">
        <v>1.7203528726049202E-4</v>
      </c>
      <c r="S209" s="24">
        <v>9.1246725816465331E-4</v>
      </c>
      <c r="T209" s="24">
        <v>4.2173283294594558E-4</v>
      </c>
    </row>
    <row r="210" spans="1:20" x14ac:dyDescent="0.25">
      <c r="A210" s="16" t="s">
        <v>1476</v>
      </c>
      <c r="B210" s="117" t="s">
        <v>1477</v>
      </c>
      <c r="C210" s="117" t="s">
        <v>456</v>
      </c>
      <c r="D210" s="117" t="s">
        <v>249</v>
      </c>
      <c r="E210" s="117" t="s">
        <v>1478</v>
      </c>
      <c r="F210" s="117" t="s">
        <v>201</v>
      </c>
      <c r="G210" s="117" t="s">
        <v>1453</v>
      </c>
      <c r="H210" s="117" t="s">
        <v>569</v>
      </c>
      <c r="I210" s="117" t="s">
        <v>1479</v>
      </c>
      <c r="J210" s="118">
        <v>1.32</v>
      </c>
      <c r="K210" s="118" t="s">
        <v>255</v>
      </c>
      <c r="L210" s="117">
        <v>3.1800000000000002E-2</v>
      </c>
      <c r="M210" s="117">
        <v>6.8199999999999997E-2</v>
      </c>
      <c r="N210" s="69">
        <v>59350.514795985138</v>
      </c>
      <c r="O210" s="60">
        <v>96.05</v>
      </c>
      <c r="P210" s="84">
        <v>0</v>
      </c>
      <c r="Q210" s="84">
        <v>57.006169999999997</v>
      </c>
      <c r="R210" s="24">
        <v>5.3955013450895581E-4</v>
      </c>
      <c r="S210" s="24">
        <v>5.0805715846884397E-4</v>
      </c>
      <c r="T210" s="24">
        <v>2.3481871028502052E-4</v>
      </c>
    </row>
    <row r="211" spans="1:20" x14ac:dyDescent="0.25">
      <c r="A211" s="16" t="s">
        <v>1480</v>
      </c>
      <c r="B211" s="117" t="s">
        <v>1481</v>
      </c>
      <c r="C211" s="117" t="s">
        <v>456</v>
      </c>
      <c r="D211" s="117" t="s">
        <v>249</v>
      </c>
      <c r="E211" s="117" t="s">
        <v>1478</v>
      </c>
      <c r="F211" s="117" t="s">
        <v>201</v>
      </c>
      <c r="G211" s="117" t="s">
        <v>1453</v>
      </c>
      <c r="H211" s="117" t="s">
        <v>569</v>
      </c>
      <c r="I211" s="117" t="s">
        <v>1479</v>
      </c>
      <c r="J211" s="118">
        <v>2.72</v>
      </c>
      <c r="K211" s="118" t="s">
        <v>255</v>
      </c>
      <c r="L211" s="117">
        <v>3.2000000000000001E-2</v>
      </c>
      <c r="M211" s="117">
        <v>7.22E-2</v>
      </c>
      <c r="N211" s="69">
        <v>42473.799063385173</v>
      </c>
      <c r="O211" s="60">
        <v>90.65</v>
      </c>
      <c r="P211" s="84">
        <v>0</v>
      </c>
      <c r="Q211" s="84">
        <v>38.502499999999998</v>
      </c>
      <c r="R211" s="24">
        <v>2.831586604225678E-4</v>
      </c>
      <c r="S211" s="24">
        <v>3.4314655315287215E-4</v>
      </c>
      <c r="T211" s="24">
        <v>1.5859875155178823E-4</v>
      </c>
    </row>
    <row r="212" spans="1:20" x14ac:dyDescent="0.25">
      <c r="A212" s="16" t="s">
        <v>1482</v>
      </c>
      <c r="B212" s="117" t="s">
        <v>1483</v>
      </c>
      <c r="C212" s="117" t="s">
        <v>456</v>
      </c>
      <c r="D212" s="117" t="s">
        <v>249</v>
      </c>
      <c r="E212" s="117" t="s">
        <v>1478</v>
      </c>
      <c r="F212" s="117" t="s">
        <v>201</v>
      </c>
      <c r="G212" s="117" t="s">
        <v>1453</v>
      </c>
      <c r="H212" s="117" t="s">
        <v>569</v>
      </c>
      <c r="I212" s="117" t="s">
        <v>1479</v>
      </c>
      <c r="J212" s="118">
        <v>0</v>
      </c>
      <c r="K212" s="118" t="s">
        <v>255</v>
      </c>
      <c r="L212" s="117">
        <v>3.2000000000000001E-2</v>
      </c>
      <c r="M212" s="117">
        <v>7.2300000000000003E-2</v>
      </c>
      <c r="N212" s="69">
        <v>44338.196735293262</v>
      </c>
      <c r="O212" s="60">
        <v>90.619410000000002</v>
      </c>
      <c r="P212" s="84">
        <v>0</v>
      </c>
      <c r="Q212" s="84">
        <v>40.179010000000005</v>
      </c>
      <c r="R212" s="24">
        <v>2.9558797823528844E-4</v>
      </c>
      <c r="S212" s="24">
        <v>3.580881446813787E-4</v>
      </c>
      <c r="T212" s="24">
        <v>1.6550459904127824E-4</v>
      </c>
    </row>
    <row r="213" spans="1:20" x14ac:dyDescent="0.25">
      <c r="A213" s="16" t="s">
        <v>1484</v>
      </c>
      <c r="B213" s="117" t="s">
        <v>1486</v>
      </c>
      <c r="C213" s="117" t="s">
        <v>456</v>
      </c>
      <c r="D213" s="117" t="s">
        <v>249</v>
      </c>
      <c r="E213" s="117" t="s">
        <v>1487</v>
      </c>
      <c r="F213" s="117" t="s">
        <v>205</v>
      </c>
      <c r="G213" s="117" t="s">
        <v>573</v>
      </c>
      <c r="H213" s="117" t="s">
        <v>573</v>
      </c>
      <c r="I213" s="117" t="s">
        <v>1488</v>
      </c>
      <c r="J213" s="118">
        <v>4.25</v>
      </c>
      <c r="K213" s="118" t="s">
        <v>255</v>
      </c>
      <c r="L213" s="117">
        <v>4.8499999999999995E-2</v>
      </c>
      <c r="M213" s="117">
        <v>5.2699999999999997E-2</v>
      </c>
      <c r="N213" s="69">
        <v>9507.5560722476966</v>
      </c>
      <c r="O213" s="60">
        <v>99.8</v>
      </c>
      <c r="P213" s="84">
        <v>0</v>
      </c>
      <c r="Q213" s="84">
        <v>9.4885400000000004</v>
      </c>
      <c r="R213" s="24">
        <v>3.8542375372946496E-5</v>
      </c>
      <c r="S213" s="24">
        <v>8.4564893070661747E-5</v>
      </c>
      <c r="T213" s="24">
        <v>3.9085010013614825E-5</v>
      </c>
    </row>
    <row r="214" spans="1:20" x14ac:dyDescent="0.25">
      <c r="A214" s="16" t="s">
        <v>1343</v>
      </c>
      <c r="B214" s="117" t="s">
        <v>1344</v>
      </c>
      <c r="C214" s="117" t="s">
        <v>456</v>
      </c>
      <c r="D214" s="117" t="s">
        <v>249</v>
      </c>
      <c r="E214" s="117" t="s">
        <v>765</v>
      </c>
      <c r="F214" s="117" t="s">
        <v>204</v>
      </c>
      <c r="G214" s="117" t="s">
        <v>671</v>
      </c>
      <c r="H214" s="117" t="s">
        <v>254</v>
      </c>
      <c r="I214" s="117" t="s">
        <v>1345</v>
      </c>
      <c r="J214" s="118">
        <v>1.65</v>
      </c>
      <c r="K214" s="118" t="s">
        <v>255</v>
      </c>
      <c r="L214" s="117">
        <v>2.7999999999999997E-2</v>
      </c>
      <c r="M214" s="117">
        <v>6.2300000000000001E-2</v>
      </c>
      <c r="N214" s="69">
        <v>199166.79955448434</v>
      </c>
      <c r="O214" s="60">
        <v>95.33</v>
      </c>
      <c r="P214" s="84">
        <v>0</v>
      </c>
      <c r="Q214" s="84">
        <v>189.86570999999998</v>
      </c>
      <c r="R214" s="24">
        <v>5.7283118372027347E-4</v>
      </c>
      <c r="S214" s="24">
        <v>1.692143729586983E-3</v>
      </c>
      <c r="T214" s="24">
        <v>7.8209115170427561E-4</v>
      </c>
    </row>
    <row r="215" spans="1:20" x14ac:dyDescent="0.25">
      <c r="A215" s="16" t="s">
        <v>1446</v>
      </c>
      <c r="B215" s="117" t="s">
        <v>1447</v>
      </c>
      <c r="C215" s="117" t="s">
        <v>456</v>
      </c>
      <c r="D215" s="117" t="s">
        <v>249</v>
      </c>
      <c r="E215" s="117" t="s">
        <v>765</v>
      </c>
      <c r="F215" s="117" t="s">
        <v>204</v>
      </c>
      <c r="G215" s="117" t="s">
        <v>671</v>
      </c>
      <c r="H215" s="117" t="s">
        <v>254</v>
      </c>
      <c r="I215" s="117" t="s">
        <v>1448</v>
      </c>
      <c r="J215" s="118">
        <v>3.43</v>
      </c>
      <c r="K215" s="118" t="s">
        <v>255</v>
      </c>
      <c r="L215" s="117">
        <v>5.6500000000000002E-2</v>
      </c>
      <c r="M215" s="117">
        <v>6.6100000000000006E-2</v>
      </c>
      <c r="N215" s="69">
        <v>188269.99781697858</v>
      </c>
      <c r="O215" s="60">
        <v>97.13</v>
      </c>
      <c r="P215" s="84">
        <v>11.529359122000001</v>
      </c>
      <c r="Q215" s="84">
        <v>190.68798999999999</v>
      </c>
      <c r="R215" s="24">
        <v>4.4586019929072202E-4</v>
      </c>
      <c r="S215" s="24">
        <v>1.6994721510590052E-3</v>
      </c>
      <c r="T215" s="24">
        <v>7.8547827153872807E-4</v>
      </c>
    </row>
    <row r="216" spans="1:20" x14ac:dyDescent="0.25">
      <c r="A216" s="16" t="s">
        <v>1491</v>
      </c>
      <c r="B216" s="117" t="s">
        <v>1492</v>
      </c>
      <c r="C216" s="117" t="s">
        <v>456</v>
      </c>
      <c r="D216" s="117" t="s">
        <v>249</v>
      </c>
      <c r="E216" s="117" t="s">
        <v>1092</v>
      </c>
      <c r="F216" s="117" t="s">
        <v>228</v>
      </c>
      <c r="G216" s="117" t="s">
        <v>671</v>
      </c>
      <c r="H216" s="117" t="s">
        <v>254</v>
      </c>
      <c r="I216" s="117" t="s">
        <v>1493</v>
      </c>
      <c r="J216" s="118">
        <v>4.54</v>
      </c>
      <c r="K216" s="118" t="s">
        <v>255</v>
      </c>
      <c r="L216" s="117">
        <v>5.5E-2</v>
      </c>
      <c r="M216" s="117">
        <v>6.7599999999999993E-2</v>
      </c>
      <c r="N216" s="69">
        <v>62668.829307835003</v>
      </c>
      <c r="O216" s="60">
        <v>96.34</v>
      </c>
      <c r="P216" s="84">
        <v>0</v>
      </c>
      <c r="Q216" s="84">
        <v>60.375150000000005</v>
      </c>
      <c r="R216" s="24">
        <v>2.5746307370653923E-4</v>
      </c>
      <c r="S216" s="24">
        <v>5.3808258213330635E-4</v>
      </c>
      <c r="T216" s="24">
        <v>2.4869614738658391E-4</v>
      </c>
    </row>
    <row r="217" spans="1:20" x14ac:dyDescent="0.25">
      <c r="A217" s="16" t="s">
        <v>1420</v>
      </c>
      <c r="B217" s="117" t="s">
        <v>1421</v>
      </c>
      <c r="C217" s="117" t="s">
        <v>456</v>
      </c>
      <c r="D217" s="117" t="s">
        <v>249</v>
      </c>
      <c r="E217" s="117" t="s">
        <v>1422</v>
      </c>
      <c r="F217" s="117" t="s">
        <v>235</v>
      </c>
      <c r="G217" s="117" t="s">
        <v>577</v>
      </c>
      <c r="H217" s="117" t="s">
        <v>254</v>
      </c>
      <c r="I217" s="117" t="s">
        <v>1423</v>
      </c>
      <c r="J217" s="118">
        <v>3.25</v>
      </c>
      <c r="K217" s="118" t="s">
        <v>255</v>
      </c>
      <c r="L217" s="117">
        <v>2.1000000000000001E-2</v>
      </c>
      <c r="M217" s="117">
        <v>5.6100000000000004E-2</v>
      </c>
      <c r="N217" s="69">
        <v>22931.533611888684</v>
      </c>
      <c r="O217" s="60">
        <v>89.88</v>
      </c>
      <c r="P217" s="84">
        <v>0</v>
      </c>
      <c r="Q217" s="84">
        <v>20.610859999999999</v>
      </c>
      <c r="R217" s="24">
        <v>5.3562706246747295E-5</v>
      </c>
      <c r="S217" s="24">
        <v>1.8369055428910867E-4</v>
      </c>
      <c r="T217" s="24">
        <v>8.4899854929126409E-5</v>
      </c>
    </row>
    <row r="218" spans="1:20" x14ac:dyDescent="0.25">
      <c r="A218" s="16" t="s">
        <v>1424</v>
      </c>
      <c r="B218" s="117" t="s">
        <v>1425</v>
      </c>
      <c r="C218" s="117" t="s">
        <v>456</v>
      </c>
      <c r="D218" s="117" t="s">
        <v>249</v>
      </c>
      <c r="E218" s="117" t="s">
        <v>1422</v>
      </c>
      <c r="F218" s="117" t="s">
        <v>235</v>
      </c>
      <c r="G218" s="117" t="s">
        <v>577</v>
      </c>
      <c r="H218" s="117" t="s">
        <v>254</v>
      </c>
      <c r="I218" s="117" t="s">
        <v>1426</v>
      </c>
      <c r="J218" s="118">
        <v>0</v>
      </c>
      <c r="K218" s="118" t="s">
        <v>255</v>
      </c>
      <c r="L218" s="117">
        <v>2.1000000000000001E-2</v>
      </c>
      <c r="M218" s="117">
        <v>5.5599999999999997E-2</v>
      </c>
      <c r="N218" s="69">
        <v>207816.99789852928</v>
      </c>
      <c r="O218" s="60">
        <v>89.042298000000002</v>
      </c>
      <c r="P218" s="84">
        <v>0</v>
      </c>
      <c r="Q218" s="84">
        <v>185.04503</v>
      </c>
      <c r="R218" s="24">
        <v>4.8541196589437494E-4</v>
      </c>
      <c r="S218" s="24">
        <v>1.6491802927750101E-3</v>
      </c>
      <c r="T218" s="24">
        <v>7.6223390010682942E-4</v>
      </c>
    </row>
    <row r="219" spans="1:20" x14ac:dyDescent="0.25">
      <c r="A219" s="16" t="s">
        <v>1529</v>
      </c>
      <c r="B219" s="117" t="s">
        <v>1530</v>
      </c>
      <c r="C219" s="117" t="s">
        <v>456</v>
      </c>
      <c r="D219" s="117" t="s">
        <v>249</v>
      </c>
      <c r="E219" s="117" t="s">
        <v>1531</v>
      </c>
      <c r="F219" s="117" t="s">
        <v>224</v>
      </c>
      <c r="G219" s="117" t="s">
        <v>615</v>
      </c>
      <c r="H219" s="117" t="s">
        <v>569</v>
      </c>
      <c r="I219" s="117" t="s">
        <v>1532</v>
      </c>
      <c r="J219" s="118">
        <v>3.06</v>
      </c>
      <c r="K219" s="118" t="s">
        <v>255</v>
      </c>
      <c r="L219" s="117">
        <v>2.8500000000000001E-2</v>
      </c>
      <c r="M219" s="117">
        <v>6.54E-2</v>
      </c>
      <c r="N219" s="69">
        <v>171984.66589246641</v>
      </c>
      <c r="O219" s="60">
        <v>90.45</v>
      </c>
      <c r="P219" s="84">
        <v>0</v>
      </c>
      <c r="Q219" s="84">
        <v>155.56013000000002</v>
      </c>
      <c r="R219" s="24">
        <v>3.1188491867615805E-4</v>
      </c>
      <c r="S219" s="24">
        <v>1.3864014652947914E-3</v>
      </c>
      <c r="T219" s="24">
        <v>6.4078027165077281E-4</v>
      </c>
    </row>
    <row r="220" spans="1:20" x14ac:dyDescent="0.25">
      <c r="A220" s="16" t="s">
        <v>1297</v>
      </c>
      <c r="B220" s="117" t="s">
        <v>1298</v>
      </c>
      <c r="C220" s="117" t="s">
        <v>456</v>
      </c>
      <c r="D220" s="117" t="s">
        <v>249</v>
      </c>
      <c r="E220" s="117" t="s">
        <v>1299</v>
      </c>
      <c r="F220" s="117" t="s">
        <v>225</v>
      </c>
      <c r="G220" s="117" t="s">
        <v>718</v>
      </c>
      <c r="H220" s="117" t="s">
        <v>569</v>
      </c>
      <c r="I220" s="117" t="s">
        <v>1300</v>
      </c>
      <c r="J220" s="118">
        <v>3.53</v>
      </c>
      <c r="K220" s="118" t="s">
        <v>255</v>
      </c>
      <c r="L220" s="117">
        <v>1.7000000000000001E-2</v>
      </c>
      <c r="M220" s="117">
        <v>5.9299999999999999E-2</v>
      </c>
      <c r="N220" s="69">
        <v>123075.16369180773</v>
      </c>
      <c r="O220" s="60">
        <v>87.52</v>
      </c>
      <c r="P220" s="84">
        <v>0</v>
      </c>
      <c r="Q220" s="84">
        <v>107.71538000000001</v>
      </c>
      <c r="R220" s="24">
        <v>5.3357826971216389E-4</v>
      </c>
      <c r="S220" s="24">
        <v>9.599938021830225E-4</v>
      </c>
      <c r="T220" s="24">
        <v>4.4369910501724461E-4</v>
      </c>
    </row>
    <row r="221" spans="1:20" x14ac:dyDescent="0.25">
      <c r="A221" s="16" t="s">
        <v>1381</v>
      </c>
      <c r="B221" s="117" t="s">
        <v>1382</v>
      </c>
      <c r="C221" s="117" t="s">
        <v>456</v>
      </c>
      <c r="D221" s="117" t="s">
        <v>249</v>
      </c>
      <c r="E221" s="117" t="s">
        <v>1299</v>
      </c>
      <c r="F221" s="117" t="s">
        <v>225</v>
      </c>
      <c r="G221" s="117" t="s">
        <v>718</v>
      </c>
      <c r="H221" s="117" t="s">
        <v>569</v>
      </c>
      <c r="I221" s="117" t="s">
        <v>1383</v>
      </c>
      <c r="J221" s="118">
        <v>4.5999999999999996</v>
      </c>
      <c r="K221" s="118" t="s">
        <v>255</v>
      </c>
      <c r="L221" s="117">
        <v>1.9900000000000001E-2</v>
      </c>
      <c r="M221" s="117">
        <v>5.9900000000000002E-2</v>
      </c>
      <c r="N221" s="69">
        <v>67290.655469287827</v>
      </c>
      <c r="O221" s="60">
        <v>83.72</v>
      </c>
      <c r="P221" s="84">
        <v>0</v>
      </c>
      <c r="Q221" s="84">
        <v>56.335740000000001</v>
      </c>
      <c r="R221" s="24">
        <v>3.058666157694901E-4</v>
      </c>
      <c r="S221" s="24">
        <v>5.0208207260090602E-4</v>
      </c>
      <c r="T221" s="24">
        <v>2.3205708802665121E-4</v>
      </c>
    </row>
    <row r="222" spans="1:20" x14ac:dyDescent="0.25">
      <c r="A222" s="16" t="s">
        <v>1195</v>
      </c>
      <c r="B222" s="117" t="s">
        <v>1196</v>
      </c>
      <c r="C222" s="117" t="s">
        <v>456</v>
      </c>
      <c r="D222" s="117" t="s">
        <v>249</v>
      </c>
      <c r="E222" s="117" t="s">
        <v>605</v>
      </c>
      <c r="F222" s="117" t="s">
        <v>223</v>
      </c>
      <c r="G222" s="117" t="s">
        <v>585</v>
      </c>
      <c r="H222" s="117" t="s">
        <v>254</v>
      </c>
      <c r="I222" s="117" t="s">
        <v>1197</v>
      </c>
      <c r="J222" s="118">
        <v>1.21</v>
      </c>
      <c r="K222" s="118" t="s">
        <v>255</v>
      </c>
      <c r="L222" s="117">
        <v>3.39E-2</v>
      </c>
      <c r="M222" s="117">
        <v>5.6500000000000002E-2</v>
      </c>
      <c r="N222" s="69">
        <v>65669.378888588661</v>
      </c>
      <c r="O222" s="60">
        <v>99.8</v>
      </c>
      <c r="P222" s="84">
        <v>0</v>
      </c>
      <c r="Q222" s="84">
        <v>65.538039999999995</v>
      </c>
      <c r="R222" s="24">
        <v>1.0085483209268378E-4</v>
      </c>
      <c r="S222" s="24">
        <v>5.8409590354899189E-4</v>
      </c>
      <c r="T222" s="24">
        <v>2.6996302378160274E-4</v>
      </c>
    </row>
    <row r="223" spans="1:20" x14ac:dyDescent="0.25">
      <c r="A223" s="16" t="s">
        <v>1281</v>
      </c>
      <c r="B223" s="117" t="s">
        <v>1282</v>
      </c>
      <c r="C223" s="117" t="s">
        <v>456</v>
      </c>
      <c r="D223" s="117" t="s">
        <v>249</v>
      </c>
      <c r="E223" s="117" t="s">
        <v>605</v>
      </c>
      <c r="F223" s="117" t="s">
        <v>223</v>
      </c>
      <c r="G223" s="117" t="s">
        <v>585</v>
      </c>
      <c r="H223" s="117" t="s">
        <v>254</v>
      </c>
      <c r="I223" s="117" t="s">
        <v>631</v>
      </c>
      <c r="J223" s="118">
        <v>6.1</v>
      </c>
      <c r="K223" s="118" t="s">
        <v>255</v>
      </c>
      <c r="L223" s="117">
        <v>2.4399999999999998E-2</v>
      </c>
      <c r="M223" s="117">
        <v>5.5599999999999997E-2</v>
      </c>
      <c r="N223" s="69">
        <v>359051.50678965414</v>
      </c>
      <c r="O223" s="60">
        <v>84.62</v>
      </c>
      <c r="P223" s="84">
        <v>0</v>
      </c>
      <c r="Q223" s="84">
        <v>303.82938999999999</v>
      </c>
      <c r="R223" s="24">
        <v>3.2684486725962519E-4</v>
      </c>
      <c r="S223" s="24">
        <v>2.7078243730936881E-3</v>
      </c>
      <c r="T223" s="24">
        <v>1.2515281329456885E-3</v>
      </c>
    </row>
    <row r="224" spans="1:20" x14ac:dyDescent="0.25">
      <c r="A224" s="16" t="s">
        <v>1367</v>
      </c>
      <c r="B224" s="117" t="s">
        <v>1368</v>
      </c>
      <c r="C224" s="117" t="s">
        <v>456</v>
      </c>
      <c r="D224" s="117" t="s">
        <v>249</v>
      </c>
      <c r="E224" s="117" t="s">
        <v>1369</v>
      </c>
      <c r="F224" s="117" t="s">
        <v>231</v>
      </c>
      <c r="G224" s="117" t="s">
        <v>730</v>
      </c>
      <c r="H224" s="117" t="s">
        <v>569</v>
      </c>
      <c r="I224" s="117" t="s">
        <v>1370</v>
      </c>
      <c r="J224" s="118">
        <v>4.6900000000000004</v>
      </c>
      <c r="K224" s="118" t="s">
        <v>255</v>
      </c>
      <c r="L224" s="117">
        <v>1.4999999999999999E-2</v>
      </c>
      <c r="M224" s="117">
        <v>6.0400000000000002E-2</v>
      </c>
      <c r="N224" s="69">
        <v>93542.671934520433</v>
      </c>
      <c r="O224" s="60">
        <v>81.430000000000007</v>
      </c>
      <c r="P224" s="84">
        <v>0</v>
      </c>
      <c r="Q224" s="84">
        <v>76.171800000000005</v>
      </c>
      <c r="R224" s="24">
        <v>2.4235736439236322E-4</v>
      </c>
      <c r="S224" s="24">
        <v>6.7886736231283543E-4</v>
      </c>
      <c r="T224" s="24">
        <v>3.1376540181683016E-4</v>
      </c>
    </row>
    <row r="225" spans="1:20" x14ac:dyDescent="0.25">
      <c r="A225" s="16" t="s">
        <v>1548</v>
      </c>
      <c r="B225" s="117" t="s">
        <v>1549</v>
      </c>
      <c r="C225" s="117" t="s">
        <v>456</v>
      </c>
      <c r="D225" s="117" t="s">
        <v>249</v>
      </c>
      <c r="E225" s="117" t="s">
        <v>1550</v>
      </c>
      <c r="F225" s="117" t="s">
        <v>231</v>
      </c>
      <c r="G225" s="117" t="s">
        <v>564</v>
      </c>
      <c r="H225" s="117" t="s">
        <v>254</v>
      </c>
      <c r="I225" s="117" t="s">
        <v>470</v>
      </c>
      <c r="J225" s="118">
        <v>3.82</v>
      </c>
      <c r="K225" s="118" t="s">
        <v>255</v>
      </c>
      <c r="L225" s="117">
        <v>2.5000000000000001E-3</v>
      </c>
      <c r="M225" s="117">
        <v>5.8400000000000001E-2</v>
      </c>
      <c r="N225" s="69">
        <v>19286.103231242159</v>
      </c>
      <c r="O225" s="60">
        <v>81.3</v>
      </c>
      <c r="P225" s="84">
        <v>0</v>
      </c>
      <c r="Q225" s="84">
        <v>15.679600000000001</v>
      </c>
      <c r="R225" s="24">
        <v>3.4038184177327579E-5</v>
      </c>
      <c r="S225" s="24">
        <v>1.397415932683793E-4</v>
      </c>
      <c r="T225" s="24">
        <v>6.4587104339495333E-5</v>
      </c>
    </row>
    <row r="226" spans="1:20" x14ac:dyDescent="0.25">
      <c r="A226" s="16" t="s">
        <v>1271</v>
      </c>
      <c r="B226" s="117" t="s">
        <v>1272</v>
      </c>
      <c r="C226" s="117" t="s">
        <v>456</v>
      </c>
      <c r="D226" s="117" t="s">
        <v>249</v>
      </c>
      <c r="E226" s="117" t="s">
        <v>981</v>
      </c>
      <c r="F226" s="117" t="s">
        <v>224</v>
      </c>
      <c r="G226" s="117" t="s">
        <v>730</v>
      </c>
      <c r="H226" s="117" t="s">
        <v>569</v>
      </c>
      <c r="I226" s="117" t="s">
        <v>1273</v>
      </c>
      <c r="J226" s="118">
        <v>3.23</v>
      </c>
      <c r="K226" s="118" t="s">
        <v>255</v>
      </c>
      <c r="L226" s="117">
        <v>3.2500000000000001E-2</v>
      </c>
      <c r="M226" s="117">
        <v>6.6500000000000004E-2</v>
      </c>
      <c r="N226" s="69">
        <v>34186.476209158536</v>
      </c>
      <c r="O226" s="60">
        <v>89.97</v>
      </c>
      <c r="P226" s="84">
        <v>0.55553025010000001</v>
      </c>
      <c r="Q226" s="84">
        <v>31.313099999999999</v>
      </c>
      <c r="R226" s="24">
        <v>9.9594403636804314E-5</v>
      </c>
      <c r="S226" s="24">
        <v>2.7907232864180767E-4</v>
      </c>
      <c r="T226" s="24">
        <v>1.2898431445273163E-4</v>
      </c>
    </row>
    <row r="227" spans="1:20" x14ac:dyDescent="0.25">
      <c r="A227" s="16" t="s">
        <v>1348</v>
      </c>
      <c r="B227" s="117" t="s">
        <v>1349</v>
      </c>
      <c r="C227" s="117" t="s">
        <v>456</v>
      </c>
      <c r="D227" s="117" t="s">
        <v>249</v>
      </c>
      <c r="E227" s="117" t="s">
        <v>981</v>
      </c>
      <c r="F227" s="117" t="s">
        <v>224</v>
      </c>
      <c r="G227" s="117" t="s">
        <v>730</v>
      </c>
      <c r="H227" s="117" t="s">
        <v>569</v>
      </c>
      <c r="I227" s="117" t="s">
        <v>476</v>
      </c>
      <c r="J227" s="118">
        <v>3.42</v>
      </c>
      <c r="K227" s="118" t="s">
        <v>255</v>
      </c>
      <c r="L227" s="117">
        <v>2.3E-2</v>
      </c>
      <c r="M227" s="117">
        <v>5.7699999999999994E-2</v>
      </c>
      <c r="N227" s="69">
        <v>96352.733185037912</v>
      </c>
      <c r="O227" s="60">
        <v>89.28</v>
      </c>
      <c r="P227" s="84">
        <v>0</v>
      </c>
      <c r="Q227" s="84">
        <v>86.023719999999997</v>
      </c>
      <c r="R227" s="24">
        <v>1.7054134222147633E-4</v>
      </c>
      <c r="S227" s="24">
        <v>7.6667081377541175E-4</v>
      </c>
      <c r="T227" s="24">
        <v>3.5434723968159459E-4</v>
      </c>
    </row>
    <row r="228" spans="1:20" x14ac:dyDescent="0.25">
      <c r="A228" s="16" t="s">
        <v>1305</v>
      </c>
      <c r="B228" s="117" t="s">
        <v>1306</v>
      </c>
      <c r="C228" s="117" t="s">
        <v>456</v>
      </c>
      <c r="D228" s="117" t="s">
        <v>249</v>
      </c>
      <c r="E228" s="117" t="s">
        <v>1307</v>
      </c>
      <c r="F228" s="117" t="s">
        <v>226</v>
      </c>
      <c r="G228" s="117" t="s">
        <v>730</v>
      </c>
      <c r="H228" s="117" t="s">
        <v>569</v>
      </c>
      <c r="I228" s="117" t="s">
        <v>1308</v>
      </c>
      <c r="J228" s="118">
        <v>2.61</v>
      </c>
      <c r="K228" s="118" t="s">
        <v>255</v>
      </c>
      <c r="L228" s="117">
        <v>2.4E-2</v>
      </c>
      <c r="M228" s="117">
        <v>6.0700000000000004E-2</v>
      </c>
      <c r="N228" s="69">
        <v>91128.7474669699</v>
      </c>
      <c r="O228" s="60">
        <v>91.2</v>
      </c>
      <c r="P228" s="84">
        <v>1.0935449699999999</v>
      </c>
      <c r="Q228" s="84">
        <v>84.202960000000004</v>
      </c>
      <c r="R228" s="24">
        <v>3.4967801194965114E-4</v>
      </c>
      <c r="S228" s="24">
        <v>7.504436202654158E-4</v>
      </c>
      <c r="T228" s="24">
        <v>3.4684720038868027E-4</v>
      </c>
    </row>
    <row r="229" spans="1:20" x14ac:dyDescent="0.25">
      <c r="A229" s="16" t="s">
        <v>1494</v>
      </c>
      <c r="B229" s="117" t="s">
        <v>1495</v>
      </c>
      <c r="C229" s="117" t="s">
        <v>456</v>
      </c>
      <c r="D229" s="117" t="s">
        <v>249</v>
      </c>
      <c r="E229" s="117" t="s">
        <v>1496</v>
      </c>
      <c r="F229" s="117" t="s">
        <v>228</v>
      </c>
      <c r="G229" s="117" t="s">
        <v>585</v>
      </c>
      <c r="H229" s="117" t="s">
        <v>254</v>
      </c>
      <c r="I229" s="117" t="s">
        <v>1497</v>
      </c>
      <c r="J229" s="118">
        <v>6.96</v>
      </c>
      <c r="K229" s="118" t="s">
        <v>255</v>
      </c>
      <c r="L229" s="117">
        <v>5.3099999999999994E-2</v>
      </c>
      <c r="M229" s="117">
        <v>5.6900000000000006E-2</v>
      </c>
      <c r="N229" s="69">
        <v>93758.835527451942</v>
      </c>
      <c r="O229" s="60">
        <v>99.18</v>
      </c>
      <c r="P229" s="84">
        <v>0</v>
      </c>
      <c r="Q229" s="84">
        <v>92.990009999999998</v>
      </c>
      <c r="R229" s="24">
        <v>5.7941992724686801E-4</v>
      </c>
      <c r="S229" s="24">
        <v>8.2875661084737642E-4</v>
      </c>
      <c r="T229" s="24">
        <v>3.8304264639408615E-4</v>
      </c>
    </row>
    <row r="230" spans="1:20" x14ac:dyDescent="0.25">
      <c r="A230" s="16" t="s">
        <v>1320</v>
      </c>
      <c r="B230" s="117" t="s">
        <v>1321</v>
      </c>
      <c r="C230" s="117" t="s">
        <v>456</v>
      </c>
      <c r="D230" s="117" t="s">
        <v>249</v>
      </c>
      <c r="E230" s="117" t="s">
        <v>1322</v>
      </c>
      <c r="F230" s="117" t="s">
        <v>226</v>
      </c>
      <c r="G230" s="117" t="s">
        <v>573</v>
      </c>
      <c r="H230" s="117" t="s">
        <v>573</v>
      </c>
      <c r="I230" s="117" t="s">
        <v>1323</v>
      </c>
      <c r="J230" s="118">
        <v>0.98</v>
      </c>
      <c r="K230" s="118" t="s">
        <v>255</v>
      </c>
      <c r="L230" s="117">
        <v>4.2000000000000003E-2</v>
      </c>
      <c r="M230" s="117">
        <v>6.4100000000000004E-2</v>
      </c>
      <c r="N230" s="69">
        <v>33026.473045229046</v>
      </c>
      <c r="O230" s="60">
        <v>99</v>
      </c>
      <c r="P230" s="84">
        <v>0</v>
      </c>
      <c r="Q230" s="84">
        <v>32.696210000000001</v>
      </c>
      <c r="R230" s="24">
        <v>3.8402875633987264E-4</v>
      </c>
      <c r="S230" s="24">
        <v>2.9139904584539884E-4</v>
      </c>
      <c r="T230" s="24">
        <v>1.3468159435036929E-4</v>
      </c>
    </row>
    <row r="231" spans="1:20" x14ac:dyDescent="0.25">
      <c r="A231" s="16" t="s">
        <v>1357</v>
      </c>
      <c r="B231" s="117" t="s">
        <v>1358</v>
      </c>
      <c r="C231" s="117" t="s">
        <v>456</v>
      </c>
      <c r="D231" s="117" t="s">
        <v>249</v>
      </c>
      <c r="E231" s="117" t="s">
        <v>1322</v>
      </c>
      <c r="F231" s="117" t="s">
        <v>226</v>
      </c>
      <c r="G231" s="117" t="s">
        <v>573</v>
      </c>
      <c r="H231" s="117" t="s">
        <v>573</v>
      </c>
      <c r="I231" s="117" t="s">
        <v>1359</v>
      </c>
      <c r="J231" s="118">
        <v>1.04</v>
      </c>
      <c r="K231" s="118" t="s">
        <v>255</v>
      </c>
      <c r="L231" s="117">
        <v>3.0499999999999999E-2</v>
      </c>
      <c r="M231" s="117">
        <v>8.0399999999999985E-2</v>
      </c>
      <c r="N231" s="69">
        <v>48051.324871782483</v>
      </c>
      <c r="O231" s="60">
        <v>95.88</v>
      </c>
      <c r="P231" s="84">
        <v>0</v>
      </c>
      <c r="Q231" s="84">
        <v>46.07161</v>
      </c>
      <c r="R231" s="24">
        <v>4.5763166544554747E-4</v>
      </c>
      <c r="S231" s="24">
        <v>4.1060487422124267E-4</v>
      </c>
      <c r="T231" s="24">
        <v>1.8977728272140463E-4</v>
      </c>
    </row>
    <row r="232" spans="1:20" x14ac:dyDescent="0.25">
      <c r="A232" s="16" t="s">
        <v>1203</v>
      </c>
      <c r="B232" s="117" t="s">
        <v>1204</v>
      </c>
      <c r="C232" s="117" t="s">
        <v>456</v>
      </c>
      <c r="D232" s="117" t="s">
        <v>249</v>
      </c>
      <c r="E232" s="117" t="s">
        <v>638</v>
      </c>
      <c r="F232" s="117" t="s">
        <v>206</v>
      </c>
      <c r="G232" s="117" t="s">
        <v>568</v>
      </c>
      <c r="H232" s="117" t="s">
        <v>569</v>
      </c>
      <c r="I232" s="117" t="s">
        <v>1205</v>
      </c>
      <c r="J232" s="118">
        <v>1.1299999999999999</v>
      </c>
      <c r="K232" s="118" t="s">
        <v>255</v>
      </c>
      <c r="L232" s="117">
        <v>3.6499999999999998E-2</v>
      </c>
      <c r="M232" s="117">
        <v>5.3200000000000004E-2</v>
      </c>
      <c r="N232" s="69">
        <v>520961.94664424623</v>
      </c>
      <c r="O232" s="60">
        <v>99.41</v>
      </c>
      <c r="P232" s="84">
        <v>0</v>
      </c>
      <c r="Q232" s="84">
        <v>517.88827000000003</v>
      </c>
      <c r="R232" s="24">
        <v>3.2611661277424247E-4</v>
      </c>
      <c r="S232" s="24">
        <v>4.6155853455958447E-3</v>
      </c>
      <c r="T232" s="24">
        <v>2.1332753214808242E-3</v>
      </c>
    </row>
    <row r="233" spans="1:20" x14ac:dyDescent="0.25">
      <c r="A233" s="16" t="s">
        <v>1287</v>
      </c>
      <c r="B233" s="117" t="s">
        <v>1288</v>
      </c>
      <c r="C233" s="117" t="s">
        <v>456</v>
      </c>
      <c r="D233" s="117" t="s">
        <v>249</v>
      </c>
      <c r="E233" s="117" t="s">
        <v>638</v>
      </c>
      <c r="F233" s="117" t="s">
        <v>206</v>
      </c>
      <c r="G233" s="117" t="s">
        <v>568</v>
      </c>
      <c r="H233" s="117" t="s">
        <v>569</v>
      </c>
      <c r="I233" s="117" t="s">
        <v>835</v>
      </c>
      <c r="J233" s="118">
        <v>4.26</v>
      </c>
      <c r="K233" s="118" t="s">
        <v>255</v>
      </c>
      <c r="L233" s="117">
        <v>3.6000000000000004E-2</v>
      </c>
      <c r="M233" s="117">
        <v>5.1200000000000002E-2</v>
      </c>
      <c r="N233" s="69">
        <v>167834.79241764796</v>
      </c>
      <c r="O233" s="60">
        <v>93.46</v>
      </c>
      <c r="P233" s="84">
        <v>0</v>
      </c>
      <c r="Q233" s="84">
        <v>156.85839999999999</v>
      </c>
      <c r="R233" s="24">
        <v>2.0105609526220277E-4</v>
      </c>
      <c r="S233" s="24">
        <v>1.3979720613745725E-3</v>
      </c>
      <c r="T233" s="24">
        <v>6.4612808026520403E-4</v>
      </c>
    </row>
    <row r="234" spans="1:20" x14ac:dyDescent="0.25">
      <c r="A234" s="16" t="s">
        <v>1392</v>
      </c>
      <c r="B234" s="117" t="s">
        <v>1393</v>
      </c>
      <c r="C234" s="117" t="s">
        <v>456</v>
      </c>
      <c r="D234" s="117" t="s">
        <v>249</v>
      </c>
      <c r="E234" s="117" t="s">
        <v>638</v>
      </c>
      <c r="F234" s="117" t="s">
        <v>206</v>
      </c>
      <c r="G234" s="117" t="s">
        <v>568</v>
      </c>
      <c r="H234" s="117" t="s">
        <v>569</v>
      </c>
      <c r="I234" s="117" t="s">
        <v>969</v>
      </c>
      <c r="J234" s="118">
        <v>8.59</v>
      </c>
      <c r="K234" s="118" t="s">
        <v>255</v>
      </c>
      <c r="L234" s="117">
        <v>2.7900000000000001E-2</v>
      </c>
      <c r="M234" s="117">
        <v>5.4900000000000004E-2</v>
      </c>
      <c r="N234" s="69">
        <v>291943.05467469589</v>
      </c>
      <c r="O234" s="60">
        <v>80.599999999999994</v>
      </c>
      <c r="P234" s="84">
        <v>0</v>
      </c>
      <c r="Q234" s="84">
        <v>235.30610000000001</v>
      </c>
      <c r="R234" s="24">
        <v>6.7887418536577036E-4</v>
      </c>
      <c r="S234" s="24">
        <v>2.097122969958965E-3</v>
      </c>
      <c r="T234" s="24">
        <v>9.692683252391465E-4</v>
      </c>
    </row>
    <row r="235" spans="1:20" x14ac:dyDescent="0.25">
      <c r="A235" s="16" t="s">
        <v>1498</v>
      </c>
      <c r="B235" s="117" t="s">
        <v>1499</v>
      </c>
      <c r="C235" s="117" t="s">
        <v>456</v>
      </c>
      <c r="D235" s="117" t="s">
        <v>249</v>
      </c>
      <c r="E235" s="117" t="s">
        <v>1500</v>
      </c>
      <c r="F235" s="117" t="s">
        <v>206</v>
      </c>
      <c r="G235" s="117" t="s">
        <v>615</v>
      </c>
      <c r="H235" s="117" t="s">
        <v>569</v>
      </c>
      <c r="I235" s="117" t="s">
        <v>1501</v>
      </c>
      <c r="J235" s="118">
        <v>2.98</v>
      </c>
      <c r="K235" s="118" t="s">
        <v>255</v>
      </c>
      <c r="L235" s="117">
        <v>3.6499999999999998E-2</v>
      </c>
      <c r="M235" s="117">
        <v>5.91E-2</v>
      </c>
      <c r="N235" s="69">
        <v>152242.47343301403</v>
      </c>
      <c r="O235" s="60">
        <v>94.97</v>
      </c>
      <c r="P235" s="84">
        <v>0</v>
      </c>
      <c r="Q235" s="84">
        <v>144.58467999999999</v>
      </c>
      <c r="R235" s="24">
        <v>7.5751318711067574E-5</v>
      </c>
      <c r="S235" s="24">
        <v>1.2885847563329916E-3</v>
      </c>
      <c r="T235" s="24">
        <v>5.9557041079189152E-4</v>
      </c>
    </row>
    <row r="236" spans="1:20" x14ac:dyDescent="0.25">
      <c r="A236" s="16" t="s">
        <v>1374</v>
      </c>
      <c r="B236" s="117" t="s">
        <v>1375</v>
      </c>
      <c r="C236" s="117" t="s">
        <v>456</v>
      </c>
      <c r="D236" s="117" t="s">
        <v>249</v>
      </c>
      <c r="E236" s="117" t="s">
        <v>634</v>
      </c>
      <c r="F236" s="117" t="s">
        <v>223</v>
      </c>
      <c r="G236" s="117" t="s">
        <v>577</v>
      </c>
      <c r="H236" s="117" t="s">
        <v>254</v>
      </c>
      <c r="I236" s="117" t="s">
        <v>1376</v>
      </c>
      <c r="J236" s="118">
        <v>4.92</v>
      </c>
      <c r="K236" s="118" t="s">
        <v>255</v>
      </c>
      <c r="L236" s="117">
        <v>2.0899999999999998E-2</v>
      </c>
      <c r="M236" s="117">
        <v>5.6500000000000002E-2</v>
      </c>
      <c r="N236" s="69">
        <v>2410.9952011310279</v>
      </c>
      <c r="O236" s="60">
        <v>85.06</v>
      </c>
      <c r="P236" s="84">
        <v>0</v>
      </c>
      <c r="Q236" s="84">
        <v>2.0507900000000001</v>
      </c>
      <c r="R236" s="24">
        <v>1.2250991875665792E-5</v>
      </c>
      <c r="S236" s="24">
        <v>1.8277294194932241E-5</v>
      </c>
      <c r="T236" s="24">
        <v>8.4475744093212593E-6</v>
      </c>
    </row>
    <row r="237" spans="1:20" x14ac:dyDescent="0.25">
      <c r="A237" s="16" t="s">
        <v>1536</v>
      </c>
      <c r="B237" s="117" t="s">
        <v>1537</v>
      </c>
      <c r="C237" s="117" t="s">
        <v>456</v>
      </c>
      <c r="D237" s="117" t="s">
        <v>249</v>
      </c>
      <c r="E237" s="117" t="s">
        <v>1538</v>
      </c>
      <c r="F237" s="117" t="s">
        <v>225</v>
      </c>
      <c r="G237" s="117" t="s">
        <v>615</v>
      </c>
      <c r="H237" s="117" t="s">
        <v>569</v>
      </c>
      <c r="I237" s="117" t="s">
        <v>498</v>
      </c>
      <c r="J237" s="118">
        <v>3.38</v>
      </c>
      <c r="K237" s="118" t="s">
        <v>255</v>
      </c>
      <c r="L237" s="117">
        <v>7.2499999999999995E-2</v>
      </c>
      <c r="M237" s="117">
        <v>6.5500000000000003E-2</v>
      </c>
      <c r="N237" s="69">
        <v>248809.82598836048</v>
      </c>
      <c r="O237" s="60">
        <v>107.80000000000001</v>
      </c>
      <c r="P237" s="84">
        <v>0</v>
      </c>
      <c r="Q237" s="84">
        <v>268.21699000000001</v>
      </c>
      <c r="R237" s="24">
        <v>4.2898245860062151E-4</v>
      </c>
      <c r="S237" s="24">
        <v>2.3904353123962957E-3</v>
      </c>
      <c r="T237" s="24">
        <v>1.1048342252835133E-3</v>
      </c>
    </row>
    <row r="238" spans="1:20" x14ac:dyDescent="0.25">
      <c r="A238" s="16" t="s">
        <v>1384</v>
      </c>
      <c r="B238" s="117" t="s">
        <v>1385</v>
      </c>
      <c r="C238" s="117" t="s">
        <v>456</v>
      </c>
      <c r="D238" s="117" t="s">
        <v>249</v>
      </c>
      <c r="E238" s="117" t="s">
        <v>965</v>
      </c>
      <c r="F238" s="117" t="s">
        <v>200</v>
      </c>
      <c r="G238" s="117" t="s">
        <v>709</v>
      </c>
      <c r="H238" s="117" t="s">
        <v>569</v>
      </c>
      <c r="I238" s="117" t="s">
        <v>966</v>
      </c>
      <c r="J238" s="118">
        <v>3.73</v>
      </c>
      <c r="K238" s="118" t="s">
        <v>255</v>
      </c>
      <c r="L238" s="117">
        <v>2.5000000000000001E-2</v>
      </c>
      <c r="M238" s="117">
        <v>4.9800000000000004E-2</v>
      </c>
      <c r="N238" s="69">
        <v>1135459.875764166</v>
      </c>
      <c r="O238" s="60">
        <v>93.11</v>
      </c>
      <c r="P238" s="84">
        <v>0</v>
      </c>
      <c r="Q238" s="84">
        <v>1057.22669</v>
      </c>
      <c r="R238" s="24">
        <v>3.8269520091826028E-4</v>
      </c>
      <c r="S238" s="24">
        <v>9.4223412654949705E-3</v>
      </c>
      <c r="T238" s="24">
        <v>4.3549076849874538E-3</v>
      </c>
    </row>
    <row r="239" spans="1:20" x14ac:dyDescent="0.25">
      <c r="A239" s="16" t="s">
        <v>1260</v>
      </c>
      <c r="B239" s="117" t="s">
        <v>1261</v>
      </c>
      <c r="C239" s="117" t="s">
        <v>456</v>
      </c>
      <c r="D239" s="117" t="s">
        <v>249</v>
      </c>
      <c r="E239" s="117" t="s">
        <v>784</v>
      </c>
      <c r="F239" s="117" t="s">
        <v>200</v>
      </c>
      <c r="G239" s="117" t="s">
        <v>253</v>
      </c>
      <c r="H239" s="117" t="s">
        <v>254</v>
      </c>
      <c r="I239" s="117" t="s">
        <v>1139</v>
      </c>
      <c r="J239" s="118">
        <v>1.4</v>
      </c>
      <c r="K239" s="118" t="s">
        <v>255</v>
      </c>
      <c r="L239" s="117">
        <v>2.0199999999999999E-2</v>
      </c>
      <c r="M239" s="117">
        <v>4.9000000000000002E-2</v>
      </c>
      <c r="N239" s="69">
        <v>108152.11559240322</v>
      </c>
      <c r="O239" s="60">
        <v>97.31</v>
      </c>
      <c r="P239" s="84">
        <v>0</v>
      </c>
      <c r="Q239" s="84">
        <v>105.24282000000001</v>
      </c>
      <c r="R239" s="24">
        <v>1.2801513613833085E-4</v>
      </c>
      <c r="S239" s="24">
        <v>9.3795755930363379E-4</v>
      </c>
      <c r="T239" s="24">
        <v>4.3351418380078099E-4</v>
      </c>
    </row>
    <row r="240" spans="1:20" x14ac:dyDescent="0.25">
      <c r="A240" s="16" t="s">
        <v>1405</v>
      </c>
      <c r="B240" s="117" t="s">
        <v>1406</v>
      </c>
      <c r="C240" s="117" t="s">
        <v>456</v>
      </c>
      <c r="D240" s="117" t="s">
        <v>249</v>
      </c>
      <c r="E240" s="117" t="s">
        <v>784</v>
      </c>
      <c r="F240" s="117" t="s">
        <v>200</v>
      </c>
      <c r="G240" s="117" t="s">
        <v>709</v>
      </c>
      <c r="H240" s="117" t="s">
        <v>569</v>
      </c>
      <c r="I240" s="117" t="s">
        <v>1407</v>
      </c>
      <c r="J240" s="118">
        <v>4.01</v>
      </c>
      <c r="K240" s="118" t="s">
        <v>255</v>
      </c>
      <c r="L240" s="117">
        <v>2.76E-2</v>
      </c>
      <c r="M240" s="117">
        <v>4.8399999999999999E-2</v>
      </c>
      <c r="N240" s="69">
        <v>510631.29272929195</v>
      </c>
      <c r="O240" s="60">
        <v>93.32</v>
      </c>
      <c r="P240" s="84">
        <v>0</v>
      </c>
      <c r="Q240" s="84">
        <v>476.52112</v>
      </c>
      <c r="R240" s="24">
        <v>3.8212267341461133E-4</v>
      </c>
      <c r="S240" s="24">
        <v>4.2469081184999978E-3</v>
      </c>
      <c r="T240" s="24">
        <v>1.9628765591860236E-3</v>
      </c>
    </row>
    <row r="241" spans="1:20" x14ac:dyDescent="0.25">
      <c r="A241" s="16" t="s">
        <v>1191</v>
      </c>
      <c r="B241" s="117" t="s">
        <v>1192</v>
      </c>
      <c r="C241" s="117" t="s">
        <v>456</v>
      </c>
      <c r="D241" s="117" t="s">
        <v>249</v>
      </c>
      <c r="E241" s="117" t="s">
        <v>1193</v>
      </c>
      <c r="F241" s="117" t="s">
        <v>225</v>
      </c>
      <c r="G241" s="117" t="s">
        <v>671</v>
      </c>
      <c r="H241" s="117" t="s">
        <v>254</v>
      </c>
      <c r="I241" s="117" t="s">
        <v>1194</v>
      </c>
      <c r="J241" s="118">
        <v>0.74</v>
      </c>
      <c r="K241" s="118" t="s">
        <v>255</v>
      </c>
      <c r="L241" s="117">
        <v>5.9000000000000004E-2</v>
      </c>
      <c r="M241" s="117">
        <v>5.7500000000000002E-2</v>
      </c>
      <c r="N241" s="69">
        <v>6326.3752964746236</v>
      </c>
      <c r="O241" s="60">
        <v>101.61</v>
      </c>
      <c r="P241" s="84">
        <v>0</v>
      </c>
      <c r="Q241" s="84">
        <v>6.4282299999999992</v>
      </c>
      <c r="R241" s="24">
        <v>2.404307409124167E-5</v>
      </c>
      <c r="S241" s="24">
        <v>5.7290434838617942E-5</v>
      </c>
      <c r="T241" s="24">
        <v>2.6479040391864205E-5</v>
      </c>
    </row>
    <row r="242" spans="1:20" x14ac:dyDescent="0.25">
      <c r="A242" s="16" t="s">
        <v>1328</v>
      </c>
      <c r="B242" s="117" t="s">
        <v>1329</v>
      </c>
      <c r="C242" s="117" t="s">
        <v>456</v>
      </c>
      <c r="D242" s="117" t="s">
        <v>249</v>
      </c>
      <c r="E242" s="117" t="s">
        <v>1193</v>
      </c>
      <c r="F242" s="117" t="s">
        <v>225</v>
      </c>
      <c r="G242" s="117" t="s">
        <v>671</v>
      </c>
      <c r="H242" s="117" t="s">
        <v>254</v>
      </c>
      <c r="I242" s="117" t="s">
        <v>1330</v>
      </c>
      <c r="J242" s="118">
        <v>4.0199999999999996</v>
      </c>
      <c r="K242" s="118" t="s">
        <v>255</v>
      </c>
      <c r="L242" s="117">
        <v>0.05</v>
      </c>
      <c r="M242" s="117">
        <v>6.1200000000000004E-2</v>
      </c>
      <c r="N242" s="69">
        <v>126421.92649938098</v>
      </c>
      <c r="O242" s="60">
        <v>96.07</v>
      </c>
      <c r="P242" s="84">
        <v>0</v>
      </c>
      <c r="Q242" s="84">
        <v>121.45353999999999</v>
      </c>
      <c r="R242" s="24">
        <v>1.2215578380287551E-4</v>
      </c>
      <c r="S242" s="24">
        <v>1.082432663313148E-3</v>
      </c>
      <c r="T242" s="24">
        <v>5.0028906734744946E-4</v>
      </c>
    </row>
    <row r="243" spans="1:20" x14ac:dyDescent="0.25">
      <c r="A243" s="16" t="s">
        <v>1511</v>
      </c>
      <c r="B243" s="117" t="s">
        <v>1512</v>
      </c>
      <c r="C243" s="117" t="s">
        <v>456</v>
      </c>
      <c r="D243" s="117" t="s">
        <v>249</v>
      </c>
      <c r="E243" s="117" t="s">
        <v>1513</v>
      </c>
      <c r="F243" s="117" t="s">
        <v>226</v>
      </c>
      <c r="G243" s="117" t="s">
        <v>615</v>
      </c>
      <c r="H243" s="117" t="s">
        <v>569</v>
      </c>
      <c r="I243" s="117" t="s">
        <v>1510</v>
      </c>
      <c r="J243" s="118">
        <v>1.65</v>
      </c>
      <c r="K243" s="118" t="s">
        <v>255</v>
      </c>
      <c r="L243" s="117">
        <v>3.4700000000000002E-2</v>
      </c>
      <c r="M243" s="117">
        <v>6.2E-2</v>
      </c>
      <c r="N243" s="69">
        <v>25068.785099720157</v>
      </c>
      <c r="O243" s="60">
        <v>96.6</v>
      </c>
      <c r="P243" s="84">
        <v>0</v>
      </c>
      <c r="Q243" s="84">
        <v>24.216450000000002</v>
      </c>
      <c r="R243" s="24">
        <v>2.0891280988196442E-4</v>
      </c>
      <c r="S243" s="24">
        <v>2.1582472169596445E-4</v>
      </c>
      <c r="T243" s="24">
        <v>9.9751931355530215E-5</v>
      </c>
    </row>
    <row r="244" spans="1:20" x14ac:dyDescent="0.25">
      <c r="A244" s="16" t="s">
        <v>1223</v>
      </c>
      <c r="B244" s="117" t="s">
        <v>1224</v>
      </c>
      <c r="C244" s="117" t="s">
        <v>456</v>
      </c>
      <c r="D244" s="117" t="s">
        <v>249</v>
      </c>
      <c r="E244" s="117" t="s">
        <v>1225</v>
      </c>
      <c r="F244" s="117" t="s">
        <v>225</v>
      </c>
      <c r="G244" s="117" t="s">
        <v>730</v>
      </c>
      <c r="H244" s="117" t="s">
        <v>569</v>
      </c>
      <c r="I244" s="117" t="s">
        <v>1226</v>
      </c>
      <c r="J244" s="118">
        <v>1.1399999999999999</v>
      </c>
      <c r="K244" s="118" t="s">
        <v>255</v>
      </c>
      <c r="L244" s="117">
        <v>2.9500000000000002E-2</v>
      </c>
      <c r="M244" s="117">
        <v>5.3600000000000002E-2</v>
      </c>
      <c r="N244" s="69">
        <v>57989.794777509582</v>
      </c>
      <c r="O244" s="60">
        <v>98.35</v>
      </c>
      <c r="P244" s="84">
        <v>0</v>
      </c>
      <c r="Q244" s="84">
        <v>57.032959999999996</v>
      </c>
      <c r="R244" s="24">
        <v>4.8376464003249052E-4</v>
      </c>
      <c r="S244" s="24">
        <v>5.0829591948849118E-4</v>
      </c>
      <c r="T244" s="24">
        <v>2.3492906313364264E-4</v>
      </c>
    </row>
    <row r="245" spans="1:20" x14ac:dyDescent="0.25">
      <c r="A245" s="16" t="s">
        <v>1254</v>
      </c>
      <c r="B245" s="117" t="s">
        <v>1255</v>
      </c>
      <c r="C245" s="117" t="s">
        <v>456</v>
      </c>
      <c r="D245" s="117" t="s">
        <v>249</v>
      </c>
      <c r="E245" s="117" t="s">
        <v>958</v>
      </c>
      <c r="F245" s="117" t="s">
        <v>200</v>
      </c>
      <c r="G245" s="117" t="s">
        <v>709</v>
      </c>
      <c r="H245" s="117" t="s">
        <v>569</v>
      </c>
      <c r="I245" s="117" t="s">
        <v>1253</v>
      </c>
      <c r="J245" s="118">
        <v>3.31</v>
      </c>
      <c r="K245" s="118" t="s">
        <v>255</v>
      </c>
      <c r="L245" s="117">
        <v>2.6800000000000001E-2</v>
      </c>
      <c r="M245" s="117">
        <v>4.99E-2</v>
      </c>
      <c r="N245" s="69">
        <v>1104548.9356032803</v>
      </c>
      <c r="O245" s="60">
        <v>94.81</v>
      </c>
      <c r="P245" s="84">
        <v>0</v>
      </c>
      <c r="Q245" s="84">
        <v>1047.2228499999999</v>
      </c>
      <c r="R245" s="24">
        <v>4.2327151410793284E-4</v>
      </c>
      <c r="S245" s="24">
        <v>9.3331838545659945E-3</v>
      </c>
      <c r="T245" s="24">
        <v>4.3137000612039631E-3</v>
      </c>
    </row>
    <row r="246" spans="1:20" x14ac:dyDescent="0.25">
      <c r="A246" s="16" t="s">
        <v>1216</v>
      </c>
      <c r="B246" s="117" t="s">
        <v>1217</v>
      </c>
      <c r="C246" s="117" t="s">
        <v>456</v>
      </c>
      <c r="D246" s="117" t="s">
        <v>249</v>
      </c>
      <c r="E246" s="117" t="s">
        <v>622</v>
      </c>
      <c r="F246" s="117" t="s">
        <v>201</v>
      </c>
      <c r="G246" s="117" t="s">
        <v>568</v>
      </c>
      <c r="H246" s="117" t="s">
        <v>569</v>
      </c>
      <c r="I246" s="117" t="s">
        <v>1218</v>
      </c>
      <c r="J246" s="118">
        <v>1.79</v>
      </c>
      <c r="K246" s="118" t="s">
        <v>255</v>
      </c>
      <c r="L246" s="117">
        <v>3.61E-2</v>
      </c>
      <c r="M246" s="117">
        <v>5.21E-2</v>
      </c>
      <c r="N246" s="69">
        <v>169691.78263393184</v>
      </c>
      <c r="O246" s="60">
        <v>97.92</v>
      </c>
      <c r="P246" s="84">
        <v>0</v>
      </c>
      <c r="Q246" s="84">
        <v>166.16219000000001</v>
      </c>
      <c r="R246" s="24">
        <v>2.2109678519079067E-4</v>
      </c>
      <c r="S246" s="24">
        <v>1.4808904035538638E-3</v>
      </c>
      <c r="T246" s="24">
        <v>6.8445207166056832E-4</v>
      </c>
    </row>
    <row r="247" spans="1:20" x14ac:dyDescent="0.25">
      <c r="A247" s="16" t="s">
        <v>1247</v>
      </c>
      <c r="B247" s="117" t="s">
        <v>1248</v>
      </c>
      <c r="C247" s="117" t="s">
        <v>456</v>
      </c>
      <c r="D247" s="117" t="s">
        <v>249</v>
      </c>
      <c r="E247" s="117" t="s">
        <v>622</v>
      </c>
      <c r="F247" s="117" t="s">
        <v>201</v>
      </c>
      <c r="G247" s="117" t="s">
        <v>568</v>
      </c>
      <c r="H247" s="117" t="s">
        <v>569</v>
      </c>
      <c r="I247" s="117" t="s">
        <v>1249</v>
      </c>
      <c r="J247" s="118">
        <v>2.8</v>
      </c>
      <c r="K247" s="118" t="s">
        <v>255</v>
      </c>
      <c r="L247" s="117">
        <v>3.3000000000000002E-2</v>
      </c>
      <c r="M247" s="117">
        <v>4.8799999999999996E-2</v>
      </c>
      <c r="N247" s="69">
        <v>186866.4228476198</v>
      </c>
      <c r="O247" s="60">
        <v>96.15000000000002</v>
      </c>
      <c r="P247" s="84">
        <v>0</v>
      </c>
      <c r="Q247" s="84">
        <v>179.67207000000002</v>
      </c>
      <c r="R247" s="24">
        <v>6.0603033241213517E-4</v>
      </c>
      <c r="S247" s="24">
        <v>1.6012947605568877E-3</v>
      </c>
      <c r="T247" s="24">
        <v>7.4010170744043908E-4</v>
      </c>
    </row>
    <row r="248" spans="1:20" x14ac:dyDescent="0.25">
      <c r="A248" s="16" t="s">
        <v>1265</v>
      </c>
      <c r="B248" s="117" t="s">
        <v>1266</v>
      </c>
      <c r="C248" s="117" t="s">
        <v>456</v>
      </c>
      <c r="D248" s="117" t="s">
        <v>249</v>
      </c>
      <c r="E248" s="117" t="s">
        <v>622</v>
      </c>
      <c r="F248" s="117" t="s">
        <v>201</v>
      </c>
      <c r="G248" s="117" t="s">
        <v>568</v>
      </c>
      <c r="H248" s="117" t="s">
        <v>569</v>
      </c>
      <c r="I248" s="117" t="s">
        <v>1267</v>
      </c>
      <c r="J248" s="118">
        <v>5.14</v>
      </c>
      <c r="K248" s="118" t="s">
        <v>255</v>
      </c>
      <c r="L248" s="117">
        <v>2.6200000000000001E-2</v>
      </c>
      <c r="M248" s="117">
        <v>5.2600000000000001E-2</v>
      </c>
      <c r="N248" s="69">
        <v>335397.09449858248</v>
      </c>
      <c r="O248" s="60">
        <v>88.74</v>
      </c>
      <c r="P248" s="84">
        <v>0</v>
      </c>
      <c r="Q248" s="84">
        <v>297.63137999999998</v>
      </c>
      <c r="R248" s="24">
        <v>2.5932210303123603E-4</v>
      </c>
      <c r="S248" s="24">
        <v>2.6525857322805711E-3</v>
      </c>
      <c r="T248" s="24">
        <v>1.2259974103145477E-3</v>
      </c>
    </row>
    <row r="249" spans="1:20" x14ac:dyDescent="0.25">
      <c r="A249" s="16" t="s">
        <v>1546</v>
      </c>
      <c r="B249" s="117" t="s">
        <v>1547</v>
      </c>
      <c r="C249" s="117" t="s">
        <v>456</v>
      </c>
      <c r="D249" s="117" t="s">
        <v>249</v>
      </c>
      <c r="E249" s="117" t="s">
        <v>622</v>
      </c>
      <c r="F249" s="117" t="s">
        <v>201</v>
      </c>
      <c r="G249" s="117" t="s">
        <v>568</v>
      </c>
      <c r="H249" s="117" t="s">
        <v>569</v>
      </c>
      <c r="I249" s="117" t="s">
        <v>1249</v>
      </c>
      <c r="J249" s="118">
        <v>1.29</v>
      </c>
      <c r="K249" s="118" t="s">
        <v>255</v>
      </c>
      <c r="L249" s="117">
        <v>6.0900000333786009E-2</v>
      </c>
      <c r="M249" s="117">
        <v>5.45E-2</v>
      </c>
      <c r="N249" s="69">
        <v>21147.856525570547</v>
      </c>
      <c r="O249" s="60">
        <v>101.96000000000001</v>
      </c>
      <c r="P249" s="84">
        <v>0</v>
      </c>
      <c r="Q249" s="84">
        <v>21.562349999999999</v>
      </c>
      <c r="R249" s="24">
        <v>7.2091115107160916E-5</v>
      </c>
      <c r="S249" s="24">
        <v>1.9217053646843277E-4</v>
      </c>
      <c r="T249" s="24">
        <v>8.8819214090583753E-5</v>
      </c>
    </row>
    <row r="250" spans="1:20" x14ac:dyDescent="0.25">
      <c r="A250" s="16" t="s">
        <v>1198</v>
      </c>
      <c r="B250" s="117" t="s">
        <v>1199</v>
      </c>
      <c r="C250" s="117" t="s">
        <v>456</v>
      </c>
      <c r="D250" s="117" t="s">
        <v>249</v>
      </c>
      <c r="E250" s="117" t="s">
        <v>1127</v>
      </c>
      <c r="F250" s="117" t="s">
        <v>201</v>
      </c>
      <c r="G250" s="117" t="s">
        <v>568</v>
      </c>
      <c r="H250" s="117" t="s">
        <v>569</v>
      </c>
      <c r="I250" s="117" t="s">
        <v>1200</v>
      </c>
      <c r="J250" s="118">
        <v>4.74</v>
      </c>
      <c r="K250" s="118" t="s">
        <v>255</v>
      </c>
      <c r="L250" s="117">
        <v>3.95E-2</v>
      </c>
      <c r="M250" s="117">
        <v>5.1399999999999994E-2</v>
      </c>
      <c r="N250" s="69">
        <v>103680.00683088753</v>
      </c>
      <c r="O250" s="60">
        <v>95.79</v>
      </c>
      <c r="P250" s="84">
        <v>0</v>
      </c>
      <c r="Q250" s="84">
        <v>99.315079999999995</v>
      </c>
      <c r="R250" s="24">
        <v>4.319820778067732E-4</v>
      </c>
      <c r="S250" s="24">
        <v>8.8512765088245566E-4</v>
      </c>
      <c r="T250" s="24">
        <v>4.0909675211391392E-4</v>
      </c>
    </row>
    <row r="251" spans="1:20" x14ac:dyDescent="0.25">
      <c r="A251" s="16" t="s">
        <v>1201</v>
      </c>
      <c r="B251" s="117" t="s">
        <v>1202</v>
      </c>
      <c r="C251" s="117" t="s">
        <v>456</v>
      </c>
      <c r="D251" s="117" t="s">
        <v>249</v>
      </c>
      <c r="E251" s="117" t="s">
        <v>1127</v>
      </c>
      <c r="F251" s="117" t="s">
        <v>201</v>
      </c>
      <c r="G251" s="117" t="s">
        <v>568</v>
      </c>
      <c r="H251" s="117" t="s">
        <v>569</v>
      </c>
      <c r="I251" s="117" t="s">
        <v>1200</v>
      </c>
      <c r="J251" s="118">
        <v>5.52</v>
      </c>
      <c r="K251" s="118" t="s">
        <v>255</v>
      </c>
      <c r="L251" s="117">
        <v>3.95E-2</v>
      </c>
      <c r="M251" s="117">
        <v>5.2300000000000006E-2</v>
      </c>
      <c r="N251" s="69">
        <v>74338.30427688593</v>
      </c>
      <c r="O251" s="60">
        <v>94.53</v>
      </c>
      <c r="P251" s="84">
        <v>0</v>
      </c>
      <c r="Q251" s="84">
        <v>70.272000000000006</v>
      </c>
      <c r="R251" s="24">
        <v>3.0973006391232723E-4</v>
      </c>
      <c r="S251" s="24">
        <v>6.2628646407788147E-4</v>
      </c>
      <c r="T251" s="24">
        <v>2.8946306003629018E-4</v>
      </c>
    </row>
    <row r="252" spans="1:20" x14ac:dyDescent="0.25">
      <c r="A252" s="16" t="s">
        <v>1229</v>
      </c>
      <c r="B252" s="117" t="s">
        <v>1230</v>
      </c>
      <c r="C252" s="117" t="s">
        <v>456</v>
      </c>
      <c r="D252" s="117" t="s">
        <v>249</v>
      </c>
      <c r="E252" s="117" t="s">
        <v>1127</v>
      </c>
      <c r="F252" s="117" t="s">
        <v>201</v>
      </c>
      <c r="G252" s="117" t="s">
        <v>568</v>
      </c>
      <c r="H252" s="117" t="s">
        <v>569</v>
      </c>
      <c r="I252" s="117" t="s">
        <v>1231</v>
      </c>
      <c r="J252" s="118">
        <v>6.44</v>
      </c>
      <c r="K252" s="118" t="s">
        <v>255</v>
      </c>
      <c r="L252" s="117">
        <v>3.0499999999999999E-2</v>
      </c>
      <c r="M252" s="117">
        <v>5.5199999999999999E-2</v>
      </c>
      <c r="N252" s="69">
        <v>274308.90467043262</v>
      </c>
      <c r="O252" s="60">
        <v>86.53</v>
      </c>
      <c r="P252" s="84">
        <v>0</v>
      </c>
      <c r="Q252" s="84">
        <v>237.3595</v>
      </c>
      <c r="R252" s="24">
        <v>3.7634741469577644E-4</v>
      </c>
      <c r="S252" s="24">
        <v>2.1154235253058673E-3</v>
      </c>
      <c r="T252" s="24">
        <v>9.7772665070986766E-4</v>
      </c>
    </row>
    <row r="253" spans="1:20" x14ac:dyDescent="0.25">
      <c r="A253" s="16" t="s">
        <v>1232</v>
      </c>
      <c r="B253" s="117" t="s">
        <v>1233</v>
      </c>
      <c r="C253" s="117" t="s">
        <v>456</v>
      </c>
      <c r="D253" s="117" t="s">
        <v>249</v>
      </c>
      <c r="E253" s="117" t="s">
        <v>1127</v>
      </c>
      <c r="F253" s="117" t="s">
        <v>201</v>
      </c>
      <c r="G253" s="117" t="s">
        <v>568</v>
      </c>
      <c r="H253" s="117" t="s">
        <v>569</v>
      </c>
      <c r="I253" s="117" t="s">
        <v>1231</v>
      </c>
      <c r="J253" s="118">
        <v>7.2</v>
      </c>
      <c r="K253" s="118" t="s">
        <v>255</v>
      </c>
      <c r="L253" s="117">
        <v>3.0499999999999999E-2</v>
      </c>
      <c r="M253" s="117">
        <v>5.5599999999999997E-2</v>
      </c>
      <c r="N253" s="69">
        <v>319198.86911336676</v>
      </c>
      <c r="O253" s="60">
        <v>84.73</v>
      </c>
      <c r="P253" s="84">
        <v>0</v>
      </c>
      <c r="Q253" s="84">
        <v>270.4572</v>
      </c>
      <c r="R253" s="24">
        <v>4.6757863737165785E-4</v>
      </c>
      <c r="S253" s="24">
        <v>2.4104007780112193E-3</v>
      </c>
      <c r="T253" s="24">
        <v>1.1140620548845477E-3</v>
      </c>
    </row>
    <row r="254" spans="1:20" x14ac:dyDescent="0.25">
      <c r="A254" s="16" t="s">
        <v>1262</v>
      </c>
      <c r="B254" s="117" t="s">
        <v>1263</v>
      </c>
      <c r="C254" s="117" t="s">
        <v>456</v>
      </c>
      <c r="D254" s="117" t="s">
        <v>249</v>
      </c>
      <c r="E254" s="117" t="s">
        <v>1127</v>
      </c>
      <c r="F254" s="117" t="s">
        <v>201</v>
      </c>
      <c r="G254" s="117" t="s">
        <v>568</v>
      </c>
      <c r="H254" s="117" t="s">
        <v>569</v>
      </c>
      <c r="I254" s="117" t="s">
        <v>1264</v>
      </c>
      <c r="J254" s="118">
        <v>2.64</v>
      </c>
      <c r="K254" s="118" t="s">
        <v>255</v>
      </c>
      <c r="L254" s="117">
        <v>2.9100000000000001E-2</v>
      </c>
      <c r="M254" s="117">
        <v>5.28E-2</v>
      </c>
      <c r="N254" s="69">
        <v>173625.0193661575</v>
      </c>
      <c r="O254" s="60">
        <v>94.88</v>
      </c>
      <c r="P254" s="84">
        <v>0</v>
      </c>
      <c r="Q254" s="84">
        <v>164.73542</v>
      </c>
      <c r="R254" s="24">
        <v>2.8937503227692915E-4</v>
      </c>
      <c r="S254" s="24">
        <v>1.4681745745131023E-3</v>
      </c>
      <c r="T254" s="24">
        <v>6.7857494833736733E-4</v>
      </c>
    </row>
    <row r="255" spans="1:20" x14ac:dyDescent="0.25">
      <c r="A255" s="16" t="s">
        <v>1386</v>
      </c>
      <c r="B255" s="117" t="s">
        <v>1387</v>
      </c>
      <c r="C255" s="117" t="s">
        <v>456</v>
      </c>
      <c r="D255" s="117" t="s">
        <v>249</v>
      </c>
      <c r="E255" s="117" t="s">
        <v>1127</v>
      </c>
      <c r="F255" s="117" t="s">
        <v>201</v>
      </c>
      <c r="G255" s="117" t="s">
        <v>568</v>
      </c>
      <c r="H255" s="117" t="s">
        <v>569</v>
      </c>
      <c r="I255" s="117" t="s">
        <v>1388</v>
      </c>
      <c r="J255" s="118">
        <v>8.06</v>
      </c>
      <c r="K255" s="118" t="s">
        <v>255</v>
      </c>
      <c r="L255" s="117">
        <v>2.63E-2</v>
      </c>
      <c r="M255" s="117">
        <v>5.62E-2</v>
      </c>
      <c r="N255" s="69">
        <v>325621.55302069243</v>
      </c>
      <c r="O255" s="60">
        <v>79.77</v>
      </c>
      <c r="P255" s="84">
        <v>0</v>
      </c>
      <c r="Q255" s="84">
        <v>259.74831</v>
      </c>
      <c r="R255" s="24">
        <v>4.6940364458677975E-4</v>
      </c>
      <c r="S255" s="24">
        <v>2.31495973673875E-3</v>
      </c>
      <c r="T255" s="24">
        <v>1.0699502028098662E-3</v>
      </c>
    </row>
    <row r="256" spans="1:20" x14ac:dyDescent="0.25">
      <c r="A256" s="16" t="s">
        <v>1449</v>
      </c>
      <c r="B256" s="117" t="s">
        <v>1450</v>
      </c>
      <c r="C256" s="117" t="s">
        <v>456</v>
      </c>
      <c r="D256" s="117" t="s">
        <v>249</v>
      </c>
      <c r="E256" s="117" t="s">
        <v>1127</v>
      </c>
      <c r="F256" s="117" t="s">
        <v>201</v>
      </c>
      <c r="G256" s="117" t="s">
        <v>577</v>
      </c>
      <c r="H256" s="117" t="s">
        <v>254</v>
      </c>
      <c r="I256" s="117" t="s">
        <v>1451</v>
      </c>
      <c r="J256" s="118">
        <v>5.46</v>
      </c>
      <c r="K256" s="118" t="s">
        <v>255</v>
      </c>
      <c r="L256" s="117">
        <v>4.3799999999999999E-2</v>
      </c>
      <c r="M256" s="117">
        <v>5.3099999999999994E-2</v>
      </c>
      <c r="N256" s="69">
        <v>311595.68620148639</v>
      </c>
      <c r="O256" s="60">
        <v>96.52</v>
      </c>
      <c r="P256" s="84">
        <v>0</v>
      </c>
      <c r="Q256" s="84">
        <v>300.75215999999995</v>
      </c>
      <c r="R256" s="24">
        <v>6.2319137240297276E-4</v>
      </c>
      <c r="S256" s="24">
        <v>2.6803991184281826E-3</v>
      </c>
      <c r="T256" s="24">
        <v>1.2388524667879658E-3</v>
      </c>
    </row>
    <row r="257" spans="1:20" x14ac:dyDescent="0.25">
      <c r="A257" s="16" t="s">
        <v>1504</v>
      </c>
      <c r="B257" s="117" t="s">
        <v>1505</v>
      </c>
      <c r="C257" s="117" t="s">
        <v>456</v>
      </c>
      <c r="D257" s="117" t="s">
        <v>249</v>
      </c>
      <c r="E257" s="117" t="s">
        <v>1127</v>
      </c>
      <c r="F257" s="117" t="s">
        <v>201</v>
      </c>
      <c r="G257" s="117" t="s">
        <v>568</v>
      </c>
      <c r="H257" s="117" t="s">
        <v>569</v>
      </c>
      <c r="I257" s="117" t="s">
        <v>1506</v>
      </c>
      <c r="J257" s="118">
        <v>4.09</v>
      </c>
      <c r="K257" s="118" t="s">
        <v>255</v>
      </c>
      <c r="L257" s="117">
        <v>1.7899999999999999E-2</v>
      </c>
      <c r="M257" s="117">
        <v>5.0599999999999999E-2</v>
      </c>
      <c r="N257" s="69">
        <v>117215.88800782587</v>
      </c>
      <c r="O257" s="60">
        <v>88.26</v>
      </c>
      <c r="P257" s="84">
        <v>0</v>
      </c>
      <c r="Q257" s="84">
        <v>103.45474</v>
      </c>
      <c r="R257" s="24">
        <v>3.3490253716521675E-4</v>
      </c>
      <c r="S257" s="24">
        <v>9.2202162037079594E-4</v>
      </c>
      <c r="T257" s="24">
        <v>4.2614875933029927E-4</v>
      </c>
    </row>
    <row r="258" spans="1:20" x14ac:dyDescent="0.25">
      <c r="A258" s="16" t="s">
        <v>1363</v>
      </c>
      <c r="B258" s="117" t="s">
        <v>1364</v>
      </c>
      <c r="C258" s="117" t="s">
        <v>456</v>
      </c>
      <c r="D258" s="117" t="s">
        <v>249</v>
      </c>
      <c r="E258" s="117" t="s">
        <v>1365</v>
      </c>
      <c r="F258" s="117" t="s">
        <v>201</v>
      </c>
      <c r="G258" s="117" t="s">
        <v>666</v>
      </c>
      <c r="H258" s="117" t="s">
        <v>569</v>
      </c>
      <c r="I258" s="117" t="s">
        <v>1366</v>
      </c>
      <c r="J258" s="118">
        <v>5.37</v>
      </c>
      <c r="K258" s="118" t="s">
        <v>255</v>
      </c>
      <c r="L258" s="117">
        <v>1.95E-2</v>
      </c>
      <c r="M258" s="117">
        <v>5.2999999999999999E-2</v>
      </c>
      <c r="N258" s="69">
        <v>320812.68315254076</v>
      </c>
      <c r="O258" s="60">
        <v>83.94</v>
      </c>
      <c r="P258" s="84">
        <v>0</v>
      </c>
      <c r="Q258" s="84">
        <v>269.29016999999999</v>
      </c>
      <c r="R258" s="24">
        <v>2.8139412071293403E-4</v>
      </c>
      <c r="S258" s="24">
        <v>2.3999998346458276E-3</v>
      </c>
      <c r="T258" s="24">
        <v>1.1092548475337657E-3</v>
      </c>
    </row>
    <row r="259" spans="1:20" x14ac:dyDescent="0.25">
      <c r="A259" s="16" t="s">
        <v>1471</v>
      </c>
      <c r="B259" s="117" t="s">
        <v>1472</v>
      </c>
      <c r="C259" s="117" t="s">
        <v>456</v>
      </c>
      <c r="D259" s="117" t="s">
        <v>249</v>
      </c>
      <c r="E259" s="117" t="s">
        <v>563</v>
      </c>
      <c r="F259" s="117" t="s">
        <v>223</v>
      </c>
      <c r="G259" s="117" t="s">
        <v>564</v>
      </c>
      <c r="H259" s="117" t="s">
        <v>254</v>
      </c>
      <c r="I259" s="117" t="s">
        <v>1473</v>
      </c>
      <c r="J259" s="118">
        <v>3.61</v>
      </c>
      <c r="K259" s="118" t="s">
        <v>255</v>
      </c>
      <c r="L259" s="117">
        <v>3.95E-2</v>
      </c>
      <c r="M259" s="117">
        <v>9.1499999999999998E-2</v>
      </c>
      <c r="N259" s="69">
        <v>822084.45979791309</v>
      </c>
      <c r="O259" s="60">
        <v>84.53</v>
      </c>
      <c r="P259" s="84">
        <v>0</v>
      </c>
      <c r="Q259" s="84">
        <v>694.90799000000004</v>
      </c>
      <c r="R259" s="24">
        <v>5.2535104350500176E-4</v>
      </c>
      <c r="S259" s="24">
        <v>6.1932415174830351E-3</v>
      </c>
      <c r="T259" s="24">
        <v>2.8624515202223893E-3</v>
      </c>
    </row>
    <row r="260" spans="1:20" x14ac:dyDescent="0.25">
      <c r="A260" s="16" t="s">
        <v>1238</v>
      </c>
      <c r="B260" s="117" t="s">
        <v>1239</v>
      </c>
      <c r="C260" s="117" t="s">
        <v>456</v>
      </c>
      <c r="D260" s="117" t="s">
        <v>249</v>
      </c>
      <c r="E260" s="117" t="s">
        <v>567</v>
      </c>
      <c r="F260" s="117" t="s">
        <v>223</v>
      </c>
      <c r="G260" s="117" t="s">
        <v>585</v>
      </c>
      <c r="H260" s="117" t="s">
        <v>254</v>
      </c>
      <c r="I260" s="117" t="s">
        <v>1240</v>
      </c>
      <c r="J260" s="118">
        <v>5.79</v>
      </c>
      <c r="K260" s="118" t="s">
        <v>255</v>
      </c>
      <c r="L260" s="117">
        <v>2.5499999999999998E-2</v>
      </c>
      <c r="M260" s="117">
        <v>5.5500000000000001E-2</v>
      </c>
      <c r="N260" s="69">
        <v>485765.71334533941</v>
      </c>
      <c r="O260" s="60">
        <v>84.91</v>
      </c>
      <c r="P260" s="84">
        <v>0</v>
      </c>
      <c r="Q260" s="84">
        <v>412.46366999999998</v>
      </c>
      <c r="R260" s="24">
        <v>3.564273960840187E-4</v>
      </c>
      <c r="S260" s="24">
        <v>3.6760077049875647E-3</v>
      </c>
      <c r="T260" s="24">
        <v>1.6990123530282127E-3</v>
      </c>
    </row>
    <row r="261" spans="1:20" x14ac:dyDescent="0.25">
      <c r="A261" s="16" t="s">
        <v>1244</v>
      </c>
      <c r="B261" s="117" t="s">
        <v>1245</v>
      </c>
      <c r="C261" s="117" t="s">
        <v>456</v>
      </c>
      <c r="D261" s="117" t="s">
        <v>249</v>
      </c>
      <c r="E261" s="117" t="s">
        <v>559</v>
      </c>
      <c r="F261" s="117" t="s">
        <v>228</v>
      </c>
      <c r="G261" s="117" t="s">
        <v>560</v>
      </c>
      <c r="H261" s="117" t="s">
        <v>254</v>
      </c>
      <c r="I261" s="117" t="s">
        <v>1246</v>
      </c>
      <c r="J261" s="118">
        <v>1.55</v>
      </c>
      <c r="K261" s="118" t="s">
        <v>255</v>
      </c>
      <c r="L261" s="117">
        <v>4.8000000000000001E-2</v>
      </c>
      <c r="M261" s="117">
        <v>0.1401</v>
      </c>
      <c r="N261" s="69">
        <v>429551.82277658005</v>
      </c>
      <c r="O261" s="60">
        <v>89.7</v>
      </c>
      <c r="P261" s="84">
        <v>0</v>
      </c>
      <c r="Q261" s="84">
        <v>385.30799000000002</v>
      </c>
      <c r="R261" s="24">
        <v>3.7875585239264512E-4</v>
      </c>
      <c r="S261" s="24">
        <v>3.4339876286153194E-3</v>
      </c>
      <c r="T261" s="24">
        <v>1.5871532024395534E-3</v>
      </c>
    </row>
    <row r="262" spans="1:20" x14ac:dyDescent="0.25">
      <c r="A262" s="16" t="s">
        <v>1371</v>
      </c>
      <c r="B262" s="117" t="s">
        <v>1372</v>
      </c>
      <c r="C262" s="117" t="s">
        <v>456</v>
      </c>
      <c r="D262" s="117" t="s">
        <v>249</v>
      </c>
      <c r="E262" s="117" t="s">
        <v>559</v>
      </c>
      <c r="F262" s="117" t="s">
        <v>228</v>
      </c>
      <c r="G262" s="117" t="s">
        <v>560</v>
      </c>
      <c r="H262" s="117" t="s">
        <v>254</v>
      </c>
      <c r="I262" s="117" t="s">
        <v>1373</v>
      </c>
      <c r="J262" s="118">
        <v>2.81</v>
      </c>
      <c r="K262" s="118" t="s">
        <v>255</v>
      </c>
      <c r="L262" s="117">
        <v>3.4000000000000002E-2</v>
      </c>
      <c r="M262" s="117">
        <v>0.13880000000000001</v>
      </c>
      <c r="N262" s="69">
        <v>367698.69988132402</v>
      </c>
      <c r="O262" s="60">
        <v>77.959999999999994</v>
      </c>
      <c r="P262" s="84">
        <v>0</v>
      </c>
      <c r="Q262" s="84">
        <v>286.65790999999996</v>
      </c>
      <c r="R262" s="24">
        <v>7.3539739976264805E-4</v>
      </c>
      <c r="S262" s="24">
        <v>2.5547866697099211E-3</v>
      </c>
      <c r="T262" s="24">
        <v>1.18079570543328E-3</v>
      </c>
    </row>
    <row r="263" spans="1:20" x14ac:dyDescent="0.25">
      <c r="A263" s="16" t="s">
        <v>1256</v>
      </c>
      <c r="B263" s="117" t="s">
        <v>1257</v>
      </c>
      <c r="C263" s="117" t="s">
        <v>456</v>
      </c>
      <c r="D263" s="117" t="s">
        <v>249</v>
      </c>
      <c r="E263" s="117" t="s">
        <v>1258</v>
      </c>
      <c r="F263" s="117" t="s">
        <v>206</v>
      </c>
      <c r="G263" s="117" t="s">
        <v>671</v>
      </c>
      <c r="H263" s="117" t="s">
        <v>254</v>
      </c>
      <c r="I263" s="117" t="s">
        <v>1259</v>
      </c>
      <c r="J263" s="118">
        <v>2.7</v>
      </c>
      <c r="K263" s="118" t="s">
        <v>255</v>
      </c>
      <c r="L263" s="117">
        <v>0.04</v>
      </c>
      <c r="M263" s="117">
        <v>5.3800000000000001E-2</v>
      </c>
      <c r="N263" s="69">
        <v>12702.558869785089</v>
      </c>
      <c r="O263" s="60">
        <v>97.49</v>
      </c>
      <c r="P263" s="84">
        <v>0</v>
      </c>
      <c r="Q263" s="84">
        <v>12.383719999999999</v>
      </c>
      <c r="R263" s="24">
        <v>1.8661909832100576E-5</v>
      </c>
      <c r="S263" s="24">
        <v>1.1036766010545512E-4</v>
      </c>
      <c r="T263" s="24">
        <v>5.101077934074179E-5</v>
      </c>
    </row>
    <row r="264" spans="1:20" x14ac:dyDescent="0.25">
      <c r="A264" s="16" t="s">
        <v>1335</v>
      </c>
      <c r="B264" s="117" t="s">
        <v>1336</v>
      </c>
      <c r="C264" s="117" t="s">
        <v>456</v>
      </c>
      <c r="D264" s="117" t="s">
        <v>249</v>
      </c>
      <c r="E264" s="117" t="s">
        <v>1337</v>
      </c>
      <c r="F264" s="117" t="s">
        <v>203</v>
      </c>
      <c r="G264" s="117" t="s">
        <v>577</v>
      </c>
      <c r="H264" s="117" t="s">
        <v>254</v>
      </c>
      <c r="I264" s="117" t="s">
        <v>1338</v>
      </c>
      <c r="J264" s="118">
        <v>2.5499999999999998</v>
      </c>
      <c r="K264" s="118" t="s">
        <v>255</v>
      </c>
      <c r="L264" s="117">
        <v>2.18E-2</v>
      </c>
      <c r="M264" s="117">
        <v>5.62E-2</v>
      </c>
      <c r="N264" s="69">
        <v>78429.523268261109</v>
      </c>
      <c r="O264" s="60">
        <v>92.07</v>
      </c>
      <c r="P264" s="84">
        <v>0</v>
      </c>
      <c r="Q264" s="84">
        <v>72.210059999999999</v>
      </c>
      <c r="R264" s="24">
        <v>1.873064654707904E-4</v>
      </c>
      <c r="S264" s="24">
        <v>6.4355907257871792E-4</v>
      </c>
      <c r="T264" s="24">
        <v>2.9744627921510865E-4</v>
      </c>
    </row>
    <row r="265" spans="1:20" x14ac:dyDescent="0.25">
      <c r="A265" s="16" t="s">
        <v>1413</v>
      </c>
      <c r="B265" s="117" t="s">
        <v>1414</v>
      </c>
      <c r="C265" s="117" t="s">
        <v>456</v>
      </c>
      <c r="D265" s="117" t="s">
        <v>249</v>
      </c>
      <c r="E265" s="117" t="s">
        <v>1337</v>
      </c>
      <c r="F265" s="117" t="s">
        <v>203</v>
      </c>
      <c r="G265" s="117" t="s">
        <v>577</v>
      </c>
      <c r="H265" s="117" t="s">
        <v>254</v>
      </c>
      <c r="I265" s="117" t="s">
        <v>1415</v>
      </c>
      <c r="J265" s="118">
        <v>3.11</v>
      </c>
      <c r="K265" s="118" t="s">
        <v>255</v>
      </c>
      <c r="L265" s="117">
        <v>2.18E-2</v>
      </c>
      <c r="M265" s="117">
        <v>5.5199999999999999E-2</v>
      </c>
      <c r="N265" s="69">
        <v>76595.239253546431</v>
      </c>
      <c r="O265" s="60">
        <v>91.407674</v>
      </c>
      <c r="P265" s="84">
        <v>0</v>
      </c>
      <c r="Q265" s="84">
        <v>70.013929999999988</v>
      </c>
      <c r="R265" s="24">
        <v>1.8292580317490193E-4</v>
      </c>
      <c r="S265" s="24">
        <v>6.2398646197484497E-4</v>
      </c>
      <c r="T265" s="24">
        <v>2.8840002309549483E-4</v>
      </c>
    </row>
    <row r="266" spans="1:20" x14ac:dyDescent="0.25">
      <c r="A266" s="16" t="s">
        <v>1331</v>
      </c>
      <c r="B266" s="117" t="s">
        <v>1332</v>
      </c>
      <c r="C266" s="117" t="s">
        <v>456</v>
      </c>
      <c r="D266" s="117" t="s">
        <v>249</v>
      </c>
      <c r="E266" s="117" t="s">
        <v>1333</v>
      </c>
      <c r="F266" s="117" t="s">
        <v>226</v>
      </c>
      <c r="G266" s="117" t="s">
        <v>573</v>
      </c>
      <c r="H266" s="117" t="s">
        <v>573</v>
      </c>
      <c r="I266" s="117" t="s">
        <v>1334</v>
      </c>
      <c r="J266" s="118">
        <v>2.61</v>
      </c>
      <c r="K266" s="118" t="s">
        <v>255</v>
      </c>
      <c r="L266" s="117">
        <v>3.95E-2</v>
      </c>
      <c r="M266" s="117">
        <v>8.5199999999999998E-2</v>
      </c>
      <c r="N266" s="69">
        <v>116281.59916641441</v>
      </c>
      <c r="O266" s="60">
        <v>90.26</v>
      </c>
      <c r="P266" s="84">
        <v>0</v>
      </c>
      <c r="Q266" s="84">
        <v>104.95577</v>
      </c>
      <c r="R266" s="24">
        <v>1.3869167785807843E-4</v>
      </c>
      <c r="S266" s="24">
        <v>9.3539927820286022E-4</v>
      </c>
      <c r="T266" s="24">
        <v>4.3233177300582113E-4</v>
      </c>
    </row>
    <row r="267" spans="1:20" x14ac:dyDescent="0.25">
      <c r="A267" s="16" t="s">
        <v>1316</v>
      </c>
      <c r="B267" s="117" t="s">
        <v>1317</v>
      </c>
      <c r="C267" s="117" t="s">
        <v>456</v>
      </c>
      <c r="D267" s="117" t="s">
        <v>249</v>
      </c>
      <c r="E267" s="117" t="s">
        <v>1318</v>
      </c>
      <c r="F267" s="117" t="s">
        <v>215</v>
      </c>
      <c r="G267" s="117" t="s">
        <v>585</v>
      </c>
      <c r="H267" s="117" t="s">
        <v>254</v>
      </c>
      <c r="I267" s="117" t="s">
        <v>1319</v>
      </c>
      <c r="J267" s="118">
        <v>3.79</v>
      </c>
      <c r="K267" s="118" t="s">
        <v>255</v>
      </c>
      <c r="L267" s="117">
        <v>2.3E-2</v>
      </c>
      <c r="M267" s="117">
        <v>5.4600000000000003E-2</v>
      </c>
      <c r="N267" s="69">
        <v>390879.63262240402</v>
      </c>
      <c r="O267" s="60">
        <v>89.710000000000008</v>
      </c>
      <c r="P267" s="84">
        <v>0</v>
      </c>
      <c r="Q267" s="84">
        <v>350.65812</v>
      </c>
      <c r="R267" s="24">
        <v>6.0881652862171496E-4</v>
      </c>
      <c r="S267" s="24">
        <v>3.1251769420963891E-3</v>
      </c>
      <c r="T267" s="24">
        <v>1.4444241296928029E-3</v>
      </c>
    </row>
    <row r="268" spans="1:20" x14ac:dyDescent="0.25">
      <c r="A268" s="16" t="s">
        <v>4015</v>
      </c>
      <c r="B268" s="117" t="s">
        <v>1458</v>
      </c>
      <c r="C268" s="117" t="s">
        <v>456</v>
      </c>
      <c r="D268" s="117" t="s">
        <v>249</v>
      </c>
      <c r="E268" s="117" t="s">
        <v>1459</v>
      </c>
      <c r="F268" s="117" t="s">
        <v>221</v>
      </c>
      <c r="G268" s="117" t="s">
        <v>671</v>
      </c>
      <c r="H268" s="117" t="s">
        <v>254</v>
      </c>
      <c r="I268" s="117" t="s">
        <v>1460</v>
      </c>
      <c r="J268" s="118">
        <v>0</v>
      </c>
      <c r="K268" s="118" t="s">
        <v>255</v>
      </c>
      <c r="L268" s="117">
        <v>1.9E-2</v>
      </c>
      <c r="M268" s="117">
        <v>5.6500000000000002E-2</v>
      </c>
      <c r="N268" s="69">
        <v>200540.25378507201</v>
      </c>
      <c r="O268" s="60">
        <v>88.028604000000001</v>
      </c>
      <c r="P268" s="84">
        <v>0</v>
      </c>
      <c r="Q268" s="84">
        <v>176.53279000000001</v>
      </c>
      <c r="R268" s="24">
        <v>5.7626509708354028E-4</v>
      </c>
      <c r="S268" s="24">
        <v>1.5733164965121699E-3</v>
      </c>
      <c r="T268" s="24">
        <v>7.2717044612568031E-4</v>
      </c>
    </row>
    <row r="269" spans="1:20" x14ac:dyDescent="0.25">
      <c r="A269" s="16" t="s">
        <v>1394</v>
      </c>
      <c r="B269" s="117" t="s">
        <v>1395</v>
      </c>
      <c r="C269" s="117" t="s">
        <v>456</v>
      </c>
      <c r="D269" s="117" t="s">
        <v>249</v>
      </c>
      <c r="E269" s="117" t="s">
        <v>1396</v>
      </c>
      <c r="F269" s="117" t="s">
        <v>201</v>
      </c>
      <c r="G269" s="117" t="s">
        <v>718</v>
      </c>
      <c r="H269" s="117" t="s">
        <v>569</v>
      </c>
      <c r="I269" s="117" t="s">
        <v>1397</v>
      </c>
      <c r="J269" s="118">
        <v>5.97</v>
      </c>
      <c r="K269" s="118" t="s">
        <v>255</v>
      </c>
      <c r="L269" s="117">
        <v>2.3799999999999998E-2</v>
      </c>
      <c r="M269" s="117">
        <v>5.7699999999999994E-2</v>
      </c>
      <c r="N269" s="69">
        <v>162511.0628341815</v>
      </c>
      <c r="O269" s="60">
        <v>83.2</v>
      </c>
      <c r="P269" s="84">
        <v>0</v>
      </c>
      <c r="Q269" s="84">
        <v>135.20920000000001</v>
      </c>
      <c r="R269" s="24">
        <v>2.4995356999251193E-4</v>
      </c>
      <c r="S269" s="24">
        <v>1.2050274900216175E-3</v>
      </c>
      <c r="T269" s="24">
        <v>5.5695111533838183E-4</v>
      </c>
    </row>
    <row r="270" spans="1:20" x14ac:dyDescent="0.25">
      <c r="A270" s="16" t="s">
        <v>1408</v>
      </c>
      <c r="B270" s="117" t="s">
        <v>1409</v>
      </c>
      <c r="C270" s="117" t="s">
        <v>456</v>
      </c>
      <c r="D270" s="117" t="s">
        <v>249</v>
      </c>
      <c r="E270" s="117" t="s">
        <v>1396</v>
      </c>
      <c r="F270" s="117" t="s">
        <v>201</v>
      </c>
      <c r="G270" s="117" t="s">
        <v>718</v>
      </c>
      <c r="H270" s="117" t="s">
        <v>569</v>
      </c>
      <c r="I270" s="117" t="s">
        <v>1410</v>
      </c>
      <c r="J270" s="118">
        <v>4.18</v>
      </c>
      <c r="K270" s="118" t="s">
        <v>255</v>
      </c>
      <c r="L270" s="117">
        <v>3.2599999999999997E-2</v>
      </c>
      <c r="M270" s="117">
        <v>5.4900000000000004E-2</v>
      </c>
      <c r="N270" s="69">
        <v>152296.62647711695</v>
      </c>
      <c r="O270" s="60">
        <v>92.89</v>
      </c>
      <c r="P270" s="84">
        <v>0</v>
      </c>
      <c r="Q270" s="84">
        <v>141.46833999999998</v>
      </c>
      <c r="R270" s="24">
        <v>1.5450433897675581E-4</v>
      </c>
      <c r="S270" s="24">
        <v>1.2608109408806854E-3</v>
      </c>
      <c r="T270" s="24">
        <v>5.8273364348039483E-4</v>
      </c>
    </row>
    <row r="271" spans="1:20" x14ac:dyDescent="0.25">
      <c r="A271" s="16" t="s">
        <v>1443</v>
      </c>
      <c r="B271" s="117" t="s">
        <v>1444</v>
      </c>
      <c r="C271" s="117" t="s">
        <v>456</v>
      </c>
      <c r="D271" s="117" t="s">
        <v>249</v>
      </c>
      <c r="E271" s="117" t="s">
        <v>1396</v>
      </c>
      <c r="F271" s="117" t="s">
        <v>201</v>
      </c>
      <c r="G271" s="117" t="s">
        <v>718</v>
      </c>
      <c r="H271" s="117" t="s">
        <v>569</v>
      </c>
      <c r="I271" s="117" t="s">
        <v>1445</v>
      </c>
      <c r="J271" s="118">
        <v>5.26</v>
      </c>
      <c r="K271" s="118" t="s">
        <v>255</v>
      </c>
      <c r="L271" s="117">
        <v>5.1699999999999996E-2</v>
      </c>
      <c r="M271" s="117">
        <v>5.6600000000000004E-2</v>
      </c>
      <c r="N271" s="69">
        <v>460460.71485745517</v>
      </c>
      <c r="O271" s="60">
        <v>99.53</v>
      </c>
      <c r="P271" s="84">
        <v>0</v>
      </c>
      <c r="Q271" s="84">
        <v>458.29654999999997</v>
      </c>
      <c r="R271" s="24">
        <v>7.5458890628116561E-4</v>
      </c>
      <c r="S271" s="24">
        <v>4.0844849413506374E-3</v>
      </c>
      <c r="T271" s="24">
        <v>1.8878062637618775E-3</v>
      </c>
    </row>
    <row r="272" spans="1:20" x14ac:dyDescent="0.25">
      <c r="A272" s="16" t="s">
        <v>1474</v>
      </c>
      <c r="B272" s="117" t="s">
        <v>1475</v>
      </c>
      <c r="C272" s="117" t="s">
        <v>456</v>
      </c>
      <c r="D272" s="117" t="s">
        <v>249</v>
      </c>
      <c r="E272" s="117" t="s">
        <v>1396</v>
      </c>
      <c r="F272" s="117" t="s">
        <v>201</v>
      </c>
      <c r="G272" s="117" t="s">
        <v>718</v>
      </c>
      <c r="H272" s="117" t="s">
        <v>569</v>
      </c>
      <c r="I272" s="117" t="s">
        <v>651</v>
      </c>
      <c r="J272" s="118">
        <v>2.1800000000000002</v>
      </c>
      <c r="K272" s="118" t="s">
        <v>255</v>
      </c>
      <c r="L272" s="117">
        <v>2.63E-2</v>
      </c>
      <c r="M272" s="117">
        <v>5.5500000000000001E-2</v>
      </c>
      <c r="N272" s="69">
        <v>2992.1044546537896</v>
      </c>
      <c r="O272" s="60">
        <v>95.9</v>
      </c>
      <c r="P272" s="84">
        <v>0</v>
      </c>
      <c r="Q272" s="84">
        <v>2.8694299999999999</v>
      </c>
      <c r="R272" s="24">
        <v>2.1695302323883541E-6</v>
      </c>
      <c r="S272" s="24">
        <v>2.55732748266592E-5</v>
      </c>
      <c r="T272" s="24">
        <v>1.1819700426342385E-5</v>
      </c>
    </row>
    <row r="273" spans="1:20" x14ac:dyDescent="0.25">
      <c r="A273" s="16" t="s">
        <v>1312</v>
      </c>
      <c r="B273" s="117" t="s">
        <v>1313</v>
      </c>
      <c r="C273" s="117" t="s">
        <v>456</v>
      </c>
      <c r="D273" s="117" t="s">
        <v>249</v>
      </c>
      <c r="E273" s="117" t="s">
        <v>1314</v>
      </c>
      <c r="F273" s="117" t="s">
        <v>223</v>
      </c>
      <c r="G273" s="117" t="s">
        <v>730</v>
      </c>
      <c r="H273" s="117" t="s">
        <v>569</v>
      </c>
      <c r="I273" s="117" t="s">
        <v>1315</v>
      </c>
      <c r="J273" s="118">
        <v>4</v>
      </c>
      <c r="K273" s="118" t="s">
        <v>255</v>
      </c>
      <c r="L273" s="117">
        <v>3.04E-2</v>
      </c>
      <c r="M273" s="117">
        <v>5.5599999999999997E-2</v>
      </c>
      <c r="N273" s="69">
        <v>167262.34086289405</v>
      </c>
      <c r="O273" s="60">
        <v>91.49</v>
      </c>
      <c r="P273" s="84">
        <v>0</v>
      </c>
      <c r="Q273" s="84">
        <v>153.02832000000001</v>
      </c>
      <c r="R273" s="24">
        <v>3.0860030967918385E-4</v>
      </c>
      <c r="S273" s="24">
        <v>1.363837167528725E-3</v>
      </c>
      <c r="T273" s="24">
        <v>6.3035128898298936E-4</v>
      </c>
    </row>
    <row r="274" spans="1:20" x14ac:dyDescent="0.25">
      <c r="A274" s="16" t="s">
        <v>1521</v>
      </c>
      <c r="B274" s="117" t="s">
        <v>1522</v>
      </c>
      <c r="C274" s="117" t="s">
        <v>456</v>
      </c>
      <c r="D274" s="117" t="s">
        <v>249</v>
      </c>
      <c r="E274" s="117" t="s">
        <v>1314</v>
      </c>
      <c r="F274" s="117" t="s">
        <v>223</v>
      </c>
      <c r="G274" s="117" t="s">
        <v>573</v>
      </c>
      <c r="H274" s="117" t="s">
        <v>573</v>
      </c>
      <c r="I274" s="117" t="s">
        <v>1523</v>
      </c>
      <c r="J274" s="118">
        <v>6.07</v>
      </c>
      <c r="K274" s="118" t="s">
        <v>255</v>
      </c>
      <c r="L274" s="117">
        <v>5.4800000000000001E-2</v>
      </c>
      <c r="M274" s="117">
        <v>5.8799999999999998E-2</v>
      </c>
      <c r="N274" s="69">
        <v>28200.97318852575</v>
      </c>
      <c r="O274" s="60">
        <v>98.590000000000018</v>
      </c>
      <c r="P274" s="84">
        <v>0</v>
      </c>
      <c r="Q274" s="84">
        <v>27.803339999999999</v>
      </c>
      <c r="R274" s="24">
        <v>9.4003243961752493E-5</v>
      </c>
      <c r="S274" s="24">
        <v>2.4779222874196161E-4</v>
      </c>
      <c r="T274" s="24">
        <v>1.1452697910447102E-4</v>
      </c>
    </row>
    <row r="275" spans="1:20" x14ac:dyDescent="0.25">
      <c r="A275" s="16" t="s">
        <v>1411</v>
      </c>
      <c r="B275" s="117" t="s">
        <v>1412</v>
      </c>
      <c r="C275" s="117" t="s">
        <v>456</v>
      </c>
      <c r="D275" s="117" t="s">
        <v>249</v>
      </c>
      <c r="E275" s="117" t="s">
        <v>708</v>
      </c>
      <c r="F275" s="117" t="s">
        <v>200</v>
      </c>
      <c r="G275" s="117" t="s">
        <v>709</v>
      </c>
      <c r="H275" s="117" t="s">
        <v>569</v>
      </c>
      <c r="I275" s="117" t="s">
        <v>1004</v>
      </c>
      <c r="J275" s="118">
        <v>3.66</v>
      </c>
      <c r="K275" s="118" t="s">
        <v>255</v>
      </c>
      <c r="L275" s="117">
        <v>2.7400000000000001E-2</v>
      </c>
      <c r="M275" s="117">
        <v>0.05</v>
      </c>
      <c r="N275" s="69">
        <v>420923.60351901228</v>
      </c>
      <c r="O275" s="60">
        <v>93.39</v>
      </c>
      <c r="P275" s="84">
        <v>0</v>
      </c>
      <c r="Q275" s="84">
        <v>393.10055</v>
      </c>
      <c r="R275" s="24">
        <v>2.4586160280838898E-4</v>
      </c>
      <c r="S275" s="24">
        <v>3.5034374073111686E-3</v>
      </c>
      <c r="T275" s="24">
        <v>1.6192521645171432E-3</v>
      </c>
    </row>
    <row r="276" spans="1:20" x14ac:dyDescent="0.25">
      <c r="A276" s="16" t="s">
        <v>1283</v>
      </c>
      <c r="B276" s="117" t="s">
        <v>1284</v>
      </c>
      <c r="C276" s="117" t="s">
        <v>456</v>
      </c>
      <c r="D276" s="117" t="s">
        <v>249</v>
      </c>
      <c r="E276" s="117" t="s">
        <v>1285</v>
      </c>
      <c r="F276" s="117" t="s">
        <v>202</v>
      </c>
      <c r="G276" s="117" t="s">
        <v>718</v>
      </c>
      <c r="H276" s="117" t="s">
        <v>569</v>
      </c>
      <c r="I276" s="117" t="s">
        <v>1286</v>
      </c>
      <c r="J276" s="118">
        <v>3.77</v>
      </c>
      <c r="K276" s="118" t="s">
        <v>255</v>
      </c>
      <c r="L276" s="117">
        <v>2.4900000000000002E-2</v>
      </c>
      <c r="M276" s="117">
        <v>5.57E-2</v>
      </c>
      <c r="N276" s="69">
        <v>38730.726130863099</v>
      </c>
      <c r="O276" s="60">
        <v>88.61</v>
      </c>
      <c r="P276" s="84">
        <v>0</v>
      </c>
      <c r="Q276" s="84">
        <v>34.319300000000005</v>
      </c>
      <c r="R276" s="24">
        <v>6.4642888594258053E-5</v>
      </c>
      <c r="S276" s="24">
        <v>3.0586454130561306E-4</v>
      </c>
      <c r="T276" s="24">
        <v>1.4136739521151319E-4</v>
      </c>
    </row>
    <row r="277" spans="1:20" x14ac:dyDescent="0.25">
      <c r="A277" s="16" t="s">
        <v>1389</v>
      </c>
      <c r="B277" s="117" t="s">
        <v>1390</v>
      </c>
      <c r="C277" s="117" t="s">
        <v>456</v>
      </c>
      <c r="D277" s="117" t="s">
        <v>249</v>
      </c>
      <c r="E277" s="117" t="s">
        <v>1391</v>
      </c>
      <c r="F277" s="117" t="s">
        <v>207</v>
      </c>
      <c r="G277" s="117" t="s">
        <v>573</v>
      </c>
      <c r="H277" s="117" t="s">
        <v>573</v>
      </c>
      <c r="I277" s="117" t="s">
        <v>969</v>
      </c>
      <c r="J277" s="118">
        <v>0.25</v>
      </c>
      <c r="K277" s="118" t="s">
        <v>255</v>
      </c>
      <c r="L277" s="117">
        <v>0.01</v>
      </c>
      <c r="M277" s="117">
        <v>0.45</v>
      </c>
      <c r="N277" s="69">
        <v>774.91376753058353</v>
      </c>
      <c r="O277" s="60">
        <v>54.66</v>
      </c>
      <c r="P277" s="84">
        <v>0</v>
      </c>
      <c r="Q277" s="84">
        <v>0.42357</v>
      </c>
      <c r="R277" s="24">
        <v>1.280045291771111E-5</v>
      </c>
      <c r="S277" s="24">
        <v>3.7749908582289995E-6</v>
      </c>
      <c r="T277" s="24">
        <v>1.7447613322457227E-6</v>
      </c>
    </row>
    <row r="278" spans="1:20" x14ac:dyDescent="0.25">
      <c r="A278" s="16" t="s">
        <v>1551</v>
      </c>
      <c r="B278" s="117" t="s">
        <v>1552</v>
      </c>
      <c r="C278" s="117" t="s">
        <v>456</v>
      </c>
      <c r="D278" s="117" t="s">
        <v>249</v>
      </c>
      <c r="E278" s="117" t="s">
        <v>1391</v>
      </c>
      <c r="F278" s="117" t="s">
        <v>226</v>
      </c>
      <c r="G278" s="117" t="s">
        <v>573</v>
      </c>
      <c r="H278" s="117" t="s">
        <v>573</v>
      </c>
      <c r="I278" s="117" t="s">
        <v>969</v>
      </c>
      <c r="J278" s="118">
        <v>3.26</v>
      </c>
      <c r="K278" s="118" t="s">
        <v>255</v>
      </c>
      <c r="L278" s="117">
        <v>0.01</v>
      </c>
      <c r="M278" s="117">
        <v>0.45</v>
      </c>
      <c r="N278" s="69">
        <v>1240.125239743594</v>
      </c>
      <c r="O278" s="60">
        <v>3.2</v>
      </c>
      <c r="P278" s="84">
        <v>0</v>
      </c>
      <c r="Q278" s="84">
        <v>3.968E-2</v>
      </c>
      <c r="R278" s="24">
        <v>1.2401252397435939E-5</v>
      </c>
      <c r="S278" s="24">
        <v>3.5364080849570719E-7</v>
      </c>
      <c r="T278" s="24">
        <v>1.6344908672358826E-7</v>
      </c>
    </row>
    <row r="279" spans="1:20" x14ac:dyDescent="0.25">
      <c r="A279" s="16" t="s">
        <v>1210</v>
      </c>
      <c r="B279" s="117" t="s">
        <v>1211</v>
      </c>
      <c r="C279" s="117" t="s">
        <v>456</v>
      </c>
      <c r="D279" s="117" t="s">
        <v>249</v>
      </c>
      <c r="E279" s="117" t="s">
        <v>584</v>
      </c>
      <c r="F279" s="117" t="s">
        <v>223</v>
      </c>
      <c r="G279" s="117" t="s">
        <v>585</v>
      </c>
      <c r="H279" s="117" t="s">
        <v>254</v>
      </c>
      <c r="I279" s="117" t="s">
        <v>1212</v>
      </c>
      <c r="J279" s="118">
        <v>0.98</v>
      </c>
      <c r="K279" s="118" t="s">
        <v>255</v>
      </c>
      <c r="L279" s="117">
        <v>3.5000000000000003E-2</v>
      </c>
      <c r="M279" s="117">
        <v>5.7200000000000001E-2</v>
      </c>
      <c r="N279" s="69">
        <v>254940.50915435413</v>
      </c>
      <c r="O279" s="60">
        <v>98.8</v>
      </c>
      <c r="P279" s="84">
        <v>0</v>
      </c>
      <c r="Q279" s="84">
        <v>251.88122000000001</v>
      </c>
      <c r="R279" s="24">
        <v>2.7722041416557359E-4</v>
      </c>
      <c r="S279" s="24">
        <v>2.2448457229255316E-3</v>
      </c>
      <c r="T279" s="24">
        <v>1.0375442382011899E-3</v>
      </c>
    </row>
    <row r="280" spans="1:20" x14ac:dyDescent="0.25">
      <c r="A280" s="16" t="s">
        <v>1289</v>
      </c>
      <c r="B280" s="117" t="s">
        <v>1290</v>
      </c>
      <c r="C280" s="117" t="s">
        <v>456</v>
      </c>
      <c r="D280" s="117" t="s">
        <v>249</v>
      </c>
      <c r="E280" s="117" t="s">
        <v>1291</v>
      </c>
      <c r="F280" s="117" t="s">
        <v>204</v>
      </c>
      <c r="G280" s="117" t="s">
        <v>671</v>
      </c>
      <c r="H280" s="117" t="s">
        <v>254</v>
      </c>
      <c r="I280" s="117" t="s">
        <v>1292</v>
      </c>
      <c r="J280" s="118">
        <v>2.56</v>
      </c>
      <c r="K280" s="118" t="s">
        <v>255</v>
      </c>
      <c r="L280" s="117">
        <v>2.3900000000000001E-2</v>
      </c>
      <c r="M280" s="117">
        <v>5.8899999999999994E-2</v>
      </c>
      <c r="N280" s="69">
        <v>79492.52902823659</v>
      </c>
      <c r="O280" s="60">
        <v>92.2</v>
      </c>
      <c r="P280" s="84">
        <v>0</v>
      </c>
      <c r="Q280" s="84">
        <v>73.292109999999994</v>
      </c>
      <c r="R280" s="24">
        <v>3.8867661226433083E-4</v>
      </c>
      <c r="S280" s="24">
        <v>6.5320264709567313E-4</v>
      </c>
      <c r="T280" s="24">
        <v>3.0190343859739843E-4</v>
      </c>
    </row>
    <row r="281" spans="1:20" x14ac:dyDescent="0.25">
      <c r="A281" s="16" t="s">
        <v>1187</v>
      </c>
      <c r="B281" s="117" t="s">
        <v>1188</v>
      </c>
      <c r="C281" s="117" t="s">
        <v>456</v>
      </c>
      <c r="D281" s="117" t="s">
        <v>249</v>
      </c>
      <c r="E281" s="117" t="s">
        <v>1189</v>
      </c>
      <c r="F281" s="117" t="s">
        <v>201</v>
      </c>
      <c r="G281" s="117" t="s">
        <v>666</v>
      </c>
      <c r="H281" s="117" t="s">
        <v>569</v>
      </c>
      <c r="I281" s="117" t="s">
        <v>1190</v>
      </c>
      <c r="J281" s="118">
        <v>0.75</v>
      </c>
      <c r="K281" s="118" t="s">
        <v>255</v>
      </c>
      <c r="L281" s="117">
        <v>4.0999999999999995E-2</v>
      </c>
      <c r="M281" s="117">
        <v>5.4900000000000004E-2</v>
      </c>
      <c r="N281" s="69">
        <v>66877.188467604996</v>
      </c>
      <c r="O281" s="60">
        <v>100.03</v>
      </c>
      <c r="P281" s="84">
        <v>0</v>
      </c>
      <c r="Q281" s="84">
        <v>66.89725</v>
      </c>
      <c r="R281" s="24">
        <v>2.2292396155868332E-4</v>
      </c>
      <c r="S281" s="24">
        <v>5.9620961633415949E-4</v>
      </c>
      <c r="T281" s="24">
        <v>2.7556185526258982E-4</v>
      </c>
    </row>
    <row r="282" spans="1:20" x14ac:dyDescent="0.25">
      <c r="A282" s="16" t="s">
        <v>1268</v>
      </c>
      <c r="B282" s="117" t="s">
        <v>1269</v>
      </c>
      <c r="C282" s="117" t="s">
        <v>456</v>
      </c>
      <c r="D282" s="117" t="s">
        <v>249</v>
      </c>
      <c r="E282" s="117" t="s">
        <v>1189</v>
      </c>
      <c r="F282" s="117" t="s">
        <v>201</v>
      </c>
      <c r="G282" s="117" t="s">
        <v>568</v>
      </c>
      <c r="H282" s="117" t="s">
        <v>569</v>
      </c>
      <c r="I282" s="117" t="s">
        <v>1270</v>
      </c>
      <c r="J282" s="118">
        <v>2.93</v>
      </c>
      <c r="K282" s="118" t="s">
        <v>255</v>
      </c>
      <c r="L282" s="117">
        <v>1.84E-2</v>
      </c>
      <c r="M282" s="117">
        <v>5.0199999999999995E-2</v>
      </c>
      <c r="N282" s="69">
        <v>139824.1162627569</v>
      </c>
      <c r="O282" s="60">
        <v>91.39</v>
      </c>
      <c r="P282" s="84">
        <v>1.286381877</v>
      </c>
      <c r="Q282" s="84">
        <v>129.07164</v>
      </c>
      <c r="R282" s="24">
        <v>4.6608038754252298E-4</v>
      </c>
      <c r="S282" s="24">
        <v>1.1503275988776931E-3</v>
      </c>
      <c r="T282" s="24">
        <v>5.3166939717529647E-4</v>
      </c>
    </row>
    <row r="283" spans="1:20" x14ac:dyDescent="0.25">
      <c r="A283" s="16" t="s">
        <v>1402</v>
      </c>
      <c r="B283" s="117" t="s">
        <v>1403</v>
      </c>
      <c r="C283" s="117" t="s">
        <v>456</v>
      </c>
      <c r="D283" s="117" t="s">
        <v>249</v>
      </c>
      <c r="E283" s="117" t="s">
        <v>1189</v>
      </c>
      <c r="F283" s="117" t="s">
        <v>201</v>
      </c>
      <c r="G283" s="117" t="s">
        <v>568</v>
      </c>
      <c r="H283" s="117" t="s">
        <v>569</v>
      </c>
      <c r="I283" s="117" t="s">
        <v>1404</v>
      </c>
      <c r="J283" s="118">
        <v>6.46</v>
      </c>
      <c r="K283" s="118" t="s">
        <v>255</v>
      </c>
      <c r="L283" s="117">
        <v>2.98E-2</v>
      </c>
      <c r="M283" s="117">
        <v>5.4800000000000001E-2</v>
      </c>
      <c r="N283" s="69">
        <v>131750.58811971394</v>
      </c>
      <c r="O283" s="60">
        <v>86.29</v>
      </c>
      <c r="P283" s="84">
        <v>0</v>
      </c>
      <c r="Q283" s="84">
        <v>113.68758</v>
      </c>
      <c r="R283" s="24">
        <v>3.3563422612262395E-4</v>
      </c>
      <c r="S283" s="24">
        <v>1.013219952296381E-3</v>
      </c>
      <c r="T283" s="24">
        <v>4.6829967547416525E-4</v>
      </c>
    </row>
    <row r="284" spans="1:20" x14ac:dyDescent="0.25">
      <c r="A284" s="16" t="s">
        <v>1438</v>
      </c>
      <c r="B284" s="117" t="s">
        <v>1439</v>
      </c>
      <c r="C284" s="117" t="s">
        <v>456</v>
      </c>
      <c r="D284" s="117" t="s">
        <v>249</v>
      </c>
      <c r="E284" s="117" t="s">
        <v>1189</v>
      </c>
      <c r="F284" s="117" t="s">
        <v>201</v>
      </c>
      <c r="G284" s="117" t="s">
        <v>568</v>
      </c>
      <c r="H284" s="117" t="s">
        <v>569</v>
      </c>
      <c r="I284" s="117" t="s">
        <v>1047</v>
      </c>
      <c r="J284" s="118">
        <v>0</v>
      </c>
      <c r="K284" s="118" t="s">
        <v>255</v>
      </c>
      <c r="L284" s="117">
        <v>2.98E-2</v>
      </c>
      <c r="M284" s="117">
        <v>5.4199999999999998E-2</v>
      </c>
      <c r="N284" s="69">
        <v>141004.86594262876</v>
      </c>
      <c r="O284" s="60">
        <v>85.286278999999993</v>
      </c>
      <c r="P284" s="84">
        <v>0</v>
      </c>
      <c r="Q284" s="84">
        <v>120.2578</v>
      </c>
      <c r="R284" s="24">
        <v>3.5920947098297699E-4</v>
      </c>
      <c r="S284" s="24">
        <v>1.0717758472760851E-3</v>
      </c>
      <c r="T284" s="24">
        <v>4.9536359832126847E-4</v>
      </c>
    </row>
    <row r="285" spans="1:20" x14ac:dyDescent="0.25">
      <c r="A285" s="16" t="s">
        <v>1524</v>
      </c>
      <c r="B285" s="117" t="s">
        <v>1525</v>
      </c>
      <c r="C285" s="117" t="s">
        <v>456</v>
      </c>
      <c r="D285" s="117" t="s">
        <v>249</v>
      </c>
      <c r="E285" s="117" t="s">
        <v>1189</v>
      </c>
      <c r="F285" s="117" t="s">
        <v>201</v>
      </c>
      <c r="G285" s="117" t="s">
        <v>615</v>
      </c>
      <c r="H285" s="117" t="s">
        <v>569</v>
      </c>
      <c r="I285" s="117" t="s">
        <v>1526</v>
      </c>
      <c r="J285" s="118">
        <v>7.71</v>
      </c>
      <c r="K285" s="118" t="s">
        <v>255</v>
      </c>
      <c r="L285" s="117">
        <v>5.28E-2</v>
      </c>
      <c r="M285" s="117">
        <v>5.5899999999999998E-2</v>
      </c>
      <c r="N285" s="69">
        <v>146203.24533371365</v>
      </c>
      <c r="O285" s="60">
        <v>98.56</v>
      </c>
      <c r="P285" s="84">
        <v>0</v>
      </c>
      <c r="Q285" s="84">
        <v>144.09792000000002</v>
      </c>
      <c r="R285" s="24">
        <v>4.8734415111237886E-4</v>
      </c>
      <c r="S285" s="24">
        <v>1.2842465960521609E-3</v>
      </c>
      <c r="T285" s="24">
        <v>5.9356535843671087E-4</v>
      </c>
    </row>
    <row r="286" spans="1:20" x14ac:dyDescent="0.25">
      <c r="A286" s="16" t="s">
        <v>1206</v>
      </c>
      <c r="B286" s="117" t="s">
        <v>1207</v>
      </c>
      <c r="C286" s="117" t="s">
        <v>456</v>
      </c>
      <c r="D286" s="117" t="s">
        <v>249</v>
      </c>
      <c r="E286" s="117" t="s">
        <v>1208</v>
      </c>
      <c r="F286" s="117" t="s">
        <v>201</v>
      </c>
      <c r="G286" s="117" t="s">
        <v>666</v>
      </c>
      <c r="H286" s="117" t="s">
        <v>569</v>
      </c>
      <c r="I286" s="117" t="s">
        <v>1209</v>
      </c>
      <c r="J286" s="118">
        <v>1.96</v>
      </c>
      <c r="K286" s="118" t="s">
        <v>255</v>
      </c>
      <c r="L286" s="117">
        <v>2.9399999999999999E-2</v>
      </c>
      <c r="M286" s="117">
        <v>5.16E-2</v>
      </c>
      <c r="N286" s="69">
        <v>15272.019663411666</v>
      </c>
      <c r="O286" s="60">
        <v>95.88</v>
      </c>
      <c r="P286" s="84">
        <v>4.2503297595000005</v>
      </c>
      <c r="Q286" s="84">
        <v>15.248419999999999</v>
      </c>
      <c r="R286" s="24">
        <v>9.5198887676806388E-5</v>
      </c>
      <c r="S286" s="24">
        <v>1.3589877966436773E-4</v>
      </c>
      <c r="T286" s="24">
        <v>6.2810996042784713E-5</v>
      </c>
    </row>
    <row r="287" spans="1:20" x14ac:dyDescent="0.25">
      <c r="A287" s="16" t="s">
        <v>1431</v>
      </c>
      <c r="B287" s="117" t="s">
        <v>1432</v>
      </c>
      <c r="C287" s="117" t="s">
        <v>456</v>
      </c>
      <c r="D287" s="117" t="s">
        <v>249</v>
      </c>
      <c r="E287" s="117" t="s">
        <v>1433</v>
      </c>
      <c r="F287" s="117" t="s">
        <v>225</v>
      </c>
      <c r="G287" s="117" t="s">
        <v>573</v>
      </c>
      <c r="H287" s="117" t="s">
        <v>573</v>
      </c>
      <c r="I287" s="117" t="s">
        <v>1434</v>
      </c>
      <c r="J287" s="118">
        <v>3.59</v>
      </c>
      <c r="K287" s="118" t="s">
        <v>255</v>
      </c>
      <c r="L287" s="117">
        <v>7.4999999999999997E-2</v>
      </c>
      <c r="M287" s="117">
        <v>6.6799999999999998E-2</v>
      </c>
      <c r="N287" s="69">
        <v>65835.115130654012</v>
      </c>
      <c r="O287" s="60">
        <v>106.86</v>
      </c>
      <c r="P287" s="84">
        <v>0</v>
      </c>
      <c r="Q287" s="84">
        <v>70.351399999999998</v>
      </c>
      <c r="R287" s="24">
        <v>2.3724027093585789E-4</v>
      </c>
      <c r="S287" s="24">
        <v>6.2699410218762335E-4</v>
      </c>
      <c r="T287" s="24">
        <v>2.8979012297696184E-4</v>
      </c>
    </row>
    <row r="288" spans="1:20" x14ac:dyDescent="0.25">
      <c r="A288" s="16" t="s">
        <v>1435</v>
      </c>
      <c r="B288" s="117" t="s">
        <v>1436</v>
      </c>
      <c r="C288" s="117" t="s">
        <v>456</v>
      </c>
      <c r="D288" s="117" t="s">
        <v>249</v>
      </c>
      <c r="E288" s="117" t="s">
        <v>1433</v>
      </c>
      <c r="F288" s="117" t="s">
        <v>225</v>
      </c>
      <c r="G288" s="117" t="s">
        <v>573</v>
      </c>
      <c r="H288" s="117" t="s">
        <v>573</v>
      </c>
      <c r="I288" s="117" t="s">
        <v>1437</v>
      </c>
      <c r="J288" s="118">
        <v>3.84</v>
      </c>
      <c r="K288" s="118" t="s">
        <v>255</v>
      </c>
      <c r="L288" s="117">
        <v>0.10539999999999999</v>
      </c>
      <c r="M288" s="117">
        <v>7.3399999999999993E-2</v>
      </c>
      <c r="N288" s="69">
        <v>64700.660325040517</v>
      </c>
      <c r="O288" s="60">
        <v>115.36</v>
      </c>
      <c r="P288" s="84">
        <v>0</v>
      </c>
      <c r="Q288" s="84">
        <v>74.638679999999994</v>
      </c>
      <c r="R288" s="24">
        <v>2.6408432785730824E-4</v>
      </c>
      <c r="S288" s="24">
        <v>6.6520370817168271E-4</v>
      </c>
      <c r="T288" s="24">
        <v>3.0745020363543731E-4</v>
      </c>
    </row>
    <row r="289" spans="1:20" x14ac:dyDescent="0.25">
      <c r="A289" s="16" t="s">
        <v>4016</v>
      </c>
      <c r="B289" s="117" t="s">
        <v>1465</v>
      </c>
      <c r="C289" s="117" t="s">
        <v>456</v>
      </c>
      <c r="D289" s="117" t="s">
        <v>249</v>
      </c>
      <c r="E289" s="117" t="s">
        <v>1466</v>
      </c>
      <c r="F289" s="117" t="s">
        <v>221</v>
      </c>
      <c r="G289" s="117" t="s">
        <v>671</v>
      </c>
      <c r="H289" s="117" t="s">
        <v>254</v>
      </c>
      <c r="I289" s="117" t="s">
        <v>1467</v>
      </c>
      <c r="J289" s="118">
        <v>0</v>
      </c>
      <c r="K289" s="118" t="s">
        <v>255</v>
      </c>
      <c r="L289" s="117">
        <v>0.05</v>
      </c>
      <c r="M289" s="117">
        <v>6.0100000000000001E-2</v>
      </c>
      <c r="N289" s="69">
        <v>156672.0732695875</v>
      </c>
      <c r="O289" s="60">
        <v>96.151968999999994</v>
      </c>
      <c r="P289" s="84">
        <v>0</v>
      </c>
      <c r="Q289" s="84">
        <v>150.64328</v>
      </c>
      <c r="R289" s="24">
        <v>5.3049833497981072E-4</v>
      </c>
      <c r="S289" s="24">
        <v>1.3425809307874295E-3</v>
      </c>
      <c r="T289" s="24">
        <v>6.2052687845377493E-4</v>
      </c>
    </row>
    <row r="290" spans="1:20" x14ac:dyDescent="0.25">
      <c r="A290" s="16" t="s">
        <v>1398</v>
      </c>
      <c r="B290" s="117" t="s">
        <v>1399</v>
      </c>
      <c r="C290" s="117" t="s">
        <v>456</v>
      </c>
      <c r="D290" s="117" t="s">
        <v>249</v>
      </c>
      <c r="E290" s="117" t="s">
        <v>1400</v>
      </c>
      <c r="F290" s="117" t="s">
        <v>224</v>
      </c>
      <c r="G290" s="117" t="s">
        <v>666</v>
      </c>
      <c r="H290" s="117" t="s">
        <v>569</v>
      </c>
      <c r="I290" s="117" t="s">
        <v>1401</v>
      </c>
      <c r="J290" s="118">
        <v>6.57</v>
      </c>
      <c r="K290" s="118" t="s">
        <v>255</v>
      </c>
      <c r="L290" s="117">
        <v>2.7999999999999997E-2</v>
      </c>
      <c r="M290" s="117">
        <v>5.9699999999999996E-2</v>
      </c>
      <c r="N290" s="69">
        <v>211362.87978751099</v>
      </c>
      <c r="O290" s="60">
        <v>81.790000000000006</v>
      </c>
      <c r="P290" s="84">
        <v>7.272608441</v>
      </c>
      <c r="Q290" s="84">
        <v>176.61827</v>
      </c>
      <c r="R290" s="24">
        <v>3.8140407516132384E-4</v>
      </c>
      <c r="S290" s="24">
        <v>1.5740783215199875E-3</v>
      </c>
      <c r="T290" s="24">
        <v>7.2752255368447899E-4</v>
      </c>
    </row>
    <row r="291" spans="1:20" x14ac:dyDescent="0.25">
      <c r="A291" s="16" t="s">
        <v>1377</v>
      </c>
      <c r="B291" s="117" t="s">
        <v>1378</v>
      </c>
      <c r="C291" s="117" t="s">
        <v>456</v>
      </c>
      <c r="D291" s="117" t="s">
        <v>249</v>
      </c>
      <c r="E291" s="117" t="s">
        <v>1379</v>
      </c>
      <c r="F291" s="117" t="s">
        <v>224</v>
      </c>
      <c r="G291" s="117" t="s">
        <v>585</v>
      </c>
      <c r="H291" s="117" t="s">
        <v>254</v>
      </c>
      <c r="I291" s="117" t="s">
        <v>1380</v>
      </c>
      <c r="J291" s="118">
        <v>3.04</v>
      </c>
      <c r="K291" s="118" t="s">
        <v>255</v>
      </c>
      <c r="L291" s="117">
        <v>3.49E-2</v>
      </c>
      <c r="M291" s="117">
        <v>7.17E-2</v>
      </c>
      <c r="N291" s="69">
        <v>352180.94129303115</v>
      </c>
      <c r="O291" s="60">
        <v>90.72</v>
      </c>
      <c r="P291" s="84">
        <v>0</v>
      </c>
      <c r="Q291" s="84">
        <v>319.49854999999997</v>
      </c>
      <c r="R291" s="24">
        <v>3.724802492320803E-4</v>
      </c>
      <c r="S291" s="24">
        <v>2.8474729217541866E-3</v>
      </c>
      <c r="T291" s="24">
        <v>1.3160722330395841E-3</v>
      </c>
    </row>
    <row r="292" spans="1:20" x14ac:dyDescent="0.25">
      <c r="A292" s="16" t="s">
        <v>4017</v>
      </c>
      <c r="B292" s="117" t="s">
        <v>1489</v>
      </c>
      <c r="C292" s="117" t="s">
        <v>456</v>
      </c>
      <c r="D292" s="117" t="s">
        <v>249</v>
      </c>
      <c r="E292" s="117" t="s">
        <v>1379</v>
      </c>
      <c r="F292" s="117" t="s">
        <v>224</v>
      </c>
      <c r="G292" s="117" t="s">
        <v>585</v>
      </c>
      <c r="H292" s="117" t="s">
        <v>254</v>
      </c>
      <c r="I292" s="117" t="s">
        <v>1490</v>
      </c>
      <c r="J292" s="118">
        <v>0</v>
      </c>
      <c r="K292" s="118" t="s">
        <v>255</v>
      </c>
      <c r="L292" s="117">
        <v>3.49E-2</v>
      </c>
      <c r="M292" s="117">
        <v>7.1099999999999997E-2</v>
      </c>
      <c r="N292" s="69">
        <v>94003.243961752494</v>
      </c>
      <c r="O292" s="60">
        <v>88.403514999999999</v>
      </c>
      <c r="P292" s="84">
        <v>0</v>
      </c>
      <c r="Q292" s="84">
        <v>83.102170000000001</v>
      </c>
      <c r="R292" s="24">
        <v>9.9421483771786583E-5</v>
      </c>
      <c r="S292" s="24">
        <v>7.4063302889485145E-4</v>
      </c>
      <c r="T292" s="24">
        <v>3.42312847561703E-4</v>
      </c>
    </row>
    <row r="293" spans="1:20" x14ac:dyDescent="0.25">
      <c r="A293" s="16" t="s">
        <v>1427</v>
      </c>
      <c r="B293" s="117" t="s">
        <v>1428</v>
      </c>
      <c r="C293" s="117" t="s">
        <v>456</v>
      </c>
      <c r="D293" s="117" t="s">
        <v>249</v>
      </c>
      <c r="E293" s="117" t="s">
        <v>1429</v>
      </c>
      <c r="F293" s="117" t="s">
        <v>206</v>
      </c>
      <c r="G293" s="117" t="s">
        <v>671</v>
      </c>
      <c r="H293" s="117" t="s">
        <v>254</v>
      </c>
      <c r="I293" s="117" t="s">
        <v>1430</v>
      </c>
      <c r="J293" s="118">
        <v>4.0599999999999996</v>
      </c>
      <c r="K293" s="118" t="s">
        <v>255</v>
      </c>
      <c r="L293" s="117">
        <v>4.7300000000000002E-2</v>
      </c>
      <c r="M293" s="117">
        <v>6.0199999999999997E-2</v>
      </c>
      <c r="N293" s="69">
        <v>131168.41349609295</v>
      </c>
      <c r="O293" s="60">
        <v>96.34</v>
      </c>
      <c r="P293" s="84">
        <v>0</v>
      </c>
      <c r="Q293" s="84">
        <v>126.36765</v>
      </c>
      <c r="R293" s="24">
        <v>3.321434067991668E-4</v>
      </c>
      <c r="S293" s="24">
        <v>1.1262287780671007E-3</v>
      </c>
      <c r="T293" s="24">
        <v>5.2053117398956773E-4</v>
      </c>
    </row>
    <row r="294" spans="1:20" x14ac:dyDescent="0.25">
      <c r="A294" s="16" t="s">
        <v>1234</v>
      </c>
      <c r="B294" s="117" t="s">
        <v>1235</v>
      </c>
      <c r="C294" s="117" t="s">
        <v>456</v>
      </c>
      <c r="D294" s="117" t="s">
        <v>249</v>
      </c>
      <c r="E294" s="117" t="s">
        <v>1236</v>
      </c>
      <c r="F294" s="117" t="s">
        <v>223</v>
      </c>
      <c r="G294" s="117" t="s">
        <v>709</v>
      </c>
      <c r="H294" s="117" t="s">
        <v>569</v>
      </c>
      <c r="I294" s="117" t="s">
        <v>1237</v>
      </c>
      <c r="J294" s="118">
        <v>2.4</v>
      </c>
      <c r="K294" s="118" t="s">
        <v>255</v>
      </c>
      <c r="L294" s="117">
        <v>1.44E-2</v>
      </c>
      <c r="M294" s="117">
        <v>5.1399999999999994E-2</v>
      </c>
      <c r="N294" s="69">
        <v>206590.42094786896</v>
      </c>
      <c r="O294" s="60">
        <v>91.68</v>
      </c>
      <c r="P294" s="84">
        <v>22.146493124999996</v>
      </c>
      <c r="Q294" s="84">
        <v>192.60838000000001</v>
      </c>
      <c r="R294" s="24">
        <v>4.5908982432859771E-4</v>
      </c>
      <c r="S294" s="24">
        <v>1.7165872788873085E-3</v>
      </c>
      <c r="T294" s="24">
        <v>7.9338870479611504E-4</v>
      </c>
    </row>
    <row r="295" spans="1:20" x14ac:dyDescent="0.25">
      <c r="A295" s="16" t="s">
        <v>1278</v>
      </c>
      <c r="B295" s="117" t="s">
        <v>1279</v>
      </c>
      <c r="C295" s="117" t="s">
        <v>456</v>
      </c>
      <c r="D295" s="117" t="s">
        <v>249</v>
      </c>
      <c r="E295" s="117" t="s">
        <v>670</v>
      </c>
      <c r="F295" s="117" t="s">
        <v>225</v>
      </c>
      <c r="G295" s="117" t="s">
        <v>671</v>
      </c>
      <c r="H295" s="117" t="s">
        <v>254</v>
      </c>
      <c r="I295" s="117" t="s">
        <v>1280</v>
      </c>
      <c r="J295" s="118">
        <v>4.68</v>
      </c>
      <c r="K295" s="118" t="s">
        <v>255</v>
      </c>
      <c r="L295" s="117">
        <v>2.4300000000000002E-2</v>
      </c>
      <c r="M295" s="117">
        <v>5.5E-2</v>
      </c>
      <c r="N295" s="69">
        <v>223677.97724570785</v>
      </c>
      <c r="O295" s="60">
        <v>87.67</v>
      </c>
      <c r="P295" s="84">
        <v>0</v>
      </c>
      <c r="Q295" s="84">
        <v>196.09848000000002</v>
      </c>
      <c r="R295" s="24">
        <v>1.52721348098789E-4</v>
      </c>
      <c r="S295" s="24">
        <v>1.7476921626002841E-3</v>
      </c>
      <c r="T295" s="24">
        <v>8.0776505705352423E-4</v>
      </c>
    </row>
    <row r="296" spans="1:20" x14ac:dyDescent="0.25">
      <c r="A296" s="16" t="s">
        <v>1543</v>
      </c>
      <c r="B296" s="117" t="s">
        <v>1544</v>
      </c>
      <c r="C296" s="117" t="s">
        <v>456</v>
      </c>
      <c r="D296" s="117" t="s">
        <v>249</v>
      </c>
      <c r="E296" s="117" t="s">
        <v>670</v>
      </c>
      <c r="F296" s="117" t="s">
        <v>225</v>
      </c>
      <c r="G296" s="117" t="s">
        <v>671</v>
      </c>
      <c r="H296" s="117" t="s">
        <v>254</v>
      </c>
      <c r="I296" s="117" t="s">
        <v>1545</v>
      </c>
      <c r="J296" s="118">
        <v>0.66</v>
      </c>
      <c r="K296" s="118" t="s">
        <v>255</v>
      </c>
      <c r="L296" s="117">
        <v>6.3999999761581425E-2</v>
      </c>
      <c r="M296" s="117">
        <v>5.8099999999999999E-2</v>
      </c>
      <c r="N296" s="69">
        <v>78369.05875235534</v>
      </c>
      <c r="O296" s="60">
        <v>100.97</v>
      </c>
      <c r="P296" s="84">
        <v>0</v>
      </c>
      <c r="Q296" s="84">
        <v>79.12924000000001</v>
      </c>
      <c r="R296" s="24">
        <v>1.1282650193127018E-4</v>
      </c>
      <c r="S296" s="24">
        <v>7.052250103137817E-4</v>
      </c>
      <c r="T296" s="24">
        <v>3.2594763132892213E-4</v>
      </c>
    </row>
    <row r="297" spans="1:20" x14ac:dyDescent="0.25">
      <c r="A297" s="16" t="s">
        <v>1309</v>
      </c>
      <c r="B297" s="117" t="s">
        <v>1310</v>
      </c>
      <c r="C297" s="117" t="s">
        <v>456</v>
      </c>
      <c r="D297" s="117" t="s">
        <v>249</v>
      </c>
      <c r="E297" s="117" t="s">
        <v>1027</v>
      </c>
      <c r="F297" s="117" t="s">
        <v>205</v>
      </c>
      <c r="G297" s="117" t="s">
        <v>615</v>
      </c>
      <c r="H297" s="117" t="s">
        <v>569</v>
      </c>
      <c r="I297" s="117" t="s">
        <v>1311</v>
      </c>
      <c r="J297" s="118">
        <v>3.74</v>
      </c>
      <c r="K297" s="118" t="s">
        <v>255</v>
      </c>
      <c r="L297" s="117">
        <v>3.1600000000000003E-2</v>
      </c>
      <c r="M297" s="117">
        <v>6.83E-2</v>
      </c>
      <c r="N297" s="69">
        <v>260273.79836638086</v>
      </c>
      <c r="O297" s="60">
        <v>86.050000000000011</v>
      </c>
      <c r="P297" s="84">
        <v>0</v>
      </c>
      <c r="Q297" s="84">
        <v>223.96559999999999</v>
      </c>
      <c r="R297" s="24">
        <v>3.3574628414366606E-4</v>
      </c>
      <c r="S297" s="24">
        <v>1.9960528190329173E-3</v>
      </c>
      <c r="T297" s="24">
        <v>9.2255475749749183E-4</v>
      </c>
    </row>
    <row r="298" spans="1:20" x14ac:dyDescent="0.25">
      <c r="A298" s="16" t="s">
        <v>4018</v>
      </c>
      <c r="B298" s="117" t="s">
        <v>1452</v>
      </c>
      <c r="C298" s="117" t="s">
        <v>456</v>
      </c>
      <c r="D298" s="117" t="s">
        <v>249</v>
      </c>
      <c r="E298" s="117" t="s">
        <v>1027</v>
      </c>
      <c r="F298" s="117" t="s">
        <v>205</v>
      </c>
      <c r="G298" s="117" t="s">
        <v>1453</v>
      </c>
      <c r="H298" s="117" t="s">
        <v>569</v>
      </c>
      <c r="I298" s="117" t="s">
        <v>1454</v>
      </c>
      <c r="J298" s="118">
        <v>0</v>
      </c>
      <c r="K298" s="118" t="s">
        <v>255</v>
      </c>
      <c r="L298" s="117">
        <v>4.2500000000000003E-2</v>
      </c>
      <c r="M298" s="117">
        <v>6.1200000000000004E-2</v>
      </c>
      <c r="N298" s="69">
        <v>137097.60967029716</v>
      </c>
      <c r="O298" s="60">
        <v>95.776893999999999</v>
      </c>
      <c r="P298" s="84">
        <v>0</v>
      </c>
      <c r="Q298" s="84">
        <v>131.30783</v>
      </c>
      <c r="R298" s="24">
        <v>3.2460329629549999E-4</v>
      </c>
      <c r="S298" s="24">
        <v>1.1702572369711914E-3</v>
      </c>
      <c r="T298" s="24">
        <v>5.4088066767026672E-4</v>
      </c>
    </row>
    <row r="299" spans="1:20" x14ac:dyDescent="0.25">
      <c r="A299" s="16" t="s">
        <v>1301</v>
      </c>
      <c r="B299" s="117" t="s">
        <v>1302</v>
      </c>
      <c r="C299" s="117" t="s">
        <v>456</v>
      </c>
      <c r="D299" s="117" t="s">
        <v>249</v>
      </c>
      <c r="E299" s="117" t="s">
        <v>1303</v>
      </c>
      <c r="F299" s="117" t="s">
        <v>224</v>
      </c>
      <c r="G299" s="117" t="s">
        <v>730</v>
      </c>
      <c r="H299" s="117" t="s">
        <v>569</v>
      </c>
      <c r="I299" s="117" t="s">
        <v>1304</v>
      </c>
      <c r="J299" s="118">
        <v>2.16</v>
      </c>
      <c r="K299" s="118" t="s">
        <v>255</v>
      </c>
      <c r="L299" s="117">
        <v>5.0499999999999996E-2</v>
      </c>
      <c r="M299" s="117">
        <v>5.9200000000000003E-2</v>
      </c>
      <c r="N299" s="69">
        <v>29910.196227506149</v>
      </c>
      <c r="O299" s="60">
        <v>98.22</v>
      </c>
      <c r="P299" s="84">
        <v>3.3853943493999998</v>
      </c>
      <c r="Q299" s="84">
        <v>30.171029999999998</v>
      </c>
      <c r="R299" s="24">
        <v>1.5437520633551559E-4</v>
      </c>
      <c r="S299" s="24">
        <v>2.6889383675272774E-4</v>
      </c>
      <c r="T299" s="24">
        <v>1.2427992185004997E-4</v>
      </c>
    </row>
    <row r="300" spans="1:20" x14ac:dyDescent="0.25">
      <c r="A300" s="16" t="s">
        <v>1440</v>
      </c>
      <c r="B300" s="117" t="s">
        <v>1441</v>
      </c>
      <c r="C300" s="117" t="s">
        <v>456</v>
      </c>
      <c r="D300" s="117" t="s">
        <v>249</v>
      </c>
      <c r="E300" s="117" t="s">
        <v>1303</v>
      </c>
      <c r="F300" s="117" t="s">
        <v>224</v>
      </c>
      <c r="G300" s="117" t="s">
        <v>730</v>
      </c>
      <c r="H300" s="117" t="s">
        <v>569</v>
      </c>
      <c r="I300" s="117" t="s">
        <v>1442</v>
      </c>
      <c r="J300" s="118">
        <v>0</v>
      </c>
      <c r="K300" s="118" t="s">
        <v>255</v>
      </c>
      <c r="L300" s="117">
        <v>3.5000000000000003E-2</v>
      </c>
      <c r="M300" s="117">
        <v>6.59E-2</v>
      </c>
      <c r="N300" s="69">
        <v>73113.631267928795</v>
      </c>
      <c r="O300" s="60">
        <v>96.731955999999997</v>
      </c>
      <c r="P300" s="84">
        <v>0</v>
      </c>
      <c r="Q300" s="84">
        <v>70.724249999999998</v>
      </c>
      <c r="R300" s="24">
        <v>2.5423753831256969E-4</v>
      </c>
      <c r="S300" s="24">
        <v>6.3031706023821874E-4</v>
      </c>
      <c r="T300" s="24">
        <v>2.9132595946851657E-4</v>
      </c>
    </row>
    <row r="301" spans="1:20" x14ac:dyDescent="0.25">
      <c r="A301" s="16" t="s">
        <v>1514</v>
      </c>
      <c r="B301" s="117" t="s">
        <v>1515</v>
      </c>
      <c r="C301" s="117" t="s">
        <v>456</v>
      </c>
      <c r="D301" s="117" t="s">
        <v>249</v>
      </c>
      <c r="E301" s="117" t="s">
        <v>1303</v>
      </c>
      <c r="F301" s="117" t="s">
        <v>224</v>
      </c>
      <c r="G301" s="117" t="s">
        <v>730</v>
      </c>
      <c r="H301" s="117" t="s">
        <v>569</v>
      </c>
      <c r="I301" s="117" t="s">
        <v>1516</v>
      </c>
      <c r="J301" s="118">
        <v>4.13</v>
      </c>
      <c r="K301" s="118" t="s">
        <v>255</v>
      </c>
      <c r="L301" s="117">
        <v>6.3700000000000007E-2</v>
      </c>
      <c r="M301" s="117">
        <v>6.83E-2</v>
      </c>
      <c r="N301" s="69">
        <v>141004.86594262876</v>
      </c>
      <c r="O301" s="60">
        <v>99.36</v>
      </c>
      <c r="P301" s="84">
        <v>0</v>
      </c>
      <c r="Q301" s="84">
        <v>140.10243</v>
      </c>
      <c r="R301" s="24">
        <v>7.1629887398974232E-4</v>
      </c>
      <c r="S301" s="24">
        <v>1.248637515559809E-3</v>
      </c>
      <c r="T301" s="24">
        <v>5.7710721348930077E-4</v>
      </c>
    </row>
    <row r="302" spans="1:20" x14ac:dyDescent="0.25">
      <c r="A302" s="16" t="s">
        <v>1416</v>
      </c>
      <c r="B302" s="117" t="s">
        <v>1417</v>
      </c>
      <c r="C302" s="117" t="s">
        <v>456</v>
      </c>
      <c r="D302" s="117" t="s">
        <v>249</v>
      </c>
      <c r="E302" s="117" t="s">
        <v>1418</v>
      </c>
      <c r="F302" s="117" t="s">
        <v>226</v>
      </c>
      <c r="G302" s="117" t="s">
        <v>615</v>
      </c>
      <c r="H302" s="117" t="s">
        <v>569</v>
      </c>
      <c r="I302" s="117" t="s">
        <v>1419</v>
      </c>
      <c r="J302" s="118">
        <v>3.12</v>
      </c>
      <c r="K302" s="118" t="s">
        <v>255</v>
      </c>
      <c r="L302" s="117">
        <v>4.6600000000000003E-2</v>
      </c>
      <c r="M302" s="117">
        <v>6.6699999999999995E-2</v>
      </c>
      <c r="N302" s="69">
        <v>90734.158948765413</v>
      </c>
      <c r="O302" s="60">
        <v>95.03</v>
      </c>
      <c r="P302" s="84">
        <v>0</v>
      </c>
      <c r="Q302" s="84">
        <v>86.224670000000003</v>
      </c>
      <c r="R302" s="24">
        <v>1.2962022706966488E-4</v>
      </c>
      <c r="S302" s="24">
        <v>7.6846174423073467E-4</v>
      </c>
      <c r="T302" s="24">
        <v>3.551749890257757E-4</v>
      </c>
    </row>
    <row r="303" spans="1:20" x14ac:dyDescent="0.25">
      <c r="A303" s="16" t="s">
        <v>1184</v>
      </c>
      <c r="B303" s="117" t="s">
        <v>1185</v>
      </c>
      <c r="C303" s="117" t="s">
        <v>456</v>
      </c>
      <c r="D303" s="117" t="s">
        <v>249</v>
      </c>
      <c r="E303" s="117" t="s">
        <v>601</v>
      </c>
      <c r="F303" s="117" t="s">
        <v>226</v>
      </c>
      <c r="G303" s="117" t="s">
        <v>564</v>
      </c>
      <c r="H303" s="117" t="s">
        <v>254</v>
      </c>
      <c r="I303" s="117" t="s">
        <v>1186</v>
      </c>
      <c r="J303" s="118">
        <v>1.08</v>
      </c>
      <c r="K303" s="118" t="s">
        <v>255</v>
      </c>
      <c r="L303" s="117">
        <v>4.2000000000000003E-2</v>
      </c>
      <c r="M303" s="117">
        <v>5.74E-2</v>
      </c>
      <c r="N303" s="69">
        <v>29271.94954622558</v>
      </c>
      <c r="O303" s="60">
        <v>100.05999999999999</v>
      </c>
      <c r="P303" s="84">
        <v>0</v>
      </c>
      <c r="Q303" s="84">
        <v>29.28951</v>
      </c>
      <c r="R303" s="24">
        <v>1.2125187870411036E-4</v>
      </c>
      <c r="S303" s="24">
        <v>2.6103744951721527E-4</v>
      </c>
      <c r="T303" s="24">
        <v>1.2064878175608381E-4</v>
      </c>
    </row>
    <row r="304" spans="1:20" x14ac:dyDescent="0.25">
      <c r="A304" s="16" t="s">
        <v>1468</v>
      </c>
      <c r="B304" s="117" t="s">
        <v>1469</v>
      </c>
      <c r="C304" s="117" t="s">
        <v>456</v>
      </c>
      <c r="D304" s="117" t="s">
        <v>249</v>
      </c>
      <c r="E304" s="117" t="s">
        <v>601</v>
      </c>
      <c r="F304" s="117" t="s">
        <v>226</v>
      </c>
      <c r="G304" s="117" t="s">
        <v>564</v>
      </c>
      <c r="H304" s="117" t="s">
        <v>254</v>
      </c>
      <c r="I304" s="117" t="s">
        <v>1470</v>
      </c>
      <c r="J304" s="118">
        <v>2.5499999999999998</v>
      </c>
      <c r="K304" s="118" t="s">
        <v>255</v>
      </c>
      <c r="L304" s="117">
        <v>4.2999999999999997E-2</v>
      </c>
      <c r="M304" s="117">
        <v>6.1100000000000002E-2</v>
      </c>
      <c r="N304" s="69">
        <v>212289.51591883475</v>
      </c>
      <c r="O304" s="60">
        <v>96.610000000000014</v>
      </c>
      <c r="P304" s="84">
        <v>0</v>
      </c>
      <c r="Q304" s="84">
        <v>205.09289999999999</v>
      </c>
      <c r="R304" s="24">
        <v>1.9122851038373876E-4</v>
      </c>
      <c r="S304" s="24">
        <v>1.8278533007240229E-3</v>
      </c>
      <c r="T304" s="24">
        <v>8.4481469754264652E-4</v>
      </c>
    </row>
    <row r="305" spans="1:20" x14ac:dyDescent="0.25">
      <c r="A305" s="16" t="s">
        <v>1455</v>
      </c>
      <c r="B305" s="117" t="s">
        <v>1456</v>
      </c>
      <c r="C305" s="117" t="s">
        <v>456</v>
      </c>
      <c r="D305" s="117" t="s">
        <v>249</v>
      </c>
      <c r="E305" s="117" t="s">
        <v>1457</v>
      </c>
      <c r="F305" s="117" t="s">
        <v>215</v>
      </c>
      <c r="G305" s="117" t="s">
        <v>1453</v>
      </c>
      <c r="H305" s="117" t="s">
        <v>569</v>
      </c>
      <c r="I305" s="117" t="s">
        <v>495</v>
      </c>
      <c r="J305" s="118">
        <v>3.53</v>
      </c>
      <c r="K305" s="118" t="s">
        <v>255</v>
      </c>
      <c r="L305" s="117">
        <v>6.7599999999999993E-2</v>
      </c>
      <c r="M305" s="117">
        <v>6.4399999999999999E-2</v>
      </c>
      <c r="N305" s="69">
        <v>151081.94475961637</v>
      </c>
      <c r="O305" s="60">
        <v>102.47</v>
      </c>
      <c r="P305" s="84">
        <v>0</v>
      </c>
      <c r="Q305" s="84">
        <v>154.81367</v>
      </c>
      <c r="R305" s="24">
        <v>8.6332539862637924E-5</v>
      </c>
      <c r="S305" s="24">
        <v>1.3797487758313411E-3</v>
      </c>
      <c r="T305" s="24">
        <v>6.3770546809039752E-4</v>
      </c>
    </row>
    <row r="306" spans="1:20" x14ac:dyDescent="0.25">
      <c r="A306" s="16" t="s">
        <v>1527</v>
      </c>
      <c r="B306" s="117" t="s">
        <v>1528</v>
      </c>
      <c r="C306" s="117" t="s">
        <v>456</v>
      </c>
      <c r="D306" s="117" t="s">
        <v>249</v>
      </c>
      <c r="E306" s="117" t="s">
        <v>1457</v>
      </c>
      <c r="F306" s="117" t="s">
        <v>215</v>
      </c>
      <c r="G306" s="117" t="s">
        <v>615</v>
      </c>
      <c r="H306" s="117" t="s">
        <v>569</v>
      </c>
      <c r="I306" s="117" t="s">
        <v>1526</v>
      </c>
      <c r="J306" s="118">
        <v>4.6399999999999997</v>
      </c>
      <c r="K306" s="118" t="s">
        <v>255</v>
      </c>
      <c r="L306" s="117">
        <v>6.5199999999999994E-2</v>
      </c>
      <c r="M306" s="117">
        <v>6.7599999999999993E-2</v>
      </c>
      <c r="N306" s="69">
        <v>268222.58943753381</v>
      </c>
      <c r="O306" s="60">
        <v>99.76</v>
      </c>
      <c r="P306" s="84">
        <v>0</v>
      </c>
      <c r="Q306" s="84">
        <v>267.57885999999996</v>
      </c>
      <c r="R306" s="24">
        <v>3.2834562926698153E-4</v>
      </c>
      <c r="S306" s="24">
        <v>2.3847480944243862E-3</v>
      </c>
      <c r="T306" s="24">
        <v>1.1022056525589435E-3</v>
      </c>
    </row>
    <row r="307" spans="1:20" x14ac:dyDescent="0.25">
      <c r="A307" s="16" t="s">
        <v>1353</v>
      </c>
      <c r="B307" s="117" t="s">
        <v>1354</v>
      </c>
      <c r="C307" s="117" t="s">
        <v>456</v>
      </c>
      <c r="D307" s="117" t="s">
        <v>249</v>
      </c>
      <c r="E307" s="117" t="s">
        <v>1355</v>
      </c>
      <c r="F307" s="117" t="s">
        <v>234</v>
      </c>
      <c r="G307" s="117" t="s">
        <v>730</v>
      </c>
      <c r="H307" s="117" t="s">
        <v>569</v>
      </c>
      <c r="I307" s="117" t="s">
        <v>1356</v>
      </c>
      <c r="J307" s="118">
        <v>0.39</v>
      </c>
      <c r="K307" s="118" t="s">
        <v>255</v>
      </c>
      <c r="L307" s="117">
        <v>0.02</v>
      </c>
      <c r="M307" s="117">
        <v>8.5900000000000004E-2</v>
      </c>
      <c r="N307" s="69">
        <v>59679.603389183394</v>
      </c>
      <c r="O307" s="60">
        <v>97.59</v>
      </c>
      <c r="P307" s="84">
        <v>20.1915991268</v>
      </c>
      <c r="Q307" s="84">
        <v>59.019150000000003</v>
      </c>
      <c r="R307" s="24">
        <v>4.0351103579715279E-4</v>
      </c>
      <c r="S307" s="24">
        <v>5.259974778913664E-4</v>
      </c>
      <c r="T307" s="24">
        <v>2.4311053847536453E-4</v>
      </c>
    </row>
    <row r="308" spans="1:20" x14ac:dyDescent="0.25">
      <c r="A308" s="16" t="s">
        <v>1339</v>
      </c>
      <c r="B308" s="117" t="s">
        <v>1340</v>
      </c>
      <c r="C308" s="117" t="s">
        <v>456</v>
      </c>
      <c r="D308" s="117" t="s">
        <v>249</v>
      </c>
      <c r="E308" s="117" t="s">
        <v>1341</v>
      </c>
      <c r="F308" s="117" t="s">
        <v>226</v>
      </c>
      <c r="G308" s="117" t="s">
        <v>615</v>
      </c>
      <c r="H308" s="117" t="s">
        <v>569</v>
      </c>
      <c r="I308" s="117" t="s">
        <v>1342</v>
      </c>
      <c r="J308" s="118">
        <v>3.16</v>
      </c>
      <c r="K308" s="118" t="s">
        <v>255</v>
      </c>
      <c r="L308" s="117">
        <v>2.5000000000000001E-2</v>
      </c>
      <c r="M308" s="117">
        <v>6.6199999999999995E-2</v>
      </c>
      <c r="N308" s="69">
        <v>92050.796678670144</v>
      </c>
      <c r="O308" s="60">
        <v>88.69</v>
      </c>
      <c r="P308" s="84">
        <v>0</v>
      </c>
      <c r="Q308" s="84">
        <v>81.63985000000001</v>
      </c>
      <c r="R308" s="24">
        <v>4.3647545530169719E-4</v>
      </c>
      <c r="S308" s="24">
        <v>7.2760036692208333E-4</v>
      </c>
      <c r="T308" s="24">
        <v>3.3628928736771017E-4</v>
      </c>
    </row>
    <row r="309" spans="1:20" x14ac:dyDescent="0.25">
      <c r="A309" s="16" t="s">
        <v>1250</v>
      </c>
      <c r="B309" s="117" t="s">
        <v>1251</v>
      </c>
      <c r="C309" s="117" t="s">
        <v>456</v>
      </c>
      <c r="D309" s="117" t="s">
        <v>249</v>
      </c>
      <c r="E309" s="117" t="s">
        <v>1252</v>
      </c>
      <c r="F309" s="117" t="s">
        <v>203</v>
      </c>
      <c r="G309" s="117" t="s">
        <v>577</v>
      </c>
      <c r="H309" s="117" t="s">
        <v>254</v>
      </c>
      <c r="I309" s="117" t="s">
        <v>1253</v>
      </c>
      <c r="J309" s="118">
        <v>2.5299999999999998</v>
      </c>
      <c r="K309" s="118" t="s">
        <v>255</v>
      </c>
      <c r="L309" s="117">
        <v>2.4E-2</v>
      </c>
      <c r="M309" s="117">
        <v>5.79E-2</v>
      </c>
      <c r="N309" s="69">
        <v>105677.72187745031</v>
      </c>
      <c r="O309" s="60">
        <v>91.98</v>
      </c>
      <c r="P309" s="84">
        <v>0</v>
      </c>
      <c r="Q309" s="84">
        <v>97.202370000000002</v>
      </c>
      <c r="R309" s="24">
        <v>1.2586496616809494E-4</v>
      </c>
      <c r="S309" s="24">
        <v>8.662985059097499E-4</v>
      </c>
      <c r="T309" s="24">
        <v>4.0039411804103614E-4</v>
      </c>
    </row>
    <row r="310" spans="1:20" x14ac:dyDescent="0.25">
      <c r="A310" s="16" t="s">
        <v>1346</v>
      </c>
      <c r="B310" s="117" t="s">
        <v>1347</v>
      </c>
      <c r="C310" s="117" t="s">
        <v>456</v>
      </c>
      <c r="D310" s="117" t="s">
        <v>249</v>
      </c>
      <c r="E310" s="117" t="s">
        <v>1252</v>
      </c>
      <c r="F310" s="117" t="s">
        <v>203</v>
      </c>
      <c r="G310" s="117" t="s">
        <v>577</v>
      </c>
      <c r="H310" s="117" t="s">
        <v>254</v>
      </c>
      <c r="I310" s="117" t="s">
        <v>1311</v>
      </c>
      <c r="J310" s="118">
        <v>2.48</v>
      </c>
      <c r="K310" s="118" t="s">
        <v>255</v>
      </c>
      <c r="L310" s="117">
        <v>2.1499999999999998E-2</v>
      </c>
      <c r="M310" s="117">
        <v>5.7599999999999998E-2</v>
      </c>
      <c r="N310" s="69">
        <v>102563.87526292473</v>
      </c>
      <c r="O310" s="60">
        <v>91.65</v>
      </c>
      <c r="P310" s="84">
        <v>5.4283007034999997</v>
      </c>
      <c r="Q310" s="84">
        <v>94.958300000000008</v>
      </c>
      <c r="R310" s="24">
        <v>1.1804700875868889E-4</v>
      </c>
      <c r="S310" s="24">
        <v>8.4629863874440307E-4</v>
      </c>
      <c r="T310" s="24">
        <v>3.911503884028355E-4</v>
      </c>
    </row>
    <row r="311" spans="1:20" x14ac:dyDescent="0.25">
      <c r="A311" s="16" t="s">
        <v>1461</v>
      </c>
      <c r="B311" s="117" t="s">
        <v>1462</v>
      </c>
      <c r="C311" s="117" t="s">
        <v>456</v>
      </c>
      <c r="D311" s="117" t="s">
        <v>249</v>
      </c>
      <c r="E311" s="117" t="s">
        <v>1463</v>
      </c>
      <c r="F311" s="117" t="s">
        <v>226</v>
      </c>
      <c r="G311" s="117" t="s">
        <v>564</v>
      </c>
      <c r="H311" s="117" t="s">
        <v>254</v>
      </c>
      <c r="I311" s="117" t="s">
        <v>1464</v>
      </c>
      <c r="J311" s="118">
        <v>3.67</v>
      </c>
      <c r="K311" s="118" t="s">
        <v>255</v>
      </c>
      <c r="L311" s="117">
        <v>5.3399999999999996E-2</v>
      </c>
      <c r="M311" s="117">
        <v>6.3200000000000006E-2</v>
      </c>
      <c r="N311" s="69">
        <v>99941.115538669867</v>
      </c>
      <c r="O311" s="60">
        <v>98.56</v>
      </c>
      <c r="P311" s="84">
        <v>0</v>
      </c>
      <c r="Q311" s="84">
        <v>98.501960000000011</v>
      </c>
      <c r="R311" s="24">
        <v>2.4985278884667467E-4</v>
      </c>
      <c r="S311" s="24">
        <v>8.7788086625029777E-4</v>
      </c>
      <c r="T311" s="24">
        <v>4.0574736397387662E-4</v>
      </c>
    </row>
    <row r="312" spans="1:20" x14ac:dyDescent="0.25">
      <c r="A312" s="16" t="s">
        <v>1227</v>
      </c>
      <c r="B312" s="117" t="s">
        <v>1228</v>
      </c>
      <c r="C312" s="117" t="s">
        <v>456</v>
      </c>
      <c r="D312" s="117" t="s">
        <v>249</v>
      </c>
      <c r="E312" s="117" t="s">
        <v>699</v>
      </c>
      <c r="F312" s="117" t="s">
        <v>204</v>
      </c>
      <c r="G312" s="117" t="s">
        <v>585</v>
      </c>
      <c r="H312" s="117" t="s">
        <v>254</v>
      </c>
      <c r="I312" s="117" t="s">
        <v>508</v>
      </c>
      <c r="J312" s="118">
        <v>1.43</v>
      </c>
      <c r="K312" s="118" t="s">
        <v>255</v>
      </c>
      <c r="L312" s="117">
        <v>2.7000000000000003E-2</v>
      </c>
      <c r="M312" s="117">
        <v>5.7200000000000001E-2</v>
      </c>
      <c r="N312" s="69">
        <v>31055.22755743868</v>
      </c>
      <c r="O312" s="60">
        <v>96.02</v>
      </c>
      <c r="P312" s="84">
        <v>0</v>
      </c>
      <c r="Q312" s="84">
        <v>29.819230000000001</v>
      </c>
      <c r="R312" s="24">
        <v>1.8052634293081973E-4</v>
      </c>
      <c r="S312" s="24">
        <v>2.6575848301208286E-4</v>
      </c>
      <c r="T312" s="24">
        <v>1.2283079411039882E-4</v>
      </c>
    </row>
    <row r="313" spans="1:20" x14ac:dyDescent="0.25">
      <c r="A313" s="16" t="s">
        <v>1213</v>
      </c>
      <c r="B313" s="117" t="s">
        <v>1214</v>
      </c>
      <c r="C313" s="117" t="s">
        <v>456</v>
      </c>
      <c r="D313" s="117" t="s">
        <v>249</v>
      </c>
      <c r="E313" s="117" t="s">
        <v>593</v>
      </c>
      <c r="F313" s="117" t="s">
        <v>235</v>
      </c>
      <c r="G313" s="117" t="s">
        <v>585</v>
      </c>
      <c r="H313" s="117" t="s">
        <v>254</v>
      </c>
      <c r="I313" s="117" t="s">
        <v>1215</v>
      </c>
      <c r="J313" s="118">
        <v>3.26</v>
      </c>
      <c r="K313" s="118" t="s">
        <v>255</v>
      </c>
      <c r="L313" s="117">
        <v>5.0900000000000001E-2</v>
      </c>
      <c r="M313" s="117">
        <v>4.9699999999999994E-2</v>
      </c>
      <c r="N313" s="69">
        <v>92014.289798186059</v>
      </c>
      <c r="O313" s="60">
        <v>100.22</v>
      </c>
      <c r="P313" s="84">
        <v>17.828425823</v>
      </c>
      <c r="Q313" s="84">
        <v>96.87133</v>
      </c>
      <c r="R313" s="24">
        <v>1.4853982537410356E-4</v>
      </c>
      <c r="S313" s="24">
        <v>8.6334817190661438E-4</v>
      </c>
      <c r="T313" s="24">
        <v>3.9903050449091072E-4</v>
      </c>
    </row>
    <row r="314" spans="1:20" x14ac:dyDescent="0.25">
      <c r="A314" s="16" t="s">
        <v>1293</v>
      </c>
      <c r="B314" s="117" t="s">
        <v>1294</v>
      </c>
      <c r="C314" s="117" t="s">
        <v>456</v>
      </c>
      <c r="D314" s="117" t="s">
        <v>249</v>
      </c>
      <c r="E314" s="117" t="s">
        <v>1295</v>
      </c>
      <c r="F314" s="117" t="s">
        <v>208</v>
      </c>
      <c r="G314" s="117" t="s">
        <v>646</v>
      </c>
      <c r="H314" s="117" t="s">
        <v>569</v>
      </c>
      <c r="I314" s="117" t="s">
        <v>1296</v>
      </c>
      <c r="J314" s="118">
        <v>6.7</v>
      </c>
      <c r="K314" s="118" t="s">
        <v>255</v>
      </c>
      <c r="L314" s="117">
        <v>1.9E-2</v>
      </c>
      <c r="M314" s="117">
        <v>5.16E-2</v>
      </c>
      <c r="N314" s="69">
        <v>274310.23638305545</v>
      </c>
      <c r="O314" s="60">
        <v>80.8</v>
      </c>
      <c r="P314" s="84">
        <v>0</v>
      </c>
      <c r="Q314" s="84">
        <v>221.64267000000001</v>
      </c>
      <c r="R314" s="24">
        <v>2.5517231291447018E-4</v>
      </c>
      <c r="S314" s="24">
        <v>1.9753501264099605E-3</v>
      </c>
      <c r="T314" s="24">
        <v>9.129861892761506E-4</v>
      </c>
    </row>
    <row r="315" spans="1:20" x14ac:dyDescent="0.25">
      <c r="A315" s="16" t="s">
        <v>1533</v>
      </c>
      <c r="B315" s="117" t="s">
        <v>1534</v>
      </c>
      <c r="C315" s="117" t="s">
        <v>456</v>
      </c>
      <c r="D315" s="117" t="s">
        <v>249</v>
      </c>
      <c r="E315" s="117" t="s">
        <v>1535</v>
      </c>
      <c r="F315" s="117" t="s">
        <v>225</v>
      </c>
      <c r="G315" s="117" t="s">
        <v>615</v>
      </c>
      <c r="H315" s="117" t="s">
        <v>569</v>
      </c>
      <c r="I315" s="117" t="s">
        <v>1532</v>
      </c>
      <c r="J315" s="118">
        <v>5</v>
      </c>
      <c r="K315" s="118" t="s">
        <v>255</v>
      </c>
      <c r="L315" s="117">
        <v>6.7699999999999996E-2</v>
      </c>
      <c r="M315" s="117">
        <v>6.6900000000000001E-2</v>
      </c>
      <c r="N315" s="69">
        <v>25011.076508252037</v>
      </c>
      <c r="O315" s="60">
        <v>101.88</v>
      </c>
      <c r="P315" s="84">
        <v>0</v>
      </c>
      <c r="Q315" s="84">
        <v>25.481279999999998</v>
      </c>
      <c r="R315" s="24">
        <v>3.334810201100272E-5</v>
      </c>
      <c r="S315" s="24">
        <v>2.2709728983632798E-4</v>
      </c>
      <c r="T315" s="24">
        <v>1.0496199457026297E-4</v>
      </c>
    </row>
    <row r="316" spans="1:20" x14ac:dyDescent="0.25">
      <c r="A316" s="16" t="s">
        <v>1350</v>
      </c>
      <c r="B316" s="117" t="s">
        <v>1351</v>
      </c>
      <c r="C316" s="117" t="s">
        <v>456</v>
      </c>
      <c r="D316" s="117" t="s">
        <v>249</v>
      </c>
      <c r="E316" s="117" t="s">
        <v>589</v>
      </c>
      <c r="F316" s="117" t="s">
        <v>226</v>
      </c>
      <c r="G316" s="117" t="s">
        <v>730</v>
      </c>
      <c r="H316" s="117" t="s">
        <v>569</v>
      </c>
      <c r="I316" s="117" t="s">
        <v>1352</v>
      </c>
      <c r="J316" s="118">
        <v>4.16</v>
      </c>
      <c r="K316" s="118" t="s">
        <v>255</v>
      </c>
      <c r="L316" s="117">
        <v>2.7999999999999997E-2</v>
      </c>
      <c r="M316" s="117">
        <v>7.0099999999999996E-2</v>
      </c>
      <c r="N316" s="69">
        <v>10017.223818115715</v>
      </c>
      <c r="O316" s="60">
        <v>85.5</v>
      </c>
      <c r="P316" s="84">
        <v>0</v>
      </c>
      <c r="Q316" s="84">
        <v>8.5647299999999991</v>
      </c>
      <c r="R316" s="24">
        <v>1.2861738842194234E-5</v>
      </c>
      <c r="S316" s="24">
        <v>7.6331603874683424E-5</v>
      </c>
      <c r="T316" s="24">
        <v>3.5279669771525146E-5</v>
      </c>
    </row>
    <row r="317" spans="1:20" x14ac:dyDescent="0.25">
      <c r="A317" s="16" t="s">
        <v>1507</v>
      </c>
      <c r="B317" s="117" t="s">
        <v>1508</v>
      </c>
      <c r="C317" s="117" t="s">
        <v>456</v>
      </c>
      <c r="D317" s="117" t="s">
        <v>249</v>
      </c>
      <c r="E317" s="117" t="s">
        <v>1509</v>
      </c>
      <c r="F317" s="117" t="s">
        <v>223</v>
      </c>
      <c r="G317" s="117" t="s">
        <v>615</v>
      </c>
      <c r="H317" s="117" t="s">
        <v>569</v>
      </c>
      <c r="I317" s="117" t="s">
        <v>1510</v>
      </c>
      <c r="J317" s="118">
        <v>3.11</v>
      </c>
      <c r="K317" s="118" t="s">
        <v>255</v>
      </c>
      <c r="L317" s="117">
        <v>4.0999999999999995E-2</v>
      </c>
      <c r="M317" s="117">
        <v>6.7000000000000004E-2</v>
      </c>
      <c r="N317" s="69">
        <v>34412.472541408453</v>
      </c>
      <c r="O317" s="60">
        <v>94.16</v>
      </c>
      <c r="P317" s="84">
        <v>0</v>
      </c>
      <c r="Q317" s="84">
        <v>32.40278</v>
      </c>
      <c r="R317" s="24">
        <v>6.9620719937081414E-5</v>
      </c>
      <c r="S317" s="24">
        <v>2.8878390415092067E-4</v>
      </c>
      <c r="T317" s="24">
        <v>1.3347290318309858E-4</v>
      </c>
    </row>
    <row r="318" spans="1:20" x14ac:dyDescent="0.25">
      <c r="A318" s="16" t="s">
        <v>1219</v>
      </c>
      <c r="B318" s="117" t="s">
        <v>1220</v>
      </c>
      <c r="C318" s="117" t="s">
        <v>456</v>
      </c>
      <c r="D318" s="117" t="s">
        <v>249</v>
      </c>
      <c r="E318" s="117" t="s">
        <v>1221</v>
      </c>
      <c r="F318" s="117" t="s">
        <v>210</v>
      </c>
      <c r="G318" s="117" t="s">
        <v>671</v>
      </c>
      <c r="H318" s="117" t="s">
        <v>254</v>
      </c>
      <c r="I318" s="117" t="s">
        <v>1222</v>
      </c>
      <c r="J318" s="118">
        <v>1.48</v>
      </c>
      <c r="K318" s="118" t="s">
        <v>255</v>
      </c>
      <c r="L318" s="117">
        <v>3.3500000000000002E-2</v>
      </c>
      <c r="M318" s="117">
        <v>5.3399999999999996E-2</v>
      </c>
      <c r="N318" s="69">
        <v>54370.851499249446</v>
      </c>
      <c r="O318" s="60">
        <v>97.220000000000013</v>
      </c>
      <c r="P318" s="84">
        <v>19.034328922500002</v>
      </c>
      <c r="Q318" s="84">
        <v>54.273890000000002</v>
      </c>
      <c r="R318" s="24">
        <v>3.9561311796209279E-4</v>
      </c>
      <c r="S318" s="24">
        <v>4.8370620816046064E-4</v>
      </c>
      <c r="T318" s="24">
        <v>2.2356395547975025E-4</v>
      </c>
    </row>
    <row r="319" spans="1:20" x14ac:dyDescent="0.25">
      <c r="A319" s="16" t="s">
        <v>1241</v>
      </c>
      <c r="B319" s="117" t="s">
        <v>1242</v>
      </c>
      <c r="C319" s="117" t="s">
        <v>456</v>
      </c>
      <c r="D319" s="117" t="s">
        <v>249</v>
      </c>
      <c r="E319" s="117" t="s">
        <v>1221</v>
      </c>
      <c r="F319" s="117" t="s">
        <v>210</v>
      </c>
      <c r="G319" s="117" t="s">
        <v>671</v>
      </c>
      <c r="H319" s="117" t="s">
        <v>254</v>
      </c>
      <c r="I319" s="117" t="s">
        <v>1243</v>
      </c>
      <c r="J319" s="118">
        <v>3.45</v>
      </c>
      <c r="K319" s="118" t="s">
        <v>255</v>
      </c>
      <c r="L319" s="117">
        <v>2.6200000000000001E-2</v>
      </c>
      <c r="M319" s="117">
        <v>5.5199999999999999E-2</v>
      </c>
      <c r="N319" s="69">
        <v>157380.49462586211</v>
      </c>
      <c r="O319" s="60">
        <v>91.29</v>
      </c>
      <c r="P319" s="84">
        <v>0</v>
      </c>
      <c r="Q319" s="84">
        <v>143.67265</v>
      </c>
      <c r="R319" s="24">
        <v>3.1433769017330461E-4</v>
      </c>
      <c r="S319" s="24">
        <v>1.2804564542520354E-3</v>
      </c>
      <c r="T319" s="24">
        <v>5.9181359449742292E-4</v>
      </c>
    </row>
    <row r="320" spans="1:20" x14ac:dyDescent="0.25">
      <c r="A320" s="16" t="s">
        <v>1360</v>
      </c>
      <c r="B320" s="117" t="s">
        <v>1361</v>
      </c>
      <c r="C320" s="117" t="s">
        <v>456</v>
      </c>
      <c r="D320" s="117" t="s">
        <v>249</v>
      </c>
      <c r="E320" s="117" t="s">
        <v>1221</v>
      </c>
      <c r="F320" s="117" t="s">
        <v>210</v>
      </c>
      <c r="G320" s="117" t="s">
        <v>671</v>
      </c>
      <c r="H320" s="117" t="s">
        <v>254</v>
      </c>
      <c r="I320" s="117" t="s">
        <v>1362</v>
      </c>
      <c r="J320" s="118">
        <v>5.84</v>
      </c>
      <c r="K320" s="118" t="s">
        <v>255</v>
      </c>
      <c r="L320" s="117">
        <v>2.3399999999999997E-2</v>
      </c>
      <c r="M320" s="117">
        <v>5.7300000000000004E-2</v>
      </c>
      <c r="N320" s="69">
        <v>204015.14263815215</v>
      </c>
      <c r="O320" s="60">
        <v>82.62</v>
      </c>
      <c r="P320" s="84">
        <v>0</v>
      </c>
      <c r="Q320" s="84">
        <v>168.55731</v>
      </c>
      <c r="R320" s="24">
        <v>1.9315043090002571E-4</v>
      </c>
      <c r="S320" s="24">
        <v>1.5022364764682851E-3</v>
      </c>
      <c r="T320" s="24">
        <v>6.9431800353036163E-4</v>
      </c>
    </row>
    <row r="321" spans="1:20" x14ac:dyDescent="0.25">
      <c r="A321" s="16" t="s">
        <v>1517</v>
      </c>
      <c r="B321" s="117" t="s">
        <v>1518</v>
      </c>
      <c r="C321" s="117" t="s">
        <v>456</v>
      </c>
      <c r="D321" s="117" t="s">
        <v>249</v>
      </c>
      <c r="E321" s="117" t="s">
        <v>1519</v>
      </c>
      <c r="F321" s="117" t="s">
        <v>215</v>
      </c>
      <c r="G321" s="117" t="s">
        <v>718</v>
      </c>
      <c r="H321" s="117" t="s">
        <v>569</v>
      </c>
      <c r="I321" s="117" t="s">
        <v>1520</v>
      </c>
      <c r="J321" s="118">
        <v>3.69</v>
      </c>
      <c r="K321" s="118" t="s">
        <v>255</v>
      </c>
      <c r="L321" s="117">
        <v>4.6900000000000004E-2</v>
      </c>
      <c r="M321" s="117">
        <v>8.4199999999999997E-2</v>
      </c>
      <c r="N321" s="69">
        <v>62668.829307835003</v>
      </c>
      <c r="O321" s="60">
        <v>98</v>
      </c>
      <c r="P321" s="84">
        <v>0</v>
      </c>
      <c r="Q321" s="84">
        <v>61.41545</v>
      </c>
      <c r="R321" s="24">
        <v>5.0628427835875956E-5</v>
      </c>
      <c r="S321" s="24">
        <v>5.4735406734192739E-4</v>
      </c>
      <c r="T321" s="24">
        <v>2.5298133097828124E-4</v>
      </c>
    </row>
    <row r="322" spans="1:20" s="119" customFormat="1" x14ac:dyDescent="0.25">
      <c r="A322" s="92" t="s">
        <v>556</v>
      </c>
      <c r="B322" s="131" t="s">
        <v>249</v>
      </c>
      <c r="C322" s="131" t="s">
        <v>249</v>
      </c>
      <c r="D322" s="131" t="s">
        <v>249</v>
      </c>
      <c r="E322" s="131" t="s">
        <v>249</v>
      </c>
      <c r="F322" s="131" t="s">
        <v>249</v>
      </c>
      <c r="G322" s="131" t="s">
        <v>249</v>
      </c>
      <c r="H322" s="131" t="s">
        <v>249</v>
      </c>
      <c r="I322" s="131" t="s">
        <v>249</v>
      </c>
      <c r="J322" s="132" t="s">
        <v>249</v>
      </c>
      <c r="K322" s="132" t="s">
        <v>249</v>
      </c>
      <c r="L322" s="131" t="s">
        <v>249</v>
      </c>
      <c r="M322" s="131" t="s">
        <v>249</v>
      </c>
      <c r="N322" s="135" t="s">
        <v>249</v>
      </c>
      <c r="O322" s="136" t="s">
        <v>249</v>
      </c>
      <c r="P322" s="124" t="s">
        <v>249</v>
      </c>
      <c r="Q322" s="124">
        <v>502.87562009999999</v>
      </c>
      <c r="R322" s="137"/>
      <c r="S322" s="137">
        <v>4.4817878242173412E-3</v>
      </c>
      <c r="T322" s="137">
        <v>2.0714355050630829E-3</v>
      </c>
    </row>
    <row r="323" spans="1:20" x14ac:dyDescent="0.25">
      <c r="A323" s="16" t="s">
        <v>1553</v>
      </c>
      <c r="B323" s="117" t="s">
        <v>1554</v>
      </c>
      <c r="C323" s="117" t="s">
        <v>456</v>
      </c>
      <c r="D323" s="117" t="s">
        <v>249</v>
      </c>
      <c r="E323" s="117" t="s">
        <v>1318</v>
      </c>
      <c r="F323" s="117" t="s">
        <v>215</v>
      </c>
      <c r="G323" s="117" t="s">
        <v>585</v>
      </c>
      <c r="H323" s="117" t="s">
        <v>254</v>
      </c>
      <c r="I323" s="117" t="s">
        <v>1555</v>
      </c>
      <c r="J323" s="118">
        <v>0.98</v>
      </c>
      <c r="K323" s="118" t="s">
        <v>255</v>
      </c>
      <c r="L323" s="117">
        <v>3.49E-2</v>
      </c>
      <c r="M323" s="117">
        <v>7.2800000000000004E-2</v>
      </c>
      <c r="N323" s="69">
        <v>190226.80302778218</v>
      </c>
      <c r="O323" s="60">
        <v>104.41</v>
      </c>
      <c r="P323" s="84">
        <v>0</v>
      </c>
      <c r="Q323" s="84">
        <v>198.61581000000001</v>
      </c>
      <c r="R323" s="24">
        <v>2.2657549679993826E-4</v>
      </c>
      <c r="S323" s="24">
        <v>1.7701274099906697E-3</v>
      </c>
      <c r="T323" s="24">
        <v>8.181343939860315E-4</v>
      </c>
    </row>
    <row r="324" spans="1:20" x14ac:dyDescent="0.25">
      <c r="A324" s="16" t="s">
        <v>4019</v>
      </c>
      <c r="B324" s="117" t="s">
        <v>1556</v>
      </c>
      <c r="C324" s="117" t="s">
        <v>456</v>
      </c>
      <c r="D324" s="117" t="s">
        <v>249</v>
      </c>
      <c r="E324" s="117" t="s">
        <v>1557</v>
      </c>
      <c r="F324" s="117" t="s">
        <v>224</v>
      </c>
      <c r="G324" s="117" t="s">
        <v>568</v>
      </c>
      <c r="H324" s="117" t="s">
        <v>569</v>
      </c>
      <c r="I324" s="117" t="s">
        <v>1558</v>
      </c>
      <c r="J324" s="118">
        <v>3.55</v>
      </c>
      <c r="K324" s="118" t="s">
        <v>255</v>
      </c>
      <c r="L324" s="117">
        <v>4.2999999999999997E-2</v>
      </c>
      <c r="M324" s="117">
        <v>7.4999999999999997E-2</v>
      </c>
      <c r="N324" s="69">
        <v>167115.60653056638</v>
      </c>
      <c r="O324" s="60">
        <v>89.3</v>
      </c>
      <c r="P324" s="84">
        <v>0</v>
      </c>
      <c r="Q324" s="84">
        <v>149.23424</v>
      </c>
      <c r="R324" s="24">
        <v>1.4132996202551016E-4</v>
      </c>
      <c r="S324" s="24">
        <v>1.3300231171583267E-3</v>
      </c>
      <c r="T324" s="24">
        <v>6.1472278820284235E-4</v>
      </c>
    </row>
    <row r="325" spans="1:20" x14ac:dyDescent="0.25">
      <c r="A325" s="16" t="s">
        <v>1559</v>
      </c>
      <c r="B325" s="117" t="s">
        <v>1560</v>
      </c>
      <c r="C325" s="117" t="s">
        <v>456</v>
      </c>
      <c r="D325" s="117" t="s">
        <v>249</v>
      </c>
      <c r="E325" s="117" t="s">
        <v>1561</v>
      </c>
      <c r="F325" s="117" t="s">
        <v>215</v>
      </c>
      <c r="G325" s="117" t="s">
        <v>573</v>
      </c>
      <c r="H325" s="117" t="s">
        <v>573</v>
      </c>
      <c r="I325" s="117" t="s">
        <v>1562</v>
      </c>
      <c r="J325" s="118">
        <v>2.94</v>
      </c>
      <c r="K325" s="118" t="s">
        <v>255</v>
      </c>
      <c r="L325" s="117">
        <v>5.7000000000000002E-2</v>
      </c>
      <c r="M325" s="117">
        <v>7.0199999999999999E-2</v>
      </c>
      <c r="N325" s="69">
        <v>133114.86033277231</v>
      </c>
      <c r="O325" s="60">
        <v>116.45999999999998</v>
      </c>
      <c r="P325" s="84">
        <v>0</v>
      </c>
      <c r="Q325" s="84">
        <v>155.02557000000002</v>
      </c>
      <c r="R325" s="24">
        <v>4.4371620110924105E-4</v>
      </c>
      <c r="S325" s="24">
        <v>1.3816372961771132E-3</v>
      </c>
      <c r="T325" s="24">
        <v>6.3857832246229092E-4</v>
      </c>
    </row>
    <row r="326" spans="1:20" s="119" customFormat="1" x14ac:dyDescent="0.25">
      <c r="A326" s="92" t="s">
        <v>1563</v>
      </c>
      <c r="B326" s="131" t="s">
        <v>249</v>
      </c>
      <c r="C326" s="131" t="s">
        <v>249</v>
      </c>
      <c r="D326" s="131" t="s">
        <v>249</v>
      </c>
      <c r="E326" s="131" t="s">
        <v>249</v>
      </c>
      <c r="F326" s="131" t="s">
        <v>249</v>
      </c>
      <c r="G326" s="131" t="s">
        <v>249</v>
      </c>
      <c r="H326" s="131" t="s">
        <v>249</v>
      </c>
      <c r="I326" s="131" t="s">
        <v>249</v>
      </c>
      <c r="J326" s="132" t="s">
        <v>249</v>
      </c>
      <c r="K326" s="132" t="s">
        <v>249</v>
      </c>
      <c r="L326" s="131" t="s">
        <v>249</v>
      </c>
      <c r="M326" s="131" t="s">
        <v>249</v>
      </c>
      <c r="N326" s="135" t="s">
        <v>249</v>
      </c>
      <c r="O326" s="136" t="s">
        <v>249</v>
      </c>
      <c r="P326" s="124" t="s">
        <v>249</v>
      </c>
      <c r="Q326" s="124">
        <v>0</v>
      </c>
      <c r="R326" s="137"/>
      <c r="S326" s="137">
        <v>0</v>
      </c>
      <c r="T326" s="137">
        <v>0</v>
      </c>
    </row>
    <row r="327" spans="1:20" s="119" customFormat="1" x14ac:dyDescent="0.25">
      <c r="A327" s="92" t="s">
        <v>544</v>
      </c>
      <c r="B327" s="131" t="s">
        <v>249</v>
      </c>
      <c r="C327" s="131" t="s">
        <v>249</v>
      </c>
      <c r="D327" s="131" t="s">
        <v>249</v>
      </c>
      <c r="E327" s="131" t="s">
        <v>249</v>
      </c>
      <c r="F327" s="131" t="s">
        <v>249</v>
      </c>
      <c r="G327" s="131" t="s">
        <v>249</v>
      </c>
      <c r="H327" s="131" t="s">
        <v>249</v>
      </c>
      <c r="I327" s="131" t="s">
        <v>249</v>
      </c>
      <c r="J327" s="132" t="s">
        <v>249</v>
      </c>
      <c r="K327" s="132" t="s">
        <v>249</v>
      </c>
      <c r="L327" s="131" t="s">
        <v>249</v>
      </c>
      <c r="M327" s="131" t="s">
        <v>249</v>
      </c>
      <c r="N327" s="135" t="s">
        <v>249</v>
      </c>
      <c r="O327" s="136" t="s">
        <v>249</v>
      </c>
      <c r="P327" s="124" t="s">
        <v>249</v>
      </c>
      <c r="Q327" s="124">
        <v>18640.8989602</v>
      </c>
      <c r="R327" s="137"/>
      <c r="S327" s="137">
        <v>0.16613363355271965</v>
      </c>
      <c r="T327" s="137">
        <v>7.6785229605629432E-2</v>
      </c>
    </row>
    <row r="328" spans="1:20" s="119" customFormat="1" x14ac:dyDescent="0.25">
      <c r="A328" s="92" t="s">
        <v>143</v>
      </c>
      <c r="B328" s="131" t="s">
        <v>249</v>
      </c>
      <c r="C328" s="131" t="s">
        <v>249</v>
      </c>
      <c r="D328" s="131" t="s">
        <v>249</v>
      </c>
      <c r="E328" s="131" t="s">
        <v>249</v>
      </c>
      <c r="F328" s="131" t="s">
        <v>249</v>
      </c>
      <c r="G328" s="131" t="s">
        <v>249</v>
      </c>
      <c r="H328" s="131" t="s">
        <v>249</v>
      </c>
      <c r="I328" s="131" t="s">
        <v>249</v>
      </c>
      <c r="J328" s="132" t="s">
        <v>249</v>
      </c>
      <c r="K328" s="132" t="s">
        <v>249</v>
      </c>
      <c r="L328" s="131" t="s">
        <v>249</v>
      </c>
      <c r="M328" s="131" t="s">
        <v>249</v>
      </c>
      <c r="N328" s="135" t="s">
        <v>249</v>
      </c>
      <c r="O328" s="136" t="s">
        <v>249</v>
      </c>
      <c r="P328" s="124" t="s">
        <v>249</v>
      </c>
      <c r="Q328" s="124">
        <v>4673.6214000999998</v>
      </c>
      <c r="R328" s="137"/>
      <c r="S328" s="137">
        <v>4.1652803692898269E-2</v>
      </c>
      <c r="T328" s="137">
        <v>1.9251490663764186E-2</v>
      </c>
    </row>
    <row r="329" spans="1:20" x14ac:dyDescent="0.25">
      <c r="A329" s="16" t="s">
        <v>1588</v>
      </c>
      <c r="B329" s="117" t="s">
        <v>1589</v>
      </c>
      <c r="C329" s="117" t="s">
        <v>218</v>
      </c>
      <c r="D329" s="117" t="s">
        <v>1566</v>
      </c>
      <c r="E329" s="117" t="s">
        <v>965</v>
      </c>
      <c r="F329" s="117" t="s">
        <v>179</v>
      </c>
      <c r="G329" s="117" t="s">
        <v>1590</v>
      </c>
      <c r="H329" s="117" t="s">
        <v>262</v>
      </c>
      <c r="I329" s="117" t="s">
        <v>1591</v>
      </c>
      <c r="J329" s="118">
        <v>2.7709999999999999</v>
      </c>
      <c r="K329" s="118" t="s">
        <v>125</v>
      </c>
      <c r="L329" s="117">
        <v>3.2599999999999997E-2</v>
      </c>
      <c r="M329" s="117">
        <v>7.4279999999999999E-2</v>
      </c>
      <c r="N329" s="69">
        <v>21934.090257742249</v>
      </c>
      <c r="O329" s="60">
        <v>86.018000000000001</v>
      </c>
      <c r="P329" s="84">
        <v>0</v>
      </c>
      <c r="Q329" s="84">
        <v>72.148420000000002</v>
      </c>
      <c r="R329" s="24">
        <v>2.1934090257742249E-5</v>
      </c>
      <c r="S329" s="24">
        <v>6.4300971725019787E-4</v>
      </c>
      <c r="T329" s="24">
        <v>2.9719237292212373E-4</v>
      </c>
    </row>
    <row r="330" spans="1:20" x14ac:dyDescent="0.25">
      <c r="A330" s="16" t="s">
        <v>1581</v>
      </c>
      <c r="B330" s="117" t="s">
        <v>1582</v>
      </c>
      <c r="C330" s="117" t="s">
        <v>218</v>
      </c>
      <c r="D330" s="117" t="s">
        <v>1566</v>
      </c>
      <c r="E330" s="117" t="s">
        <v>784</v>
      </c>
      <c r="F330" s="117" t="s">
        <v>179</v>
      </c>
      <c r="G330" s="117" t="s">
        <v>1583</v>
      </c>
      <c r="H330" s="117" t="s">
        <v>412</v>
      </c>
      <c r="I330" s="117" t="s">
        <v>1584</v>
      </c>
      <c r="J330" s="118">
        <v>3.9249999999999998</v>
      </c>
      <c r="K330" s="118" t="s">
        <v>125</v>
      </c>
      <c r="L330" s="117">
        <v>7.1300000000000002E-2</v>
      </c>
      <c r="M330" s="117">
        <v>7.7399999999999997E-2</v>
      </c>
      <c r="N330" s="69">
        <v>68935.712238618493</v>
      </c>
      <c r="O330" s="60">
        <v>99.435000000000002</v>
      </c>
      <c r="P330" s="84">
        <v>0</v>
      </c>
      <c r="Q330" s="84">
        <v>262.12076999999999</v>
      </c>
      <c r="R330" s="24">
        <v>1.3787142447723699E-4</v>
      </c>
      <c r="S330" s="24">
        <v>2.3361038565100131E-3</v>
      </c>
      <c r="T330" s="24">
        <v>1.079722794046969E-3</v>
      </c>
    </row>
    <row r="331" spans="1:20" x14ac:dyDescent="0.25">
      <c r="A331" s="16" t="s">
        <v>1564</v>
      </c>
      <c r="B331" s="117" t="s">
        <v>1565</v>
      </c>
      <c r="C331" s="117" t="s">
        <v>218</v>
      </c>
      <c r="D331" s="117" t="s">
        <v>1566</v>
      </c>
      <c r="E331" s="117" t="s">
        <v>1276</v>
      </c>
      <c r="F331" s="117" t="s">
        <v>165</v>
      </c>
      <c r="G331" s="117" t="s">
        <v>1567</v>
      </c>
      <c r="H331" s="117" t="s">
        <v>412</v>
      </c>
      <c r="I331" s="117" t="s">
        <v>1568</v>
      </c>
      <c r="J331" s="118">
        <v>9.157</v>
      </c>
      <c r="K331" s="118" t="s">
        <v>125</v>
      </c>
      <c r="L331" s="117">
        <v>6.3799999999999996E-2</v>
      </c>
      <c r="M331" s="117">
        <v>6.6250000000000003E-2</v>
      </c>
      <c r="N331" s="69">
        <v>155105.35253689162</v>
      </c>
      <c r="O331" s="60">
        <v>99.224999999999994</v>
      </c>
      <c r="P331" s="84">
        <v>0</v>
      </c>
      <c r="Q331" s="84">
        <v>588.52617000000009</v>
      </c>
      <c r="R331" s="24">
        <v>2.237849553266363E-4</v>
      </c>
      <c r="S331" s="24">
        <v>5.2451328271089226E-3</v>
      </c>
      <c r="T331" s="24">
        <v>2.4242455897034087E-3</v>
      </c>
    </row>
    <row r="332" spans="1:20" x14ac:dyDescent="0.25">
      <c r="A332" s="16" t="s">
        <v>1585</v>
      </c>
      <c r="B332" s="117" t="s">
        <v>1586</v>
      </c>
      <c r="C332" s="117" t="s">
        <v>218</v>
      </c>
      <c r="D332" s="117" t="s">
        <v>1566</v>
      </c>
      <c r="E332" s="117" t="s">
        <v>708</v>
      </c>
      <c r="F332" s="117" t="s">
        <v>179</v>
      </c>
      <c r="G332" s="117" t="s">
        <v>1567</v>
      </c>
      <c r="H332" s="117" t="s">
        <v>412</v>
      </c>
      <c r="I332" s="117" t="s">
        <v>1587</v>
      </c>
      <c r="J332" s="118">
        <v>2.3260000000000001</v>
      </c>
      <c r="K332" s="118" t="s">
        <v>125</v>
      </c>
      <c r="L332" s="117">
        <v>3.0800000000000001E-2</v>
      </c>
      <c r="M332" s="117">
        <v>7.4870000000000006E-2</v>
      </c>
      <c r="N332" s="69">
        <v>30416.316304557717</v>
      </c>
      <c r="O332" s="60">
        <v>87.32</v>
      </c>
      <c r="P332" s="84">
        <v>0</v>
      </c>
      <c r="Q332" s="84">
        <v>101.56363</v>
      </c>
      <c r="R332" s="24">
        <v>5.0693860507596193E-5</v>
      </c>
      <c r="S332" s="24">
        <v>9.0516744523585851E-4</v>
      </c>
      <c r="T332" s="24">
        <v>4.1835893568126085E-4</v>
      </c>
    </row>
    <row r="333" spans="1:20" x14ac:dyDescent="0.25">
      <c r="A333" s="16" t="s">
        <v>1622</v>
      </c>
      <c r="B333" s="117" t="s">
        <v>1623</v>
      </c>
      <c r="C333" s="117" t="s">
        <v>218</v>
      </c>
      <c r="D333" s="117" t="s">
        <v>1566</v>
      </c>
      <c r="E333" s="117" t="s">
        <v>1624</v>
      </c>
      <c r="F333" s="117" t="s">
        <v>173</v>
      </c>
      <c r="G333" s="117" t="s">
        <v>573</v>
      </c>
      <c r="H333" s="117" t="s">
        <v>573</v>
      </c>
      <c r="I333" s="117" t="s">
        <v>1625</v>
      </c>
      <c r="J333" s="118">
        <v>2.0089999999999999</v>
      </c>
      <c r="K333" s="118" t="s">
        <v>125</v>
      </c>
      <c r="L333" s="117">
        <v>0</v>
      </c>
      <c r="M333" s="117">
        <v>6.9210000000000008E-2</v>
      </c>
      <c r="N333" s="69">
        <v>4583.062250296196</v>
      </c>
      <c r="O333" s="60">
        <v>86.8</v>
      </c>
      <c r="P333" s="84">
        <v>0</v>
      </c>
      <c r="Q333" s="84">
        <v>15.212249999999999</v>
      </c>
      <c r="R333" s="24">
        <v>9.9631788049917303E-6</v>
      </c>
      <c r="S333" s="24">
        <v>1.3557642109472839E-4</v>
      </c>
      <c r="T333" s="24">
        <v>6.2662005280012732E-5</v>
      </c>
    </row>
    <row r="334" spans="1:20" x14ac:dyDescent="0.25">
      <c r="A334" s="16" t="s">
        <v>1613</v>
      </c>
      <c r="B334" s="117" t="s">
        <v>1614</v>
      </c>
      <c r="C334" s="117" t="s">
        <v>218</v>
      </c>
      <c r="D334" s="117" t="s">
        <v>1566</v>
      </c>
      <c r="E334" s="117" t="s">
        <v>1615</v>
      </c>
      <c r="F334" s="117" t="s">
        <v>183</v>
      </c>
      <c r="G334" s="117" t="s">
        <v>573</v>
      </c>
      <c r="H334" s="117" t="s">
        <v>573</v>
      </c>
      <c r="I334" s="117" t="s">
        <v>1616</v>
      </c>
      <c r="J334" s="118">
        <v>1.901</v>
      </c>
      <c r="K334" s="118" t="s">
        <v>125</v>
      </c>
      <c r="L334" s="117">
        <v>0</v>
      </c>
      <c r="M334" s="117">
        <v>5.287E-2</v>
      </c>
      <c r="N334" s="69">
        <v>1268.7329310247183</v>
      </c>
      <c r="O334" s="60">
        <v>90.5</v>
      </c>
      <c r="P334" s="84">
        <v>0</v>
      </c>
      <c r="Q334" s="84">
        <v>4.3907299999999996</v>
      </c>
      <c r="R334" s="24">
        <v>2.7581150674450396E-6</v>
      </c>
      <c r="S334" s="24">
        <v>3.9131585360039224E-5</v>
      </c>
      <c r="T334" s="24">
        <v>1.8086209892889632E-5</v>
      </c>
    </row>
    <row r="335" spans="1:20" x14ac:dyDescent="0.25">
      <c r="A335" s="16" t="s">
        <v>1617</v>
      </c>
      <c r="B335" s="117" t="s">
        <v>1618</v>
      </c>
      <c r="C335" s="117" t="s">
        <v>218</v>
      </c>
      <c r="D335" s="117" t="s">
        <v>1566</v>
      </c>
      <c r="E335" s="117" t="s">
        <v>1619</v>
      </c>
      <c r="F335" s="117" t="s">
        <v>185</v>
      </c>
      <c r="G335" s="117" t="s">
        <v>573</v>
      </c>
      <c r="H335" s="117" t="s">
        <v>573</v>
      </c>
      <c r="I335" s="117" t="s">
        <v>1620</v>
      </c>
      <c r="J335" s="118">
        <v>1.9059999999999999</v>
      </c>
      <c r="K335" s="118" t="s">
        <v>125</v>
      </c>
      <c r="L335" s="117">
        <v>0</v>
      </c>
      <c r="M335" s="117">
        <v>4.6829999999999997E-2</v>
      </c>
      <c r="N335" s="69">
        <v>3242.0240927023633</v>
      </c>
      <c r="O335" s="60">
        <v>91.391000000000005</v>
      </c>
      <c r="P335" s="84">
        <v>0</v>
      </c>
      <c r="Q335" s="84">
        <v>11.330200000000001</v>
      </c>
      <c r="R335" s="24">
        <v>5.1257297908337758E-6</v>
      </c>
      <c r="S335" s="24">
        <v>1.0097835404279391E-4</v>
      </c>
      <c r="T335" s="24">
        <v>4.6671140181340725E-5</v>
      </c>
    </row>
    <row r="336" spans="1:20" x14ac:dyDescent="0.25">
      <c r="A336" s="16" t="s">
        <v>1617</v>
      </c>
      <c r="B336" s="117" t="s">
        <v>1618</v>
      </c>
      <c r="C336" s="117" t="s">
        <v>218</v>
      </c>
      <c r="D336" s="117" t="s">
        <v>1566</v>
      </c>
      <c r="E336" s="117" t="s">
        <v>1619</v>
      </c>
      <c r="F336" s="117" t="s">
        <v>185</v>
      </c>
      <c r="G336" s="117" t="s">
        <v>573</v>
      </c>
      <c r="H336" s="117" t="s">
        <v>573</v>
      </c>
      <c r="I336" s="117" t="s">
        <v>1621</v>
      </c>
      <c r="J336" s="118">
        <v>1.9059999999999999</v>
      </c>
      <c r="K336" s="118" t="s">
        <v>125</v>
      </c>
      <c r="L336" s="117">
        <v>0</v>
      </c>
      <c r="M336" s="117">
        <v>4.6829999999999997E-2</v>
      </c>
      <c r="N336" s="69">
        <v>1191.2807548327355</v>
      </c>
      <c r="O336" s="60">
        <v>91.391000000000005</v>
      </c>
      <c r="P336" s="84">
        <v>0</v>
      </c>
      <c r="Q336" s="84">
        <v>4.1632799999999994</v>
      </c>
      <c r="R336" s="24">
        <v>1.8834478337276452E-6</v>
      </c>
      <c r="S336" s="24">
        <v>3.7104478457510281E-5</v>
      </c>
      <c r="T336" s="24">
        <v>1.7149302262464225E-5</v>
      </c>
    </row>
    <row r="337" spans="1:20" x14ac:dyDescent="0.25">
      <c r="A337" s="16" t="s">
        <v>1609</v>
      </c>
      <c r="B337" s="117" t="s">
        <v>1610</v>
      </c>
      <c r="C337" s="117" t="s">
        <v>218</v>
      </c>
      <c r="D337" s="117" t="s">
        <v>1566</v>
      </c>
      <c r="E337" s="117" t="s">
        <v>1611</v>
      </c>
      <c r="F337" s="117" t="s">
        <v>183</v>
      </c>
      <c r="G337" s="117" t="s">
        <v>573</v>
      </c>
      <c r="H337" s="117" t="s">
        <v>573</v>
      </c>
      <c r="I337" s="117" t="s">
        <v>1612</v>
      </c>
      <c r="J337" s="118">
        <v>1.8120000000000001</v>
      </c>
      <c r="K337" s="118" t="s">
        <v>125</v>
      </c>
      <c r="L337" s="117">
        <v>0</v>
      </c>
      <c r="M337" s="117">
        <v>6.2539999999999998E-2</v>
      </c>
      <c r="N337" s="69">
        <v>765.06936017838507</v>
      </c>
      <c r="O337" s="60">
        <v>89.55</v>
      </c>
      <c r="P337" s="84">
        <v>0</v>
      </c>
      <c r="Q337" s="84">
        <v>2.6198999999999999</v>
      </c>
      <c r="R337" s="24">
        <v>1.330555409005887E-6</v>
      </c>
      <c r="S337" s="24">
        <v>2.3349383925854419E-5</v>
      </c>
      <c r="T337" s="24">
        <v>1.0791841287982079E-5</v>
      </c>
    </row>
    <row r="338" spans="1:20" x14ac:dyDescent="0.25">
      <c r="A338" s="16" t="s">
        <v>1595</v>
      </c>
      <c r="B338" s="117" t="s">
        <v>1596</v>
      </c>
      <c r="C338" s="117" t="s">
        <v>218</v>
      </c>
      <c r="D338" s="117" t="s">
        <v>1566</v>
      </c>
      <c r="E338" s="117" t="s">
        <v>1597</v>
      </c>
      <c r="F338" s="117" t="s">
        <v>182</v>
      </c>
      <c r="G338" s="117" t="s">
        <v>1598</v>
      </c>
      <c r="H338" s="117" t="s">
        <v>262</v>
      </c>
      <c r="I338" s="117" t="s">
        <v>1599</v>
      </c>
      <c r="J338" s="118">
        <v>2.1960000000000002</v>
      </c>
      <c r="K338" s="118" t="s">
        <v>126</v>
      </c>
      <c r="L338" s="117">
        <v>3.6299999999999999E-2</v>
      </c>
      <c r="M338" s="117">
        <v>0.16005</v>
      </c>
      <c r="N338" s="69">
        <v>90283.848942332494</v>
      </c>
      <c r="O338" s="60">
        <v>38.234000000000002</v>
      </c>
      <c r="P338" s="84">
        <v>0</v>
      </c>
      <c r="Q338" s="84">
        <v>139.90947</v>
      </c>
      <c r="R338" s="24">
        <v>2.5795385412094997E-4</v>
      </c>
      <c r="S338" s="24">
        <v>1.2469177945313985E-3</v>
      </c>
      <c r="T338" s="24">
        <v>5.7631237639821744E-4</v>
      </c>
    </row>
    <row r="339" spans="1:20" x14ac:dyDescent="0.25">
      <c r="A339" s="16" t="s">
        <v>1569</v>
      </c>
      <c r="B339" s="117" t="s">
        <v>1570</v>
      </c>
      <c r="C339" s="117" t="s">
        <v>218</v>
      </c>
      <c r="D339" s="117" t="s">
        <v>1566</v>
      </c>
      <c r="E339" s="117" t="s">
        <v>1571</v>
      </c>
      <c r="F339" s="117" t="s">
        <v>164</v>
      </c>
      <c r="G339" s="117" t="s">
        <v>1572</v>
      </c>
      <c r="H339" s="117" t="s">
        <v>262</v>
      </c>
      <c r="I339" s="117" t="s">
        <v>1573</v>
      </c>
      <c r="J339" s="118">
        <v>3.8679999999999999</v>
      </c>
      <c r="K339" s="118" t="s">
        <v>125</v>
      </c>
      <c r="L339" s="117">
        <v>5.3800000000000001E-2</v>
      </c>
      <c r="M339" s="117">
        <v>8.0489999999999992E-2</v>
      </c>
      <c r="N339" s="69">
        <v>60431.55210154529</v>
      </c>
      <c r="O339" s="60">
        <v>89.753</v>
      </c>
      <c r="P339" s="84">
        <v>6.2105506090000002</v>
      </c>
      <c r="Q339" s="84">
        <v>213.62098999999998</v>
      </c>
      <c r="R339" s="24">
        <v>9.6690483362472468E-5</v>
      </c>
      <c r="S339" s="24">
        <v>1.9038583572392486E-3</v>
      </c>
      <c r="T339" s="24">
        <v>8.7994344053651146E-4</v>
      </c>
    </row>
    <row r="340" spans="1:20" x14ac:dyDescent="0.25">
      <c r="A340" s="16" t="s">
        <v>1574</v>
      </c>
      <c r="B340" s="117" t="s">
        <v>1575</v>
      </c>
      <c r="C340" s="117" t="s">
        <v>218</v>
      </c>
      <c r="D340" s="117" t="s">
        <v>1566</v>
      </c>
      <c r="E340" s="117" t="s">
        <v>1571</v>
      </c>
      <c r="F340" s="117" t="s">
        <v>164</v>
      </c>
      <c r="G340" s="117" t="s">
        <v>1572</v>
      </c>
      <c r="H340" s="117" t="s">
        <v>262</v>
      </c>
      <c r="I340" s="117" t="s">
        <v>1573</v>
      </c>
      <c r="J340" s="118">
        <v>5.8150000000000004</v>
      </c>
      <c r="K340" s="118" t="s">
        <v>125</v>
      </c>
      <c r="L340" s="117">
        <v>5.8799999999999998E-2</v>
      </c>
      <c r="M340" s="117">
        <v>8.2029999999999992E-2</v>
      </c>
      <c r="N340" s="69">
        <v>198011.56652250086</v>
      </c>
      <c r="O340" s="60">
        <v>86.787999999999997</v>
      </c>
      <c r="P340" s="84">
        <v>22.2426393</v>
      </c>
      <c r="Q340" s="84">
        <v>679.3981</v>
      </c>
      <c r="R340" s="24">
        <v>3.1681850643600139E-4</v>
      </c>
      <c r="S340" s="24">
        <v>6.0550124338318379E-3</v>
      </c>
      <c r="T340" s="24">
        <v>2.7985634820247248E-3</v>
      </c>
    </row>
    <row r="341" spans="1:20" x14ac:dyDescent="0.25">
      <c r="A341" s="16" t="s">
        <v>1592</v>
      </c>
      <c r="B341" s="117" t="s">
        <v>1593</v>
      </c>
      <c r="C341" s="117" t="s">
        <v>218</v>
      </c>
      <c r="D341" s="117" t="s">
        <v>1566</v>
      </c>
      <c r="E341" s="117" t="s">
        <v>1571</v>
      </c>
      <c r="F341" s="117" t="s">
        <v>188</v>
      </c>
      <c r="G341" s="117" t="s">
        <v>1572</v>
      </c>
      <c r="H341" s="117" t="s">
        <v>262</v>
      </c>
      <c r="I341" s="117" t="s">
        <v>1594</v>
      </c>
      <c r="J341" s="118">
        <v>5.1120000000000001</v>
      </c>
      <c r="K341" s="118" t="s">
        <v>125</v>
      </c>
      <c r="L341" s="117">
        <v>8.5000000000000006E-2</v>
      </c>
      <c r="M341" s="117">
        <v>8.4620000000000001E-2</v>
      </c>
      <c r="N341" s="69">
        <v>154368.99379252456</v>
      </c>
      <c r="O341" s="60">
        <v>101.79500000000002</v>
      </c>
      <c r="P341" s="84">
        <v>0</v>
      </c>
      <c r="Q341" s="84">
        <v>600.90304000000003</v>
      </c>
      <c r="R341" s="24">
        <v>2.0582532505669941E-4</v>
      </c>
      <c r="S341" s="24">
        <v>5.3554394378308541E-3</v>
      </c>
      <c r="T341" s="24">
        <v>2.4752281526569512E-3</v>
      </c>
    </row>
    <row r="342" spans="1:20" x14ac:dyDescent="0.25">
      <c r="A342" s="16" t="s">
        <v>1600</v>
      </c>
      <c r="B342" s="117" t="s">
        <v>1601</v>
      </c>
      <c r="C342" s="117" t="s">
        <v>218</v>
      </c>
      <c r="D342" s="117" t="s">
        <v>1566</v>
      </c>
      <c r="E342" s="117" t="s">
        <v>1602</v>
      </c>
      <c r="F342" s="117" t="s">
        <v>178</v>
      </c>
      <c r="G342" s="117" t="s">
        <v>1603</v>
      </c>
      <c r="H342" s="117" t="s">
        <v>412</v>
      </c>
      <c r="I342" s="117" t="s">
        <v>1604</v>
      </c>
      <c r="J342" s="118">
        <v>5.42</v>
      </c>
      <c r="K342" s="118" t="s">
        <v>126</v>
      </c>
      <c r="L342" s="117">
        <v>4.3799999999999999E-2</v>
      </c>
      <c r="M342" s="117">
        <v>7.1410000000000001E-2</v>
      </c>
      <c r="N342" s="69">
        <v>239739.6065171228</v>
      </c>
      <c r="O342" s="60">
        <v>87.129000000000019</v>
      </c>
      <c r="P342" s="84">
        <v>0</v>
      </c>
      <c r="Q342" s="84">
        <v>846.62256000000002</v>
      </c>
      <c r="R342" s="24">
        <v>1.5982640434474853E-4</v>
      </c>
      <c r="S342" s="24">
        <v>7.5453701262375352E-3</v>
      </c>
      <c r="T342" s="24">
        <v>3.4873912356750583E-3</v>
      </c>
    </row>
    <row r="343" spans="1:20" x14ac:dyDescent="0.25">
      <c r="A343" s="16" t="s">
        <v>1607</v>
      </c>
      <c r="B343" s="117" t="s">
        <v>1608</v>
      </c>
      <c r="C343" s="117" t="s">
        <v>218</v>
      </c>
      <c r="D343" s="117" t="s">
        <v>1566</v>
      </c>
      <c r="E343" s="117" t="s">
        <v>1602</v>
      </c>
      <c r="F343" s="117" t="s">
        <v>178</v>
      </c>
      <c r="G343" s="117" t="s">
        <v>1603</v>
      </c>
      <c r="H343" s="117" t="s">
        <v>412</v>
      </c>
      <c r="I343" s="117" t="s">
        <v>553</v>
      </c>
      <c r="J343" s="118">
        <v>4.5890000000000004</v>
      </c>
      <c r="K343" s="118" t="s">
        <v>126</v>
      </c>
      <c r="L343" s="117">
        <v>7.3800000000000004E-2</v>
      </c>
      <c r="M343" s="117">
        <v>6.9629999999999997E-2</v>
      </c>
      <c r="N343" s="69">
        <v>70502.432971314382</v>
      </c>
      <c r="O343" s="60">
        <v>101.926</v>
      </c>
      <c r="P343" s="84">
        <v>0</v>
      </c>
      <c r="Q343" s="84">
        <v>291.25702000000001</v>
      </c>
      <c r="R343" s="24">
        <v>8.8128041214142973E-5</v>
      </c>
      <c r="S343" s="24">
        <v>2.5957754040536888E-3</v>
      </c>
      <c r="T343" s="24">
        <v>1.1997402701823055E-3</v>
      </c>
    </row>
    <row r="344" spans="1:20" x14ac:dyDescent="0.25">
      <c r="A344" s="16" t="s">
        <v>1605</v>
      </c>
      <c r="B344" s="117" t="s">
        <v>1606</v>
      </c>
      <c r="C344" s="117" t="s">
        <v>218</v>
      </c>
      <c r="D344" s="117" t="s">
        <v>1566</v>
      </c>
      <c r="E344" s="117" t="s">
        <v>1602</v>
      </c>
      <c r="F344" s="117" t="s">
        <v>178</v>
      </c>
      <c r="G344" s="117" t="s">
        <v>1603</v>
      </c>
      <c r="H344" s="117" t="s">
        <v>412</v>
      </c>
      <c r="I344" s="117" t="s">
        <v>553</v>
      </c>
      <c r="J344" s="118">
        <v>5.7270000000000003</v>
      </c>
      <c r="K344" s="118" t="s">
        <v>126</v>
      </c>
      <c r="L344" s="117">
        <v>7.8799999999999995E-2</v>
      </c>
      <c r="M344" s="117">
        <v>7.2239999999999999E-2</v>
      </c>
      <c r="N344" s="69">
        <v>114370.61348679887</v>
      </c>
      <c r="O344" s="60">
        <v>103.83</v>
      </c>
      <c r="P344" s="84">
        <v>0</v>
      </c>
      <c r="Q344" s="84">
        <v>481.30971</v>
      </c>
      <c r="R344" s="24">
        <v>2.2874122697359774E-4</v>
      </c>
      <c r="S344" s="24">
        <v>4.2895855590028825E-3</v>
      </c>
      <c r="T344" s="24">
        <v>1.9826016262775989E-3</v>
      </c>
    </row>
    <row r="345" spans="1:20" x14ac:dyDescent="0.25">
      <c r="A345" s="16" t="s">
        <v>1576</v>
      </c>
      <c r="B345" s="117" t="s">
        <v>1577</v>
      </c>
      <c r="C345" s="117" t="s">
        <v>218</v>
      </c>
      <c r="D345" s="117" t="s">
        <v>1566</v>
      </c>
      <c r="E345" s="117" t="s">
        <v>1578</v>
      </c>
      <c r="F345" s="117" t="s">
        <v>164</v>
      </c>
      <c r="G345" s="117" t="s">
        <v>1579</v>
      </c>
      <c r="H345" s="117" t="s">
        <v>262</v>
      </c>
      <c r="I345" s="117" t="s">
        <v>1580</v>
      </c>
      <c r="J345" s="118">
        <v>2.9910000000000001</v>
      </c>
      <c r="K345" s="118" t="s">
        <v>125</v>
      </c>
      <c r="L345" s="117">
        <v>6.5000000000000002E-2</v>
      </c>
      <c r="M345" s="117">
        <v>9.5250000000000001E-2</v>
      </c>
      <c r="N345" s="69">
        <v>100270.12689253601</v>
      </c>
      <c r="O345" s="60">
        <v>93.504000000000005</v>
      </c>
      <c r="P345" s="84">
        <v>0</v>
      </c>
      <c r="Q345" s="84">
        <v>358.52515999999997</v>
      </c>
      <c r="R345" s="24">
        <v>2.2282250420563557E-4</v>
      </c>
      <c r="S345" s="24">
        <v>3.1952905102936688E-3</v>
      </c>
      <c r="T345" s="24">
        <v>1.4768298883424485E-3</v>
      </c>
    </row>
    <row r="346" spans="1:20" s="119" customFormat="1" x14ac:dyDescent="0.25">
      <c r="A346" s="92" t="s">
        <v>144</v>
      </c>
      <c r="B346" s="131" t="s">
        <v>249</v>
      </c>
      <c r="C346" s="131" t="s">
        <v>249</v>
      </c>
      <c r="D346" s="131" t="s">
        <v>249</v>
      </c>
      <c r="E346" s="131" t="s">
        <v>249</v>
      </c>
      <c r="F346" s="131" t="s">
        <v>249</v>
      </c>
      <c r="G346" s="131" t="s">
        <v>249</v>
      </c>
      <c r="H346" s="131" t="s">
        <v>249</v>
      </c>
      <c r="I346" s="131" t="s">
        <v>249</v>
      </c>
      <c r="J346" s="132" t="s">
        <v>249</v>
      </c>
      <c r="K346" s="132" t="s">
        <v>249</v>
      </c>
      <c r="L346" s="131" t="s">
        <v>249</v>
      </c>
      <c r="M346" s="131" t="s">
        <v>249</v>
      </c>
      <c r="N346" s="135" t="s">
        <v>249</v>
      </c>
      <c r="O346" s="136" t="s">
        <v>249</v>
      </c>
      <c r="P346" s="124" t="s">
        <v>249</v>
      </c>
      <c r="Q346" s="124">
        <v>13967.277560099996</v>
      </c>
      <c r="R346" s="137"/>
      <c r="S346" s="137">
        <v>0.12448082985982137</v>
      </c>
      <c r="T346" s="137">
        <v>5.7533738941865233E-2</v>
      </c>
    </row>
    <row r="347" spans="1:20" x14ac:dyDescent="0.25">
      <c r="A347" s="16" t="s">
        <v>1626</v>
      </c>
      <c r="B347" s="117" t="s">
        <v>1627</v>
      </c>
      <c r="C347" s="117" t="s">
        <v>218</v>
      </c>
      <c r="D347" s="117" t="s">
        <v>1566</v>
      </c>
      <c r="E347" s="175" t="s">
        <v>3785</v>
      </c>
      <c r="F347" s="117" t="s">
        <v>181</v>
      </c>
      <c r="G347" s="117" t="s">
        <v>1583</v>
      </c>
      <c r="H347" s="117" t="s">
        <v>412</v>
      </c>
      <c r="I347" s="117" t="s">
        <v>1628</v>
      </c>
      <c r="J347" s="118">
        <v>4.181</v>
      </c>
      <c r="K347" s="118" t="s">
        <v>125</v>
      </c>
      <c r="L347" s="117">
        <v>5.7000000000000002E-2</v>
      </c>
      <c r="M347" s="117">
        <v>7.6230000000000006E-2</v>
      </c>
      <c r="N347" s="69">
        <v>67128.984477979888</v>
      </c>
      <c r="O347" s="60">
        <v>92.093000000000004</v>
      </c>
      <c r="P347" s="84">
        <v>0</v>
      </c>
      <c r="Q347" s="84">
        <v>236.40386999999998</v>
      </c>
      <c r="R347" s="24">
        <v>6.7128984477979889E-5</v>
      </c>
      <c r="S347" s="24">
        <v>2.1069066461268664E-3</v>
      </c>
      <c r="T347" s="24">
        <v>9.7379023814067242E-4</v>
      </c>
    </row>
    <row r="348" spans="1:20" x14ac:dyDescent="0.25">
      <c r="A348" s="16" t="s">
        <v>1629</v>
      </c>
      <c r="B348" s="117" t="s">
        <v>1630</v>
      </c>
      <c r="C348" s="117" t="s">
        <v>218</v>
      </c>
      <c r="D348" s="117" t="s">
        <v>1566</v>
      </c>
      <c r="E348" s="175" t="s">
        <v>3786</v>
      </c>
      <c r="F348" s="117" t="s">
        <v>177</v>
      </c>
      <c r="G348" s="117" t="s">
        <v>1631</v>
      </c>
      <c r="H348" s="117" t="s">
        <v>262</v>
      </c>
      <c r="I348" s="117" t="s">
        <v>1632</v>
      </c>
      <c r="J348" s="118">
        <v>5.1630000000000003</v>
      </c>
      <c r="K348" s="118" t="s">
        <v>125</v>
      </c>
      <c r="L348" s="117">
        <v>4.6300000000000001E-2</v>
      </c>
      <c r="M348" s="117">
        <v>6.5759999999999999E-2</v>
      </c>
      <c r="N348" s="69">
        <v>77545.181318797244</v>
      </c>
      <c r="O348" s="60">
        <v>91.591999999999999</v>
      </c>
      <c r="P348" s="84">
        <v>0</v>
      </c>
      <c r="Q348" s="84">
        <v>271.6003</v>
      </c>
      <c r="R348" s="24">
        <v>2.2155766091084928E-5</v>
      </c>
      <c r="S348" s="24">
        <v>2.4205884495886246E-3</v>
      </c>
      <c r="T348" s="24">
        <v>1.1187706902432608E-3</v>
      </c>
    </row>
    <row r="349" spans="1:20" x14ac:dyDescent="0.25">
      <c r="A349" s="16" t="s">
        <v>1633</v>
      </c>
      <c r="B349" s="117" t="s">
        <v>1634</v>
      </c>
      <c r="C349" s="117" t="s">
        <v>218</v>
      </c>
      <c r="D349" s="117" t="s">
        <v>1566</v>
      </c>
      <c r="E349" s="175" t="s">
        <v>3787</v>
      </c>
      <c r="F349" s="117" t="s">
        <v>179</v>
      </c>
      <c r="G349" s="117" t="s">
        <v>1590</v>
      </c>
      <c r="H349" s="117" t="s">
        <v>262</v>
      </c>
      <c r="I349" s="117" t="s">
        <v>1635</v>
      </c>
      <c r="J349" s="118">
        <v>5.6059999999999999</v>
      </c>
      <c r="K349" s="118" t="s">
        <v>125</v>
      </c>
      <c r="L349" s="117">
        <v>3.6200000000000003E-2</v>
      </c>
      <c r="M349" s="117">
        <v>7.1429999999999993E-2</v>
      </c>
      <c r="N349" s="69">
        <v>50612.102096838207</v>
      </c>
      <c r="O349" s="60">
        <v>82.587000000000018</v>
      </c>
      <c r="P349" s="84">
        <v>0</v>
      </c>
      <c r="Q349" s="84">
        <v>159.83944</v>
      </c>
      <c r="R349" s="24">
        <v>6.7482802795784278E-5</v>
      </c>
      <c r="S349" s="24">
        <v>1.4245400400983135E-3</v>
      </c>
      <c r="T349" s="24">
        <v>6.5840752243976263E-4</v>
      </c>
    </row>
    <row r="350" spans="1:20" x14ac:dyDescent="0.25">
      <c r="A350" s="16" t="s">
        <v>1636</v>
      </c>
      <c r="B350" s="117" t="s">
        <v>1637</v>
      </c>
      <c r="C350" s="117" t="s">
        <v>218</v>
      </c>
      <c r="D350" s="117" t="s">
        <v>1566</v>
      </c>
      <c r="E350" s="175" t="s">
        <v>3788</v>
      </c>
      <c r="F350" s="117" t="s">
        <v>166</v>
      </c>
      <c r="G350" s="117" t="s">
        <v>1638</v>
      </c>
      <c r="H350" s="117" t="s">
        <v>262</v>
      </c>
      <c r="I350" s="117" t="s">
        <v>1639</v>
      </c>
      <c r="J350" s="118">
        <v>4.2210000000000001</v>
      </c>
      <c r="K350" s="118" t="s">
        <v>125</v>
      </c>
      <c r="L350" s="117">
        <v>4.4999999999999998E-2</v>
      </c>
      <c r="M350" s="117">
        <v>6.9309999999999997E-2</v>
      </c>
      <c r="N350" s="69">
        <v>47443.819887407917</v>
      </c>
      <c r="O350" s="60">
        <v>90.552000000000007</v>
      </c>
      <c r="P350" s="84">
        <v>0</v>
      </c>
      <c r="Q350" s="84">
        <v>164.28412</v>
      </c>
      <c r="R350" s="24">
        <v>7.9073033145679865E-5</v>
      </c>
      <c r="S350" s="24">
        <v>1.4641524450555892E-3</v>
      </c>
      <c r="T350" s="24">
        <v>6.7671596212672328E-4</v>
      </c>
    </row>
    <row r="351" spans="1:20" x14ac:dyDescent="0.25">
      <c r="A351" s="16" t="s">
        <v>1640</v>
      </c>
      <c r="B351" s="117" t="s">
        <v>1641</v>
      </c>
      <c r="C351" s="117" t="s">
        <v>218</v>
      </c>
      <c r="D351" s="117" t="s">
        <v>1566</v>
      </c>
      <c r="E351" s="175" t="s">
        <v>3789</v>
      </c>
      <c r="F351" s="117" t="s">
        <v>182</v>
      </c>
      <c r="G351" s="117" t="s">
        <v>1572</v>
      </c>
      <c r="H351" s="117" t="s">
        <v>262</v>
      </c>
      <c r="I351" s="117" t="s">
        <v>1304</v>
      </c>
      <c r="J351" s="118">
        <v>5.952</v>
      </c>
      <c r="K351" s="118" t="s">
        <v>125</v>
      </c>
      <c r="L351" s="117">
        <v>4.4999999999999998E-2</v>
      </c>
      <c r="M351" s="117">
        <v>7.6829999999999996E-2</v>
      </c>
      <c r="N351" s="69">
        <v>59685.397595079783</v>
      </c>
      <c r="O351" s="60">
        <v>82.814999999999998</v>
      </c>
      <c r="P351" s="84">
        <v>0</v>
      </c>
      <c r="Q351" s="84">
        <v>189.01444000000001</v>
      </c>
      <c r="R351" s="24">
        <v>5.4259452359163437E-5</v>
      </c>
      <c r="S351" s="24">
        <v>1.6845569399940358E-3</v>
      </c>
      <c r="T351" s="24">
        <v>7.7858461682385255E-4</v>
      </c>
    </row>
    <row r="352" spans="1:20" x14ac:dyDescent="0.25">
      <c r="A352" s="16" t="s">
        <v>1642</v>
      </c>
      <c r="B352" s="117" t="s">
        <v>1643</v>
      </c>
      <c r="C352" s="117" t="s">
        <v>218</v>
      </c>
      <c r="D352" s="117" t="s">
        <v>1566</v>
      </c>
      <c r="E352" s="175" t="s">
        <v>3790</v>
      </c>
      <c r="F352" s="117" t="s">
        <v>186</v>
      </c>
      <c r="G352" s="117" t="s">
        <v>1579</v>
      </c>
      <c r="H352" s="117" t="s">
        <v>262</v>
      </c>
      <c r="I352" s="117" t="s">
        <v>1644</v>
      </c>
      <c r="J352" s="118">
        <v>5.9420000000000002</v>
      </c>
      <c r="K352" s="118" t="s">
        <v>125</v>
      </c>
      <c r="L352" s="117">
        <v>4.2500000000000003E-2</v>
      </c>
      <c r="M352" s="117">
        <v>8.0449999999999994E-2</v>
      </c>
      <c r="N352" s="69">
        <v>78097.352329916219</v>
      </c>
      <c r="O352" s="60">
        <v>80.363</v>
      </c>
      <c r="P352" s="84">
        <v>0</v>
      </c>
      <c r="Q352" s="84">
        <v>239.99950000000001</v>
      </c>
      <c r="R352" s="24">
        <v>2.6032450776638741E-5</v>
      </c>
      <c r="S352" s="24">
        <v>2.1389520468388479E-3</v>
      </c>
      <c r="T352" s="24">
        <v>9.8860128752817095E-4</v>
      </c>
    </row>
    <row r="353" spans="1:20" x14ac:dyDescent="0.25">
      <c r="A353" s="16" t="s">
        <v>1645</v>
      </c>
      <c r="B353" s="117" t="s">
        <v>1646</v>
      </c>
      <c r="C353" s="117" t="s">
        <v>218</v>
      </c>
      <c r="D353" s="117" t="s">
        <v>1566</v>
      </c>
      <c r="E353" s="175" t="s">
        <v>3791</v>
      </c>
      <c r="F353" s="117" t="s">
        <v>165</v>
      </c>
      <c r="G353" s="117" t="s">
        <v>1579</v>
      </c>
      <c r="H353" s="117" t="s">
        <v>262</v>
      </c>
      <c r="I353" s="117" t="s">
        <v>1647</v>
      </c>
      <c r="J353" s="118">
        <v>5.5629999999999997</v>
      </c>
      <c r="K353" s="118" t="s">
        <v>125</v>
      </c>
      <c r="L353" s="117">
        <v>4.3799999999999999E-2</v>
      </c>
      <c r="M353" s="117">
        <v>7.7920000000000003E-2</v>
      </c>
      <c r="N353" s="69">
        <v>55804.117866437598</v>
      </c>
      <c r="O353" s="60">
        <v>83.774000000000001</v>
      </c>
      <c r="P353" s="84">
        <v>0</v>
      </c>
      <c r="Q353" s="84">
        <v>178.76948000000002</v>
      </c>
      <c r="R353" s="24">
        <v>3.4877573666523496E-5</v>
      </c>
      <c r="S353" s="24">
        <v>1.5932505907650496E-3</v>
      </c>
      <c r="T353" s="24">
        <v>7.3638377621095712E-4</v>
      </c>
    </row>
    <row r="354" spans="1:20" x14ac:dyDescent="0.25">
      <c r="A354" s="16" t="s">
        <v>1648</v>
      </c>
      <c r="B354" s="117" t="s">
        <v>1649</v>
      </c>
      <c r="C354" s="117" t="s">
        <v>218</v>
      </c>
      <c r="D354" s="117" t="s">
        <v>1566</v>
      </c>
      <c r="E354" s="175" t="s">
        <v>3792</v>
      </c>
      <c r="F354" s="117" t="s">
        <v>181</v>
      </c>
      <c r="G354" s="117" t="s">
        <v>1650</v>
      </c>
      <c r="H354" s="117" t="s">
        <v>412</v>
      </c>
      <c r="I354" s="117" t="s">
        <v>1651</v>
      </c>
      <c r="J354" s="118">
        <v>2.33</v>
      </c>
      <c r="K354" s="118" t="s">
        <v>125</v>
      </c>
      <c r="L354" s="117">
        <v>4.7E-2</v>
      </c>
      <c r="M354" s="117">
        <v>0.10429000000000001</v>
      </c>
      <c r="N354" s="69">
        <v>51469.84347333372</v>
      </c>
      <c r="O354" s="60">
        <v>74.733000000000004</v>
      </c>
      <c r="P354" s="84">
        <v>0</v>
      </c>
      <c r="Q354" s="84">
        <v>147.09</v>
      </c>
      <c r="R354" s="24">
        <v>6.8626457964444961E-5</v>
      </c>
      <c r="S354" s="24">
        <v>1.3109129667750396E-3</v>
      </c>
      <c r="T354" s="24">
        <v>6.0589027636523689E-4</v>
      </c>
    </row>
    <row r="355" spans="1:20" x14ac:dyDescent="0.25">
      <c r="A355" s="16" t="s">
        <v>1652</v>
      </c>
      <c r="B355" s="117" t="s">
        <v>1653</v>
      </c>
      <c r="C355" s="117" t="s">
        <v>218</v>
      </c>
      <c r="D355" s="117" t="s">
        <v>1566</v>
      </c>
      <c r="E355" s="175" t="s">
        <v>3793</v>
      </c>
      <c r="F355" s="117" t="s">
        <v>167</v>
      </c>
      <c r="G355" s="117" t="s">
        <v>1572</v>
      </c>
      <c r="H355" s="117" t="s">
        <v>262</v>
      </c>
      <c r="I355" s="117" t="s">
        <v>1654</v>
      </c>
      <c r="J355" s="118">
        <v>4.9539999999999997</v>
      </c>
      <c r="K355" s="118" t="s">
        <v>125</v>
      </c>
      <c r="L355" s="117">
        <v>4.1299999999999996E-2</v>
      </c>
      <c r="M355" s="117">
        <v>7.2939999999999991E-2</v>
      </c>
      <c r="N355" s="69">
        <v>54573.795079526848</v>
      </c>
      <c r="O355" s="60">
        <v>85.394000000000005</v>
      </c>
      <c r="P355" s="84">
        <v>0</v>
      </c>
      <c r="Q355" s="84">
        <v>178.2089</v>
      </c>
      <c r="R355" s="24">
        <v>5.4573795079526848E-5</v>
      </c>
      <c r="S355" s="24">
        <v>1.5882545231131714E-3</v>
      </c>
      <c r="T355" s="24">
        <v>7.3407464594292505E-4</v>
      </c>
    </row>
    <row r="356" spans="1:20" x14ac:dyDescent="0.25">
      <c r="A356" s="16" t="s">
        <v>1655</v>
      </c>
      <c r="B356" s="117" t="s">
        <v>1656</v>
      </c>
      <c r="C356" s="117" t="s">
        <v>218</v>
      </c>
      <c r="D356" s="117" t="s">
        <v>1566</v>
      </c>
      <c r="E356" s="175" t="s">
        <v>3794</v>
      </c>
      <c r="F356" s="117" t="s">
        <v>177</v>
      </c>
      <c r="G356" s="117" t="s">
        <v>1579</v>
      </c>
      <c r="H356" s="117" t="s">
        <v>262</v>
      </c>
      <c r="I356" s="117" t="s">
        <v>1657</v>
      </c>
      <c r="J356" s="118">
        <v>5.7859999999999996</v>
      </c>
      <c r="K356" s="118" t="s">
        <v>125</v>
      </c>
      <c r="L356" s="117">
        <v>5.1299999999999998E-2</v>
      </c>
      <c r="M356" s="117">
        <v>8.906E-2</v>
      </c>
      <c r="N356" s="69">
        <v>54699.775844199627</v>
      </c>
      <c r="O356" s="60">
        <v>82.370999999999995</v>
      </c>
      <c r="P356" s="84">
        <v>0</v>
      </c>
      <c r="Q356" s="84">
        <v>172.29702</v>
      </c>
      <c r="R356" s="24">
        <v>2.7349887922099814E-5</v>
      </c>
      <c r="S356" s="24">
        <v>1.5355659640675662E-3</v>
      </c>
      <c r="T356" s="24">
        <v>7.0972254446058022E-4</v>
      </c>
    </row>
    <row r="357" spans="1:20" x14ac:dyDescent="0.25">
      <c r="A357" s="16" t="s">
        <v>1658</v>
      </c>
      <c r="B357" s="117" t="s">
        <v>1659</v>
      </c>
      <c r="C357" s="117" t="s">
        <v>218</v>
      </c>
      <c r="D357" s="117" t="s">
        <v>1566</v>
      </c>
      <c r="E357" s="175" t="s">
        <v>3795</v>
      </c>
      <c r="F357" s="117" t="s">
        <v>186</v>
      </c>
      <c r="G357" s="117" t="s">
        <v>1590</v>
      </c>
      <c r="H357" s="117" t="s">
        <v>262</v>
      </c>
      <c r="I357" s="117" t="s">
        <v>1660</v>
      </c>
      <c r="J357" s="118">
        <v>15.013999999999999</v>
      </c>
      <c r="K357" s="118" t="s">
        <v>125</v>
      </c>
      <c r="L357" s="117">
        <v>3.5000000000000003E-2</v>
      </c>
      <c r="M357" s="117">
        <v>6.3369999999999996E-2</v>
      </c>
      <c r="N357" s="69">
        <v>83522.56653625032</v>
      </c>
      <c r="O357" s="60">
        <v>61.960999999999999</v>
      </c>
      <c r="P357" s="84">
        <v>0</v>
      </c>
      <c r="Q357" s="84">
        <v>197.89742000000001</v>
      </c>
      <c r="R357" s="24">
        <v>1.1141889380159445E-5</v>
      </c>
      <c r="S357" s="24">
        <v>1.7637248893148827E-3</v>
      </c>
      <c r="T357" s="24">
        <v>8.1517521582546298E-4</v>
      </c>
    </row>
    <row r="358" spans="1:20" x14ac:dyDescent="0.25">
      <c r="A358" s="16" t="s">
        <v>1661</v>
      </c>
      <c r="B358" s="117" t="s">
        <v>1662</v>
      </c>
      <c r="C358" s="117" t="s">
        <v>218</v>
      </c>
      <c r="D358" s="117" t="s">
        <v>1566</v>
      </c>
      <c r="E358" s="175" t="s">
        <v>3796</v>
      </c>
      <c r="F358" s="117" t="s">
        <v>186</v>
      </c>
      <c r="G358" s="117" t="s">
        <v>1572</v>
      </c>
      <c r="H358" s="117" t="s">
        <v>262</v>
      </c>
      <c r="I358" s="117" t="s">
        <v>1663</v>
      </c>
      <c r="J358" s="118">
        <v>6.4119999999999999</v>
      </c>
      <c r="K358" s="118" t="s">
        <v>125</v>
      </c>
      <c r="L358" s="117">
        <v>3.8800000000000001E-2</v>
      </c>
      <c r="M358" s="117">
        <v>8.1959999999999991E-2</v>
      </c>
      <c r="N358" s="69">
        <v>52260.573804790518</v>
      </c>
      <c r="O358" s="60">
        <v>76.082999999999998</v>
      </c>
      <c r="P358" s="84">
        <v>0</v>
      </c>
      <c r="Q358" s="84">
        <v>152.04764</v>
      </c>
      <c r="R358" s="24">
        <v>3.484038253652701E-5</v>
      </c>
      <c r="S358" s="24">
        <v>1.3550970347647236E-3</v>
      </c>
      <c r="T358" s="24">
        <v>6.2631169093943875E-4</v>
      </c>
    </row>
    <row r="359" spans="1:20" x14ac:dyDescent="0.25">
      <c r="A359" s="16" t="s">
        <v>1664</v>
      </c>
      <c r="B359" s="117" t="s">
        <v>1665</v>
      </c>
      <c r="C359" s="117" t="s">
        <v>218</v>
      </c>
      <c r="D359" s="117" t="s">
        <v>1566</v>
      </c>
      <c r="E359" s="175" t="s">
        <v>3797</v>
      </c>
      <c r="F359" s="117" t="s">
        <v>173</v>
      </c>
      <c r="G359" s="117" t="s">
        <v>1638</v>
      </c>
      <c r="H359" s="117" t="s">
        <v>262</v>
      </c>
      <c r="I359" s="117" t="s">
        <v>1666</v>
      </c>
      <c r="J359" s="118">
        <v>6.7629999999999999</v>
      </c>
      <c r="K359" s="118" t="s">
        <v>125</v>
      </c>
      <c r="L359" s="117">
        <v>3.3799999999999997E-2</v>
      </c>
      <c r="M359" s="117">
        <v>7.5170000000000001E-2</v>
      </c>
      <c r="N359" s="69">
        <v>55485.145292053327</v>
      </c>
      <c r="O359" s="60">
        <v>74.320999999999998</v>
      </c>
      <c r="P359" s="84">
        <v>0</v>
      </c>
      <c r="Q359" s="84">
        <v>157.69073</v>
      </c>
      <c r="R359" s="24">
        <v>8.5361761987774349E-5</v>
      </c>
      <c r="S359" s="24">
        <v>1.4053900516501582E-3</v>
      </c>
      <c r="T359" s="24">
        <v>6.4955659786481703E-4</v>
      </c>
    </row>
    <row r="360" spans="1:20" x14ac:dyDescent="0.25">
      <c r="A360" s="16" t="s">
        <v>1667</v>
      </c>
      <c r="B360" s="117" t="s">
        <v>1668</v>
      </c>
      <c r="C360" s="117" t="s">
        <v>218</v>
      </c>
      <c r="D360" s="117" t="s">
        <v>1566</v>
      </c>
      <c r="E360" s="175" t="s">
        <v>3798</v>
      </c>
      <c r="F360" s="117" t="s">
        <v>179</v>
      </c>
      <c r="G360" s="117" t="s">
        <v>1669</v>
      </c>
      <c r="H360" s="117" t="s">
        <v>412</v>
      </c>
      <c r="I360" s="117" t="s">
        <v>1670</v>
      </c>
      <c r="J360" s="118">
        <v>6.87</v>
      </c>
      <c r="K360" s="118" t="s">
        <v>125</v>
      </c>
      <c r="L360" s="117">
        <v>3.85E-2</v>
      </c>
      <c r="M360" s="117">
        <v>6.7240000000000008E-2</v>
      </c>
      <c r="N360" s="69">
        <v>85774.137649551034</v>
      </c>
      <c r="O360" s="60">
        <v>81.427999999999997</v>
      </c>
      <c r="P360" s="84">
        <v>0</v>
      </c>
      <c r="Q360" s="84">
        <v>267.08409</v>
      </c>
      <c r="R360" s="24">
        <v>3.4309655059820412E-5</v>
      </c>
      <c r="S360" s="24">
        <v>2.380338546470268E-3</v>
      </c>
      <c r="T360" s="24">
        <v>1.1001676055670527E-3</v>
      </c>
    </row>
    <row r="361" spans="1:20" x14ac:dyDescent="0.25">
      <c r="A361" s="16" t="s">
        <v>1671</v>
      </c>
      <c r="B361" s="117" t="s">
        <v>1672</v>
      </c>
      <c r="C361" s="117" t="s">
        <v>218</v>
      </c>
      <c r="D361" s="117" t="s">
        <v>1566</v>
      </c>
      <c r="E361" s="175" t="s">
        <v>3799</v>
      </c>
      <c r="F361" s="117" t="s">
        <v>179</v>
      </c>
      <c r="G361" s="117" t="s">
        <v>1673</v>
      </c>
      <c r="H361" s="117" t="s">
        <v>262</v>
      </c>
      <c r="I361" s="117" t="s">
        <v>1674</v>
      </c>
      <c r="J361" s="118">
        <v>6.8</v>
      </c>
      <c r="K361" s="118" t="s">
        <v>125</v>
      </c>
      <c r="L361" s="117">
        <v>3.3500000000000002E-2</v>
      </c>
      <c r="M361" s="117">
        <v>6.9349999999999995E-2</v>
      </c>
      <c r="N361" s="69">
        <v>76660.635524286248</v>
      </c>
      <c r="O361" s="60">
        <v>76.573999999999998</v>
      </c>
      <c r="P361" s="84">
        <v>0</v>
      </c>
      <c r="Q361" s="84">
        <v>224.47689000000003</v>
      </c>
      <c r="R361" s="24">
        <v>6.1328508419429E-5</v>
      </c>
      <c r="S361" s="24">
        <v>2.0006095984929926E-3</v>
      </c>
      <c r="T361" s="24">
        <v>9.2466085335310953E-4</v>
      </c>
    </row>
    <row r="362" spans="1:20" x14ac:dyDescent="0.25">
      <c r="A362" s="16" t="s">
        <v>1675</v>
      </c>
      <c r="B362" s="117" t="s">
        <v>1676</v>
      </c>
      <c r="C362" s="117" t="s">
        <v>218</v>
      </c>
      <c r="D362" s="117" t="s">
        <v>1566</v>
      </c>
      <c r="E362" s="175" t="s">
        <v>3800</v>
      </c>
      <c r="F362" s="117" t="s">
        <v>185</v>
      </c>
      <c r="G362" s="117" t="s">
        <v>1638</v>
      </c>
      <c r="H362" s="117" t="s">
        <v>262</v>
      </c>
      <c r="I362" s="117" t="s">
        <v>1410</v>
      </c>
      <c r="J362" s="118">
        <v>6.7919999999999998</v>
      </c>
      <c r="K362" s="118" t="s">
        <v>125</v>
      </c>
      <c r="L362" s="117">
        <v>4.1500000000000002E-2</v>
      </c>
      <c r="M362" s="117">
        <v>6.1609999999999998E-2</v>
      </c>
      <c r="N362" s="69">
        <v>80413.254046454094</v>
      </c>
      <c r="O362" s="60">
        <v>88.492999999999995</v>
      </c>
      <c r="P362" s="84">
        <v>0</v>
      </c>
      <c r="Q362" s="84">
        <v>272.11622999999997</v>
      </c>
      <c r="R362" s="24">
        <v>6.7011045038711746E-5</v>
      </c>
      <c r="S362" s="24">
        <v>2.4251865822077574E-3</v>
      </c>
      <c r="T362" s="24">
        <v>1.1208958990969226E-3</v>
      </c>
    </row>
    <row r="363" spans="1:20" x14ac:dyDescent="0.25">
      <c r="A363" s="16" t="s">
        <v>1677</v>
      </c>
      <c r="B363" s="117" t="s">
        <v>1678</v>
      </c>
      <c r="C363" s="117" t="s">
        <v>218</v>
      </c>
      <c r="D363" s="117" t="s">
        <v>1566</v>
      </c>
      <c r="E363" s="175" t="s">
        <v>3801</v>
      </c>
      <c r="F363" s="117" t="s">
        <v>171</v>
      </c>
      <c r="G363" s="117" t="s">
        <v>1590</v>
      </c>
      <c r="H363" s="117" t="s">
        <v>262</v>
      </c>
      <c r="I363" s="117" t="s">
        <v>1679</v>
      </c>
      <c r="J363" s="118">
        <v>7.2889999999999997</v>
      </c>
      <c r="K363" s="118" t="s">
        <v>125</v>
      </c>
      <c r="L363" s="117">
        <v>3.5000000000000003E-2</v>
      </c>
      <c r="M363" s="117">
        <v>6.1120000000000001E-2</v>
      </c>
      <c r="N363" s="69">
        <v>67011.045038711745</v>
      </c>
      <c r="O363" s="60">
        <v>83.427000000000007</v>
      </c>
      <c r="P363" s="84">
        <v>0</v>
      </c>
      <c r="Q363" s="84">
        <v>213.78188</v>
      </c>
      <c r="R363" s="24">
        <v>6.7011045038711746E-5</v>
      </c>
      <c r="S363" s="24">
        <v>1.9052922602049462E-3</v>
      </c>
      <c r="T363" s="24">
        <v>8.8060617550533621E-4</v>
      </c>
    </row>
    <row r="364" spans="1:20" x14ac:dyDescent="0.25">
      <c r="A364" s="16" t="s">
        <v>1680</v>
      </c>
      <c r="B364" s="117" t="s">
        <v>1681</v>
      </c>
      <c r="C364" s="117" t="s">
        <v>218</v>
      </c>
      <c r="D364" s="117" t="s">
        <v>1566</v>
      </c>
      <c r="E364" s="175" t="s">
        <v>3802</v>
      </c>
      <c r="F364" s="117" t="s">
        <v>179</v>
      </c>
      <c r="G364" s="117" t="s">
        <v>1567</v>
      </c>
      <c r="H364" s="117" t="s">
        <v>412</v>
      </c>
      <c r="I364" s="117" t="s">
        <v>1682</v>
      </c>
      <c r="J364" s="118">
        <v>6.7720000000000002</v>
      </c>
      <c r="K364" s="118" t="s">
        <v>125</v>
      </c>
      <c r="L364" s="117">
        <v>3.32E-2</v>
      </c>
      <c r="M364" s="117">
        <v>7.2099999999999997E-2</v>
      </c>
      <c r="N364" s="69">
        <v>77732.812244905625</v>
      </c>
      <c r="O364" s="60">
        <v>74.322000000000003</v>
      </c>
      <c r="P364" s="84">
        <v>0</v>
      </c>
      <c r="Q364" s="84">
        <v>220.92234999999999</v>
      </c>
      <c r="R364" s="24">
        <v>7.7732812244905619E-5</v>
      </c>
      <c r="S364" s="24">
        <v>1.968930404958962E-3</v>
      </c>
      <c r="T364" s="24">
        <v>9.1001906109699896E-4</v>
      </c>
    </row>
    <row r="365" spans="1:20" x14ac:dyDescent="0.25">
      <c r="A365" s="16" t="s">
        <v>1683</v>
      </c>
      <c r="B365" s="117" t="s">
        <v>1684</v>
      </c>
      <c r="C365" s="117" t="s">
        <v>218</v>
      </c>
      <c r="D365" s="117" t="s">
        <v>1566</v>
      </c>
      <c r="E365" s="175" t="s">
        <v>3803</v>
      </c>
      <c r="F365" s="117" t="s">
        <v>165</v>
      </c>
      <c r="G365" s="117" t="s">
        <v>1567</v>
      </c>
      <c r="H365" s="117" t="s">
        <v>412</v>
      </c>
      <c r="I365" s="117" t="s">
        <v>1685</v>
      </c>
      <c r="J365" s="118">
        <v>3.2770000000000001</v>
      </c>
      <c r="K365" s="118" t="s">
        <v>125</v>
      </c>
      <c r="L365" s="117">
        <v>6.1600000000000002E-2</v>
      </c>
      <c r="M365" s="117">
        <v>6.5879999999999994E-2</v>
      </c>
      <c r="N365" s="69">
        <v>73771.119262216991</v>
      </c>
      <c r="O365" s="60">
        <v>99.93</v>
      </c>
      <c r="P365" s="84">
        <v>0</v>
      </c>
      <c r="Q365" s="84">
        <v>281.90328999999997</v>
      </c>
      <c r="R365" s="24">
        <v>3.6885559631108493E-5</v>
      </c>
      <c r="S365" s="24">
        <v>2.5124119806753985E-3</v>
      </c>
      <c r="T365" s="24">
        <v>1.1612105669071282E-3</v>
      </c>
    </row>
    <row r="366" spans="1:20" x14ac:dyDescent="0.25">
      <c r="A366" s="16" t="s">
        <v>1686</v>
      </c>
      <c r="B366" s="117" t="s">
        <v>1687</v>
      </c>
      <c r="C366" s="117" t="s">
        <v>218</v>
      </c>
      <c r="D366" s="117" t="s">
        <v>1566</v>
      </c>
      <c r="E366" s="175" t="s">
        <v>3804</v>
      </c>
      <c r="F366" s="117" t="s">
        <v>180</v>
      </c>
      <c r="G366" s="117" t="s">
        <v>1673</v>
      </c>
      <c r="H366" s="117" t="s">
        <v>262</v>
      </c>
      <c r="I366" s="117" t="s">
        <v>1688</v>
      </c>
      <c r="J366" s="118">
        <v>6.4710000000000001</v>
      </c>
      <c r="K366" s="118" t="s">
        <v>125</v>
      </c>
      <c r="L366" s="117">
        <v>5.2999999999999999E-2</v>
      </c>
      <c r="M366" s="117">
        <v>6.9589999999999999E-2</v>
      </c>
      <c r="N366" s="69">
        <v>80413.254046454094</v>
      </c>
      <c r="O366" s="60">
        <v>91.707999999999998</v>
      </c>
      <c r="P366" s="84">
        <v>0</v>
      </c>
      <c r="Q366" s="84">
        <v>282.00236000000001</v>
      </c>
      <c r="R366" s="24">
        <v>4.0206627023227049E-5</v>
      </c>
      <c r="S366" s="24">
        <v>2.5132949240951985E-3</v>
      </c>
      <c r="T366" s="24">
        <v>1.1616186541304576E-3</v>
      </c>
    </row>
    <row r="367" spans="1:20" x14ac:dyDescent="0.25">
      <c r="A367" s="16" t="s">
        <v>1689</v>
      </c>
      <c r="B367" s="117" t="s">
        <v>1690</v>
      </c>
      <c r="C367" s="117" t="s">
        <v>218</v>
      </c>
      <c r="D367" s="117" t="s">
        <v>1566</v>
      </c>
      <c r="E367" s="175" t="s">
        <v>3805</v>
      </c>
      <c r="F367" s="117" t="s">
        <v>188</v>
      </c>
      <c r="G367" s="117" t="s">
        <v>1567</v>
      </c>
      <c r="H367" s="117" t="s">
        <v>412</v>
      </c>
      <c r="I367" s="117" t="s">
        <v>1691</v>
      </c>
      <c r="J367" s="118">
        <v>6.7640000000000002</v>
      </c>
      <c r="K367" s="118" t="s">
        <v>125</v>
      </c>
      <c r="L367" s="117">
        <v>5.5E-2</v>
      </c>
      <c r="M367" s="117">
        <v>6.5939999999999999E-2</v>
      </c>
      <c r="N367" s="69">
        <v>53619.557798175592</v>
      </c>
      <c r="O367" s="60">
        <v>93.188000000000002</v>
      </c>
      <c r="P367" s="84">
        <v>0</v>
      </c>
      <c r="Q367" s="84">
        <v>191.07378</v>
      </c>
      <c r="R367" s="24">
        <v>7.1492743730900785E-5</v>
      </c>
      <c r="S367" s="24">
        <v>1.7029104345143873E-3</v>
      </c>
      <c r="T367" s="24">
        <v>7.8706741022741488E-4</v>
      </c>
    </row>
    <row r="368" spans="1:20" x14ac:dyDescent="0.25">
      <c r="A368" s="16" t="s">
        <v>1692</v>
      </c>
      <c r="B368" s="117" t="s">
        <v>1693</v>
      </c>
      <c r="C368" s="117" t="s">
        <v>218</v>
      </c>
      <c r="D368" s="117" t="s">
        <v>1566</v>
      </c>
      <c r="E368" s="117" t="s">
        <v>1694</v>
      </c>
      <c r="F368" s="117" t="s">
        <v>179</v>
      </c>
      <c r="G368" s="117" t="s">
        <v>1669</v>
      </c>
      <c r="H368" s="117" t="s">
        <v>412</v>
      </c>
      <c r="I368" s="117" t="s">
        <v>1161</v>
      </c>
      <c r="J368" s="118">
        <v>6.851</v>
      </c>
      <c r="K368" s="118" t="s">
        <v>125</v>
      </c>
      <c r="L368" s="117">
        <v>5.7200000000000001E-2</v>
      </c>
      <c r="M368" s="117">
        <v>6.2939999999999996E-2</v>
      </c>
      <c r="N368" s="69">
        <v>30449.81886559062</v>
      </c>
      <c r="O368" s="60">
        <v>96.552000000000007</v>
      </c>
      <c r="P368" s="84">
        <v>0</v>
      </c>
      <c r="Q368" s="84">
        <v>112.42525000000001</v>
      </c>
      <c r="R368" s="24">
        <v>8.6999482473116053E-6</v>
      </c>
      <c r="S368" s="24">
        <v>1.0019696649529236E-3</v>
      </c>
      <c r="T368" s="24">
        <v>4.63099910210965E-4</v>
      </c>
    </row>
    <row r="369" spans="1:20" x14ac:dyDescent="0.25">
      <c r="A369" s="16" t="s">
        <v>1692</v>
      </c>
      <c r="B369" s="117" t="s">
        <v>1693</v>
      </c>
      <c r="C369" s="117" t="s">
        <v>218</v>
      </c>
      <c r="D369" s="117" t="s">
        <v>1566</v>
      </c>
      <c r="E369" s="117" t="s">
        <v>1694</v>
      </c>
      <c r="F369" s="117" t="s">
        <v>179</v>
      </c>
      <c r="G369" s="117" t="s">
        <v>1669</v>
      </c>
      <c r="H369" s="117" t="s">
        <v>412</v>
      </c>
      <c r="I369" s="117" t="s">
        <v>1695</v>
      </c>
      <c r="J369" s="118">
        <v>6.851</v>
      </c>
      <c r="K369" s="118" t="s">
        <v>125</v>
      </c>
      <c r="L369" s="117">
        <v>5.7200000000000001E-2</v>
      </c>
      <c r="M369" s="117">
        <v>6.2939999999999996E-2</v>
      </c>
      <c r="N369" s="69">
        <v>69691.486840260215</v>
      </c>
      <c r="O369" s="60">
        <v>96.552000000000007</v>
      </c>
      <c r="P369" s="84">
        <v>0</v>
      </c>
      <c r="Q369" s="84">
        <v>257.31132000000002</v>
      </c>
      <c r="R369" s="24">
        <v>1.9911853382931489E-5</v>
      </c>
      <c r="S369" s="24">
        <v>2.2932405050377432E-3</v>
      </c>
      <c r="T369" s="24">
        <v>1.0599118008478069E-3</v>
      </c>
    </row>
    <row r="370" spans="1:20" x14ac:dyDescent="0.25">
      <c r="A370" s="16" t="s">
        <v>1696</v>
      </c>
      <c r="B370" s="117" t="s">
        <v>1697</v>
      </c>
      <c r="C370" s="117" t="s">
        <v>218</v>
      </c>
      <c r="D370" s="117" t="s">
        <v>1566</v>
      </c>
      <c r="E370" s="175" t="s">
        <v>3806</v>
      </c>
      <c r="F370" s="117" t="s">
        <v>183</v>
      </c>
      <c r="G370" s="117" t="s">
        <v>1567</v>
      </c>
      <c r="H370" s="117" t="s">
        <v>412</v>
      </c>
      <c r="I370" s="117" t="s">
        <v>1698</v>
      </c>
      <c r="J370" s="118">
        <v>6.6230000000000002</v>
      </c>
      <c r="K370" s="118" t="s">
        <v>125</v>
      </c>
      <c r="L370" s="117">
        <v>3.15E-2</v>
      </c>
      <c r="M370" s="117">
        <v>7.1529999999999996E-2</v>
      </c>
      <c r="N370" s="69">
        <v>47242.78675229178</v>
      </c>
      <c r="O370" s="60">
        <v>77.012</v>
      </c>
      <c r="P370" s="84">
        <v>0</v>
      </c>
      <c r="Q370" s="84">
        <v>139.12711999999999</v>
      </c>
      <c r="R370" s="24">
        <v>7.2864267848751993E-5</v>
      </c>
      <c r="S370" s="24">
        <v>1.2399452419475624E-3</v>
      </c>
      <c r="T370" s="24">
        <v>5.7308973544564182E-4</v>
      </c>
    </row>
    <row r="371" spans="1:20" x14ac:dyDescent="0.25">
      <c r="A371" s="16" t="s">
        <v>1699</v>
      </c>
      <c r="B371" s="117" t="s">
        <v>1700</v>
      </c>
      <c r="C371" s="117" t="s">
        <v>218</v>
      </c>
      <c r="D371" s="117" t="s">
        <v>1566</v>
      </c>
      <c r="E371" s="175" t="s">
        <v>3792</v>
      </c>
      <c r="F371" s="117" t="s">
        <v>171</v>
      </c>
      <c r="G371" s="117" t="s">
        <v>1638</v>
      </c>
      <c r="H371" s="117" t="s">
        <v>262</v>
      </c>
      <c r="I371" s="117" t="s">
        <v>1035</v>
      </c>
      <c r="J371" s="118">
        <v>5.5410000000000004</v>
      </c>
      <c r="K371" s="118" t="s">
        <v>125</v>
      </c>
      <c r="L371" s="117">
        <v>3.2500000000000001E-2</v>
      </c>
      <c r="M371" s="117">
        <v>6.2080000000000003E-2</v>
      </c>
      <c r="N371" s="69">
        <v>70023.861623652236</v>
      </c>
      <c r="O371" s="60">
        <v>84.971999999999994</v>
      </c>
      <c r="P371" s="84">
        <v>0</v>
      </c>
      <c r="Q371" s="84">
        <v>227.53057999999999</v>
      </c>
      <c r="R371" s="24">
        <v>5.6037918039383024E-5</v>
      </c>
      <c r="S371" s="24">
        <v>2.0278250571748283E-3</v>
      </c>
      <c r="T371" s="24">
        <v>9.3723955399920196E-4</v>
      </c>
    </row>
    <row r="372" spans="1:20" x14ac:dyDescent="0.25">
      <c r="A372" s="16" t="s">
        <v>1701</v>
      </c>
      <c r="B372" s="117" t="s">
        <v>1702</v>
      </c>
      <c r="C372" s="117" t="s">
        <v>218</v>
      </c>
      <c r="D372" s="117" t="s">
        <v>1566</v>
      </c>
      <c r="E372" s="175" t="s">
        <v>3807</v>
      </c>
      <c r="F372" s="117" t="s">
        <v>169</v>
      </c>
      <c r="G372" s="117" t="s">
        <v>1590</v>
      </c>
      <c r="H372" s="117" t="s">
        <v>262</v>
      </c>
      <c r="I372" s="117" t="s">
        <v>1035</v>
      </c>
      <c r="J372" s="118">
        <v>4.9130000000000003</v>
      </c>
      <c r="K372" s="118" t="s">
        <v>125</v>
      </c>
      <c r="L372" s="117">
        <v>5.4000000000000006E-2</v>
      </c>
      <c r="M372" s="117">
        <v>6.3619999999999996E-2</v>
      </c>
      <c r="N372" s="69">
        <v>69798.704512322161</v>
      </c>
      <c r="O372" s="60">
        <v>97.599000000000004</v>
      </c>
      <c r="P372" s="84">
        <v>0</v>
      </c>
      <c r="Q372" s="84">
        <v>260.50173000000001</v>
      </c>
      <c r="R372" s="24">
        <v>6.9798704512322163E-5</v>
      </c>
      <c r="S372" s="24">
        <v>2.321674455940787E-3</v>
      </c>
      <c r="T372" s="24">
        <v>1.0730536758673079E-3</v>
      </c>
    </row>
    <row r="373" spans="1:20" x14ac:dyDescent="0.25">
      <c r="A373" s="16" t="s">
        <v>1703</v>
      </c>
      <c r="B373" s="117" t="s">
        <v>1704</v>
      </c>
      <c r="C373" s="117" t="s">
        <v>218</v>
      </c>
      <c r="D373" s="117" t="s">
        <v>1566</v>
      </c>
      <c r="E373" s="175" t="s">
        <v>3808</v>
      </c>
      <c r="F373" s="117" t="s">
        <v>183</v>
      </c>
      <c r="G373" s="117" t="s">
        <v>1590</v>
      </c>
      <c r="H373" s="117" t="s">
        <v>262</v>
      </c>
      <c r="I373" s="117" t="s">
        <v>1705</v>
      </c>
      <c r="J373" s="118">
        <v>6.5780000000000003</v>
      </c>
      <c r="K373" s="118" t="s">
        <v>125</v>
      </c>
      <c r="L373" s="117">
        <v>6.25E-2</v>
      </c>
      <c r="M373" s="117">
        <v>6.0609999999999997E-2</v>
      </c>
      <c r="N373" s="69">
        <v>85774.137649551034</v>
      </c>
      <c r="O373" s="60">
        <v>103.67700000000002</v>
      </c>
      <c r="P373" s="84">
        <v>0</v>
      </c>
      <c r="Q373" s="84">
        <v>340.06087000000002</v>
      </c>
      <c r="R373" s="24">
        <v>3.8121838955356015E-5</v>
      </c>
      <c r="S373" s="24">
        <v>3.030730872090564E-3</v>
      </c>
      <c r="T373" s="24">
        <v>1.4007721429417559E-3</v>
      </c>
    </row>
    <row r="374" spans="1:20" x14ac:dyDescent="0.25">
      <c r="A374" s="16" t="s">
        <v>1706</v>
      </c>
      <c r="B374" s="117" t="s">
        <v>1707</v>
      </c>
      <c r="C374" s="117" t="s">
        <v>218</v>
      </c>
      <c r="D374" s="117" t="s">
        <v>1566</v>
      </c>
      <c r="E374" s="175" t="s">
        <v>3809</v>
      </c>
      <c r="F374" s="117" t="s">
        <v>169</v>
      </c>
      <c r="G374" s="117" t="s">
        <v>1708</v>
      </c>
      <c r="H374" s="117" t="s">
        <v>412</v>
      </c>
      <c r="I374" s="117" t="s">
        <v>1448</v>
      </c>
      <c r="J374" s="118">
        <v>5.1050000000000004</v>
      </c>
      <c r="K374" s="118" t="s">
        <v>125</v>
      </c>
      <c r="L374" s="117">
        <v>6.3E-2</v>
      </c>
      <c r="M374" s="117">
        <v>6.8750000000000006E-2</v>
      </c>
      <c r="N374" s="69">
        <v>71728.62260943705</v>
      </c>
      <c r="O374" s="60">
        <v>97.745999999999995</v>
      </c>
      <c r="P374" s="84">
        <v>0</v>
      </c>
      <c r="Q374" s="84">
        <v>268.10775000000001</v>
      </c>
      <c r="R374" s="24">
        <v>6.5207838735851863E-5</v>
      </c>
      <c r="S374" s="24">
        <v>2.3894617306946813E-3</v>
      </c>
      <c r="T374" s="24">
        <v>1.1043842459933497E-3</v>
      </c>
    </row>
    <row r="375" spans="1:20" x14ac:dyDescent="0.25">
      <c r="A375" s="16" t="s">
        <v>1709</v>
      </c>
      <c r="B375" s="117" t="s">
        <v>1710</v>
      </c>
      <c r="C375" s="117" t="s">
        <v>218</v>
      </c>
      <c r="D375" s="117" t="s">
        <v>1566</v>
      </c>
      <c r="E375" s="175" t="s">
        <v>3810</v>
      </c>
      <c r="F375" s="117" t="s">
        <v>175</v>
      </c>
      <c r="G375" s="117" t="s">
        <v>1572</v>
      </c>
      <c r="H375" s="117" t="s">
        <v>262</v>
      </c>
      <c r="I375" s="117" t="s">
        <v>1711</v>
      </c>
      <c r="J375" s="118">
        <v>6.0439999999999996</v>
      </c>
      <c r="K375" s="118" t="s">
        <v>125</v>
      </c>
      <c r="L375" s="117">
        <v>4.2500000000000003E-2</v>
      </c>
      <c r="M375" s="117">
        <v>7.1820000000000009E-2</v>
      </c>
      <c r="N375" s="69">
        <v>60074.061656304308</v>
      </c>
      <c r="O375" s="60">
        <v>85.481999999999999</v>
      </c>
      <c r="P375" s="84">
        <v>0</v>
      </c>
      <c r="Q375" s="84">
        <v>196.37200000000001</v>
      </c>
      <c r="R375" s="24">
        <v>6.0200000056422341E-5</v>
      </c>
      <c r="S375" s="24">
        <v>1.750129860028201E-3</v>
      </c>
      <c r="T375" s="24">
        <v>8.0889173533479019E-4</v>
      </c>
    </row>
    <row r="376" spans="1:20" x14ac:dyDescent="0.25">
      <c r="A376" s="16" t="s">
        <v>1712</v>
      </c>
      <c r="B376" s="117" t="s">
        <v>1713</v>
      </c>
      <c r="C376" s="117" t="s">
        <v>218</v>
      </c>
      <c r="D376" s="117" t="s">
        <v>1566</v>
      </c>
      <c r="E376" s="175" t="s">
        <v>3811</v>
      </c>
      <c r="F376" s="117" t="s">
        <v>183</v>
      </c>
      <c r="G376" s="117" t="s">
        <v>1567</v>
      </c>
      <c r="H376" s="117" t="s">
        <v>412</v>
      </c>
      <c r="I376" s="117" t="s">
        <v>1454</v>
      </c>
      <c r="J376" s="118">
        <v>7.1219999999999999</v>
      </c>
      <c r="K376" s="118" t="s">
        <v>125</v>
      </c>
      <c r="L376" s="117">
        <v>5.7500000000000002E-2</v>
      </c>
      <c r="M376" s="117">
        <v>6.3219999999999998E-2</v>
      </c>
      <c r="N376" s="69">
        <v>58165.587093601796</v>
      </c>
      <c r="O376" s="60">
        <v>95.926000000000002</v>
      </c>
      <c r="P376" s="84">
        <v>0</v>
      </c>
      <c r="Q376" s="84">
        <v>213.36360000000002</v>
      </c>
      <c r="R376" s="24">
        <v>7.7554116124802397E-5</v>
      </c>
      <c r="S376" s="24">
        <v>1.9015644155129707E-3</v>
      </c>
      <c r="T376" s="24">
        <v>8.7888320463853323E-4</v>
      </c>
    </row>
    <row r="377" spans="1:20" x14ac:dyDescent="0.25">
      <c r="A377" s="16" t="s">
        <v>1714</v>
      </c>
      <c r="B377" s="117" t="s">
        <v>1715</v>
      </c>
      <c r="C377" s="117" t="s">
        <v>218</v>
      </c>
      <c r="D377" s="117" t="s">
        <v>1566</v>
      </c>
      <c r="E377" s="175" t="s">
        <v>3812</v>
      </c>
      <c r="F377" s="117" t="s">
        <v>180</v>
      </c>
      <c r="G377" s="117" t="s">
        <v>1631</v>
      </c>
      <c r="H377" s="117" t="s">
        <v>262</v>
      </c>
      <c r="I377" s="117" t="s">
        <v>1716</v>
      </c>
      <c r="J377" s="118">
        <v>6.093</v>
      </c>
      <c r="K377" s="118" t="s">
        <v>125</v>
      </c>
      <c r="L377" s="117">
        <v>3.8800000000000001E-2</v>
      </c>
      <c r="M377" s="117">
        <v>6.5269999999999995E-2</v>
      </c>
      <c r="N377" s="69">
        <v>61114.073075305118</v>
      </c>
      <c r="O377" s="60">
        <v>86.070999999999998</v>
      </c>
      <c r="P377" s="84">
        <v>0</v>
      </c>
      <c r="Q377" s="84">
        <v>201.14810999999997</v>
      </c>
      <c r="R377" s="24">
        <v>6.1114073075305123E-5</v>
      </c>
      <c r="S377" s="24">
        <v>1.7926960747929295E-3</v>
      </c>
      <c r="T377" s="24">
        <v>8.2856539505231515E-4</v>
      </c>
    </row>
    <row r="378" spans="1:20" x14ac:dyDescent="0.25">
      <c r="A378" s="16" t="s">
        <v>1717</v>
      </c>
      <c r="B378" s="117" t="s">
        <v>1718</v>
      </c>
      <c r="C378" s="117" t="s">
        <v>218</v>
      </c>
      <c r="D378" s="117" t="s">
        <v>1566</v>
      </c>
      <c r="E378" s="175" t="s">
        <v>3813</v>
      </c>
      <c r="F378" s="117" t="s">
        <v>188</v>
      </c>
      <c r="G378" s="117" t="s">
        <v>1638</v>
      </c>
      <c r="H378" s="117" t="s">
        <v>262</v>
      </c>
      <c r="I378" s="117" t="s">
        <v>1719</v>
      </c>
      <c r="J378" s="118">
        <v>6.8040000000000003</v>
      </c>
      <c r="K378" s="118" t="s">
        <v>125</v>
      </c>
      <c r="L378" s="117">
        <v>4.2800000000000005E-2</v>
      </c>
      <c r="M378" s="117">
        <v>6.6259999999999999E-2</v>
      </c>
      <c r="N378" s="69">
        <v>79341.077325834718</v>
      </c>
      <c r="O378" s="60">
        <v>85.081999999999994</v>
      </c>
      <c r="P378" s="84">
        <v>0</v>
      </c>
      <c r="Q378" s="84">
        <v>258.13902999999999</v>
      </c>
      <c r="R378" s="24">
        <v>1.5905319394249849E-5</v>
      </c>
      <c r="S378" s="24">
        <v>2.3006173204006457E-3</v>
      </c>
      <c r="T378" s="24">
        <v>1.0633212878329876E-3</v>
      </c>
    </row>
    <row r="379" spans="1:20" x14ac:dyDescent="0.25">
      <c r="A379" s="16" t="s">
        <v>1720</v>
      </c>
      <c r="B379" s="117" t="s">
        <v>1721</v>
      </c>
      <c r="C379" s="117" t="s">
        <v>218</v>
      </c>
      <c r="D379" s="117" t="s">
        <v>1566</v>
      </c>
      <c r="E379" s="175" t="s">
        <v>3814</v>
      </c>
      <c r="F379" s="117" t="s">
        <v>170</v>
      </c>
      <c r="G379" s="117" t="s">
        <v>1638</v>
      </c>
      <c r="H379" s="117" t="s">
        <v>262</v>
      </c>
      <c r="I379" s="117" t="s">
        <v>1722</v>
      </c>
      <c r="J379" s="118">
        <v>3.9689999999999999</v>
      </c>
      <c r="K379" s="118" t="s">
        <v>125</v>
      </c>
      <c r="L379" s="117">
        <v>5.7500000000000002E-2</v>
      </c>
      <c r="M379" s="117">
        <v>6.3200000000000006E-2</v>
      </c>
      <c r="N379" s="69">
        <v>62722.338156234197</v>
      </c>
      <c r="O379" s="60">
        <v>99.762</v>
      </c>
      <c r="P379" s="84">
        <v>0</v>
      </c>
      <c r="Q379" s="84">
        <v>239.27938</v>
      </c>
      <c r="R379" s="24">
        <v>7.8402922695292742E-5</v>
      </c>
      <c r="S379" s="24">
        <v>2.1325341078516019E-3</v>
      </c>
      <c r="T379" s="24">
        <v>9.856349831851418E-4</v>
      </c>
    </row>
    <row r="380" spans="1:20" x14ac:dyDescent="0.25">
      <c r="A380" s="16" t="s">
        <v>1723</v>
      </c>
      <c r="B380" s="117" t="s">
        <v>1724</v>
      </c>
      <c r="C380" s="117" t="s">
        <v>218</v>
      </c>
      <c r="D380" s="117" t="s">
        <v>1566</v>
      </c>
      <c r="E380" s="175" t="s">
        <v>3815</v>
      </c>
      <c r="F380" s="117" t="s">
        <v>170</v>
      </c>
      <c r="G380" s="117" t="s">
        <v>1590</v>
      </c>
      <c r="H380" s="117" t="s">
        <v>262</v>
      </c>
      <c r="I380" s="117" t="s">
        <v>1725</v>
      </c>
      <c r="J380" s="118">
        <v>7.2249999999999996</v>
      </c>
      <c r="K380" s="118" t="s">
        <v>125</v>
      </c>
      <c r="L380" s="117">
        <v>5.45E-2</v>
      </c>
      <c r="M380" s="117">
        <v>6.5119999999999997E-2</v>
      </c>
      <c r="N380" s="69">
        <v>72103.884461653841</v>
      </c>
      <c r="O380" s="60">
        <v>94.186999999999998</v>
      </c>
      <c r="P380" s="84">
        <v>0</v>
      </c>
      <c r="Q380" s="84">
        <v>259.69735000000003</v>
      </c>
      <c r="R380" s="24">
        <v>7.2103884461653843E-5</v>
      </c>
      <c r="S380" s="24">
        <v>2.3145055649746137E-3</v>
      </c>
      <c r="T380" s="24">
        <v>1.069740289365828E-3</v>
      </c>
    </row>
    <row r="381" spans="1:20" x14ac:dyDescent="0.25">
      <c r="A381" s="16" t="s">
        <v>1726</v>
      </c>
      <c r="B381" s="117" t="s">
        <v>1727</v>
      </c>
      <c r="C381" s="117" t="s">
        <v>218</v>
      </c>
      <c r="D381" s="117" t="s">
        <v>1566</v>
      </c>
      <c r="E381" s="175" t="s">
        <v>3816</v>
      </c>
      <c r="F381" s="117" t="s">
        <v>170</v>
      </c>
      <c r="G381" s="117" t="s">
        <v>1638</v>
      </c>
      <c r="H381" s="117" t="s">
        <v>262</v>
      </c>
      <c r="I381" s="117" t="s">
        <v>1728</v>
      </c>
      <c r="J381" s="118">
        <v>6.8259999999999996</v>
      </c>
      <c r="K381" s="118" t="s">
        <v>125</v>
      </c>
      <c r="L381" s="117">
        <v>5.4000000000000006E-2</v>
      </c>
      <c r="M381" s="117">
        <v>6.3099999999999989E-2</v>
      </c>
      <c r="N381" s="69">
        <v>48784.040788182152</v>
      </c>
      <c r="O381" s="60">
        <v>94.257999999999996</v>
      </c>
      <c r="P381" s="84">
        <v>0</v>
      </c>
      <c r="Q381" s="84">
        <v>175.83846</v>
      </c>
      <c r="R381" s="24">
        <v>6.5045387717576209E-5</v>
      </c>
      <c r="S381" s="24">
        <v>1.5671284062258083E-3</v>
      </c>
      <c r="T381" s="24">
        <v>7.243103754506604E-4</v>
      </c>
    </row>
    <row r="382" spans="1:20" x14ac:dyDescent="0.25">
      <c r="A382" s="16" t="s">
        <v>1729</v>
      </c>
      <c r="B382" s="117" t="s">
        <v>1730</v>
      </c>
      <c r="C382" s="117" t="s">
        <v>218</v>
      </c>
      <c r="D382" s="117" t="s">
        <v>1566</v>
      </c>
      <c r="E382" s="175" t="s">
        <v>3817</v>
      </c>
      <c r="F382" s="117" t="s">
        <v>170</v>
      </c>
      <c r="G382" s="117" t="s">
        <v>1708</v>
      </c>
      <c r="H382" s="117" t="s">
        <v>412</v>
      </c>
      <c r="I382" s="117" t="s">
        <v>1731</v>
      </c>
      <c r="J382" s="118">
        <v>6.3959999999999999</v>
      </c>
      <c r="K382" s="118" t="s">
        <v>125</v>
      </c>
      <c r="L382" s="117">
        <v>3.8800000000000001E-2</v>
      </c>
      <c r="M382" s="117">
        <v>6.5919999999999992E-2</v>
      </c>
      <c r="N382" s="69">
        <v>24606.455738214954</v>
      </c>
      <c r="O382" s="60">
        <v>84.722999999999999</v>
      </c>
      <c r="P382" s="84">
        <v>0</v>
      </c>
      <c r="Q382" s="84">
        <v>79.720179999999999</v>
      </c>
      <c r="R382" s="24">
        <v>2.2212623514663213E-5</v>
      </c>
      <c r="S382" s="24">
        <v>7.1049165596328895E-4</v>
      </c>
      <c r="T382" s="24">
        <v>3.2838181992036455E-4</v>
      </c>
    </row>
    <row r="383" spans="1:20" x14ac:dyDescent="0.25">
      <c r="A383" s="16" t="s">
        <v>1732</v>
      </c>
      <c r="B383" s="117" t="s">
        <v>1733</v>
      </c>
      <c r="C383" s="117" t="s">
        <v>218</v>
      </c>
      <c r="D383" s="117" t="s">
        <v>1566</v>
      </c>
      <c r="E383" s="175" t="s">
        <v>3818</v>
      </c>
      <c r="F383" s="117" t="s">
        <v>172</v>
      </c>
      <c r="G383" s="117" t="s">
        <v>1572</v>
      </c>
      <c r="H383" s="117" t="s">
        <v>262</v>
      </c>
      <c r="I383" s="117" t="s">
        <v>1734</v>
      </c>
      <c r="J383" s="118">
        <v>6.141</v>
      </c>
      <c r="K383" s="118" t="s">
        <v>2</v>
      </c>
      <c r="L383" s="117">
        <v>4.4999999999999998E-2</v>
      </c>
      <c r="M383" s="117">
        <v>8.2970000000000002E-2</v>
      </c>
      <c r="N383" s="69">
        <v>52826.147024917249</v>
      </c>
      <c r="O383" s="60">
        <v>79.268000000000001</v>
      </c>
      <c r="P383" s="84">
        <v>0</v>
      </c>
      <c r="Q383" s="84">
        <v>195.88345999999999</v>
      </c>
      <c r="R383" s="24">
        <v>7.8260958555432958E-5</v>
      </c>
      <c r="S383" s="24">
        <v>1.7457758358199729E-3</v>
      </c>
      <c r="T383" s="24">
        <v>8.0687935083811814E-4</v>
      </c>
    </row>
    <row r="384" spans="1:20" x14ac:dyDescent="0.25">
      <c r="A384" s="16" t="s">
        <v>1735</v>
      </c>
      <c r="B384" s="117" t="s">
        <v>1736</v>
      </c>
      <c r="C384" s="117" t="s">
        <v>218</v>
      </c>
      <c r="D384" s="117" t="s">
        <v>1566</v>
      </c>
      <c r="E384" s="175" t="s">
        <v>3819</v>
      </c>
      <c r="F384" s="117" t="s">
        <v>179</v>
      </c>
      <c r="G384" s="117" t="s">
        <v>1737</v>
      </c>
      <c r="H384" s="117" t="s">
        <v>412</v>
      </c>
      <c r="I384" s="117" t="s">
        <v>1738</v>
      </c>
      <c r="J384" s="118">
        <v>1.2110000000000001</v>
      </c>
      <c r="K384" s="118" t="s">
        <v>163</v>
      </c>
      <c r="L384" s="117">
        <v>0.05</v>
      </c>
      <c r="M384" s="117">
        <v>9.6969999999999987E-2</v>
      </c>
      <c r="N384" s="69">
        <v>734441.05362428073</v>
      </c>
      <c r="O384" s="60">
        <v>97.745000000000005</v>
      </c>
      <c r="P384" s="84">
        <v>0</v>
      </c>
      <c r="Q384" s="84">
        <v>544.15258999999992</v>
      </c>
      <c r="R384" s="24">
        <v>3.0161850251510502E-4</v>
      </c>
      <c r="S384" s="24">
        <v>4.8496613375159543E-3</v>
      </c>
      <c r="T384" s="24">
        <v>2.241462799238285E-3</v>
      </c>
    </row>
    <row r="385" spans="1:20" x14ac:dyDescent="0.25">
      <c r="A385" s="16" t="s">
        <v>1739</v>
      </c>
      <c r="B385" s="117" t="s">
        <v>1740</v>
      </c>
      <c r="C385" s="117" t="s">
        <v>218</v>
      </c>
      <c r="D385" s="117" t="s">
        <v>1566</v>
      </c>
      <c r="E385" s="175" t="s">
        <v>3820</v>
      </c>
      <c r="F385" s="117" t="s">
        <v>182</v>
      </c>
      <c r="G385" s="117" t="s">
        <v>1673</v>
      </c>
      <c r="H385" s="117" t="s">
        <v>262</v>
      </c>
      <c r="I385" s="117" t="s">
        <v>1698</v>
      </c>
      <c r="J385" s="118">
        <v>4.125</v>
      </c>
      <c r="K385" s="118" t="s">
        <v>126</v>
      </c>
      <c r="L385" s="117">
        <v>1.2999999999999999E-3</v>
      </c>
      <c r="M385" s="117">
        <v>6.6909999999999997E-2</v>
      </c>
      <c r="N385" s="69">
        <v>78268.900605215327</v>
      </c>
      <c r="O385" s="60">
        <v>76.358999999999995</v>
      </c>
      <c r="P385" s="84">
        <v>0</v>
      </c>
      <c r="Q385" s="84">
        <v>242.23493999999999</v>
      </c>
      <c r="R385" s="24">
        <v>7.8268900605215326E-5</v>
      </c>
      <c r="S385" s="24">
        <v>2.1588750006932742E-3</v>
      </c>
      <c r="T385" s="24">
        <v>9.9780946863768129E-4</v>
      </c>
    </row>
    <row r="386" spans="1:20" x14ac:dyDescent="0.25">
      <c r="A386" s="16" t="s">
        <v>1741</v>
      </c>
      <c r="B386" s="117" t="s">
        <v>1742</v>
      </c>
      <c r="C386" s="117" t="s">
        <v>218</v>
      </c>
      <c r="D386" s="117" t="s">
        <v>1566</v>
      </c>
      <c r="E386" s="175" t="s">
        <v>3821</v>
      </c>
      <c r="F386" s="117" t="s">
        <v>182</v>
      </c>
      <c r="G386" s="117" t="s">
        <v>1673</v>
      </c>
      <c r="H386" s="117" t="s">
        <v>262</v>
      </c>
      <c r="I386" s="117" t="s">
        <v>1743</v>
      </c>
      <c r="J386" s="118">
        <v>5.7679999999999998</v>
      </c>
      <c r="K386" s="118" t="s">
        <v>126</v>
      </c>
      <c r="L386" s="117">
        <v>0.05</v>
      </c>
      <c r="M386" s="117">
        <v>5.3249999999999999E-2</v>
      </c>
      <c r="N386" s="69">
        <v>82021.519127383188</v>
      </c>
      <c r="O386" s="60">
        <v>102.69299999999998</v>
      </c>
      <c r="P386" s="84">
        <v>0</v>
      </c>
      <c r="Q386" s="84">
        <v>341.39407</v>
      </c>
      <c r="R386" s="24">
        <v>1.0936202550317759E-4</v>
      </c>
      <c r="S386" s="24">
        <v>3.0426127754647194E-3</v>
      </c>
      <c r="T386" s="24">
        <v>1.4062638345349991E-3</v>
      </c>
    </row>
    <row r="387" spans="1:20" x14ac:dyDescent="0.25">
      <c r="A387" s="16" t="s">
        <v>1744</v>
      </c>
      <c r="B387" s="117" t="s">
        <v>1745</v>
      </c>
      <c r="C387" s="117" t="s">
        <v>218</v>
      </c>
      <c r="D387" s="117" t="s">
        <v>1566</v>
      </c>
      <c r="E387" s="175" t="s">
        <v>3822</v>
      </c>
      <c r="F387" s="117" t="s">
        <v>179</v>
      </c>
      <c r="G387" s="117" t="s">
        <v>1590</v>
      </c>
      <c r="H387" s="117" t="s">
        <v>262</v>
      </c>
      <c r="I387" s="117" t="s">
        <v>1746</v>
      </c>
      <c r="J387" s="118">
        <v>5.1929999999999996</v>
      </c>
      <c r="K387" s="118" t="s">
        <v>126</v>
      </c>
      <c r="L387" s="117">
        <v>5.1299999999999998E-2</v>
      </c>
      <c r="M387" s="117">
        <v>5.9839999999999997E-2</v>
      </c>
      <c r="N387" s="69">
        <v>79341.077325834718</v>
      </c>
      <c r="O387" s="60">
        <v>99.305999999999997</v>
      </c>
      <c r="P387" s="84">
        <v>0</v>
      </c>
      <c r="Q387" s="84">
        <v>319.34557000000001</v>
      </c>
      <c r="R387" s="24">
        <v>5.2894051550556479E-5</v>
      </c>
      <c r="S387" s="24">
        <v>2.8461095152299007E-3</v>
      </c>
      <c r="T387" s="24">
        <v>1.3154420807894084E-3</v>
      </c>
    </row>
    <row r="388" spans="1:20" x14ac:dyDescent="0.25">
      <c r="A388" s="16" t="s">
        <v>1747</v>
      </c>
      <c r="B388" s="117" t="s">
        <v>1748</v>
      </c>
      <c r="C388" s="117" t="s">
        <v>218</v>
      </c>
      <c r="D388" s="117" t="s">
        <v>1566</v>
      </c>
      <c r="E388" s="175" t="s">
        <v>3823</v>
      </c>
      <c r="F388" s="117" t="s">
        <v>172</v>
      </c>
      <c r="G388" s="117" t="s">
        <v>573</v>
      </c>
      <c r="H388" s="117" t="s">
        <v>573</v>
      </c>
      <c r="I388" s="117" t="s">
        <v>1749</v>
      </c>
      <c r="J388" s="118">
        <v>1.964</v>
      </c>
      <c r="K388" s="118" t="s">
        <v>125</v>
      </c>
      <c r="L388" s="117">
        <v>4.4999999999999998E-2</v>
      </c>
      <c r="M388" s="117">
        <v>-0.15128</v>
      </c>
      <c r="N388" s="69">
        <v>3323.4127923812507</v>
      </c>
      <c r="O388" s="60">
        <v>144.97499999999999</v>
      </c>
      <c r="P388" s="84">
        <v>0</v>
      </c>
      <c r="Q388" s="84">
        <v>18.424479999999999</v>
      </c>
      <c r="R388" s="24">
        <v>7.2248104182201101E-6</v>
      </c>
      <c r="S388" s="24">
        <v>1.6420483879317006E-4</v>
      </c>
      <c r="T388" s="24">
        <v>7.5893760820489346E-5</v>
      </c>
    </row>
    <row r="389" spans="1:20" x14ac:dyDescent="0.25">
      <c r="A389" s="16" t="s">
        <v>1750</v>
      </c>
      <c r="B389" s="117" t="s">
        <v>1751</v>
      </c>
      <c r="C389" s="117" t="s">
        <v>218</v>
      </c>
      <c r="D389" s="117" t="s">
        <v>1566</v>
      </c>
      <c r="E389" s="175" t="s">
        <v>3824</v>
      </c>
      <c r="F389" s="117" t="s">
        <v>164</v>
      </c>
      <c r="G389" s="117" t="s">
        <v>1638</v>
      </c>
      <c r="H389" s="117" t="s">
        <v>262</v>
      </c>
      <c r="I389" s="117" t="s">
        <v>1752</v>
      </c>
      <c r="J389" s="118">
        <v>1.468</v>
      </c>
      <c r="K389" s="118" t="s">
        <v>125</v>
      </c>
      <c r="L389" s="117">
        <v>5.6299999999999996E-2</v>
      </c>
      <c r="M389" s="117">
        <v>0.106</v>
      </c>
      <c r="N389" s="69">
        <v>54970.500466156023</v>
      </c>
      <c r="O389" s="60">
        <v>94.593999999999994</v>
      </c>
      <c r="P389" s="84">
        <v>0</v>
      </c>
      <c r="Q389" s="84">
        <v>198.84339000000003</v>
      </c>
      <c r="R389" s="24">
        <v>7.3294000621541359E-5</v>
      </c>
      <c r="S389" s="24">
        <v>1.7721556754946377E-3</v>
      </c>
      <c r="T389" s="24">
        <v>8.190718371099367E-4</v>
      </c>
    </row>
    <row r="390" spans="1:20" x14ac:dyDescent="0.25">
      <c r="A390" s="16" t="s">
        <v>1753</v>
      </c>
      <c r="B390" s="117" t="s">
        <v>1754</v>
      </c>
      <c r="C390" s="117" t="s">
        <v>218</v>
      </c>
      <c r="D390" s="117" t="s">
        <v>1566</v>
      </c>
      <c r="E390" s="175" t="s">
        <v>3825</v>
      </c>
      <c r="F390" s="117" t="s">
        <v>164</v>
      </c>
      <c r="G390" s="117" t="s">
        <v>1638</v>
      </c>
      <c r="H390" s="117" t="s">
        <v>262</v>
      </c>
      <c r="I390" s="117" t="s">
        <v>1755</v>
      </c>
      <c r="J390" s="118">
        <v>3.2389999999999999</v>
      </c>
      <c r="K390" s="118" t="s">
        <v>125</v>
      </c>
      <c r="L390" s="117">
        <v>5.5E-2</v>
      </c>
      <c r="M390" s="117">
        <v>9.4549999999999995E-2</v>
      </c>
      <c r="N390" s="69">
        <v>71146.96673850104</v>
      </c>
      <c r="O390" s="60">
        <v>88.156999999999996</v>
      </c>
      <c r="P390" s="84">
        <v>0</v>
      </c>
      <c r="Q390" s="84">
        <v>239.84522000000001</v>
      </c>
      <c r="R390" s="24">
        <v>7.1146966738501046E-5</v>
      </c>
      <c r="S390" s="24">
        <v>2.1375770543001706E-3</v>
      </c>
      <c r="T390" s="24">
        <v>9.879657803431982E-4</v>
      </c>
    </row>
    <row r="391" spans="1:20" x14ac:dyDescent="0.25">
      <c r="A391" s="16" t="s">
        <v>1756</v>
      </c>
      <c r="B391" s="117" t="s">
        <v>1757</v>
      </c>
      <c r="C391" s="117" t="s">
        <v>218</v>
      </c>
      <c r="D391" s="117" t="s">
        <v>1566</v>
      </c>
      <c r="E391" s="175" t="s">
        <v>3826</v>
      </c>
      <c r="F391" s="117" t="s">
        <v>164</v>
      </c>
      <c r="G391" s="117" t="s">
        <v>1567</v>
      </c>
      <c r="H391" s="117" t="s">
        <v>412</v>
      </c>
      <c r="I391" s="117" t="s">
        <v>1758</v>
      </c>
      <c r="J391" s="118">
        <v>3.3530000000000002</v>
      </c>
      <c r="K391" s="118" t="s">
        <v>125</v>
      </c>
      <c r="L391" s="117">
        <v>5.2499999999999998E-2</v>
      </c>
      <c r="M391" s="117">
        <v>8.8749999999999996E-2</v>
      </c>
      <c r="N391" s="69">
        <v>65587.730442089509</v>
      </c>
      <c r="O391" s="60">
        <v>88.926000000000002</v>
      </c>
      <c r="P391" s="84">
        <v>0</v>
      </c>
      <c r="Q391" s="84">
        <v>223.03306000000001</v>
      </c>
      <c r="R391" s="24">
        <v>6.5587730442089512E-5</v>
      </c>
      <c r="S391" s="24">
        <v>1.9877417252941424E-3</v>
      </c>
      <c r="T391" s="24">
        <v>9.1871345680865084E-4</v>
      </c>
    </row>
    <row r="392" spans="1:20" x14ac:dyDescent="0.25">
      <c r="A392" s="16" t="s">
        <v>1759</v>
      </c>
      <c r="B392" s="117" t="s">
        <v>1760</v>
      </c>
      <c r="C392" s="117" t="s">
        <v>218</v>
      </c>
      <c r="D392" s="117" t="s">
        <v>1566</v>
      </c>
      <c r="E392" s="175" t="s">
        <v>3827</v>
      </c>
      <c r="F392" s="117" t="s">
        <v>187</v>
      </c>
      <c r="G392" s="117" t="s">
        <v>1598</v>
      </c>
      <c r="H392" s="117" t="s">
        <v>262</v>
      </c>
      <c r="I392" s="117" t="s">
        <v>1761</v>
      </c>
      <c r="J392" s="118">
        <v>0.69099999999999995</v>
      </c>
      <c r="K392" s="118" t="s">
        <v>125</v>
      </c>
      <c r="L392" s="117">
        <v>7.1300000000000002E-2</v>
      </c>
      <c r="M392" s="117">
        <v>9.2089999999999991E-2</v>
      </c>
      <c r="N392" s="69">
        <v>38547.433548068548</v>
      </c>
      <c r="O392" s="60">
        <v>96.406000000000006</v>
      </c>
      <c r="P392" s="84">
        <v>0</v>
      </c>
      <c r="Q392" s="84">
        <v>142.10764</v>
      </c>
      <c r="R392" s="24">
        <v>7.4588687206014992E-5</v>
      </c>
      <c r="S392" s="24">
        <v>1.2665085862655471E-3</v>
      </c>
      <c r="T392" s="24">
        <v>5.8536703564628177E-4</v>
      </c>
    </row>
    <row r="393" spans="1:20" x14ac:dyDescent="0.25">
      <c r="A393" s="16" t="s">
        <v>1762</v>
      </c>
      <c r="B393" s="117" t="s">
        <v>1763</v>
      </c>
      <c r="C393" s="117" t="s">
        <v>218</v>
      </c>
      <c r="D393" s="117" t="s">
        <v>1566</v>
      </c>
      <c r="E393" s="175" t="s">
        <v>3828</v>
      </c>
      <c r="F393" s="117" t="s">
        <v>166</v>
      </c>
      <c r="G393" s="117" t="s">
        <v>1638</v>
      </c>
      <c r="H393" s="117" t="s">
        <v>262</v>
      </c>
      <c r="I393" s="117" t="s">
        <v>1764</v>
      </c>
      <c r="J393" s="118">
        <v>1.304</v>
      </c>
      <c r="K393" s="118" t="s">
        <v>125</v>
      </c>
      <c r="L393" s="117">
        <v>0.04</v>
      </c>
      <c r="M393" s="117">
        <v>8.3219999999999988E-2</v>
      </c>
      <c r="N393" s="69">
        <v>53608.836030969404</v>
      </c>
      <c r="O393" s="60">
        <v>83.302000000000007</v>
      </c>
      <c r="P393" s="84">
        <v>0</v>
      </c>
      <c r="Q393" s="84">
        <v>170.76926</v>
      </c>
      <c r="R393" s="24">
        <v>7.1478448041292539E-5</v>
      </c>
      <c r="S393" s="24">
        <v>1.5219500799549808E-3</v>
      </c>
      <c r="T393" s="24">
        <v>7.0342942508727299E-4</v>
      </c>
    </row>
    <row r="394" spans="1:20" x14ac:dyDescent="0.25">
      <c r="A394" s="16" t="s">
        <v>1765</v>
      </c>
      <c r="B394" s="117" t="s">
        <v>1766</v>
      </c>
      <c r="C394" s="117" t="s">
        <v>218</v>
      </c>
      <c r="D394" s="117" t="s">
        <v>1566</v>
      </c>
      <c r="E394" s="175" t="s">
        <v>3829</v>
      </c>
      <c r="F394" s="117" t="s">
        <v>182</v>
      </c>
      <c r="G394" s="117" t="s">
        <v>1673</v>
      </c>
      <c r="H394" s="117" t="s">
        <v>262</v>
      </c>
      <c r="I394" s="117" t="s">
        <v>1767</v>
      </c>
      <c r="J394" s="118">
        <v>2.681</v>
      </c>
      <c r="K394" s="118" t="s">
        <v>125</v>
      </c>
      <c r="L394" s="117">
        <v>4.7500000000000001E-2</v>
      </c>
      <c r="M394" s="117">
        <v>8.8759999999999992E-2</v>
      </c>
      <c r="N394" s="69">
        <v>67973.323645467652</v>
      </c>
      <c r="O394" s="60">
        <v>90.367999999999995</v>
      </c>
      <c r="P394" s="84">
        <v>0</v>
      </c>
      <c r="Q394" s="84">
        <v>234.89353</v>
      </c>
      <c r="R394" s="24">
        <v>4.5315549096978433E-5</v>
      </c>
      <c r="S394" s="24">
        <v>2.0934460146071233E-3</v>
      </c>
      <c r="T394" s="24">
        <v>9.6756887489364367E-4</v>
      </c>
    </row>
    <row r="395" spans="1:20" x14ac:dyDescent="0.25">
      <c r="A395" s="16" t="s">
        <v>1768</v>
      </c>
      <c r="B395" s="117" t="s">
        <v>1769</v>
      </c>
      <c r="C395" s="117" t="s">
        <v>218</v>
      </c>
      <c r="D395" s="117" t="s">
        <v>1566</v>
      </c>
      <c r="E395" s="175" t="s">
        <v>3830</v>
      </c>
      <c r="F395" s="117" t="s">
        <v>186</v>
      </c>
      <c r="G395" s="117" t="s">
        <v>1631</v>
      </c>
      <c r="H395" s="117" t="s">
        <v>262</v>
      </c>
      <c r="I395" s="117" t="s">
        <v>1770</v>
      </c>
      <c r="J395" s="118">
        <v>5.9509999999999996</v>
      </c>
      <c r="K395" s="118" t="s">
        <v>125</v>
      </c>
      <c r="L395" s="117">
        <v>4.1299999999999996E-2</v>
      </c>
      <c r="M395" s="117">
        <v>7.7289999999999998E-2</v>
      </c>
      <c r="N395" s="69">
        <v>73296.681063342912</v>
      </c>
      <c r="O395" s="60">
        <v>78.716999999999999</v>
      </c>
      <c r="P395" s="84">
        <v>0</v>
      </c>
      <c r="Q395" s="84">
        <v>220.63312999999999</v>
      </c>
      <c r="R395" s="24">
        <v>7.3296681063342913E-5</v>
      </c>
      <c r="S395" s="24">
        <v>1.9663527841264736E-3</v>
      </c>
      <c r="T395" s="24">
        <v>9.0882771168010891E-4</v>
      </c>
    </row>
    <row r="396" spans="1:20" x14ac:dyDescent="0.25">
      <c r="A396" s="16" t="s">
        <v>1771</v>
      </c>
      <c r="B396" s="117" t="s">
        <v>1772</v>
      </c>
      <c r="C396" s="117" t="s">
        <v>218</v>
      </c>
      <c r="D396" s="117" t="s">
        <v>1566</v>
      </c>
      <c r="E396" s="175" t="s">
        <v>3831</v>
      </c>
      <c r="F396" s="117" t="s">
        <v>164</v>
      </c>
      <c r="G396" s="117" t="s">
        <v>1583</v>
      </c>
      <c r="H396" s="117" t="s">
        <v>412</v>
      </c>
      <c r="I396" s="117" t="s">
        <v>1773</v>
      </c>
      <c r="J396" s="118">
        <v>5.3029999999999999</v>
      </c>
      <c r="K396" s="118" t="s">
        <v>125</v>
      </c>
      <c r="L396" s="117">
        <v>4.8799999999999996E-2</v>
      </c>
      <c r="M396" s="117">
        <v>8.1699999999999995E-2</v>
      </c>
      <c r="N396" s="69">
        <v>64196.581147085853</v>
      </c>
      <c r="O396" s="60">
        <v>90.912999999999997</v>
      </c>
      <c r="P396" s="84">
        <v>0</v>
      </c>
      <c r="Q396" s="84">
        <v>223.18026</v>
      </c>
      <c r="R396" s="24">
        <v>2.5678632458834342E-5</v>
      </c>
      <c r="S396" s="24">
        <v>1.9890536186159815E-3</v>
      </c>
      <c r="T396" s="24">
        <v>9.1931980019488348E-4</v>
      </c>
    </row>
    <row r="397" spans="1:20" x14ac:dyDescent="0.25">
      <c r="A397" s="16" t="s">
        <v>1774</v>
      </c>
      <c r="B397" s="117" t="s">
        <v>1775</v>
      </c>
      <c r="C397" s="117" t="s">
        <v>218</v>
      </c>
      <c r="D397" s="117" t="s">
        <v>1566</v>
      </c>
      <c r="E397" s="175" t="s">
        <v>3832</v>
      </c>
      <c r="F397" s="117" t="s">
        <v>182</v>
      </c>
      <c r="G397" s="117" t="s">
        <v>1598</v>
      </c>
      <c r="H397" s="117" t="s">
        <v>262</v>
      </c>
      <c r="I397" s="117" t="s">
        <v>1764</v>
      </c>
      <c r="J397" s="118">
        <v>1.3009999999999999</v>
      </c>
      <c r="K397" s="118" t="s">
        <v>126</v>
      </c>
      <c r="L397" s="117">
        <v>4.8799999999999996E-2</v>
      </c>
      <c r="M397" s="117">
        <v>0.20373000000000002</v>
      </c>
      <c r="N397" s="69">
        <v>56281.236507113223</v>
      </c>
      <c r="O397" s="60">
        <v>39.082000000000001</v>
      </c>
      <c r="P397" s="84">
        <v>0</v>
      </c>
      <c r="Q397" s="84">
        <v>89.151309999999995</v>
      </c>
      <c r="R397" s="24">
        <v>1.0232952092202404E-4</v>
      </c>
      <c r="S397" s="24">
        <v>7.9454489281379609E-4</v>
      </c>
      <c r="T397" s="24">
        <v>3.6723034777498743E-4</v>
      </c>
    </row>
    <row r="398" spans="1:20" x14ac:dyDescent="0.25">
      <c r="A398" s="16" t="s">
        <v>1776</v>
      </c>
      <c r="B398" s="117" t="s">
        <v>1777</v>
      </c>
      <c r="C398" s="117" t="s">
        <v>218</v>
      </c>
      <c r="D398" s="117" t="s">
        <v>1566</v>
      </c>
      <c r="E398" s="175" t="s">
        <v>3833</v>
      </c>
      <c r="F398" s="117" t="s">
        <v>187</v>
      </c>
      <c r="G398" s="117" t="s">
        <v>1708</v>
      </c>
      <c r="H398" s="117" t="s">
        <v>412</v>
      </c>
      <c r="I398" s="117" t="s">
        <v>1778</v>
      </c>
      <c r="J398" s="118">
        <v>4.7770000000000001</v>
      </c>
      <c r="K398" s="118" t="s">
        <v>126</v>
      </c>
      <c r="L398" s="117">
        <v>2.5000000000000001E-2</v>
      </c>
      <c r="M398" s="117">
        <v>6.2920000000000004E-2</v>
      </c>
      <c r="N398" s="69">
        <v>70227.575200569918</v>
      </c>
      <c r="O398" s="60">
        <v>83.072999999999993</v>
      </c>
      <c r="P398" s="84">
        <v>0</v>
      </c>
      <c r="Q398" s="84">
        <v>236.45848000000001</v>
      </c>
      <c r="R398" s="24">
        <v>6.1067456696147754E-5</v>
      </c>
      <c r="S398" s="24">
        <v>2.1073933478544865E-3</v>
      </c>
      <c r="T398" s="24">
        <v>9.7401518659394814E-4</v>
      </c>
    </row>
    <row r="399" spans="1:20" x14ac:dyDescent="0.25">
      <c r="A399" s="16" t="s">
        <v>1779</v>
      </c>
      <c r="B399" s="117" t="s">
        <v>1780</v>
      </c>
      <c r="C399" s="117" t="s">
        <v>218</v>
      </c>
      <c r="D399" s="117" t="s">
        <v>1566</v>
      </c>
      <c r="E399" s="175" t="s">
        <v>3834</v>
      </c>
      <c r="F399" s="117" t="s">
        <v>178</v>
      </c>
      <c r="G399" s="117" t="s">
        <v>1631</v>
      </c>
      <c r="H399" s="117" t="s">
        <v>262</v>
      </c>
      <c r="I399" s="117" t="s">
        <v>1781</v>
      </c>
      <c r="J399" s="118">
        <v>5.7519999999999998</v>
      </c>
      <c r="K399" s="118" t="s">
        <v>126</v>
      </c>
      <c r="L399" s="117">
        <v>5.3800000000000001E-2</v>
      </c>
      <c r="M399" s="117">
        <v>7.4859999999999996E-2</v>
      </c>
      <c r="N399" s="69">
        <v>61650.161435614813</v>
      </c>
      <c r="O399" s="60">
        <v>91.677000000000007</v>
      </c>
      <c r="P399" s="84">
        <v>0</v>
      </c>
      <c r="Q399" s="84">
        <v>229.07723000000001</v>
      </c>
      <c r="R399" s="24">
        <v>7.706270179451851E-5</v>
      </c>
      <c r="S399" s="24">
        <v>2.0416092949888378E-3</v>
      </c>
      <c r="T399" s="24">
        <v>9.4361048469428872E-4</v>
      </c>
    </row>
    <row r="400" spans="1:20" x14ac:dyDescent="0.25">
      <c r="A400" s="16" t="s">
        <v>1782</v>
      </c>
      <c r="B400" s="117" t="s">
        <v>1783</v>
      </c>
      <c r="C400" s="117" t="s">
        <v>218</v>
      </c>
      <c r="D400" s="117" t="s">
        <v>1566</v>
      </c>
      <c r="E400" s="175" t="s">
        <v>3835</v>
      </c>
      <c r="F400" s="117" t="s">
        <v>186</v>
      </c>
      <c r="G400" s="117" t="s">
        <v>1598</v>
      </c>
      <c r="H400" s="117" t="s">
        <v>262</v>
      </c>
      <c r="I400" s="117" t="s">
        <v>1784</v>
      </c>
      <c r="J400" s="118">
        <v>3.94</v>
      </c>
      <c r="K400" s="118" t="s">
        <v>126</v>
      </c>
      <c r="L400" s="117">
        <v>7.1300000000000002E-2</v>
      </c>
      <c r="M400" s="117">
        <v>7.3330000000000006E-2</v>
      </c>
      <c r="N400" s="69">
        <v>54412.968571433943</v>
      </c>
      <c r="O400" s="60">
        <v>108.691</v>
      </c>
      <c r="P400" s="84">
        <v>0</v>
      </c>
      <c r="Q400" s="84">
        <v>239.70844</v>
      </c>
      <c r="R400" s="24">
        <v>7.2550624761911925E-5</v>
      </c>
      <c r="S400" s="24">
        <v>2.1363580273398367E-3</v>
      </c>
      <c r="T400" s="24">
        <v>9.8740235881895292E-4</v>
      </c>
    </row>
    <row r="401" spans="1:20" x14ac:dyDescent="0.25">
      <c r="A401" s="16" t="s">
        <v>1785</v>
      </c>
      <c r="B401" s="117" t="s">
        <v>1786</v>
      </c>
      <c r="C401" s="117" t="s">
        <v>218</v>
      </c>
      <c r="D401" s="117" t="s">
        <v>1566</v>
      </c>
      <c r="E401" s="175" t="s">
        <v>3836</v>
      </c>
      <c r="F401" s="117" t="s">
        <v>179</v>
      </c>
      <c r="G401" s="117" t="s">
        <v>1708</v>
      </c>
      <c r="H401" s="117" t="s">
        <v>412</v>
      </c>
      <c r="I401" s="117" t="s">
        <v>1787</v>
      </c>
      <c r="J401" s="118">
        <v>2.3250000000000002</v>
      </c>
      <c r="K401" s="118" t="s">
        <v>125</v>
      </c>
      <c r="L401" s="117">
        <v>4.3799999999999999E-2</v>
      </c>
      <c r="M401" s="117">
        <v>8.3889999999999992E-2</v>
      </c>
      <c r="N401" s="69">
        <v>53375.637594234686</v>
      </c>
      <c r="O401" s="60">
        <v>86.825000000000003</v>
      </c>
      <c r="P401" s="84">
        <v>0</v>
      </c>
      <c r="Q401" s="84">
        <v>177.21715</v>
      </c>
      <c r="R401" s="24">
        <v>7.1167516792312914E-5</v>
      </c>
      <c r="S401" s="24">
        <v>1.5794157309804691E-3</v>
      </c>
      <c r="T401" s="24">
        <v>7.2998944856998867E-4</v>
      </c>
    </row>
    <row r="402" spans="1:20" x14ac:dyDescent="0.25">
      <c r="A402" s="16" t="s">
        <v>1788</v>
      </c>
      <c r="B402" s="117" t="s">
        <v>1789</v>
      </c>
      <c r="C402" s="117" t="s">
        <v>218</v>
      </c>
      <c r="D402" s="117" t="s">
        <v>1566</v>
      </c>
      <c r="E402" s="175" t="s">
        <v>3837</v>
      </c>
      <c r="F402" s="117" t="s">
        <v>179</v>
      </c>
      <c r="G402" s="117" t="s">
        <v>1598</v>
      </c>
      <c r="H402" s="117" t="s">
        <v>262</v>
      </c>
      <c r="I402" s="117" t="s">
        <v>1373</v>
      </c>
      <c r="J402" s="118">
        <v>5.3129999999999997</v>
      </c>
      <c r="K402" s="118" t="s">
        <v>125</v>
      </c>
      <c r="L402" s="117">
        <v>5.3800000000000001E-2</v>
      </c>
      <c r="M402" s="117">
        <v>0.10105</v>
      </c>
      <c r="N402" s="69">
        <v>69980.974554827451</v>
      </c>
      <c r="O402" s="60">
        <v>73.48</v>
      </c>
      <c r="P402" s="84">
        <v>0</v>
      </c>
      <c r="Q402" s="84">
        <v>196.6378</v>
      </c>
      <c r="R402" s="24">
        <v>4.6653983036551631E-5</v>
      </c>
      <c r="S402" s="24">
        <v>1.7524987543552715E-3</v>
      </c>
      <c r="T402" s="24">
        <v>8.0998661354172389E-4</v>
      </c>
    </row>
    <row r="403" spans="1:20" x14ac:dyDescent="0.25">
      <c r="A403" s="16" t="s">
        <v>1790</v>
      </c>
      <c r="B403" s="117" t="s">
        <v>1791</v>
      </c>
      <c r="C403" s="117" t="s">
        <v>218</v>
      </c>
      <c r="D403" s="117" t="s">
        <v>1566</v>
      </c>
      <c r="E403" s="175" t="s">
        <v>3838</v>
      </c>
      <c r="F403" s="117" t="s">
        <v>179</v>
      </c>
      <c r="G403" s="117" t="s">
        <v>1631</v>
      </c>
      <c r="H403" s="117" t="s">
        <v>262</v>
      </c>
      <c r="I403" s="117" t="s">
        <v>1792</v>
      </c>
      <c r="J403" s="118">
        <v>2.6819999999999999</v>
      </c>
      <c r="K403" s="118" t="s">
        <v>125</v>
      </c>
      <c r="L403" s="117">
        <v>5.7500000000000002E-2</v>
      </c>
      <c r="M403" s="117">
        <v>9.2010000000000008E-2</v>
      </c>
      <c r="N403" s="69">
        <v>76151.351581992029</v>
      </c>
      <c r="O403" s="60">
        <v>90.837999999999994</v>
      </c>
      <c r="P403" s="84">
        <v>0</v>
      </c>
      <c r="Q403" s="84">
        <v>264.52277000000004</v>
      </c>
      <c r="R403" s="24">
        <v>5.0767567721328021E-5</v>
      </c>
      <c r="S403" s="24">
        <v>2.3575112461775203E-3</v>
      </c>
      <c r="T403" s="24">
        <v>1.08961706587938E-3</v>
      </c>
    </row>
    <row r="404" spans="1:20" x14ac:dyDescent="0.25">
      <c r="A404" s="16" t="s">
        <v>1793</v>
      </c>
      <c r="B404" s="117" t="s">
        <v>1794</v>
      </c>
      <c r="C404" s="117" t="s">
        <v>218</v>
      </c>
      <c r="D404" s="117" t="s">
        <v>1566</v>
      </c>
      <c r="E404" s="175" t="s">
        <v>3839</v>
      </c>
      <c r="F404" s="117" t="s">
        <v>179</v>
      </c>
      <c r="G404" s="117" t="s">
        <v>1631</v>
      </c>
      <c r="H404" s="117" t="s">
        <v>262</v>
      </c>
      <c r="I404" s="117" t="s">
        <v>1795</v>
      </c>
      <c r="J404" s="118">
        <v>4.5449999999999999</v>
      </c>
      <c r="K404" s="118" t="s">
        <v>125</v>
      </c>
      <c r="L404" s="117">
        <v>7.7499999999999999E-2</v>
      </c>
      <c r="M404" s="117">
        <v>9.237999999999999E-2</v>
      </c>
      <c r="N404" s="69">
        <v>76880.431752013217</v>
      </c>
      <c r="O404" s="60">
        <v>96.003</v>
      </c>
      <c r="P404" s="84">
        <v>0</v>
      </c>
      <c r="Q404" s="84">
        <v>282.23996</v>
      </c>
      <c r="R404" s="24">
        <v>3.844021587600661E-5</v>
      </c>
      <c r="S404" s="24">
        <v>2.5154124910331671E-3</v>
      </c>
      <c r="T404" s="24">
        <v>1.1625973714441049E-3</v>
      </c>
    </row>
    <row r="405" spans="1:20" x14ac:dyDescent="0.25">
      <c r="A405" s="16" t="s">
        <v>1796</v>
      </c>
      <c r="B405" s="117" t="s">
        <v>1797</v>
      </c>
      <c r="C405" s="117" t="s">
        <v>218</v>
      </c>
      <c r="D405" s="117" t="s">
        <v>1566</v>
      </c>
      <c r="E405" s="175" t="s">
        <v>3840</v>
      </c>
      <c r="F405" s="117" t="s">
        <v>179</v>
      </c>
      <c r="G405" s="117" t="s">
        <v>1631</v>
      </c>
      <c r="H405" s="117" t="s">
        <v>262</v>
      </c>
      <c r="I405" s="117" t="s">
        <v>1798</v>
      </c>
      <c r="J405" s="118">
        <v>2.0139999999999998</v>
      </c>
      <c r="K405" s="118" t="s">
        <v>126</v>
      </c>
      <c r="L405" s="117">
        <v>4.3799999999999999E-2</v>
      </c>
      <c r="M405" s="117">
        <v>8.7609999999999993E-2</v>
      </c>
      <c r="N405" s="69">
        <v>74516.282083047467</v>
      </c>
      <c r="O405" s="60">
        <v>83.941000000000003</v>
      </c>
      <c r="P405" s="84">
        <v>0</v>
      </c>
      <c r="Q405" s="84">
        <v>253.52024</v>
      </c>
      <c r="R405" s="24">
        <v>4.9677521388698314E-5</v>
      </c>
      <c r="S405" s="24">
        <v>2.2594531916236321E-3</v>
      </c>
      <c r="T405" s="24">
        <v>1.0442956576094987E-3</v>
      </c>
    </row>
    <row r="406" spans="1:20" x14ac:dyDescent="0.25">
      <c r="A406" s="16" t="s">
        <v>1799</v>
      </c>
      <c r="B406" s="117" t="s">
        <v>1800</v>
      </c>
      <c r="C406" s="117" t="s">
        <v>218</v>
      </c>
      <c r="D406" s="117" t="s">
        <v>1566</v>
      </c>
      <c r="E406" s="175" t="s">
        <v>3841</v>
      </c>
      <c r="F406" s="117" t="s">
        <v>179</v>
      </c>
      <c r="G406" s="117" t="s">
        <v>1638</v>
      </c>
      <c r="H406" s="117" t="s">
        <v>262</v>
      </c>
      <c r="I406" s="117" t="s">
        <v>1801</v>
      </c>
      <c r="J406" s="118">
        <v>5.0599999999999996</v>
      </c>
      <c r="K406" s="118" t="s">
        <v>126</v>
      </c>
      <c r="L406" s="117">
        <v>4.8799999999999996E-2</v>
      </c>
      <c r="M406" s="117">
        <v>7.6670000000000002E-2</v>
      </c>
      <c r="N406" s="69">
        <v>71299.751921189309</v>
      </c>
      <c r="O406" s="60">
        <v>83.415999999999997</v>
      </c>
      <c r="P406" s="84">
        <v>0</v>
      </c>
      <c r="Q406" s="84">
        <v>241.05975000000001</v>
      </c>
      <c r="R406" s="24">
        <v>7.1299751921189303E-5</v>
      </c>
      <c r="S406" s="24">
        <v>2.1484013328067807E-3</v>
      </c>
      <c r="T406" s="24">
        <v>9.9296864877309742E-4</v>
      </c>
    </row>
    <row r="407" spans="1:20" x14ac:dyDescent="0.25">
      <c r="A407" s="16" t="s">
        <v>1802</v>
      </c>
      <c r="B407" s="117" t="s">
        <v>1803</v>
      </c>
      <c r="C407" s="117" t="s">
        <v>218</v>
      </c>
      <c r="D407" s="117" t="s">
        <v>1566</v>
      </c>
      <c r="E407" s="175" t="s">
        <v>3842</v>
      </c>
      <c r="F407" s="117" t="s">
        <v>179</v>
      </c>
      <c r="G407" s="117" t="s">
        <v>1590</v>
      </c>
      <c r="H407" s="117" t="s">
        <v>262</v>
      </c>
      <c r="I407" s="117" t="s">
        <v>1804</v>
      </c>
      <c r="J407" s="118">
        <v>4.0490000000000004</v>
      </c>
      <c r="K407" s="118" t="s">
        <v>126</v>
      </c>
      <c r="L407" s="117">
        <v>7.2499999999999995E-2</v>
      </c>
      <c r="M407" s="117">
        <v>7.85E-2</v>
      </c>
      <c r="N407" s="69">
        <v>75588.458803666857</v>
      </c>
      <c r="O407" s="60">
        <v>98.426000000000002</v>
      </c>
      <c r="P407" s="84">
        <v>0</v>
      </c>
      <c r="Q407" s="84">
        <v>301.54535999999996</v>
      </c>
      <c r="R407" s="24">
        <v>6.0470767042933485E-5</v>
      </c>
      <c r="S407" s="24">
        <v>2.687468369670592E-3</v>
      </c>
      <c r="T407" s="24">
        <v>1.2421198008501924E-3</v>
      </c>
    </row>
    <row r="408" spans="1:20" x14ac:dyDescent="0.25">
      <c r="A408" s="16" t="s">
        <v>1805</v>
      </c>
      <c r="B408" s="117" t="s">
        <v>1806</v>
      </c>
      <c r="C408" s="117" t="s">
        <v>218</v>
      </c>
      <c r="D408" s="117" t="s">
        <v>1566</v>
      </c>
      <c r="E408" s="175" t="s">
        <v>3843</v>
      </c>
      <c r="F408" s="117" t="s">
        <v>179</v>
      </c>
      <c r="G408" s="117" t="s">
        <v>1603</v>
      </c>
      <c r="H408" s="117" t="s">
        <v>412</v>
      </c>
      <c r="I408" s="117" t="s">
        <v>1807</v>
      </c>
      <c r="J408" s="118">
        <v>0.872</v>
      </c>
      <c r="K408" s="118" t="s">
        <v>2</v>
      </c>
      <c r="L408" s="117">
        <v>5.8799999999999998E-2</v>
      </c>
      <c r="M408" s="117">
        <v>0.10108</v>
      </c>
      <c r="N408" s="69">
        <v>59511.168877979129</v>
      </c>
      <c r="O408" s="60">
        <v>93.903000000000006</v>
      </c>
      <c r="P408" s="84">
        <v>0</v>
      </c>
      <c r="Q408" s="84">
        <v>261.41401999999999</v>
      </c>
      <c r="R408" s="24">
        <v>4.7608935102383305E-5</v>
      </c>
      <c r="S408" s="24">
        <v>2.3298050752246211E-3</v>
      </c>
      <c r="T408" s="24">
        <v>1.0768115631487358E-3</v>
      </c>
    </row>
    <row r="409" spans="1:20" x14ac:dyDescent="0.25">
      <c r="A409" s="16" t="s">
        <v>1808</v>
      </c>
      <c r="B409" s="117" t="s">
        <v>1809</v>
      </c>
      <c r="C409" s="117" t="s">
        <v>218</v>
      </c>
      <c r="D409" s="117" t="s">
        <v>1566</v>
      </c>
      <c r="E409" s="175" t="s">
        <v>3844</v>
      </c>
      <c r="F409" s="117" t="s">
        <v>179</v>
      </c>
      <c r="G409" s="117" t="s">
        <v>1603</v>
      </c>
      <c r="H409" s="117" t="s">
        <v>412</v>
      </c>
      <c r="I409" s="117" t="s">
        <v>1810</v>
      </c>
      <c r="J409" s="118">
        <v>3.105</v>
      </c>
      <c r="K409" s="118" t="s">
        <v>2</v>
      </c>
      <c r="L409" s="117">
        <v>5.1299999999999998E-2</v>
      </c>
      <c r="M409" s="117">
        <v>9.6750000000000003E-2</v>
      </c>
      <c r="N409" s="69">
        <v>64542.358139485608</v>
      </c>
      <c r="O409" s="60">
        <v>82.468000000000004</v>
      </c>
      <c r="P409" s="84">
        <v>3.8683845520000002</v>
      </c>
      <c r="Q409" s="84">
        <v>252.85799</v>
      </c>
      <c r="R409" s="24">
        <v>6.4542358139485604E-5</v>
      </c>
      <c r="S409" s="24">
        <v>2.2535510085231717E-3</v>
      </c>
      <c r="T409" s="24">
        <v>1.0415677302485437E-3</v>
      </c>
    </row>
    <row r="410" spans="1:20" s="119" customFormat="1" x14ac:dyDescent="0.25">
      <c r="A410" s="78" t="s">
        <v>241</v>
      </c>
      <c r="B410" s="125"/>
      <c r="C410" s="125"/>
      <c r="D410" s="125"/>
      <c r="E410" s="125"/>
      <c r="F410" s="125"/>
      <c r="G410" s="126"/>
      <c r="H410" s="126"/>
      <c r="I410" s="126"/>
      <c r="J410" s="127"/>
      <c r="K410" s="128"/>
      <c r="L410" s="129"/>
      <c r="M410" s="129"/>
      <c r="N410" s="129"/>
      <c r="O410" s="128"/>
      <c r="P410" s="128"/>
      <c r="Q410" s="128"/>
      <c r="R410" s="138"/>
      <c r="S410" s="138"/>
      <c r="T410" s="138"/>
    </row>
    <row r="411" spans="1:20" s="119" customFormat="1" x14ac:dyDescent="0.25">
      <c r="A411" s="78" t="s">
        <v>242</v>
      </c>
      <c r="B411" s="125"/>
      <c r="C411" s="125"/>
      <c r="D411" s="125"/>
      <c r="E411" s="125"/>
      <c r="F411" s="125"/>
      <c r="G411" s="126"/>
      <c r="H411" s="126"/>
      <c r="I411" s="126"/>
      <c r="J411" s="127"/>
      <c r="K411" s="128"/>
      <c r="L411" s="129"/>
      <c r="M411" s="129"/>
      <c r="N411" s="129"/>
      <c r="O411" s="128"/>
      <c r="P411" s="128"/>
      <c r="Q411" s="128"/>
      <c r="R411" s="138"/>
      <c r="S411" s="138"/>
      <c r="T411" s="138"/>
    </row>
    <row r="412" spans="1:20" s="119" customFormat="1" x14ac:dyDescent="0.25">
      <c r="A412" s="78" t="s">
        <v>243</v>
      </c>
      <c r="B412" s="125"/>
      <c r="C412" s="125"/>
      <c r="D412" s="125"/>
      <c r="E412" s="125"/>
      <c r="F412" s="125"/>
      <c r="G412" s="126"/>
      <c r="H412" s="126"/>
      <c r="I412" s="126"/>
      <c r="J412" s="127"/>
      <c r="K412" s="128"/>
      <c r="L412" s="129"/>
      <c r="M412" s="129"/>
      <c r="N412" s="129"/>
      <c r="O412" s="128"/>
      <c r="P412" s="128"/>
      <c r="Q412" s="128"/>
      <c r="R412" s="138"/>
      <c r="S412" s="138"/>
      <c r="T412" s="138"/>
    </row>
    <row r="413" spans="1:20" s="119" customFormat="1" x14ac:dyDescent="0.25">
      <c r="A413" s="78" t="s">
        <v>244</v>
      </c>
      <c r="B413" s="125"/>
      <c r="C413" s="125"/>
      <c r="D413" s="125"/>
      <c r="E413" s="125"/>
      <c r="F413" s="125"/>
      <c r="G413" s="126"/>
      <c r="H413" s="126"/>
      <c r="I413" s="126"/>
      <c r="J413" s="127"/>
      <c r="K413" s="128"/>
      <c r="L413" s="129"/>
      <c r="M413" s="129"/>
      <c r="N413" s="129"/>
      <c r="O413" s="128"/>
      <c r="P413" s="128"/>
      <c r="Q413" s="128"/>
      <c r="R413" s="138"/>
      <c r="S413" s="138"/>
      <c r="T413" s="138"/>
    </row>
    <row r="414" spans="1:20" s="119" customFormat="1" x14ac:dyDescent="0.25">
      <c r="A414" s="78" t="s">
        <v>245</v>
      </c>
      <c r="B414" s="125"/>
      <c r="C414" s="125"/>
      <c r="D414" s="125"/>
      <c r="E414" s="125"/>
      <c r="F414" s="125"/>
      <c r="G414" s="126"/>
      <c r="H414" s="126"/>
      <c r="I414" s="126"/>
      <c r="J414" s="127"/>
      <c r="K414" s="128"/>
      <c r="L414" s="129"/>
      <c r="M414" s="129"/>
      <c r="N414" s="129"/>
      <c r="O414" s="128"/>
      <c r="P414" s="128"/>
      <c r="Q414" s="128"/>
      <c r="R414" s="138"/>
      <c r="S414" s="138"/>
      <c r="T414" s="138"/>
    </row>
  </sheetData>
  <sortState xmlns:xlrd2="http://schemas.microsoft.com/office/spreadsheetml/2017/richdata2" ref="A329:Z345">
    <sortCondition ref="A329:A345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409 P10:Q409">
    <cfRule type="expression" dxfId="112" priority="109" stopIfTrue="1">
      <formula>#REF!&gt;0</formula>
    </cfRule>
  </conditionalFormatting>
  <conditionalFormatting sqref="B10:M409">
    <cfRule type="expression" dxfId="111" priority="111" stopIfTrue="1">
      <formula>LEFT(#REF!,3)="TIR"</formula>
    </cfRule>
  </conditionalFormatting>
  <conditionalFormatting sqref="S10:T409">
    <cfRule type="expression" dxfId="110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77"/>
  <sheetViews>
    <sheetView rightToLeft="1" zoomScale="80" zoomScaleNormal="80" workbookViewId="0"/>
  </sheetViews>
  <sheetFormatPr defaultColWidth="9.109375" defaultRowHeight="13.2" x14ac:dyDescent="0.25"/>
  <cols>
    <col min="1" max="1" width="26.33203125" style="9" bestFit="1" customWidth="1"/>
    <col min="2" max="2" width="15.66406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12.88671875" style="59" bestFit="1" customWidth="1"/>
    <col min="8" max="8" width="10.5546875" style="59" customWidth="1"/>
    <col min="9" max="9" width="10.33203125" style="59" bestFit="1" customWidth="1"/>
    <col min="10" max="10" width="16.5546875" style="59" customWidth="1"/>
    <col min="11" max="11" width="11.33203125" style="36" bestFit="1" customWidth="1"/>
    <col min="12" max="12" width="22" style="61" customWidth="1"/>
    <col min="13" max="13" width="25.44140625" style="61" customWidth="1"/>
    <col min="14" max="14" width="20.6640625" style="63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61"/>
      <c r="M1" s="61"/>
      <c r="N1" s="62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61"/>
      <c r="M2" s="61"/>
      <c r="N2" s="62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61"/>
      <c r="M3" s="61"/>
      <c r="N3" s="62"/>
      <c r="O3" s="13"/>
      <c r="P3" s="13"/>
      <c r="Q3" s="12"/>
      <c r="R3" s="12"/>
      <c r="S3" s="14"/>
    </row>
    <row r="4" spans="1:19" s="7" customFormat="1" ht="13.8" thickBot="1" x14ac:dyDescent="0.3">
      <c r="A4" s="230" t="s">
        <v>11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2"/>
      <c r="N4" s="233"/>
      <c r="O4" s="13"/>
      <c r="P4" s="13"/>
      <c r="Q4" s="12"/>
      <c r="R4" s="12"/>
      <c r="S4" s="14"/>
    </row>
    <row r="5" spans="1:19" s="7" customFormat="1" x14ac:dyDescent="0.25">
      <c r="A5" s="227" t="s">
        <v>21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9"/>
    </row>
    <row r="6" spans="1:19" s="7" customFormat="1" x14ac:dyDescent="0.25">
      <c r="A6" s="86" t="s">
        <v>157</v>
      </c>
      <c r="B6" s="206" t="s">
        <v>69</v>
      </c>
      <c r="C6" s="206" t="s">
        <v>76</v>
      </c>
      <c r="D6" s="206" t="s">
        <v>77</v>
      </c>
      <c r="E6" s="206" t="s">
        <v>74</v>
      </c>
      <c r="F6" s="206" t="s">
        <v>19</v>
      </c>
      <c r="G6" s="206" t="s">
        <v>6</v>
      </c>
      <c r="H6" s="207" t="s">
        <v>67</v>
      </c>
      <c r="I6" s="207" t="s">
        <v>68</v>
      </c>
      <c r="J6" s="207" t="s">
        <v>134</v>
      </c>
      <c r="K6" s="207" t="s">
        <v>7</v>
      </c>
      <c r="L6" s="207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9"/>
      <c r="J7" s="2" t="s">
        <v>135</v>
      </c>
      <c r="K7" s="2" t="s">
        <v>135</v>
      </c>
      <c r="L7" s="49" t="s">
        <v>9</v>
      </c>
      <c r="M7" s="53" t="s">
        <v>9</v>
      </c>
      <c r="N7" s="50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7">
        <v>12</v>
      </c>
      <c r="N8" s="44">
        <v>13</v>
      </c>
    </row>
    <row r="9" spans="1:19" s="119" customFormat="1" ht="12.75" customHeight="1" thickBot="1" x14ac:dyDescent="0.3">
      <c r="A9" s="149" t="s">
        <v>59</v>
      </c>
      <c r="B9" s="70" t="s">
        <v>249</v>
      </c>
      <c r="C9" s="70" t="s">
        <v>249</v>
      </c>
      <c r="D9" s="70" t="s">
        <v>249</v>
      </c>
      <c r="E9" s="70" t="s">
        <v>249</v>
      </c>
      <c r="F9" s="70" t="s">
        <v>249</v>
      </c>
      <c r="G9" s="150" t="s">
        <v>249</v>
      </c>
      <c r="H9" s="151" t="s">
        <v>249</v>
      </c>
      <c r="I9" s="150" t="s">
        <v>249</v>
      </c>
      <c r="J9" s="150" t="s">
        <v>249</v>
      </c>
      <c r="K9" s="107">
        <v>11913.128700699983</v>
      </c>
      <c r="L9" s="70" t="s">
        <v>249</v>
      </c>
      <c r="M9" s="70">
        <v>1</v>
      </c>
      <c r="N9" s="82">
        <v>4.9072328784021665E-2</v>
      </c>
    </row>
    <row r="10" spans="1:19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3" t="s">
        <v>249</v>
      </c>
      <c r="I10" s="122" t="s">
        <v>249</v>
      </c>
      <c r="J10" s="122" t="s">
        <v>249</v>
      </c>
      <c r="K10" s="134">
        <v>7835.0182104999967</v>
      </c>
      <c r="L10" s="121" t="s">
        <v>249</v>
      </c>
      <c r="M10" s="121">
        <v>0.65767930552446996</v>
      </c>
      <c r="N10" s="121">
        <v>3.2273855115143829E-2</v>
      </c>
    </row>
    <row r="11" spans="1:19" s="119" customFormat="1" x14ac:dyDescent="0.25">
      <c r="A11" s="92" t="s">
        <v>1811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5" t="s">
        <v>249</v>
      </c>
      <c r="I11" s="122" t="s">
        <v>249</v>
      </c>
      <c r="J11" s="122" t="s">
        <v>249</v>
      </c>
      <c r="K11" s="152">
        <v>5339.4684100999993</v>
      </c>
      <c r="L11" s="137"/>
      <c r="M11" s="121">
        <v>0.44820034637804812</v>
      </c>
      <c r="N11" s="121">
        <v>2.1994234758575974E-2</v>
      </c>
    </row>
    <row r="12" spans="1:19" x14ac:dyDescent="0.25">
      <c r="A12" s="16" t="s">
        <v>1874</v>
      </c>
      <c r="B12" s="117" t="s">
        <v>1875</v>
      </c>
      <c r="C12" s="117" t="s">
        <v>456</v>
      </c>
      <c r="D12" s="117" t="s">
        <v>249</v>
      </c>
      <c r="E12" s="117" t="s">
        <v>1578</v>
      </c>
      <c r="F12" s="117" t="s">
        <v>215</v>
      </c>
      <c r="G12" s="118" t="s">
        <v>255</v>
      </c>
      <c r="H12" s="69">
        <v>1026.4360161995319</v>
      </c>
      <c r="I12" s="66">
        <v>5439</v>
      </c>
      <c r="J12" s="60">
        <v>1.185225666</v>
      </c>
      <c r="K12" s="64">
        <v>57.013080000000002</v>
      </c>
      <c r="L12" s="24">
        <v>5.7961457965448929E-6</v>
      </c>
      <c r="M12" s="32">
        <v>4.7857352532966477E-3</v>
      </c>
      <c r="N12" s="32">
        <v>2.3484717382305634E-4</v>
      </c>
      <c r="O12" s="14"/>
      <c r="P12" s="14"/>
      <c r="Q12" s="14"/>
      <c r="R12" s="14"/>
    </row>
    <row r="13" spans="1:19" x14ac:dyDescent="0.25">
      <c r="A13" s="16" t="s">
        <v>3955</v>
      </c>
      <c r="B13" s="117" t="s">
        <v>1817</v>
      </c>
      <c r="C13" s="117" t="s">
        <v>456</v>
      </c>
      <c r="D13" s="117" t="s">
        <v>249</v>
      </c>
      <c r="E13" s="117" t="s">
        <v>1602</v>
      </c>
      <c r="F13" s="117" t="s">
        <v>227</v>
      </c>
      <c r="G13" s="118" t="s">
        <v>255</v>
      </c>
      <c r="H13" s="69">
        <v>1065.043785123961</v>
      </c>
      <c r="I13" s="66">
        <v>3863.0000000000005</v>
      </c>
      <c r="J13" s="66">
        <v>0</v>
      </c>
      <c r="K13" s="64">
        <v>41.14264</v>
      </c>
      <c r="L13" s="24">
        <v>9.5019182199020735E-7</v>
      </c>
      <c r="M13" s="32">
        <v>3.4535545643507208E-3</v>
      </c>
      <c r="N13" s="32">
        <v>1.6947396505537731E-4</v>
      </c>
      <c r="O13" s="14"/>
      <c r="P13" s="14"/>
      <c r="Q13" s="14"/>
      <c r="R13" s="14"/>
    </row>
    <row r="14" spans="1:19" x14ac:dyDescent="0.25">
      <c r="A14" s="16" t="s">
        <v>3956</v>
      </c>
      <c r="B14" s="117" t="s">
        <v>1864</v>
      </c>
      <c r="C14" s="117" t="s">
        <v>456</v>
      </c>
      <c r="D14" s="117" t="s">
        <v>249</v>
      </c>
      <c r="E14" s="117" t="s">
        <v>833</v>
      </c>
      <c r="F14" s="117" t="s">
        <v>225</v>
      </c>
      <c r="G14" s="118" t="s">
        <v>255</v>
      </c>
      <c r="H14" s="69">
        <v>83.475817034993767</v>
      </c>
      <c r="I14" s="66">
        <v>2464</v>
      </c>
      <c r="J14" s="66">
        <v>0</v>
      </c>
      <c r="K14" s="64">
        <v>2.0568400000000002</v>
      </c>
      <c r="L14" s="24">
        <v>3.7193303240533471E-7</v>
      </c>
      <c r="M14" s="32">
        <v>1.7265321744397387E-4</v>
      </c>
      <c r="N14" s="32">
        <v>8.4724954520298713E-6</v>
      </c>
      <c r="O14" s="14"/>
      <c r="P14" s="14"/>
      <c r="Q14" s="14"/>
      <c r="R14" s="14"/>
    </row>
    <row r="15" spans="1:19" x14ac:dyDescent="0.25">
      <c r="A15" s="16" t="s">
        <v>1870</v>
      </c>
      <c r="B15" s="117" t="s">
        <v>1871</v>
      </c>
      <c r="C15" s="117" t="s">
        <v>456</v>
      </c>
      <c r="D15" s="117" t="s">
        <v>249</v>
      </c>
      <c r="E15" s="117" t="s">
        <v>833</v>
      </c>
      <c r="F15" s="117" t="s">
        <v>225</v>
      </c>
      <c r="G15" s="118" t="s">
        <v>255</v>
      </c>
      <c r="H15" s="69">
        <v>590.64799123959097</v>
      </c>
      <c r="I15" s="66">
        <v>2358.435786</v>
      </c>
      <c r="J15" s="66">
        <v>0</v>
      </c>
      <c r="K15" s="64">
        <v>13.93005</v>
      </c>
      <c r="L15" s="24">
        <v>2.6316783263561025E-6</v>
      </c>
      <c r="M15" s="32">
        <v>1.1693024015749537E-3</v>
      </c>
      <c r="N15" s="32">
        <v>5.7380391898032272E-5</v>
      </c>
      <c r="O15" s="14"/>
      <c r="P15" s="14"/>
      <c r="Q15" s="14"/>
      <c r="R15" s="14"/>
    </row>
    <row r="16" spans="1:19" x14ac:dyDescent="0.25">
      <c r="A16" s="16" t="s">
        <v>1836</v>
      </c>
      <c r="B16" s="117" t="s">
        <v>1837</v>
      </c>
      <c r="C16" s="117" t="s">
        <v>456</v>
      </c>
      <c r="D16" s="117" t="s">
        <v>249</v>
      </c>
      <c r="E16" s="117" t="s">
        <v>1838</v>
      </c>
      <c r="F16" s="117" t="s">
        <v>231</v>
      </c>
      <c r="G16" s="118" t="s">
        <v>255</v>
      </c>
      <c r="H16" s="69">
        <v>96.577334358419293</v>
      </c>
      <c r="I16" s="66">
        <v>26939.999999999996</v>
      </c>
      <c r="J16" s="66">
        <v>0</v>
      </c>
      <c r="K16" s="64">
        <v>26.01793</v>
      </c>
      <c r="L16" s="24">
        <v>1.7216463835821225E-6</v>
      </c>
      <c r="M16" s="32">
        <v>2.1839712013244058E-3</v>
      </c>
      <c r="N16" s="32">
        <v>1.0717255284622603E-4</v>
      </c>
      <c r="O16" s="14"/>
      <c r="P16" s="14"/>
      <c r="Q16" s="14"/>
      <c r="R16" s="14"/>
    </row>
    <row r="17" spans="1:18" x14ac:dyDescent="0.25">
      <c r="A17" s="16" t="s">
        <v>1815</v>
      </c>
      <c r="B17" s="117" t="s">
        <v>1816</v>
      </c>
      <c r="C17" s="117" t="s">
        <v>456</v>
      </c>
      <c r="D17" s="117" t="s">
        <v>249</v>
      </c>
      <c r="E17" s="117" t="s">
        <v>1276</v>
      </c>
      <c r="F17" s="117" t="s">
        <v>212</v>
      </c>
      <c r="G17" s="118" t="s">
        <v>255</v>
      </c>
      <c r="H17" s="69">
        <v>4696.1510710080474</v>
      </c>
      <c r="I17" s="66">
        <v>2107</v>
      </c>
      <c r="J17" s="66">
        <v>0</v>
      </c>
      <c r="K17" s="64">
        <v>98.94789999999999</v>
      </c>
      <c r="L17" s="24">
        <v>3.6420922017462358E-6</v>
      </c>
      <c r="M17" s="32">
        <v>8.3057862032654851E-3</v>
      </c>
      <c r="N17" s="32">
        <v>4.0758427137643489E-4</v>
      </c>
      <c r="O17" s="14"/>
      <c r="P17" s="14"/>
      <c r="Q17" s="14"/>
      <c r="R17" s="14"/>
    </row>
    <row r="18" spans="1:18" x14ac:dyDescent="0.25">
      <c r="A18" s="16" t="s">
        <v>3957</v>
      </c>
      <c r="B18" s="117" t="s">
        <v>1842</v>
      </c>
      <c r="C18" s="117" t="s">
        <v>456</v>
      </c>
      <c r="D18" s="117" t="s">
        <v>249</v>
      </c>
      <c r="E18" s="117" t="s">
        <v>609</v>
      </c>
      <c r="F18" s="117" t="s">
        <v>223</v>
      </c>
      <c r="G18" s="118" t="s">
        <v>255</v>
      </c>
      <c r="H18" s="69">
        <v>3580.8107594350463</v>
      </c>
      <c r="I18" s="66">
        <v>5860</v>
      </c>
      <c r="J18" s="66">
        <v>0</v>
      </c>
      <c r="K18" s="64">
        <v>209.83551</v>
      </c>
      <c r="L18" s="24">
        <v>2.8823165160353701E-5</v>
      </c>
      <c r="M18" s="32">
        <v>1.7613803667517722E-2</v>
      </c>
      <c r="N18" s="32">
        <v>8.6435036470963636E-4</v>
      </c>
      <c r="O18" s="14"/>
      <c r="P18" s="14"/>
      <c r="Q18" s="14"/>
      <c r="R18" s="14"/>
    </row>
    <row r="19" spans="1:18" x14ac:dyDescent="0.25">
      <c r="A19" s="16" t="s">
        <v>3958</v>
      </c>
      <c r="B19" s="117" t="s">
        <v>1821</v>
      </c>
      <c r="C19" s="117" t="s">
        <v>456</v>
      </c>
      <c r="D19" s="117" t="s">
        <v>249</v>
      </c>
      <c r="E19" s="117" t="s">
        <v>1822</v>
      </c>
      <c r="F19" s="117" t="s">
        <v>195</v>
      </c>
      <c r="G19" s="118" t="s">
        <v>255</v>
      </c>
      <c r="H19" s="69">
        <v>638.32746045027295</v>
      </c>
      <c r="I19" s="66">
        <v>75810</v>
      </c>
      <c r="J19" s="66">
        <v>0</v>
      </c>
      <c r="K19" s="64">
        <v>483.91604999999998</v>
      </c>
      <c r="L19" s="24">
        <v>1.4375866835028901E-5</v>
      </c>
      <c r="M19" s="32">
        <v>4.0620399741972603E-2</v>
      </c>
      <c r="N19" s="32">
        <v>1.9933376114764684E-3</v>
      </c>
      <c r="O19" s="14"/>
      <c r="P19" s="14"/>
      <c r="Q19" s="14"/>
      <c r="R19" s="14"/>
    </row>
    <row r="20" spans="1:18" x14ac:dyDescent="0.25">
      <c r="A20" s="16" t="s">
        <v>1843</v>
      </c>
      <c r="B20" s="117" t="s">
        <v>1844</v>
      </c>
      <c r="C20" s="117" t="s">
        <v>456</v>
      </c>
      <c r="D20" s="117" t="s">
        <v>249</v>
      </c>
      <c r="E20" s="117" t="s">
        <v>1088</v>
      </c>
      <c r="F20" s="117" t="s">
        <v>223</v>
      </c>
      <c r="G20" s="118" t="s">
        <v>255</v>
      </c>
      <c r="H20" s="69">
        <v>617.91576711066557</v>
      </c>
      <c r="I20" s="66">
        <v>2610</v>
      </c>
      <c r="J20" s="66">
        <v>0</v>
      </c>
      <c r="K20" s="64">
        <v>16.127600000000001</v>
      </c>
      <c r="L20" s="24">
        <v>3.4381664716094322E-6</v>
      </c>
      <c r="M20" s="32">
        <v>1.3537669578817181E-3</v>
      </c>
      <c r="N20" s="32">
        <v>6.6432497254116481E-5</v>
      </c>
      <c r="O20" s="14"/>
      <c r="P20" s="14"/>
      <c r="Q20" s="14"/>
      <c r="R20" s="14"/>
    </row>
    <row r="21" spans="1:18" x14ac:dyDescent="0.25">
      <c r="A21" s="16" t="s">
        <v>1855</v>
      </c>
      <c r="B21" s="117" t="s">
        <v>1856</v>
      </c>
      <c r="C21" s="117" t="s">
        <v>456</v>
      </c>
      <c r="D21" s="117" t="s">
        <v>249</v>
      </c>
      <c r="E21" s="117" t="s">
        <v>1857</v>
      </c>
      <c r="F21" s="117" t="s">
        <v>228</v>
      </c>
      <c r="G21" s="118" t="s">
        <v>255</v>
      </c>
      <c r="H21" s="69">
        <v>87.065271389425746</v>
      </c>
      <c r="I21" s="66">
        <v>146100</v>
      </c>
      <c r="J21" s="66">
        <v>1.050725913</v>
      </c>
      <c r="K21" s="64">
        <v>128.25308999999999</v>
      </c>
      <c r="L21" s="24">
        <v>2.2661527498909613E-5</v>
      </c>
      <c r="M21" s="32">
        <v>1.0765693313836538E-2</v>
      </c>
      <c r="N21" s="32">
        <v>5.2829764188453039E-4</v>
      </c>
      <c r="O21" s="14"/>
      <c r="P21" s="14"/>
      <c r="Q21" s="14"/>
      <c r="R21" s="14"/>
    </row>
    <row r="22" spans="1:18" x14ac:dyDescent="0.25">
      <c r="A22" s="16" t="s">
        <v>1845</v>
      </c>
      <c r="B22" s="117" t="s">
        <v>1846</v>
      </c>
      <c r="C22" s="117" t="s">
        <v>456</v>
      </c>
      <c r="D22" s="117" t="s">
        <v>249</v>
      </c>
      <c r="E22" s="117" t="s">
        <v>605</v>
      </c>
      <c r="F22" s="117" t="s">
        <v>223</v>
      </c>
      <c r="G22" s="118" t="s">
        <v>255</v>
      </c>
      <c r="H22" s="69">
        <v>3787.3972069817792</v>
      </c>
      <c r="I22" s="66">
        <v>1845</v>
      </c>
      <c r="J22" s="66">
        <v>0</v>
      </c>
      <c r="K22" s="64">
        <v>69.877479999999991</v>
      </c>
      <c r="L22" s="24">
        <v>8.0559940174464349E-6</v>
      </c>
      <c r="M22" s="32">
        <v>5.8655859225204363E-3</v>
      </c>
      <c r="N22" s="32">
        <v>2.8783796090085188E-4</v>
      </c>
      <c r="O22" s="14"/>
      <c r="P22" s="14"/>
      <c r="Q22" s="14"/>
      <c r="R22" s="14"/>
    </row>
    <row r="23" spans="1:18" x14ac:dyDescent="0.25">
      <c r="A23" s="16" t="s">
        <v>1852</v>
      </c>
      <c r="B23" s="117" t="s">
        <v>1853</v>
      </c>
      <c r="C23" s="117" t="s">
        <v>456</v>
      </c>
      <c r="D23" s="117" t="s">
        <v>249</v>
      </c>
      <c r="E23" s="117" t="s">
        <v>605</v>
      </c>
      <c r="F23" s="117" t="s">
        <v>223</v>
      </c>
      <c r="G23" s="118" t="s">
        <v>255</v>
      </c>
      <c r="H23" s="69">
        <v>525.27934100816003</v>
      </c>
      <c r="I23" s="66">
        <v>1840.789041</v>
      </c>
      <c r="J23" s="66">
        <v>0</v>
      </c>
      <c r="K23" s="64">
        <v>9.6692800000000005</v>
      </c>
      <c r="L23" s="24">
        <v>1.1172969185405804E-6</v>
      </c>
      <c r="M23" s="32">
        <v>8.1164908421008325E-4</v>
      </c>
      <c r="N23" s="32">
        <v>3.9829510717607298E-5</v>
      </c>
      <c r="O23" s="14"/>
      <c r="P23" s="14"/>
      <c r="Q23" s="14"/>
      <c r="R23" s="14"/>
    </row>
    <row r="24" spans="1:18" x14ac:dyDescent="0.25">
      <c r="A24" s="16" t="s">
        <v>1879</v>
      </c>
      <c r="B24" s="117" t="s">
        <v>1880</v>
      </c>
      <c r="C24" s="117" t="s">
        <v>456</v>
      </c>
      <c r="D24" s="117" t="s">
        <v>249</v>
      </c>
      <c r="E24" s="117" t="s">
        <v>1369</v>
      </c>
      <c r="F24" s="117" t="s">
        <v>231</v>
      </c>
      <c r="G24" s="118" t="s">
        <v>255</v>
      </c>
      <c r="H24" s="69">
        <v>1630.4637389655131</v>
      </c>
      <c r="I24" s="66">
        <v>6008</v>
      </c>
      <c r="J24" s="66">
        <v>0</v>
      </c>
      <c r="K24" s="64">
        <v>97.958259999999996</v>
      </c>
      <c r="L24" s="24">
        <v>1.3834220748109469E-5</v>
      </c>
      <c r="M24" s="32">
        <v>8.2227148267309692E-3</v>
      </c>
      <c r="N24" s="32">
        <v>4.0350776547459191E-4</v>
      </c>
      <c r="O24" s="14"/>
      <c r="P24" s="14"/>
      <c r="Q24" s="14"/>
      <c r="R24" s="14"/>
    </row>
    <row r="25" spans="1:18" x14ac:dyDescent="0.25">
      <c r="A25" s="16" t="s">
        <v>1860</v>
      </c>
      <c r="B25" s="117" t="s">
        <v>1861</v>
      </c>
      <c r="C25" s="117" t="s">
        <v>456</v>
      </c>
      <c r="D25" s="117" t="s">
        <v>249</v>
      </c>
      <c r="E25" s="117" t="s">
        <v>1550</v>
      </c>
      <c r="F25" s="117" t="s">
        <v>231</v>
      </c>
      <c r="G25" s="118" t="s">
        <v>255</v>
      </c>
      <c r="H25" s="69">
        <v>58.31362340235038</v>
      </c>
      <c r="I25" s="66">
        <v>1124</v>
      </c>
      <c r="J25" s="66">
        <v>0</v>
      </c>
      <c r="K25" s="64">
        <v>0.65545000000000009</v>
      </c>
      <c r="L25" s="24">
        <v>1.0643315577631725E-7</v>
      </c>
      <c r="M25" s="32">
        <v>5.5019131956619218E-5</v>
      </c>
      <c r="N25" s="32">
        <v>2.6999169327866922E-6</v>
      </c>
      <c r="O25" s="14"/>
      <c r="P25" s="14"/>
      <c r="Q25" s="14"/>
      <c r="R25" s="14"/>
    </row>
    <row r="26" spans="1:18" x14ac:dyDescent="0.25">
      <c r="A26" s="16" t="s">
        <v>1812</v>
      </c>
      <c r="B26" s="117" t="s">
        <v>1813</v>
      </c>
      <c r="C26" s="117" t="s">
        <v>456</v>
      </c>
      <c r="D26" s="117" t="s">
        <v>249</v>
      </c>
      <c r="E26" s="117" t="s">
        <v>638</v>
      </c>
      <c r="F26" s="117" t="s">
        <v>206</v>
      </c>
      <c r="G26" s="118" t="s">
        <v>255</v>
      </c>
      <c r="H26" s="69">
        <v>48343.666767974435</v>
      </c>
      <c r="I26" s="66">
        <v>537</v>
      </c>
      <c r="J26" s="99">
        <v>0</v>
      </c>
      <c r="K26" s="64">
        <v>259.60548999999997</v>
      </c>
      <c r="L26" s="24">
        <v>1.7472680863850625E-5</v>
      </c>
      <c r="M26" s="32">
        <v>2.1791545824964204E-2</v>
      </c>
      <c r="N26" s="32">
        <v>1.0693619014347183E-3</v>
      </c>
      <c r="O26" s="14"/>
      <c r="P26" s="14"/>
      <c r="Q26" s="14"/>
      <c r="R26" s="14"/>
    </row>
    <row r="27" spans="1:18" x14ac:dyDescent="0.25">
      <c r="A27" s="16" t="s">
        <v>1865</v>
      </c>
      <c r="B27" s="117" t="s">
        <v>1866</v>
      </c>
      <c r="C27" s="117" t="s">
        <v>456</v>
      </c>
      <c r="D27" s="117" t="s">
        <v>249</v>
      </c>
      <c r="E27" s="117" t="s">
        <v>634</v>
      </c>
      <c r="F27" s="117" t="s">
        <v>223</v>
      </c>
      <c r="G27" s="118" t="s">
        <v>255</v>
      </c>
      <c r="H27" s="69">
        <v>177.73220462516849</v>
      </c>
      <c r="I27" s="66">
        <v>31500</v>
      </c>
      <c r="J27" s="66">
        <v>0</v>
      </c>
      <c r="K27" s="64">
        <v>55.985639999999997</v>
      </c>
      <c r="L27" s="24">
        <v>7.2265443594119111E-6</v>
      </c>
      <c r="M27" s="32">
        <v>4.6994909067599039E-3</v>
      </c>
      <c r="N27" s="32">
        <v>2.3061496289404211E-4</v>
      </c>
      <c r="O27" s="14"/>
      <c r="P27" s="14"/>
      <c r="Q27" s="14"/>
      <c r="R27" s="14"/>
    </row>
    <row r="28" spans="1:18" x14ac:dyDescent="0.25">
      <c r="A28" s="16" t="s">
        <v>3959</v>
      </c>
      <c r="B28" s="117" t="s">
        <v>1818</v>
      </c>
      <c r="C28" s="117" t="s">
        <v>456</v>
      </c>
      <c r="D28" s="117" t="s">
        <v>249</v>
      </c>
      <c r="E28" s="117" t="s">
        <v>1819</v>
      </c>
      <c r="F28" s="117" t="s">
        <v>200</v>
      </c>
      <c r="G28" s="118" t="s">
        <v>255</v>
      </c>
      <c r="H28" s="69">
        <v>20254.622086501156</v>
      </c>
      <c r="I28" s="66">
        <v>2059</v>
      </c>
      <c r="J28" s="66">
        <v>0</v>
      </c>
      <c r="K28" s="64">
        <v>417.04266999999999</v>
      </c>
      <c r="L28" s="24">
        <v>1.6373837652993163E-5</v>
      </c>
      <c r="M28" s="32">
        <v>3.5006980993623926E-2</v>
      </c>
      <c r="N28" s="32">
        <v>1.7178740810551109E-3</v>
      </c>
      <c r="O28" s="14"/>
      <c r="P28" s="14"/>
      <c r="Q28" s="14"/>
      <c r="R28" s="14"/>
    </row>
    <row r="29" spans="1:18" x14ac:dyDescent="0.25">
      <c r="A29" s="16" t="s">
        <v>1825</v>
      </c>
      <c r="B29" s="117" t="s">
        <v>1826</v>
      </c>
      <c r="C29" s="117" t="s">
        <v>456</v>
      </c>
      <c r="D29" s="117" t="s">
        <v>249</v>
      </c>
      <c r="E29" s="117" t="s">
        <v>965</v>
      </c>
      <c r="F29" s="117" t="s">
        <v>200</v>
      </c>
      <c r="G29" s="118" t="s">
        <v>255</v>
      </c>
      <c r="H29" s="69">
        <v>23872.476054585062</v>
      </c>
      <c r="I29" s="66">
        <v>3389</v>
      </c>
      <c r="J29" s="66">
        <v>0</v>
      </c>
      <c r="K29" s="64">
        <v>809.03820999999994</v>
      </c>
      <c r="L29" s="24">
        <v>1.7851687182079014E-5</v>
      </c>
      <c r="M29" s="32">
        <v>6.7911480713917172E-2</v>
      </c>
      <c r="N29" s="32">
        <v>3.3325745098030895E-3</v>
      </c>
      <c r="O29" s="14"/>
      <c r="P29" s="14"/>
      <c r="Q29" s="14"/>
      <c r="R29" s="14"/>
    </row>
    <row r="30" spans="1:18" x14ac:dyDescent="0.25">
      <c r="A30" s="16" t="s">
        <v>1823</v>
      </c>
      <c r="B30" s="117" t="s">
        <v>1824</v>
      </c>
      <c r="C30" s="117" t="s">
        <v>456</v>
      </c>
      <c r="D30" s="117" t="s">
        <v>249</v>
      </c>
      <c r="E30" s="117" t="s">
        <v>784</v>
      </c>
      <c r="F30" s="117" t="s">
        <v>200</v>
      </c>
      <c r="G30" s="118" t="s">
        <v>255</v>
      </c>
      <c r="H30" s="69">
        <v>24051.626245538486</v>
      </c>
      <c r="I30" s="66">
        <v>3151</v>
      </c>
      <c r="J30" s="66">
        <v>0</v>
      </c>
      <c r="K30" s="64">
        <v>757.86673999999994</v>
      </c>
      <c r="L30" s="24">
        <v>1.5752172846839849E-5</v>
      </c>
      <c r="M30" s="32">
        <v>6.3616096076882789E-2</v>
      </c>
      <c r="N30" s="32">
        <v>3.1217899826407034E-3</v>
      </c>
      <c r="O30" s="14"/>
      <c r="P30" s="14"/>
      <c r="Q30" s="14"/>
      <c r="R30" s="14"/>
    </row>
    <row r="31" spans="1:18" x14ac:dyDescent="0.25">
      <c r="A31" s="16" t="s">
        <v>1827</v>
      </c>
      <c r="B31" s="117" t="s">
        <v>1828</v>
      </c>
      <c r="C31" s="117" t="s">
        <v>456</v>
      </c>
      <c r="D31" s="117" t="s">
        <v>249</v>
      </c>
      <c r="E31" s="117" t="s">
        <v>1829</v>
      </c>
      <c r="F31" s="117" t="s">
        <v>200</v>
      </c>
      <c r="G31" s="118" t="s">
        <v>255</v>
      </c>
      <c r="H31" s="69">
        <v>1981.0415664303359</v>
      </c>
      <c r="I31" s="66">
        <v>13810</v>
      </c>
      <c r="J31" s="66">
        <v>0</v>
      </c>
      <c r="K31" s="64">
        <v>273.58184</v>
      </c>
      <c r="L31" s="24">
        <v>7.6966817543859946E-6</v>
      </c>
      <c r="M31" s="32">
        <v>2.2964734695086867E-2</v>
      </c>
      <c r="N31" s="32">
        <v>1.1269330113951323E-3</v>
      </c>
      <c r="O31" s="14"/>
      <c r="P31" s="14"/>
      <c r="Q31" s="14"/>
      <c r="R31" s="14"/>
    </row>
    <row r="32" spans="1:18" x14ac:dyDescent="0.25">
      <c r="A32" s="16" t="s">
        <v>3960</v>
      </c>
      <c r="B32" s="117" t="s">
        <v>1832</v>
      </c>
      <c r="C32" s="117" t="s">
        <v>456</v>
      </c>
      <c r="D32" s="117" t="s">
        <v>249</v>
      </c>
      <c r="E32" s="117" t="s">
        <v>1833</v>
      </c>
      <c r="F32" s="117" t="s">
        <v>200</v>
      </c>
      <c r="G32" s="118" t="s">
        <v>255</v>
      </c>
      <c r="H32" s="69">
        <v>402.15885362958687</v>
      </c>
      <c r="I32" s="66">
        <v>16360</v>
      </c>
      <c r="J32" s="66">
        <v>0</v>
      </c>
      <c r="K32" s="64">
        <v>65.793189999999996</v>
      </c>
      <c r="L32" s="24">
        <v>4.0083593471066775E-6</v>
      </c>
      <c r="M32" s="32">
        <v>5.5227465137797239E-3</v>
      </c>
      <c r="N32" s="32">
        <v>2.7101403271500803E-4</v>
      </c>
      <c r="O32" s="14"/>
      <c r="P32" s="14"/>
      <c r="Q32" s="14"/>
      <c r="R32" s="14"/>
    </row>
    <row r="33" spans="1:18" x14ac:dyDescent="0.25">
      <c r="A33" s="16" t="s">
        <v>1867</v>
      </c>
      <c r="B33" s="117" t="s">
        <v>1868</v>
      </c>
      <c r="C33" s="117" t="s">
        <v>456</v>
      </c>
      <c r="D33" s="117" t="s">
        <v>249</v>
      </c>
      <c r="E33" s="117" t="s">
        <v>1869</v>
      </c>
      <c r="F33" s="117" t="s">
        <v>228</v>
      </c>
      <c r="G33" s="118" t="s">
        <v>255</v>
      </c>
      <c r="H33" s="69">
        <v>34.25661750318816</v>
      </c>
      <c r="I33" s="66">
        <v>97080</v>
      </c>
      <c r="J33" s="66">
        <v>0</v>
      </c>
      <c r="K33" s="64">
        <v>33.256320000000002</v>
      </c>
      <c r="L33" s="24">
        <v>4.4475308966681976E-6</v>
      </c>
      <c r="M33" s="32">
        <v>2.7915689350393696E-3</v>
      </c>
      <c r="N33" s="32">
        <v>1.3698878860351319E-4</v>
      </c>
      <c r="O33" s="14"/>
      <c r="P33" s="14"/>
      <c r="Q33" s="14"/>
      <c r="R33" s="14"/>
    </row>
    <row r="34" spans="1:18" x14ac:dyDescent="0.25">
      <c r="A34" s="16" t="s">
        <v>3961</v>
      </c>
      <c r="B34" s="117" t="s">
        <v>1847</v>
      </c>
      <c r="C34" s="117" t="s">
        <v>456</v>
      </c>
      <c r="D34" s="117" t="s">
        <v>249</v>
      </c>
      <c r="E34" s="117" t="s">
        <v>827</v>
      </c>
      <c r="F34" s="117" t="s">
        <v>201</v>
      </c>
      <c r="G34" s="118" t="s">
        <v>255</v>
      </c>
      <c r="H34" s="69">
        <v>2648.3737912237361</v>
      </c>
      <c r="I34" s="66">
        <v>3961.9999999999995</v>
      </c>
      <c r="J34" s="66">
        <v>0</v>
      </c>
      <c r="K34" s="64">
        <v>104.92857000000001</v>
      </c>
      <c r="L34" s="24">
        <v>1.0446455536771431E-5</v>
      </c>
      <c r="M34" s="32">
        <v>8.8078096557317204E-3</v>
      </c>
      <c r="N34" s="32">
        <v>4.3221973129314775E-4</v>
      </c>
      <c r="O34" s="14"/>
      <c r="P34" s="14"/>
      <c r="Q34" s="14"/>
      <c r="R34" s="14"/>
    </row>
    <row r="35" spans="1:18" x14ac:dyDescent="0.25">
      <c r="A35" s="16" t="s">
        <v>3962</v>
      </c>
      <c r="B35" s="117" t="s">
        <v>1839</v>
      </c>
      <c r="C35" s="117" t="s">
        <v>456</v>
      </c>
      <c r="D35" s="117" t="s">
        <v>249</v>
      </c>
      <c r="E35" s="117" t="s">
        <v>1365</v>
      </c>
      <c r="F35" s="117" t="s">
        <v>201</v>
      </c>
      <c r="G35" s="118" t="s">
        <v>255</v>
      </c>
      <c r="H35" s="69">
        <v>1542.2821281621966</v>
      </c>
      <c r="I35" s="66">
        <v>3012</v>
      </c>
      <c r="J35" s="66">
        <v>0</v>
      </c>
      <c r="K35" s="64">
        <v>46.453540000000004</v>
      </c>
      <c r="L35" s="24">
        <v>7.3524482716623997E-6</v>
      </c>
      <c r="M35" s="32">
        <v>3.8993568496637258E-3</v>
      </c>
      <c r="N35" s="32">
        <v>1.9135052137292532E-4</v>
      </c>
      <c r="O35" s="14"/>
      <c r="P35" s="14"/>
      <c r="Q35" s="14"/>
      <c r="R35" s="14"/>
    </row>
    <row r="36" spans="1:18" x14ac:dyDescent="0.25">
      <c r="A36" s="16" t="s">
        <v>3963</v>
      </c>
      <c r="B36" s="117" t="s">
        <v>1840</v>
      </c>
      <c r="C36" s="117" t="s">
        <v>456</v>
      </c>
      <c r="D36" s="117" t="s">
        <v>249</v>
      </c>
      <c r="E36" s="117" t="s">
        <v>1841</v>
      </c>
      <c r="F36" s="117" t="s">
        <v>197</v>
      </c>
      <c r="G36" s="118" t="s">
        <v>255</v>
      </c>
      <c r="H36" s="69">
        <v>1079.2346924046869</v>
      </c>
      <c r="I36" s="66">
        <v>9321</v>
      </c>
      <c r="J36" s="66">
        <v>0</v>
      </c>
      <c r="K36" s="64">
        <v>100.59547000000001</v>
      </c>
      <c r="L36" s="24">
        <v>9.7693157106229709E-6</v>
      </c>
      <c r="M36" s="32">
        <v>8.4440848854498898E-3</v>
      </c>
      <c r="N36" s="32">
        <v>4.1437090977898495E-4</v>
      </c>
      <c r="O36" s="14"/>
      <c r="P36" s="14"/>
      <c r="Q36" s="14"/>
      <c r="R36" s="14"/>
    </row>
    <row r="37" spans="1:18" x14ac:dyDescent="0.25">
      <c r="A37" s="16" t="s">
        <v>3964</v>
      </c>
      <c r="B37" s="117" t="s">
        <v>1854</v>
      </c>
      <c r="C37" s="117" t="s">
        <v>456</v>
      </c>
      <c r="D37" s="117" t="s">
        <v>249</v>
      </c>
      <c r="E37" s="117" t="s">
        <v>679</v>
      </c>
      <c r="F37" s="117" t="s">
        <v>223</v>
      </c>
      <c r="G37" s="118" t="s">
        <v>255</v>
      </c>
      <c r="H37" s="69">
        <v>10601.704049214846</v>
      </c>
      <c r="I37" s="66">
        <v>916.2</v>
      </c>
      <c r="J37" s="66">
        <v>0</v>
      </c>
      <c r="K37" s="64">
        <v>97.132809999999992</v>
      </c>
      <c r="L37" s="24">
        <v>1.4044023907096915E-5</v>
      </c>
      <c r="M37" s="32">
        <v>8.1534257238648593E-3</v>
      </c>
      <c r="N37" s="32">
        <v>4.0010758783759628E-4</v>
      </c>
      <c r="O37" s="14"/>
      <c r="P37" s="14"/>
      <c r="Q37" s="14"/>
      <c r="R37" s="14"/>
    </row>
    <row r="38" spans="1:18" x14ac:dyDescent="0.25">
      <c r="A38" s="16" t="s">
        <v>1834</v>
      </c>
      <c r="B38" s="117" t="s">
        <v>1835</v>
      </c>
      <c r="C38" s="117" t="s">
        <v>456</v>
      </c>
      <c r="D38" s="117" t="s">
        <v>249</v>
      </c>
      <c r="E38" s="117" t="s">
        <v>584</v>
      </c>
      <c r="F38" s="117" t="s">
        <v>223</v>
      </c>
      <c r="G38" s="118" t="s">
        <v>255</v>
      </c>
      <c r="H38" s="69">
        <v>451.29847334122974</v>
      </c>
      <c r="I38" s="66">
        <v>23790</v>
      </c>
      <c r="J38" s="66">
        <v>0.61024900520000003</v>
      </c>
      <c r="K38" s="64">
        <v>107.97416</v>
      </c>
      <c r="L38" s="24">
        <v>9.5007386694830399E-6</v>
      </c>
      <c r="M38" s="32">
        <v>9.063459542215449E-3</v>
      </c>
      <c r="N38" s="32">
        <v>4.4476506657627505E-4</v>
      </c>
      <c r="O38" s="14"/>
      <c r="P38" s="14"/>
      <c r="Q38" s="14"/>
      <c r="R38" s="14"/>
    </row>
    <row r="39" spans="1:18" x14ac:dyDescent="0.25">
      <c r="A39" s="16" t="s">
        <v>3965</v>
      </c>
      <c r="B39" s="117" t="s">
        <v>1858</v>
      </c>
      <c r="C39" s="117" t="s">
        <v>456</v>
      </c>
      <c r="D39" s="117" t="s">
        <v>249</v>
      </c>
      <c r="E39" s="117" t="s">
        <v>1859</v>
      </c>
      <c r="F39" s="117" t="s">
        <v>197</v>
      </c>
      <c r="G39" s="118" t="s">
        <v>255</v>
      </c>
      <c r="H39" s="69">
        <v>3.2131337289469148</v>
      </c>
      <c r="I39" s="66">
        <v>42120</v>
      </c>
      <c r="J39" s="66">
        <v>0</v>
      </c>
      <c r="K39" s="64">
        <v>1.35337</v>
      </c>
      <c r="L39" s="24">
        <v>1.1154744826987717E-7</v>
      </c>
      <c r="M39" s="32">
        <v>1.1360323841045044E-4</v>
      </c>
      <c r="N39" s="32">
        <v>5.5747754662072233E-6</v>
      </c>
      <c r="O39" s="14"/>
      <c r="P39" s="14"/>
      <c r="Q39" s="14"/>
      <c r="R39" s="14"/>
    </row>
    <row r="40" spans="1:18" x14ac:dyDescent="0.25">
      <c r="A40" s="16" t="s">
        <v>1876</v>
      </c>
      <c r="B40" s="117" t="s">
        <v>1877</v>
      </c>
      <c r="C40" s="117" t="s">
        <v>456</v>
      </c>
      <c r="D40" s="117" t="s">
        <v>249</v>
      </c>
      <c r="E40" s="117" t="s">
        <v>1878</v>
      </c>
      <c r="F40" s="117" t="s">
        <v>215</v>
      </c>
      <c r="G40" s="118" t="s">
        <v>255</v>
      </c>
      <c r="H40" s="69">
        <v>1750.6953738163108</v>
      </c>
      <c r="I40" s="66">
        <v>1147</v>
      </c>
      <c r="J40" s="66">
        <v>0</v>
      </c>
      <c r="K40" s="64">
        <v>20.080479999999998</v>
      </c>
      <c r="L40" s="24">
        <v>1.4914580531658304E-6</v>
      </c>
      <c r="M40" s="32">
        <v>1.6855756791093952E-3</v>
      </c>
      <c r="N40" s="32">
        <v>8.271512391560683E-5</v>
      </c>
      <c r="O40" s="14"/>
      <c r="P40" s="14"/>
      <c r="Q40" s="14"/>
      <c r="R40" s="14"/>
    </row>
    <row r="41" spans="1:18" x14ac:dyDescent="0.25">
      <c r="A41" s="16" t="s">
        <v>3966</v>
      </c>
      <c r="B41" s="117" t="s">
        <v>1814</v>
      </c>
      <c r="C41" s="117" t="s">
        <v>456</v>
      </c>
      <c r="D41" s="117" t="s">
        <v>249</v>
      </c>
      <c r="E41" s="117" t="s">
        <v>1615</v>
      </c>
      <c r="F41" s="117" t="s">
        <v>193</v>
      </c>
      <c r="G41" s="118" t="s">
        <v>255</v>
      </c>
      <c r="H41" s="69">
        <v>243.20774920249463</v>
      </c>
      <c r="I41" s="66">
        <v>64510</v>
      </c>
      <c r="J41" s="66">
        <v>0</v>
      </c>
      <c r="K41" s="64">
        <v>156.89332000000002</v>
      </c>
      <c r="L41" s="24">
        <v>3.8402977361628452E-6</v>
      </c>
      <c r="M41" s="32">
        <v>1.3169783013490099E-2</v>
      </c>
      <c r="N41" s="32">
        <v>6.4627192205220989E-4</v>
      </c>
      <c r="O41" s="14"/>
      <c r="P41" s="14"/>
      <c r="Q41" s="14"/>
      <c r="R41" s="14"/>
    </row>
    <row r="42" spans="1:18" x14ac:dyDescent="0.25">
      <c r="A42" s="16" t="s">
        <v>1862</v>
      </c>
      <c r="B42" s="117" t="s">
        <v>1863</v>
      </c>
      <c r="C42" s="117" t="s">
        <v>456</v>
      </c>
      <c r="D42" s="117" t="s">
        <v>249</v>
      </c>
      <c r="E42" s="117" t="s">
        <v>601</v>
      </c>
      <c r="F42" s="117" t="s">
        <v>226</v>
      </c>
      <c r="G42" s="118" t="s">
        <v>255</v>
      </c>
      <c r="H42" s="69">
        <v>2317.0326229710654</v>
      </c>
      <c r="I42" s="66">
        <v>5193</v>
      </c>
      <c r="J42" s="66">
        <v>0</v>
      </c>
      <c r="K42" s="64">
        <v>120.3235</v>
      </c>
      <c r="L42" s="24">
        <v>2.2889163301143299E-5</v>
      </c>
      <c r="M42" s="32">
        <v>1.0100075557223698E-2</v>
      </c>
      <c r="N42" s="32">
        <v>4.9563422848754215E-4</v>
      </c>
      <c r="O42" s="14"/>
      <c r="P42" s="14"/>
      <c r="Q42" s="14"/>
      <c r="R42" s="14"/>
    </row>
    <row r="43" spans="1:18" x14ac:dyDescent="0.25">
      <c r="A43" s="16" t="s">
        <v>1830</v>
      </c>
      <c r="B43" s="117" t="s">
        <v>1831</v>
      </c>
      <c r="C43" s="117" t="s">
        <v>456</v>
      </c>
      <c r="D43" s="117" t="s">
        <v>249</v>
      </c>
      <c r="E43" s="117" t="s">
        <v>629</v>
      </c>
      <c r="F43" s="117" t="s">
        <v>223</v>
      </c>
      <c r="G43" s="118" t="s">
        <v>255</v>
      </c>
      <c r="H43" s="69">
        <v>539.0986525510732</v>
      </c>
      <c r="I43" s="66">
        <v>19540</v>
      </c>
      <c r="J43" s="66">
        <v>0</v>
      </c>
      <c r="K43" s="64">
        <v>105.33988000000001</v>
      </c>
      <c r="L43" s="24">
        <v>4.4453400132979013E-6</v>
      </c>
      <c r="M43" s="32">
        <v>8.8423354306422057E-3</v>
      </c>
      <c r="N43" s="32">
        <v>4.3391399147107816E-4</v>
      </c>
      <c r="O43" s="14"/>
      <c r="P43" s="14"/>
      <c r="Q43" s="14"/>
      <c r="R43" s="14"/>
    </row>
    <row r="44" spans="1:18" x14ac:dyDescent="0.25">
      <c r="A44" s="16" t="s">
        <v>1872</v>
      </c>
      <c r="B44" s="117" t="s">
        <v>1873</v>
      </c>
      <c r="C44" s="117" t="s">
        <v>456</v>
      </c>
      <c r="D44" s="117" t="s">
        <v>249</v>
      </c>
      <c r="E44" s="117" t="s">
        <v>4006</v>
      </c>
      <c r="F44" s="117" t="s">
        <v>228</v>
      </c>
      <c r="G44" s="118" t="s">
        <v>255</v>
      </c>
      <c r="H44" s="69">
        <v>592.82763786510429</v>
      </c>
      <c r="I44" s="66">
        <v>8800</v>
      </c>
      <c r="J44" s="66">
        <v>0</v>
      </c>
      <c r="K44" s="64">
        <v>52.16883</v>
      </c>
      <c r="L44" s="24">
        <v>1.1170035873873042E-5</v>
      </c>
      <c r="M44" s="32">
        <v>4.3791040381301934E-3</v>
      </c>
      <c r="N44" s="32">
        <v>2.148928331385618E-4</v>
      </c>
      <c r="O44" s="14"/>
      <c r="P44" s="14"/>
      <c r="Q44" s="14"/>
      <c r="R44" s="14"/>
    </row>
    <row r="45" spans="1:18" x14ac:dyDescent="0.25">
      <c r="A45" s="16" t="s">
        <v>3967</v>
      </c>
      <c r="B45" s="117" t="s">
        <v>1820</v>
      </c>
      <c r="C45" s="117" t="s">
        <v>456</v>
      </c>
      <c r="D45" s="117" t="s">
        <v>249</v>
      </c>
      <c r="E45" s="117" t="s">
        <v>1295</v>
      </c>
      <c r="F45" s="117" t="s">
        <v>208</v>
      </c>
      <c r="G45" s="118" t="s">
        <v>255</v>
      </c>
      <c r="H45" s="69">
        <v>1372.0380957107041</v>
      </c>
      <c r="I45" s="66">
        <v>8007.0000000000009</v>
      </c>
      <c r="J45" s="66">
        <v>0</v>
      </c>
      <c r="K45" s="64">
        <v>109.85908999999999</v>
      </c>
      <c r="L45" s="24">
        <v>1.1773925788987125E-5</v>
      </c>
      <c r="M45" s="32">
        <v>9.221682461429714E-3</v>
      </c>
      <c r="N45" s="32">
        <v>4.5252943368912516E-4</v>
      </c>
      <c r="O45" s="14"/>
      <c r="P45" s="14"/>
      <c r="Q45" s="14"/>
      <c r="R45" s="14"/>
    </row>
    <row r="46" spans="1:18" x14ac:dyDescent="0.25">
      <c r="A46" s="16" t="s">
        <v>1850</v>
      </c>
      <c r="B46" s="117" t="s">
        <v>1851</v>
      </c>
      <c r="C46" s="117" t="s">
        <v>456</v>
      </c>
      <c r="D46" s="117" t="s">
        <v>249</v>
      </c>
      <c r="E46" s="117" t="s">
        <v>589</v>
      </c>
      <c r="F46" s="117" t="s">
        <v>226</v>
      </c>
      <c r="G46" s="118" t="s">
        <v>255</v>
      </c>
      <c r="H46" s="69">
        <v>1488.4297022030287</v>
      </c>
      <c r="I46" s="66">
        <v>1022.0000000000001</v>
      </c>
      <c r="J46" s="66">
        <v>0</v>
      </c>
      <c r="K46" s="64">
        <v>15.21175</v>
      </c>
      <c r="L46" s="24">
        <v>2.7214375994353783E-6</v>
      </c>
      <c r="M46" s="32">
        <v>1.2768895881319739E-3</v>
      </c>
      <c r="N46" s="32">
        <v>6.2659945689706243E-5</v>
      </c>
      <c r="O46" s="14"/>
      <c r="P46" s="14"/>
      <c r="Q46" s="14"/>
      <c r="R46" s="14"/>
    </row>
    <row r="47" spans="1:18" x14ac:dyDescent="0.25">
      <c r="A47" s="16" t="s">
        <v>3968</v>
      </c>
      <c r="B47" s="117" t="s">
        <v>1881</v>
      </c>
      <c r="C47" s="117" t="s">
        <v>456</v>
      </c>
      <c r="D47" s="117" t="s">
        <v>249</v>
      </c>
      <c r="E47" s="117" t="s">
        <v>589</v>
      </c>
      <c r="F47" s="117" t="s">
        <v>226</v>
      </c>
      <c r="G47" s="118" t="s">
        <v>255</v>
      </c>
      <c r="H47" s="69">
        <v>8518.2798924691051</v>
      </c>
      <c r="I47" s="66">
        <v>952.02735900000005</v>
      </c>
      <c r="J47" s="66">
        <v>0</v>
      </c>
      <c r="K47" s="64">
        <v>81.096360000000004</v>
      </c>
      <c r="L47" s="24">
        <v>1.5574781360226877E-5</v>
      </c>
      <c r="M47" s="32">
        <v>6.8073099886207895E-3</v>
      </c>
      <c r="N47" s="32">
        <v>3.340505538963542E-4</v>
      </c>
      <c r="O47" s="14"/>
      <c r="P47" s="14"/>
      <c r="Q47" s="14"/>
      <c r="R47" s="14"/>
    </row>
    <row r="48" spans="1:18" x14ac:dyDescent="0.25">
      <c r="A48" s="16" t="s">
        <v>1848</v>
      </c>
      <c r="B48" s="117" t="s">
        <v>1849</v>
      </c>
      <c r="C48" s="117" t="s">
        <v>456</v>
      </c>
      <c r="D48" s="117" t="s">
        <v>249</v>
      </c>
      <c r="E48" s="117" t="s">
        <v>1221</v>
      </c>
      <c r="F48" s="117" t="s">
        <v>210</v>
      </c>
      <c r="G48" s="118" t="s">
        <v>255</v>
      </c>
      <c r="H48" s="69">
        <v>11416.316141603147</v>
      </c>
      <c r="I48" s="66">
        <v>2562</v>
      </c>
      <c r="J48" s="66">
        <v>0</v>
      </c>
      <c r="K48" s="64">
        <v>292.48602</v>
      </c>
      <c r="L48" s="24">
        <v>3.1954795040684701E-5</v>
      </c>
      <c r="M48" s="32">
        <v>2.4551570569603123E-2</v>
      </c>
      <c r="N48" s="32">
        <v>1.2048027431556746E-3</v>
      </c>
      <c r="O48" s="14"/>
      <c r="P48" s="14"/>
      <c r="Q48" s="14"/>
      <c r="R48" s="14"/>
    </row>
    <row r="49" spans="1:18" s="119" customFormat="1" x14ac:dyDescent="0.25">
      <c r="A49" s="92" t="s">
        <v>1882</v>
      </c>
      <c r="B49" s="131" t="s">
        <v>249</v>
      </c>
      <c r="C49" s="131" t="s">
        <v>249</v>
      </c>
      <c r="D49" s="131" t="s">
        <v>249</v>
      </c>
      <c r="E49" s="131" t="s">
        <v>249</v>
      </c>
      <c r="F49" s="131" t="s">
        <v>249</v>
      </c>
      <c r="G49" s="132" t="s">
        <v>249</v>
      </c>
      <c r="H49" s="135" t="s">
        <v>249</v>
      </c>
      <c r="I49" s="122" t="s">
        <v>249</v>
      </c>
      <c r="J49" s="122" t="s">
        <v>249</v>
      </c>
      <c r="K49" s="152">
        <v>1958.0679801000008</v>
      </c>
      <c r="L49" s="137"/>
      <c r="M49" s="121">
        <v>0.1643621947931235</v>
      </c>
      <c r="N49" s="121">
        <v>8.0656356625515707E-3</v>
      </c>
    </row>
    <row r="50" spans="1:18" x14ac:dyDescent="0.25">
      <c r="A50" s="16" t="s">
        <v>1961</v>
      </c>
      <c r="B50" s="117" t="s">
        <v>1962</v>
      </c>
      <c r="C50" s="117" t="s">
        <v>456</v>
      </c>
      <c r="D50" s="117" t="s">
        <v>249</v>
      </c>
      <c r="E50" s="117" t="s">
        <v>1963</v>
      </c>
      <c r="F50" s="117" t="s">
        <v>204</v>
      </c>
      <c r="G50" s="118" t="s">
        <v>255</v>
      </c>
      <c r="H50" s="69">
        <v>7503.7572117236377</v>
      </c>
      <c r="I50" s="66">
        <v>178.2</v>
      </c>
      <c r="J50" s="66">
        <v>0</v>
      </c>
      <c r="K50" s="64">
        <v>13.371700000000001</v>
      </c>
      <c r="L50" s="24">
        <v>1.4692573641797942E-5</v>
      </c>
      <c r="M50" s="32">
        <v>1.122433941237814E-3</v>
      </c>
      <c r="N50" s="32">
        <v>5.5080447402767267E-5</v>
      </c>
      <c r="O50" s="14"/>
      <c r="P50" s="14"/>
      <c r="Q50" s="14"/>
      <c r="R50" s="14"/>
    </row>
    <row r="51" spans="1:18" x14ac:dyDescent="0.25">
      <c r="A51" s="16" t="s">
        <v>2008</v>
      </c>
      <c r="B51" s="117" t="s">
        <v>2009</v>
      </c>
      <c r="C51" s="117" t="s">
        <v>456</v>
      </c>
      <c r="D51" s="117" t="s">
        <v>249</v>
      </c>
      <c r="E51" s="117" t="s">
        <v>1100</v>
      </c>
      <c r="F51" s="117" t="s">
        <v>226</v>
      </c>
      <c r="G51" s="118" t="s">
        <v>255</v>
      </c>
      <c r="H51" s="69">
        <v>2670.4632819328544</v>
      </c>
      <c r="I51" s="66">
        <v>887.7</v>
      </c>
      <c r="J51" s="66">
        <v>0</v>
      </c>
      <c r="K51" s="64">
        <v>23.7057</v>
      </c>
      <c r="L51" s="24">
        <v>1.0007656822542825E-5</v>
      </c>
      <c r="M51" s="32">
        <v>1.9898802905241103E-3</v>
      </c>
      <c r="N51" s="32">
        <v>9.7648059857443706E-5</v>
      </c>
      <c r="O51" s="14"/>
      <c r="P51" s="14"/>
      <c r="Q51" s="14"/>
      <c r="R51" s="14"/>
    </row>
    <row r="52" spans="1:18" x14ac:dyDescent="0.25">
      <c r="A52" s="16" t="s">
        <v>3969</v>
      </c>
      <c r="B52" s="117" t="s">
        <v>2032</v>
      </c>
      <c r="C52" s="117" t="s">
        <v>456</v>
      </c>
      <c r="D52" s="117" t="s">
        <v>249</v>
      </c>
      <c r="E52" s="117" t="s">
        <v>1100</v>
      </c>
      <c r="F52" s="117" t="s">
        <v>226</v>
      </c>
      <c r="G52" s="118" t="s">
        <v>255</v>
      </c>
      <c r="H52" s="69">
        <v>1629.6791554778165</v>
      </c>
      <c r="I52" s="66">
        <v>844.97222900000008</v>
      </c>
      <c r="J52" s="66">
        <v>0</v>
      </c>
      <c r="K52" s="64">
        <v>13.770340000000001</v>
      </c>
      <c r="L52" s="24">
        <v>6.107281020942896E-6</v>
      </c>
      <c r="M52" s="32">
        <v>1.1558961836105146E-3</v>
      </c>
      <c r="N52" s="32">
        <v>5.6722517562331063E-5</v>
      </c>
      <c r="O52" s="14"/>
      <c r="P52" s="14"/>
      <c r="Q52" s="14"/>
      <c r="R52" s="14"/>
    </row>
    <row r="53" spans="1:18" x14ac:dyDescent="0.25">
      <c r="A53" s="16" t="s">
        <v>1958</v>
      </c>
      <c r="B53" s="117" t="s">
        <v>1959</v>
      </c>
      <c r="C53" s="117" t="s">
        <v>456</v>
      </c>
      <c r="D53" s="117" t="s">
        <v>249</v>
      </c>
      <c r="E53" s="117" t="s">
        <v>1960</v>
      </c>
      <c r="F53" s="117" t="s">
        <v>213</v>
      </c>
      <c r="G53" s="118" t="s">
        <v>255</v>
      </c>
      <c r="H53" s="69">
        <v>3835.0447707252883</v>
      </c>
      <c r="I53" s="66">
        <v>165.9</v>
      </c>
      <c r="J53" s="66">
        <v>0</v>
      </c>
      <c r="K53" s="64">
        <v>6.3623400000000006</v>
      </c>
      <c r="L53" s="24">
        <v>1.2918998688180397E-5</v>
      </c>
      <c r="M53" s="32">
        <v>5.3406121597814743E-4</v>
      </c>
      <c r="N53" s="32">
        <v>2.6207627581274056E-5</v>
      </c>
      <c r="O53" s="14"/>
      <c r="P53" s="14"/>
      <c r="Q53" s="14"/>
      <c r="R53" s="14"/>
    </row>
    <row r="54" spans="1:18" x14ac:dyDescent="0.25">
      <c r="A54" s="16" t="s">
        <v>1974</v>
      </c>
      <c r="B54" s="117" t="s">
        <v>1975</v>
      </c>
      <c r="C54" s="117" t="s">
        <v>456</v>
      </c>
      <c r="D54" s="117" t="s">
        <v>249</v>
      </c>
      <c r="E54" s="117" t="s">
        <v>1976</v>
      </c>
      <c r="F54" s="117" t="s">
        <v>223</v>
      </c>
      <c r="G54" s="118" t="s">
        <v>255</v>
      </c>
      <c r="H54" s="69">
        <v>84.956842136966273</v>
      </c>
      <c r="I54" s="66">
        <v>22550</v>
      </c>
      <c r="J54" s="66">
        <v>0</v>
      </c>
      <c r="K54" s="64">
        <v>19.157769999999999</v>
      </c>
      <c r="L54" s="24">
        <v>1.465042404982817E-5</v>
      </c>
      <c r="M54" s="32">
        <v>1.6081224740629506E-3</v>
      </c>
      <c r="N54" s="32">
        <v>7.8914314772191463E-5</v>
      </c>
      <c r="O54" s="14"/>
      <c r="P54" s="14"/>
      <c r="Q54" s="14"/>
      <c r="R54" s="14"/>
    </row>
    <row r="55" spans="1:18" x14ac:dyDescent="0.25">
      <c r="A55" s="16" t="s">
        <v>1911</v>
      </c>
      <c r="B55" s="117" t="s">
        <v>1912</v>
      </c>
      <c r="C55" s="117" t="s">
        <v>456</v>
      </c>
      <c r="D55" s="117" t="s">
        <v>249</v>
      </c>
      <c r="E55" s="117" t="s">
        <v>1913</v>
      </c>
      <c r="F55" s="117" t="s">
        <v>201</v>
      </c>
      <c r="G55" s="118" t="s">
        <v>255</v>
      </c>
      <c r="H55" s="69">
        <v>133.16030112787428</v>
      </c>
      <c r="I55" s="66">
        <v>8921</v>
      </c>
      <c r="J55" s="66">
        <v>0</v>
      </c>
      <c r="K55" s="64">
        <v>11.87923</v>
      </c>
      <c r="L55" s="24">
        <v>9.0740095786512858E-6</v>
      </c>
      <c r="M55" s="32">
        <v>9.9715450898318664E-4</v>
      </c>
      <c r="N55" s="32">
        <v>4.8932693913292622E-5</v>
      </c>
      <c r="O55" s="14"/>
      <c r="P55" s="14"/>
      <c r="Q55" s="14"/>
      <c r="R55" s="14"/>
    </row>
    <row r="56" spans="1:18" x14ac:dyDescent="0.25">
      <c r="A56" s="16" t="s">
        <v>3970</v>
      </c>
      <c r="B56" s="117" t="s">
        <v>1915</v>
      </c>
      <c r="C56" s="117" t="s">
        <v>456</v>
      </c>
      <c r="D56" s="117" t="s">
        <v>249</v>
      </c>
      <c r="E56" s="117" t="s">
        <v>1916</v>
      </c>
      <c r="F56" s="117" t="s">
        <v>210</v>
      </c>
      <c r="G56" s="118" t="s">
        <v>255</v>
      </c>
      <c r="H56" s="69">
        <v>2617.0525108436059</v>
      </c>
      <c r="I56" s="66">
        <v>1178</v>
      </c>
      <c r="J56" s="66">
        <v>0</v>
      </c>
      <c r="K56" s="64">
        <v>30.828880000000002</v>
      </c>
      <c r="L56" s="24">
        <v>2.0919681162027689E-5</v>
      </c>
      <c r="M56" s="32">
        <v>2.5878071810127076E-3</v>
      </c>
      <c r="N56" s="32">
        <v>1.2698972481630787E-4</v>
      </c>
      <c r="O56" s="14"/>
      <c r="P56" s="14"/>
      <c r="Q56" s="14"/>
      <c r="R56" s="14"/>
    </row>
    <row r="57" spans="1:18" x14ac:dyDescent="0.25">
      <c r="A57" s="16" t="s">
        <v>1485</v>
      </c>
      <c r="B57" s="117" t="s">
        <v>2010</v>
      </c>
      <c r="C57" s="117" t="s">
        <v>456</v>
      </c>
      <c r="D57" s="117" t="s">
        <v>249</v>
      </c>
      <c r="E57" s="117" t="s">
        <v>1487</v>
      </c>
      <c r="F57" s="117" t="s">
        <v>205</v>
      </c>
      <c r="G57" s="118" t="s">
        <v>255</v>
      </c>
      <c r="H57" s="69">
        <v>63.79622652412305</v>
      </c>
      <c r="I57" s="66">
        <v>6988</v>
      </c>
      <c r="J57" s="66">
        <v>0</v>
      </c>
      <c r="K57" s="64">
        <v>4.4580799999999998</v>
      </c>
      <c r="L57" s="24">
        <v>3.6923176685375351E-6</v>
      </c>
      <c r="M57" s="32">
        <v>3.7421571713046759E-4</v>
      </c>
      <c r="N57" s="32">
        <v>1.8363636707174757E-5</v>
      </c>
      <c r="O57" s="14"/>
      <c r="P57" s="14"/>
      <c r="Q57" s="14"/>
      <c r="R57" s="14"/>
    </row>
    <row r="58" spans="1:18" x14ac:dyDescent="0.25">
      <c r="A58" s="16" t="s">
        <v>3971</v>
      </c>
      <c r="B58" s="117" t="s">
        <v>2020</v>
      </c>
      <c r="C58" s="117" t="s">
        <v>456</v>
      </c>
      <c r="D58" s="117" t="s">
        <v>249</v>
      </c>
      <c r="E58" s="117" t="s">
        <v>1487</v>
      </c>
      <c r="F58" s="117" t="s">
        <v>205</v>
      </c>
      <c r="G58" s="118" t="s">
        <v>255</v>
      </c>
      <c r="H58" s="69">
        <v>90.565512300580892</v>
      </c>
      <c r="I58" s="66">
        <v>6689.4363880000001</v>
      </c>
      <c r="J58" s="66">
        <v>0</v>
      </c>
      <c r="K58" s="64">
        <v>6.0583200000000001</v>
      </c>
      <c r="L58" s="24">
        <v>5.241636683654699E-6</v>
      </c>
      <c r="M58" s="32">
        <v>5.0854147153165806E-4</v>
      </c>
      <c r="N58" s="32">
        <v>2.4955314291311723E-5</v>
      </c>
      <c r="O58" s="14"/>
      <c r="P58" s="14"/>
      <c r="Q58" s="14"/>
      <c r="R58" s="14"/>
    </row>
    <row r="59" spans="1:18" x14ac:dyDescent="0.25">
      <c r="A59" s="16" t="s">
        <v>1890</v>
      </c>
      <c r="B59" s="117" t="s">
        <v>1891</v>
      </c>
      <c r="C59" s="117" t="s">
        <v>456</v>
      </c>
      <c r="D59" s="117" t="s">
        <v>249</v>
      </c>
      <c r="E59" s="117" t="s">
        <v>1892</v>
      </c>
      <c r="F59" s="117" t="s">
        <v>228</v>
      </c>
      <c r="G59" s="118" t="s">
        <v>255</v>
      </c>
      <c r="H59" s="69">
        <v>650.55294052633542</v>
      </c>
      <c r="I59" s="66">
        <v>11260</v>
      </c>
      <c r="J59" s="66">
        <v>0</v>
      </c>
      <c r="K59" s="64">
        <v>73.252259999999993</v>
      </c>
      <c r="L59" s="24">
        <v>2.3964806117337151E-5</v>
      </c>
      <c r="M59" s="32">
        <v>6.1488683485553123E-3</v>
      </c>
      <c r="N59" s="32">
        <v>3.0173928924997063E-4</v>
      </c>
      <c r="O59" s="14"/>
      <c r="P59" s="14"/>
      <c r="Q59" s="14"/>
      <c r="R59" s="14"/>
    </row>
    <row r="60" spans="1:18" x14ac:dyDescent="0.25">
      <c r="A60" s="16" t="s">
        <v>1936</v>
      </c>
      <c r="B60" s="117" t="s">
        <v>1937</v>
      </c>
      <c r="C60" s="117" t="s">
        <v>456</v>
      </c>
      <c r="D60" s="117" t="s">
        <v>249</v>
      </c>
      <c r="E60" s="117" t="s">
        <v>1531</v>
      </c>
      <c r="F60" s="117" t="s">
        <v>224</v>
      </c>
      <c r="G60" s="118" t="s">
        <v>255</v>
      </c>
      <c r="H60" s="69">
        <v>1278.9971441084981</v>
      </c>
      <c r="I60" s="66">
        <v>3661</v>
      </c>
      <c r="J60" s="66">
        <v>0</v>
      </c>
      <c r="K60" s="64">
        <v>46.824089999999998</v>
      </c>
      <c r="L60" s="24">
        <v>2.2527921767601019E-5</v>
      </c>
      <c r="M60" s="32">
        <v>3.9304611891961463E-3</v>
      </c>
      <c r="N60" s="32">
        <v>1.928768837490701E-4</v>
      </c>
      <c r="O60" s="14"/>
      <c r="P60" s="14"/>
      <c r="Q60" s="14"/>
      <c r="R60" s="14"/>
    </row>
    <row r="61" spans="1:18" x14ac:dyDescent="0.25">
      <c r="A61" s="16" t="s">
        <v>1956</v>
      </c>
      <c r="B61" s="117" t="s">
        <v>1957</v>
      </c>
      <c r="C61" s="117" t="s">
        <v>456</v>
      </c>
      <c r="D61" s="117" t="s">
        <v>249</v>
      </c>
      <c r="E61" s="117" t="s">
        <v>1307</v>
      </c>
      <c r="F61" s="117" t="s">
        <v>226</v>
      </c>
      <c r="G61" s="118" t="s">
        <v>255</v>
      </c>
      <c r="H61" s="69">
        <v>213.14496195791563</v>
      </c>
      <c r="I61" s="66">
        <v>19810</v>
      </c>
      <c r="J61" s="66">
        <v>0</v>
      </c>
      <c r="K61" s="64">
        <v>42.224019999999996</v>
      </c>
      <c r="L61" s="24">
        <v>1.6858018354826973E-5</v>
      </c>
      <c r="M61" s="32">
        <v>3.5443266887160403E-3</v>
      </c>
      <c r="N61" s="32">
        <v>1.7392836458665636E-4</v>
      </c>
      <c r="O61" s="14"/>
      <c r="P61" s="14"/>
      <c r="Q61" s="14"/>
      <c r="R61" s="14"/>
    </row>
    <row r="62" spans="1:18" x14ac:dyDescent="0.25">
      <c r="A62" s="16" t="s">
        <v>2028</v>
      </c>
      <c r="B62" s="117" t="s">
        <v>2029</v>
      </c>
      <c r="C62" s="117" t="s">
        <v>456</v>
      </c>
      <c r="D62" s="117" t="s">
        <v>249</v>
      </c>
      <c r="E62" s="117" t="s">
        <v>2030</v>
      </c>
      <c r="F62" s="117" t="s">
        <v>224</v>
      </c>
      <c r="G62" s="118" t="s">
        <v>255</v>
      </c>
      <c r="H62" s="69">
        <v>22.137372547447896</v>
      </c>
      <c r="I62" s="66">
        <v>5580</v>
      </c>
      <c r="J62" s="66">
        <v>0</v>
      </c>
      <c r="K62" s="64">
        <v>1.2352700000000001</v>
      </c>
      <c r="L62" s="24">
        <v>1.2229556095879993E-6</v>
      </c>
      <c r="M62" s="32">
        <v>1.0368980567862234E-4</v>
      </c>
      <c r="N62" s="32">
        <v>5.0883002358126732E-6</v>
      </c>
      <c r="O62" s="14"/>
      <c r="P62" s="14"/>
      <c r="Q62" s="14"/>
      <c r="R62" s="14"/>
    </row>
    <row r="63" spans="1:18" x14ac:dyDescent="0.25">
      <c r="A63" s="16" t="s">
        <v>2033</v>
      </c>
      <c r="B63" s="117" t="s">
        <v>2034</v>
      </c>
      <c r="C63" s="117" t="s">
        <v>456</v>
      </c>
      <c r="D63" s="117" t="s">
        <v>249</v>
      </c>
      <c r="E63" s="117" t="s">
        <v>1538</v>
      </c>
      <c r="F63" s="117" t="s">
        <v>225</v>
      </c>
      <c r="G63" s="118" t="s">
        <v>255</v>
      </c>
      <c r="H63" s="69">
        <v>213.80135627523282</v>
      </c>
      <c r="I63" s="66">
        <v>10550</v>
      </c>
      <c r="J63" s="66">
        <v>0</v>
      </c>
      <c r="K63" s="64">
        <v>22.556039999999999</v>
      </c>
      <c r="L63" s="24">
        <v>1.7112578543894712E-5</v>
      </c>
      <c r="M63" s="32">
        <v>1.8933766743134965E-3</v>
      </c>
      <c r="N63" s="32">
        <v>9.2912402673909415E-5</v>
      </c>
      <c r="O63" s="14"/>
      <c r="P63" s="14"/>
      <c r="Q63" s="14"/>
      <c r="R63" s="14"/>
    </row>
    <row r="64" spans="1:18" x14ac:dyDescent="0.25">
      <c r="A64" s="16" t="s">
        <v>3972</v>
      </c>
      <c r="B64" s="117" t="s">
        <v>1966</v>
      </c>
      <c r="C64" s="117" t="s">
        <v>456</v>
      </c>
      <c r="D64" s="117" t="s">
        <v>249</v>
      </c>
      <c r="E64" s="117" t="s">
        <v>1193</v>
      </c>
      <c r="F64" s="117" t="s">
        <v>225</v>
      </c>
      <c r="G64" s="118" t="s">
        <v>255</v>
      </c>
      <c r="H64" s="69">
        <v>1513.4148766977523</v>
      </c>
      <c r="I64" s="66">
        <v>125.9</v>
      </c>
      <c r="J64" s="66">
        <v>0</v>
      </c>
      <c r="K64" s="64">
        <v>1.9053900000000001</v>
      </c>
      <c r="L64" s="24">
        <v>4.7990723599670128E-7</v>
      </c>
      <c r="M64" s="32">
        <v>1.5994035218372521E-4</v>
      </c>
      <c r="N64" s="32">
        <v>7.8486455481919827E-6</v>
      </c>
      <c r="O64" s="14"/>
      <c r="P64" s="14"/>
      <c r="Q64" s="14"/>
      <c r="R64" s="14"/>
    </row>
    <row r="65" spans="1:18" x14ac:dyDescent="0.25">
      <c r="A65" s="16" t="s">
        <v>2011</v>
      </c>
      <c r="B65" s="117" t="s">
        <v>2012</v>
      </c>
      <c r="C65" s="117" t="s">
        <v>456</v>
      </c>
      <c r="D65" s="117" t="s">
        <v>249</v>
      </c>
      <c r="E65" s="117" t="s">
        <v>985</v>
      </c>
      <c r="F65" s="117" t="s">
        <v>228</v>
      </c>
      <c r="G65" s="118" t="s">
        <v>255</v>
      </c>
      <c r="H65" s="69">
        <v>25273.231907259757</v>
      </c>
      <c r="I65" s="66">
        <v>58.3</v>
      </c>
      <c r="J65" s="66">
        <v>0</v>
      </c>
      <c r="K65" s="64">
        <v>14.734290000000001</v>
      </c>
      <c r="L65" s="24">
        <v>1.9979540552620463E-5</v>
      </c>
      <c r="M65" s="32">
        <v>1.2368111157175909E-3</v>
      </c>
      <c r="N65" s="32">
        <v>6.0693201714226299E-5</v>
      </c>
      <c r="O65" s="14"/>
      <c r="P65" s="14"/>
      <c r="Q65" s="14"/>
      <c r="R65" s="14"/>
    </row>
    <row r="66" spans="1:18" x14ac:dyDescent="0.25">
      <c r="A66" s="16" t="s">
        <v>1899</v>
      </c>
      <c r="B66" s="117" t="s">
        <v>1900</v>
      </c>
      <c r="C66" s="117" t="s">
        <v>456</v>
      </c>
      <c r="D66" s="117" t="s">
        <v>249</v>
      </c>
      <c r="E66" s="117" t="s">
        <v>614</v>
      </c>
      <c r="F66" s="117" t="s">
        <v>224</v>
      </c>
      <c r="G66" s="118" t="s">
        <v>255</v>
      </c>
      <c r="H66" s="69">
        <v>1234.406451369176</v>
      </c>
      <c r="I66" s="66">
        <v>1136.095476</v>
      </c>
      <c r="J66" s="66">
        <v>0</v>
      </c>
      <c r="K66" s="64">
        <v>14.024040000000001</v>
      </c>
      <c r="L66" s="24">
        <v>6.9138832916901146E-6</v>
      </c>
      <c r="M66" s="32">
        <v>1.177192016667795E-3</v>
      </c>
      <c r="N66" s="32">
        <v>5.7767553683847554E-5</v>
      </c>
      <c r="O66" s="14"/>
      <c r="P66" s="14"/>
      <c r="Q66" s="14"/>
      <c r="R66" s="14"/>
    </row>
    <row r="67" spans="1:18" x14ac:dyDescent="0.25">
      <c r="A67" s="16" t="s">
        <v>612</v>
      </c>
      <c r="B67" s="117" t="s">
        <v>1965</v>
      </c>
      <c r="C67" s="117" t="s">
        <v>456</v>
      </c>
      <c r="D67" s="117" t="s">
        <v>249</v>
      </c>
      <c r="E67" s="117" t="s">
        <v>614</v>
      </c>
      <c r="F67" s="117" t="s">
        <v>224</v>
      </c>
      <c r="G67" s="118" t="s">
        <v>255</v>
      </c>
      <c r="H67" s="69">
        <v>87.824342059529812</v>
      </c>
      <c r="I67" s="66">
        <v>1167</v>
      </c>
      <c r="J67" s="66">
        <v>0</v>
      </c>
      <c r="K67" s="64">
        <v>1.02491</v>
      </c>
      <c r="L67" s="24">
        <v>4.919022016577764E-7</v>
      </c>
      <c r="M67" s="32">
        <v>8.6031975793208649E-5</v>
      </c>
      <c r="N67" s="32">
        <v>4.2217894020633278E-6</v>
      </c>
      <c r="O67" s="14"/>
      <c r="P67" s="14"/>
      <c r="Q67" s="14"/>
      <c r="R67" s="14"/>
    </row>
    <row r="68" spans="1:18" x14ac:dyDescent="0.25">
      <c r="A68" s="16" t="s">
        <v>1985</v>
      </c>
      <c r="B68" s="117" t="s">
        <v>1986</v>
      </c>
      <c r="C68" s="117" t="s">
        <v>456</v>
      </c>
      <c r="D68" s="117" t="s">
        <v>249</v>
      </c>
      <c r="E68" s="117" t="s">
        <v>1987</v>
      </c>
      <c r="F68" s="117" t="s">
        <v>203</v>
      </c>
      <c r="G68" s="118" t="s">
        <v>255</v>
      </c>
      <c r="H68" s="69">
        <v>322.14699120887144</v>
      </c>
      <c r="I68" s="66">
        <v>3186</v>
      </c>
      <c r="J68" s="66">
        <v>0</v>
      </c>
      <c r="K68" s="64">
        <v>10.2636</v>
      </c>
      <c r="L68" s="24">
        <v>1.1741285588887791E-5</v>
      </c>
      <c r="M68" s="32">
        <v>8.6153690250966052E-4</v>
      </c>
      <c r="N68" s="32">
        <v>4.2277622139521685E-5</v>
      </c>
      <c r="O68" s="14"/>
      <c r="P68" s="14"/>
      <c r="Q68" s="14"/>
      <c r="R68" s="14"/>
    </row>
    <row r="69" spans="1:18" x14ac:dyDescent="0.25">
      <c r="A69" s="16" t="s">
        <v>1998</v>
      </c>
      <c r="B69" s="117" t="s">
        <v>1999</v>
      </c>
      <c r="C69" s="117" t="s">
        <v>456</v>
      </c>
      <c r="D69" s="117" t="s">
        <v>249</v>
      </c>
      <c r="E69" s="117" t="s">
        <v>1987</v>
      </c>
      <c r="F69" s="117" t="s">
        <v>203</v>
      </c>
      <c r="G69" s="118" t="s">
        <v>255</v>
      </c>
      <c r="H69" s="69">
        <v>179.70068895559658</v>
      </c>
      <c r="I69" s="66">
        <v>3163.312328</v>
      </c>
      <c r="J69" s="66">
        <v>0</v>
      </c>
      <c r="K69" s="64">
        <v>5.6844899999999994</v>
      </c>
      <c r="L69" s="24">
        <v>6.5495477751631088E-6</v>
      </c>
      <c r="M69" s="32">
        <v>4.7716180550168947E-4</v>
      </c>
      <c r="N69" s="32">
        <v>2.3415441002756304E-5</v>
      </c>
      <c r="O69" s="14"/>
      <c r="P69" s="14"/>
      <c r="Q69" s="14"/>
      <c r="R69" s="14"/>
    </row>
    <row r="70" spans="1:18" x14ac:dyDescent="0.25">
      <c r="A70" s="16" t="s">
        <v>1893</v>
      </c>
      <c r="B70" s="117" t="s">
        <v>1894</v>
      </c>
      <c r="C70" s="117" t="s">
        <v>456</v>
      </c>
      <c r="D70" s="117" t="s">
        <v>249</v>
      </c>
      <c r="E70" s="117" t="s">
        <v>1895</v>
      </c>
      <c r="F70" s="117" t="s">
        <v>203</v>
      </c>
      <c r="G70" s="118" t="s">
        <v>255</v>
      </c>
      <c r="H70" s="69">
        <v>1158.2669482503727</v>
      </c>
      <c r="I70" s="66">
        <v>2350</v>
      </c>
      <c r="J70" s="66">
        <v>0</v>
      </c>
      <c r="K70" s="64">
        <v>27.219270000000002</v>
      </c>
      <c r="L70" s="24">
        <v>1.1943856603164632E-5</v>
      </c>
      <c r="M70" s="32">
        <v>2.2848128886915047E-3</v>
      </c>
      <c r="N70" s="32">
        <v>1.1212108928383984E-4</v>
      </c>
      <c r="O70" s="14"/>
      <c r="P70" s="14"/>
      <c r="Q70" s="14"/>
      <c r="R70" s="14"/>
    </row>
    <row r="71" spans="1:18" x14ac:dyDescent="0.25">
      <c r="A71" s="16" t="s">
        <v>1908</v>
      </c>
      <c r="B71" s="117" t="s">
        <v>1909</v>
      </c>
      <c r="C71" s="117" t="s">
        <v>456</v>
      </c>
      <c r="D71" s="117" t="s">
        <v>249</v>
      </c>
      <c r="E71" s="117" t="s">
        <v>1910</v>
      </c>
      <c r="F71" s="117" t="s">
        <v>209</v>
      </c>
      <c r="G71" s="118" t="s">
        <v>255</v>
      </c>
      <c r="H71" s="69">
        <v>180.12112516653622</v>
      </c>
      <c r="I71" s="66">
        <v>14760</v>
      </c>
      <c r="J71" s="66">
        <v>0</v>
      </c>
      <c r="K71" s="64">
        <v>26.58588</v>
      </c>
      <c r="L71" s="24">
        <v>7.0032946682187023E-6</v>
      </c>
      <c r="M71" s="32">
        <v>2.2316454953129053E-3</v>
      </c>
      <c r="N71" s="32">
        <v>1.0951204147537576E-4</v>
      </c>
      <c r="O71" s="14"/>
      <c r="P71" s="14"/>
      <c r="Q71" s="14"/>
      <c r="R71" s="14"/>
    </row>
    <row r="72" spans="1:18" x14ac:dyDescent="0.25">
      <c r="A72" s="16" t="s">
        <v>3973</v>
      </c>
      <c r="B72" s="117" t="s">
        <v>1938</v>
      </c>
      <c r="C72" s="117" t="s">
        <v>456</v>
      </c>
      <c r="D72" s="117" t="s">
        <v>249</v>
      </c>
      <c r="E72" s="117" t="s">
        <v>1939</v>
      </c>
      <c r="F72" s="117" t="s">
        <v>204</v>
      </c>
      <c r="G72" s="118" t="s">
        <v>255</v>
      </c>
      <c r="H72" s="69">
        <v>95.369191874100522</v>
      </c>
      <c r="I72" s="66">
        <v>31220</v>
      </c>
      <c r="J72" s="66">
        <v>0</v>
      </c>
      <c r="K72" s="64">
        <v>29.774259999999998</v>
      </c>
      <c r="L72" s="24">
        <v>1.6401053768310413E-5</v>
      </c>
      <c r="M72" s="32">
        <v>2.4992813179505516E-3</v>
      </c>
      <c r="N72" s="32">
        <v>1.2264555455823248E-4</v>
      </c>
      <c r="O72" s="14"/>
      <c r="P72" s="14"/>
      <c r="Q72" s="14"/>
      <c r="R72" s="14"/>
    </row>
    <row r="73" spans="1:18" x14ac:dyDescent="0.25">
      <c r="A73" s="16" t="s">
        <v>1982</v>
      </c>
      <c r="B73" s="117" t="s">
        <v>1983</v>
      </c>
      <c r="C73" s="117" t="s">
        <v>456</v>
      </c>
      <c r="D73" s="117" t="s">
        <v>249</v>
      </c>
      <c r="E73" s="117" t="s">
        <v>1984</v>
      </c>
      <c r="F73" s="117" t="s">
        <v>226</v>
      </c>
      <c r="G73" s="118" t="s">
        <v>255</v>
      </c>
      <c r="H73" s="69">
        <v>912.46484438263872</v>
      </c>
      <c r="I73" s="66">
        <v>9978</v>
      </c>
      <c r="J73" s="66">
        <v>0</v>
      </c>
      <c r="K73" s="64">
        <v>91.045740000000009</v>
      </c>
      <c r="L73" s="24">
        <v>2.9160399156614847E-5</v>
      </c>
      <c r="M73" s="32">
        <v>7.6424709484293916E-3</v>
      </c>
      <c r="N73" s="32">
        <v>3.7503384710366102E-4</v>
      </c>
      <c r="O73" s="14"/>
      <c r="P73" s="14"/>
      <c r="Q73" s="14"/>
      <c r="R73" s="14"/>
    </row>
    <row r="74" spans="1:18" x14ac:dyDescent="0.25">
      <c r="A74" s="16" t="s">
        <v>3974</v>
      </c>
      <c r="B74" s="117" t="s">
        <v>2000</v>
      </c>
      <c r="C74" s="117" t="s">
        <v>456</v>
      </c>
      <c r="D74" s="117" t="s">
        <v>249</v>
      </c>
      <c r="E74" s="117" t="s">
        <v>2001</v>
      </c>
      <c r="F74" s="117" t="s">
        <v>202</v>
      </c>
      <c r="G74" s="118" t="s">
        <v>255</v>
      </c>
      <c r="H74" s="69">
        <v>704.71765293292299</v>
      </c>
      <c r="I74" s="66">
        <v>2190</v>
      </c>
      <c r="J74" s="66">
        <v>0</v>
      </c>
      <c r="K74" s="64">
        <v>15.43332</v>
      </c>
      <c r="L74" s="24">
        <v>7.6150291790615581E-6</v>
      </c>
      <c r="M74" s="32">
        <v>1.2954883966873605E-3</v>
      </c>
      <c r="N74" s="32">
        <v>6.3572632538127244E-5</v>
      </c>
      <c r="O74" s="14"/>
      <c r="P74" s="14"/>
      <c r="Q74" s="14"/>
      <c r="R74" s="14"/>
    </row>
    <row r="75" spans="1:18" x14ac:dyDescent="0.25">
      <c r="A75" s="16" t="s">
        <v>1929</v>
      </c>
      <c r="B75" s="117" t="s">
        <v>1930</v>
      </c>
      <c r="C75" s="117" t="s">
        <v>456</v>
      </c>
      <c r="D75" s="117" t="s">
        <v>249</v>
      </c>
      <c r="E75" s="117" t="s">
        <v>1931</v>
      </c>
      <c r="F75" s="117" t="s">
        <v>192</v>
      </c>
      <c r="G75" s="118" t="s">
        <v>255</v>
      </c>
      <c r="H75" s="69">
        <v>1343.929032447071</v>
      </c>
      <c r="I75" s="66">
        <v>4801</v>
      </c>
      <c r="J75" s="66">
        <v>0</v>
      </c>
      <c r="K75" s="64">
        <v>64.522030000000001</v>
      </c>
      <c r="L75" s="24">
        <v>1.8791024972368757E-5</v>
      </c>
      <c r="M75" s="32">
        <v>5.4160440654190921E-3</v>
      </c>
      <c r="N75" s="32">
        <v>2.6577789508699506E-4</v>
      </c>
      <c r="O75" s="14"/>
      <c r="P75" s="14"/>
      <c r="Q75" s="14"/>
      <c r="R75" s="14"/>
    </row>
    <row r="76" spans="1:18" x14ac:dyDescent="0.25">
      <c r="A76" s="16" t="s">
        <v>1993</v>
      </c>
      <c r="B76" s="117" t="s">
        <v>1994</v>
      </c>
      <c r="C76" s="117" t="s">
        <v>456</v>
      </c>
      <c r="D76" s="117" t="s">
        <v>249</v>
      </c>
      <c r="E76" s="117" t="s">
        <v>563</v>
      </c>
      <c r="F76" s="117" t="s">
        <v>223</v>
      </c>
      <c r="G76" s="118" t="s">
        <v>255</v>
      </c>
      <c r="H76" s="69">
        <v>192.42820738822428</v>
      </c>
      <c r="I76" s="66">
        <v>16800</v>
      </c>
      <c r="J76" s="66">
        <v>0</v>
      </c>
      <c r="K76" s="64">
        <v>32.327939999999998</v>
      </c>
      <c r="L76" s="24">
        <v>2.6062515865225115E-5</v>
      </c>
      <c r="M76" s="32">
        <v>2.7136397844925906E-3</v>
      </c>
      <c r="N76" s="32">
        <v>1.3316462370602212E-4</v>
      </c>
      <c r="O76" s="14"/>
      <c r="P76" s="14"/>
      <c r="Q76" s="14"/>
      <c r="R76" s="14"/>
    </row>
    <row r="77" spans="1:18" x14ac:dyDescent="0.25">
      <c r="A77" s="16" t="s">
        <v>3975</v>
      </c>
      <c r="B77" s="117" t="s">
        <v>1926</v>
      </c>
      <c r="C77" s="117" t="s">
        <v>456</v>
      </c>
      <c r="D77" s="117" t="s">
        <v>249</v>
      </c>
      <c r="E77" s="117" t="s">
        <v>1258</v>
      </c>
      <c r="F77" s="117" t="s">
        <v>206</v>
      </c>
      <c r="G77" s="118" t="s">
        <v>255</v>
      </c>
      <c r="H77" s="69">
        <v>3292.4755975681742</v>
      </c>
      <c r="I77" s="66">
        <v>1494</v>
      </c>
      <c r="J77" s="66">
        <v>0</v>
      </c>
      <c r="K77" s="64">
        <v>49.189589999999995</v>
      </c>
      <c r="L77" s="24">
        <v>1.7678071663520454E-5</v>
      </c>
      <c r="M77" s="32">
        <v>4.1290236373514328E-3</v>
      </c>
      <c r="N77" s="32">
        <v>2.0262080548910658E-4</v>
      </c>
      <c r="O77" s="14"/>
      <c r="P77" s="14"/>
      <c r="Q77" s="14"/>
      <c r="R77" s="14"/>
    </row>
    <row r="78" spans="1:18" x14ac:dyDescent="0.25">
      <c r="A78" s="16" t="s">
        <v>1940</v>
      </c>
      <c r="B78" s="117" t="s">
        <v>1941</v>
      </c>
      <c r="C78" s="117" t="s">
        <v>456</v>
      </c>
      <c r="D78" s="117" t="s">
        <v>249</v>
      </c>
      <c r="E78" s="117" t="s">
        <v>1942</v>
      </c>
      <c r="F78" s="117" t="s">
        <v>226</v>
      </c>
      <c r="G78" s="118" t="s">
        <v>255</v>
      </c>
      <c r="H78" s="69">
        <v>284.6407330625363</v>
      </c>
      <c r="I78" s="66">
        <v>24790</v>
      </c>
      <c r="J78" s="66">
        <v>0</v>
      </c>
      <c r="K78" s="64">
        <v>70.562440000000009</v>
      </c>
      <c r="L78" s="24">
        <v>1.5215025433013532E-5</v>
      </c>
      <c r="M78" s="32">
        <v>5.9230821535449325E-3</v>
      </c>
      <c r="N78" s="32">
        <v>2.906594348535281E-4</v>
      </c>
      <c r="O78" s="14"/>
      <c r="P78" s="14"/>
      <c r="Q78" s="14"/>
      <c r="R78" s="14"/>
    </row>
    <row r="79" spans="1:18" x14ac:dyDescent="0.25">
      <c r="A79" s="16" t="s">
        <v>1967</v>
      </c>
      <c r="B79" s="117" t="s">
        <v>1968</v>
      </c>
      <c r="C79" s="117" t="s">
        <v>456</v>
      </c>
      <c r="D79" s="117" t="s">
        <v>249</v>
      </c>
      <c r="E79" s="117" t="s">
        <v>1969</v>
      </c>
      <c r="F79" s="117" t="s">
        <v>202</v>
      </c>
      <c r="G79" s="118" t="s">
        <v>255</v>
      </c>
      <c r="H79" s="69">
        <v>2603.485942708412</v>
      </c>
      <c r="I79" s="66">
        <v>1575</v>
      </c>
      <c r="J79" s="66">
        <v>0</v>
      </c>
      <c r="K79" s="64">
        <v>41.004899999999999</v>
      </c>
      <c r="L79" s="24">
        <v>1.2995332579976395E-5</v>
      </c>
      <c r="M79" s="32">
        <v>3.4419925302738201E-3</v>
      </c>
      <c r="N79" s="32">
        <v>1.6890658911774355E-4</v>
      </c>
      <c r="O79" s="14"/>
      <c r="P79" s="14"/>
      <c r="Q79" s="14"/>
      <c r="R79" s="14"/>
    </row>
    <row r="80" spans="1:18" x14ac:dyDescent="0.25">
      <c r="A80" s="16" t="s">
        <v>3976</v>
      </c>
      <c r="B80" s="117" t="s">
        <v>1943</v>
      </c>
      <c r="C80" s="117" t="s">
        <v>456</v>
      </c>
      <c r="D80" s="117" t="s">
        <v>249</v>
      </c>
      <c r="E80" s="117" t="s">
        <v>1333</v>
      </c>
      <c r="F80" s="117" t="s">
        <v>226</v>
      </c>
      <c r="G80" s="118" t="s">
        <v>255</v>
      </c>
      <c r="H80" s="69">
        <v>892.97487971387204</v>
      </c>
      <c r="I80" s="66">
        <v>947.938356</v>
      </c>
      <c r="J80" s="66">
        <v>0</v>
      </c>
      <c r="K80" s="64">
        <v>8.4648500000000002</v>
      </c>
      <c r="L80" s="24">
        <v>2.9511614408214463E-6</v>
      </c>
      <c r="M80" s="32">
        <v>7.1054801913645314E-4</v>
      </c>
      <c r="N80" s="32">
        <v>3.4868246011899348E-5</v>
      </c>
      <c r="O80" s="14"/>
      <c r="P80" s="14"/>
      <c r="Q80" s="14"/>
      <c r="R80" s="14"/>
    </row>
    <row r="81" spans="1:18" x14ac:dyDescent="0.25">
      <c r="A81" s="16" t="s">
        <v>1954</v>
      </c>
      <c r="B81" s="117" t="s">
        <v>1955</v>
      </c>
      <c r="C81" s="117" t="s">
        <v>456</v>
      </c>
      <c r="D81" s="117" t="s">
        <v>249</v>
      </c>
      <c r="E81" s="117" t="s">
        <v>1333</v>
      </c>
      <c r="F81" s="117" t="s">
        <v>226</v>
      </c>
      <c r="G81" s="118" t="s">
        <v>255</v>
      </c>
      <c r="H81" s="69">
        <v>3557.8645801430912</v>
      </c>
      <c r="I81" s="66">
        <v>950.70000000000016</v>
      </c>
      <c r="J81" s="66">
        <v>0</v>
      </c>
      <c r="K81" s="64">
        <v>33.824620000000003</v>
      </c>
      <c r="L81" s="24">
        <v>1.1758262185322662E-5</v>
      </c>
      <c r="M81" s="32">
        <v>2.8392726083797414E-3</v>
      </c>
      <c r="N81" s="32">
        <v>1.3932971894587749E-4</v>
      </c>
      <c r="O81" s="14"/>
      <c r="P81" s="14"/>
      <c r="Q81" s="14"/>
      <c r="R81" s="14"/>
    </row>
    <row r="82" spans="1:18" x14ac:dyDescent="0.25">
      <c r="A82" s="16" t="s">
        <v>1934</v>
      </c>
      <c r="B82" s="117" t="s">
        <v>1935</v>
      </c>
      <c r="C82" s="117" t="s">
        <v>456</v>
      </c>
      <c r="D82" s="117" t="s">
        <v>249</v>
      </c>
      <c r="E82" s="117" t="s">
        <v>1318</v>
      </c>
      <c r="F82" s="117" t="s">
        <v>215</v>
      </c>
      <c r="G82" s="118" t="s">
        <v>255</v>
      </c>
      <c r="H82" s="69">
        <v>19760.264487900771</v>
      </c>
      <c r="I82" s="66">
        <v>165.6</v>
      </c>
      <c r="J82" s="66">
        <v>0</v>
      </c>
      <c r="K82" s="64">
        <v>32.722999999999999</v>
      </c>
      <c r="L82" s="24">
        <v>7.6280997008195391E-6</v>
      </c>
      <c r="M82" s="32">
        <v>2.7468015180661387E-3</v>
      </c>
      <c r="N82" s="32">
        <v>1.3479194719899141E-4</v>
      </c>
      <c r="O82" s="14"/>
      <c r="P82" s="14"/>
      <c r="Q82" s="14"/>
      <c r="R82" s="14"/>
    </row>
    <row r="83" spans="1:18" x14ac:dyDescent="0.25">
      <c r="A83" s="16" t="s">
        <v>3977</v>
      </c>
      <c r="B83" s="117" t="s">
        <v>2023</v>
      </c>
      <c r="C83" s="117" t="s">
        <v>456</v>
      </c>
      <c r="D83" s="117" t="s">
        <v>249</v>
      </c>
      <c r="E83" s="117" t="s">
        <v>2024</v>
      </c>
      <c r="F83" s="117" t="s">
        <v>228</v>
      </c>
      <c r="G83" s="118" t="s">
        <v>255</v>
      </c>
      <c r="H83" s="69">
        <v>285.05990597666079</v>
      </c>
      <c r="I83" s="66">
        <v>6632.0000000000009</v>
      </c>
      <c r="J83" s="66">
        <v>0</v>
      </c>
      <c r="K83" s="64">
        <v>18.905169999999998</v>
      </c>
      <c r="L83" s="24">
        <v>4.6049239517972697E-6</v>
      </c>
      <c r="M83" s="32">
        <v>1.5869189761115552E-3</v>
      </c>
      <c r="N83" s="32">
        <v>7.787380974934927E-5</v>
      </c>
      <c r="O83" s="14"/>
      <c r="P83" s="14"/>
      <c r="Q83" s="14"/>
      <c r="R83" s="14"/>
    </row>
    <row r="84" spans="1:18" x14ac:dyDescent="0.25">
      <c r="A84" s="16" t="s">
        <v>2025</v>
      </c>
      <c r="B84" s="117" t="s">
        <v>2026</v>
      </c>
      <c r="C84" s="117" t="s">
        <v>456</v>
      </c>
      <c r="D84" s="117" t="s">
        <v>249</v>
      </c>
      <c r="E84" s="117" t="s">
        <v>2024</v>
      </c>
      <c r="F84" s="117" t="s">
        <v>228</v>
      </c>
      <c r="G84" s="118" t="s">
        <v>255</v>
      </c>
      <c r="H84" s="69">
        <v>305.18729712574094</v>
      </c>
      <c r="I84" s="66">
        <v>6520.7592340000001</v>
      </c>
      <c r="J84" s="66">
        <v>0</v>
      </c>
      <c r="K84" s="64">
        <v>19.90053</v>
      </c>
      <c r="L84" s="24">
        <v>4.9300665048056893E-6</v>
      </c>
      <c r="M84" s="32">
        <v>1.670470495196673E-3</v>
      </c>
      <c r="N84" s="32">
        <v>8.197387736429864E-5</v>
      </c>
      <c r="O84" s="14"/>
      <c r="P84" s="14"/>
      <c r="Q84" s="14"/>
      <c r="R84" s="14"/>
    </row>
    <row r="85" spans="1:18" x14ac:dyDescent="0.25">
      <c r="A85" s="16" t="s">
        <v>1948</v>
      </c>
      <c r="B85" s="117" t="s">
        <v>1949</v>
      </c>
      <c r="C85" s="117" t="s">
        <v>456</v>
      </c>
      <c r="D85" s="117" t="s">
        <v>249</v>
      </c>
      <c r="E85" s="117" t="s">
        <v>1950</v>
      </c>
      <c r="F85" s="117" t="s">
        <v>235</v>
      </c>
      <c r="G85" s="118" t="s">
        <v>255</v>
      </c>
      <c r="H85" s="69">
        <v>171.74743445339203</v>
      </c>
      <c r="I85" s="66">
        <v>15550</v>
      </c>
      <c r="J85" s="66">
        <v>0</v>
      </c>
      <c r="K85" s="64">
        <v>26.70673</v>
      </c>
      <c r="L85" s="24">
        <v>1.1854575793346432E-5</v>
      </c>
      <c r="M85" s="32">
        <v>2.2417897658094455E-3</v>
      </c>
      <c r="N85" s="32">
        <v>1.1000984445245605E-4</v>
      </c>
      <c r="O85" s="14"/>
      <c r="P85" s="14"/>
      <c r="Q85" s="14"/>
      <c r="R85" s="14"/>
    </row>
    <row r="86" spans="1:18" x14ac:dyDescent="0.25">
      <c r="A86" s="16" t="s">
        <v>3978</v>
      </c>
      <c r="B86" s="117" t="s">
        <v>1923</v>
      </c>
      <c r="C86" s="117" t="s">
        <v>456</v>
      </c>
      <c r="D86" s="117" t="s">
        <v>249</v>
      </c>
      <c r="E86" s="117" t="s">
        <v>1924</v>
      </c>
      <c r="F86" s="117" t="s">
        <v>193</v>
      </c>
      <c r="G86" s="118" t="s">
        <v>255</v>
      </c>
      <c r="H86" s="69">
        <v>263.94630286483778</v>
      </c>
      <c r="I86" s="66">
        <v>4317</v>
      </c>
      <c r="J86" s="66">
        <v>0</v>
      </c>
      <c r="K86" s="64">
        <v>11.39456</v>
      </c>
      <c r="L86" s="24">
        <v>5.3764489267338885E-6</v>
      </c>
      <c r="M86" s="32">
        <v>9.564708219202304E-4</v>
      </c>
      <c r="N86" s="32">
        <v>4.6936250645592991E-5</v>
      </c>
      <c r="O86" s="14"/>
      <c r="P86" s="14"/>
      <c r="Q86" s="14"/>
      <c r="R86" s="14"/>
    </row>
    <row r="87" spans="1:18" x14ac:dyDescent="0.25">
      <c r="A87" s="16" t="s">
        <v>1919</v>
      </c>
      <c r="B87" s="117" t="s">
        <v>1920</v>
      </c>
      <c r="C87" s="117" t="s">
        <v>456</v>
      </c>
      <c r="D87" s="117" t="s">
        <v>249</v>
      </c>
      <c r="E87" s="117" t="s">
        <v>1314</v>
      </c>
      <c r="F87" s="117" t="s">
        <v>223</v>
      </c>
      <c r="G87" s="118" t="s">
        <v>255</v>
      </c>
      <c r="H87" s="69">
        <v>339.72362587801598</v>
      </c>
      <c r="I87" s="66">
        <v>858.70000000000016</v>
      </c>
      <c r="J87" s="66">
        <v>0</v>
      </c>
      <c r="K87" s="64">
        <v>2.9172099999999999</v>
      </c>
      <c r="L87" s="24">
        <v>2.2588546972117849E-6</v>
      </c>
      <c r="M87" s="32">
        <v>2.4487354021690311E-4</v>
      </c>
      <c r="N87" s="32">
        <v>1.2016514876031221E-5</v>
      </c>
      <c r="O87" s="14"/>
      <c r="P87" s="14"/>
      <c r="Q87" s="14"/>
      <c r="R87" s="14"/>
    </row>
    <row r="88" spans="1:18" x14ac:dyDescent="0.25">
      <c r="A88" s="16" t="s">
        <v>1917</v>
      </c>
      <c r="B88" s="117" t="s">
        <v>1918</v>
      </c>
      <c r="C88" s="117" t="s">
        <v>456</v>
      </c>
      <c r="D88" s="117" t="s">
        <v>249</v>
      </c>
      <c r="E88" s="117" t="s">
        <v>675</v>
      </c>
      <c r="F88" s="117" t="s">
        <v>223</v>
      </c>
      <c r="G88" s="118" t="s">
        <v>255</v>
      </c>
      <c r="H88" s="69">
        <v>1324.1751149094475</v>
      </c>
      <c r="I88" s="66">
        <v>6819</v>
      </c>
      <c r="J88" s="66">
        <v>0</v>
      </c>
      <c r="K88" s="64">
        <v>90.295500000000004</v>
      </c>
      <c r="L88" s="24">
        <v>3.6269581646245607E-5</v>
      </c>
      <c r="M88" s="32">
        <v>7.5794950485756508E-3</v>
      </c>
      <c r="N88" s="32">
        <v>3.7194347304056864E-4</v>
      </c>
      <c r="O88" s="14"/>
      <c r="P88" s="14"/>
      <c r="Q88" s="14"/>
      <c r="R88" s="14"/>
    </row>
    <row r="89" spans="1:18" x14ac:dyDescent="0.25">
      <c r="A89" s="16" t="s">
        <v>1977</v>
      </c>
      <c r="B89" s="117" t="s">
        <v>1978</v>
      </c>
      <c r="C89" s="117" t="s">
        <v>456</v>
      </c>
      <c r="D89" s="117" t="s">
        <v>249</v>
      </c>
      <c r="E89" s="117" t="s">
        <v>1979</v>
      </c>
      <c r="F89" s="117" t="s">
        <v>192</v>
      </c>
      <c r="G89" s="118" t="s">
        <v>255</v>
      </c>
      <c r="H89" s="69">
        <v>128.6934385469992</v>
      </c>
      <c r="I89" s="66">
        <v>7800</v>
      </c>
      <c r="J89" s="66">
        <v>0</v>
      </c>
      <c r="K89" s="64">
        <v>10.03809</v>
      </c>
      <c r="L89" s="24">
        <v>2.0259639900150494E-6</v>
      </c>
      <c r="M89" s="32">
        <v>8.4260736639319518E-4</v>
      </c>
      <c r="N89" s="32">
        <v>4.1348705719485486E-5</v>
      </c>
      <c r="O89" s="14"/>
      <c r="P89" s="14"/>
      <c r="Q89" s="14"/>
      <c r="R89" s="14"/>
    </row>
    <row r="90" spans="1:18" x14ac:dyDescent="0.25">
      <c r="A90" s="16" t="s">
        <v>1970</v>
      </c>
      <c r="B90" s="117" t="s">
        <v>1971</v>
      </c>
      <c r="C90" s="117" t="s">
        <v>456</v>
      </c>
      <c r="D90" s="117" t="s">
        <v>249</v>
      </c>
      <c r="E90" s="117" t="s">
        <v>874</v>
      </c>
      <c r="F90" s="117" t="s">
        <v>234</v>
      </c>
      <c r="G90" s="118" t="s">
        <v>255</v>
      </c>
      <c r="H90" s="69">
        <v>14.273152893544228</v>
      </c>
      <c r="I90" s="66">
        <v>41100</v>
      </c>
      <c r="J90" s="66">
        <v>0</v>
      </c>
      <c r="K90" s="64">
        <v>5.8662700000000001</v>
      </c>
      <c r="L90" s="24">
        <v>4.8271579067222444E-6</v>
      </c>
      <c r="M90" s="32">
        <v>4.924206014542019E-4</v>
      </c>
      <c r="N90" s="32">
        <v>2.4164225654586292E-5</v>
      </c>
      <c r="O90" s="14"/>
      <c r="P90" s="14"/>
      <c r="Q90" s="14"/>
      <c r="R90" s="14"/>
    </row>
    <row r="91" spans="1:18" x14ac:dyDescent="0.25">
      <c r="A91" s="16" t="s">
        <v>3979</v>
      </c>
      <c r="B91" s="117" t="s">
        <v>1889</v>
      </c>
      <c r="C91" s="117" t="s">
        <v>456</v>
      </c>
      <c r="D91" s="117" t="s">
        <v>249</v>
      </c>
      <c r="E91" s="117" t="s">
        <v>1208</v>
      </c>
      <c r="F91" s="117" t="s">
        <v>201</v>
      </c>
      <c r="G91" s="118" t="s">
        <v>255</v>
      </c>
      <c r="H91" s="69">
        <v>95.343978465732135</v>
      </c>
      <c r="I91" s="66">
        <v>8890</v>
      </c>
      <c r="J91" s="66">
        <v>0</v>
      </c>
      <c r="K91" s="64">
        <v>8.4760799999999996</v>
      </c>
      <c r="L91" s="24">
        <v>1.5407133309406271E-6</v>
      </c>
      <c r="M91" s="32">
        <v>7.1149067662653297E-4</v>
      </c>
      <c r="N91" s="32">
        <v>3.4914504410183264E-5</v>
      </c>
      <c r="O91" s="14"/>
      <c r="P91" s="14"/>
      <c r="Q91" s="14"/>
      <c r="R91" s="14"/>
    </row>
    <row r="92" spans="1:18" x14ac:dyDescent="0.25">
      <c r="A92" s="16" t="s">
        <v>1972</v>
      </c>
      <c r="B92" s="117" t="s">
        <v>1973</v>
      </c>
      <c r="C92" s="117" t="s">
        <v>456</v>
      </c>
      <c r="D92" s="117" t="s">
        <v>249</v>
      </c>
      <c r="E92" s="117" t="s">
        <v>772</v>
      </c>
      <c r="F92" s="117" t="s">
        <v>223</v>
      </c>
      <c r="G92" s="118" t="s">
        <v>255</v>
      </c>
      <c r="H92" s="69">
        <v>18403.93413549184</v>
      </c>
      <c r="I92" s="66">
        <v>156.1</v>
      </c>
      <c r="J92" s="66">
        <v>0</v>
      </c>
      <c r="K92" s="64">
        <v>28.728540000000002</v>
      </c>
      <c r="L92" s="24">
        <v>2.6672988981163654E-5</v>
      </c>
      <c r="M92" s="32">
        <v>2.4115025298360113E-3</v>
      </c>
      <c r="N92" s="32">
        <v>1.1833804500761277E-4</v>
      </c>
      <c r="O92" s="14"/>
      <c r="P92" s="14"/>
      <c r="Q92" s="14"/>
      <c r="R92" s="14"/>
    </row>
    <row r="93" spans="1:18" x14ac:dyDescent="0.25">
      <c r="A93" s="16" t="s">
        <v>2021</v>
      </c>
      <c r="B93" s="117" t="s">
        <v>2022</v>
      </c>
      <c r="C93" s="117" t="s">
        <v>456</v>
      </c>
      <c r="D93" s="117" t="s">
        <v>249</v>
      </c>
      <c r="E93" s="117" t="s">
        <v>863</v>
      </c>
      <c r="F93" s="117" t="s">
        <v>231</v>
      </c>
      <c r="G93" s="118" t="s">
        <v>255</v>
      </c>
      <c r="H93" s="69">
        <v>6873.9031583902097</v>
      </c>
      <c r="I93" s="66">
        <v>363</v>
      </c>
      <c r="J93" s="66">
        <v>0</v>
      </c>
      <c r="K93" s="64">
        <v>24.952270000000002</v>
      </c>
      <c r="L93" s="24">
        <v>9.6736736922458921E-6</v>
      </c>
      <c r="M93" s="32">
        <v>2.0945186295631872E-3</v>
      </c>
      <c r="N93" s="32">
        <v>1.0278290683418322E-4</v>
      </c>
      <c r="O93" s="14"/>
      <c r="P93" s="14"/>
      <c r="Q93" s="14"/>
      <c r="R93" s="14"/>
    </row>
    <row r="94" spans="1:18" x14ac:dyDescent="0.25">
      <c r="A94" s="16" t="s">
        <v>3980</v>
      </c>
      <c r="B94" s="117" t="s">
        <v>2027</v>
      </c>
      <c r="C94" s="117" t="s">
        <v>456</v>
      </c>
      <c r="D94" s="117" t="s">
        <v>249</v>
      </c>
      <c r="E94" s="117" t="s">
        <v>863</v>
      </c>
      <c r="F94" s="117" t="s">
        <v>231</v>
      </c>
      <c r="G94" s="118" t="s">
        <v>255</v>
      </c>
      <c r="H94" s="69">
        <v>2188.092066758089</v>
      </c>
      <c r="I94" s="66">
        <v>348.36196899999999</v>
      </c>
      <c r="J94" s="66">
        <v>0</v>
      </c>
      <c r="K94" s="64">
        <v>7.6224799999999995</v>
      </c>
      <c r="L94" s="24">
        <v>3.0793114442663625E-6</v>
      </c>
      <c r="M94" s="32">
        <v>6.3983863445982278E-4</v>
      </c>
      <c r="N94" s="32">
        <v>3.1398371838931878E-5</v>
      </c>
      <c r="O94" s="14"/>
      <c r="P94" s="14"/>
      <c r="Q94" s="14"/>
      <c r="R94" s="14"/>
    </row>
    <row r="95" spans="1:18" x14ac:dyDescent="0.25">
      <c r="A95" s="16" t="s">
        <v>3980</v>
      </c>
      <c r="B95" s="117" t="s">
        <v>2031</v>
      </c>
      <c r="C95" s="117" t="s">
        <v>456</v>
      </c>
      <c r="D95" s="117" t="s">
        <v>249</v>
      </c>
      <c r="E95" s="117" t="s">
        <v>863</v>
      </c>
      <c r="F95" s="117" t="s">
        <v>231</v>
      </c>
      <c r="G95" s="118" t="s">
        <v>255</v>
      </c>
      <c r="H95" s="69">
        <v>15364.42072448868</v>
      </c>
      <c r="I95" s="66">
        <v>346.18331000000001</v>
      </c>
      <c r="J95" s="66">
        <v>0</v>
      </c>
      <c r="K95" s="64">
        <v>53.189059999999998</v>
      </c>
      <c r="L95" s="24">
        <v>2.1622415843561473E-5</v>
      </c>
      <c r="M95" s="32">
        <v>4.4647431700183642E-3</v>
      </c>
      <c r="N95" s="32">
        <v>2.1909534477535634E-4</v>
      </c>
      <c r="O95" s="14"/>
      <c r="P95" s="14"/>
      <c r="Q95" s="14"/>
      <c r="R95" s="14"/>
    </row>
    <row r="96" spans="1:18" x14ac:dyDescent="0.25">
      <c r="A96" s="16" t="s">
        <v>1945</v>
      </c>
      <c r="B96" s="117" t="s">
        <v>1946</v>
      </c>
      <c r="C96" s="117" t="s">
        <v>456</v>
      </c>
      <c r="D96" s="117" t="s">
        <v>249</v>
      </c>
      <c r="E96" s="117" t="s">
        <v>1947</v>
      </c>
      <c r="F96" s="117" t="s">
        <v>203</v>
      </c>
      <c r="G96" s="118" t="s">
        <v>255</v>
      </c>
      <c r="H96" s="69">
        <v>392.44985293006255</v>
      </c>
      <c r="I96" s="66">
        <v>4494</v>
      </c>
      <c r="J96" s="66">
        <v>0</v>
      </c>
      <c r="K96" s="64">
        <v>17.636700000000001</v>
      </c>
      <c r="L96" s="24">
        <v>1.8799313928017287E-5</v>
      </c>
      <c r="M96" s="32">
        <v>1.4804423290553149E-3</v>
      </c>
      <c r="N96" s="32">
        <v>7.2648752717185212E-5</v>
      </c>
      <c r="O96" s="14"/>
      <c r="P96" s="14"/>
      <c r="Q96" s="14"/>
      <c r="R96" s="14"/>
    </row>
    <row r="97" spans="1:18" x14ac:dyDescent="0.25">
      <c r="A97" s="16" t="s">
        <v>3981</v>
      </c>
      <c r="B97" s="117" t="s">
        <v>1914</v>
      </c>
      <c r="C97" s="117" t="s">
        <v>456</v>
      </c>
      <c r="D97" s="117" t="s">
        <v>249</v>
      </c>
      <c r="E97" s="117" t="s">
        <v>1400</v>
      </c>
      <c r="F97" s="117" t="s">
        <v>224</v>
      </c>
      <c r="G97" s="118" t="s">
        <v>255</v>
      </c>
      <c r="H97" s="69">
        <v>958.7971086562635</v>
      </c>
      <c r="I97" s="66">
        <v>4892</v>
      </c>
      <c r="J97" s="66">
        <v>0</v>
      </c>
      <c r="K97" s="64">
        <v>46.904350000000001</v>
      </c>
      <c r="L97" s="24">
        <v>1.2976023201441208E-5</v>
      </c>
      <c r="M97" s="32">
        <v>3.9371982942855328E-3</v>
      </c>
      <c r="N97" s="32">
        <v>1.9320748918506898E-4</v>
      </c>
      <c r="O97" s="14"/>
      <c r="P97" s="14"/>
      <c r="Q97" s="14"/>
      <c r="R97" s="14"/>
    </row>
    <row r="98" spans="1:18" x14ac:dyDescent="0.25">
      <c r="A98" s="16" t="s">
        <v>3982</v>
      </c>
      <c r="B98" s="117" t="s">
        <v>1988</v>
      </c>
      <c r="C98" s="117" t="s">
        <v>456</v>
      </c>
      <c r="D98" s="117" t="s">
        <v>249</v>
      </c>
      <c r="E98" s="117" t="s">
        <v>1989</v>
      </c>
      <c r="F98" s="117" t="s">
        <v>193</v>
      </c>
      <c r="G98" s="118" t="s">
        <v>255</v>
      </c>
      <c r="H98" s="69">
        <v>126.93690443066791</v>
      </c>
      <c r="I98" s="66">
        <v>10940</v>
      </c>
      <c r="J98" s="66">
        <v>0</v>
      </c>
      <c r="K98" s="64">
        <v>13.886899999999999</v>
      </c>
      <c r="L98" s="24">
        <v>2.2993473768182618E-6</v>
      </c>
      <c r="M98" s="32">
        <v>1.1656803471941039E-3</v>
      </c>
      <c r="N98" s="32">
        <v>5.7202649254581594E-5</v>
      </c>
      <c r="O98" s="14"/>
      <c r="P98" s="14"/>
      <c r="Q98" s="14"/>
      <c r="R98" s="14"/>
    </row>
    <row r="99" spans="1:18" x14ac:dyDescent="0.25">
      <c r="A99" s="16" t="s">
        <v>1921</v>
      </c>
      <c r="B99" s="117" t="s">
        <v>1922</v>
      </c>
      <c r="C99" s="117" t="s">
        <v>456</v>
      </c>
      <c r="D99" s="117" t="s">
        <v>249</v>
      </c>
      <c r="E99" s="117" t="s">
        <v>650</v>
      </c>
      <c r="F99" s="117" t="s">
        <v>223</v>
      </c>
      <c r="G99" s="118" t="s">
        <v>255</v>
      </c>
      <c r="H99" s="69">
        <v>2237.4811941567109</v>
      </c>
      <c r="I99" s="66">
        <v>790</v>
      </c>
      <c r="J99" s="66">
        <v>0</v>
      </c>
      <c r="K99" s="64">
        <v>17.676099999999998</v>
      </c>
      <c r="L99" s="24">
        <v>1.0229231970815511E-5</v>
      </c>
      <c r="M99" s="32">
        <v>1.4837496046661025E-3</v>
      </c>
      <c r="N99" s="32">
        <v>7.2811048433337152E-5</v>
      </c>
      <c r="O99" s="14"/>
      <c r="P99" s="14"/>
      <c r="Q99" s="14"/>
      <c r="R99" s="14"/>
    </row>
    <row r="100" spans="1:18" x14ac:dyDescent="0.25">
      <c r="A100" s="16" t="s">
        <v>1980</v>
      </c>
      <c r="B100" s="117" t="s">
        <v>1981</v>
      </c>
      <c r="C100" s="117" t="s">
        <v>456</v>
      </c>
      <c r="D100" s="117" t="s">
        <v>249</v>
      </c>
      <c r="E100" s="117" t="s">
        <v>650</v>
      </c>
      <c r="F100" s="117" t="s">
        <v>223</v>
      </c>
      <c r="G100" s="118" t="s">
        <v>255</v>
      </c>
      <c r="H100" s="69">
        <v>5036.8870546280041</v>
      </c>
      <c r="I100" s="66">
        <v>790</v>
      </c>
      <c r="J100" s="66">
        <v>0</v>
      </c>
      <c r="K100" s="64">
        <v>39.791410000000006</v>
      </c>
      <c r="L100" s="24">
        <v>2.3027449896402974E-5</v>
      </c>
      <c r="M100" s="32">
        <v>3.3401309596917195E-3</v>
      </c>
      <c r="N100" s="32">
        <v>1.6390800463568191E-4</v>
      </c>
      <c r="O100" s="14"/>
      <c r="P100" s="14"/>
      <c r="Q100" s="14"/>
      <c r="R100" s="14"/>
    </row>
    <row r="101" spans="1:18" x14ac:dyDescent="0.25">
      <c r="A101" s="16" t="s">
        <v>1927</v>
      </c>
      <c r="B101" s="117" t="s">
        <v>1928</v>
      </c>
      <c r="C101" s="117" t="s">
        <v>456</v>
      </c>
      <c r="D101" s="117" t="s">
        <v>249</v>
      </c>
      <c r="E101" s="117" t="s">
        <v>1429</v>
      </c>
      <c r="F101" s="117" t="s">
        <v>206</v>
      </c>
      <c r="G101" s="118" t="s">
        <v>255</v>
      </c>
      <c r="H101" s="69">
        <v>1484.2508424056382</v>
      </c>
      <c r="I101" s="66">
        <v>1232</v>
      </c>
      <c r="J101" s="66">
        <v>0</v>
      </c>
      <c r="K101" s="64">
        <v>18.285970000000002</v>
      </c>
      <c r="L101" s="24">
        <v>8.9771326985220677E-6</v>
      </c>
      <c r="M101" s="32">
        <v>1.5349427055988715E-3</v>
      </c>
      <c r="N101" s="32">
        <v>7.5323213113783616E-5</v>
      </c>
      <c r="O101" s="14"/>
      <c r="P101" s="14"/>
      <c r="Q101" s="14"/>
      <c r="R101" s="14"/>
    </row>
    <row r="102" spans="1:18" x14ac:dyDescent="0.25">
      <c r="A102" s="16" t="s">
        <v>1951</v>
      </c>
      <c r="B102" s="117" t="s">
        <v>1952</v>
      </c>
      <c r="C102" s="117" t="s">
        <v>456</v>
      </c>
      <c r="D102" s="117" t="s">
        <v>249</v>
      </c>
      <c r="E102" s="117" t="s">
        <v>1953</v>
      </c>
      <c r="F102" s="117" t="s">
        <v>228</v>
      </c>
      <c r="G102" s="118" t="s">
        <v>255</v>
      </c>
      <c r="H102" s="69">
        <v>207.54469626375712</v>
      </c>
      <c r="I102" s="66">
        <v>42230</v>
      </c>
      <c r="J102" s="66">
        <v>0</v>
      </c>
      <c r="K102" s="64">
        <v>87.646129999999999</v>
      </c>
      <c r="L102" s="24">
        <v>3.242195899306384E-5</v>
      </c>
      <c r="M102" s="32">
        <v>7.3571042672316766E-3</v>
      </c>
      <c r="N102" s="32">
        <v>3.6103023949992166E-4</v>
      </c>
      <c r="O102" s="14"/>
      <c r="P102" s="14"/>
      <c r="Q102" s="14"/>
      <c r="R102" s="14"/>
    </row>
    <row r="103" spans="1:18" x14ac:dyDescent="0.25">
      <c r="A103" s="16" t="s">
        <v>1886</v>
      </c>
      <c r="B103" s="117" t="s">
        <v>1887</v>
      </c>
      <c r="C103" s="117" t="s">
        <v>456</v>
      </c>
      <c r="D103" s="117" t="s">
        <v>249</v>
      </c>
      <c r="E103" s="117" t="s">
        <v>1888</v>
      </c>
      <c r="F103" s="117" t="s">
        <v>200</v>
      </c>
      <c r="G103" s="118" t="s">
        <v>255</v>
      </c>
      <c r="H103" s="69">
        <v>430.66986327135629</v>
      </c>
      <c r="I103" s="66">
        <v>17300</v>
      </c>
      <c r="J103" s="66">
        <v>0</v>
      </c>
      <c r="K103" s="64">
        <v>74.505889999999994</v>
      </c>
      <c r="L103" s="24">
        <v>1.2147751571430402E-5</v>
      </c>
      <c r="M103" s="32">
        <v>6.2540993110921598E-3</v>
      </c>
      <c r="N103" s="32">
        <v>3.0690321764183785E-4</v>
      </c>
      <c r="O103" s="14"/>
      <c r="P103" s="14"/>
      <c r="Q103" s="14"/>
      <c r="R103" s="14"/>
    </row>
    <row r="104" spans="1:18" x14ac:dyDescent="0.25">
      <c r="A104" s="16" t="s">
        <v>3983</v>
      </c>
      <c r="B104" s="117" t="s">
        <v>1904</v>
      </c>
      <c r="C104" s="117" t="s">
        <v>456</v>
      </c>
      <c r="D104" s="117" t="s">
        <v>249</v>
      </c>
      <c r="E104" s="117" t="s">
        <v>1905</v>
      </c>
      <c r="F104" s="117" t="s">
        <v>192</v>
      </c>
      <c r="G104" s="118" t="s">
        <v>255</v>
      </c>
      <c r="H104" s="69">
        <v>206.71344170661172</v>
      </c>
      <c r="I104" s="66">
        <v>28100</v>
      </c>
      <c r="J104" s="66">
        <v>0</v>
      </c>
      <c r="K104" s="64">
        <v>58.086480000000002</v>
      </c>
      <c r="L104" s="24">
        <v>1.3481897292011345E-5</v>
      </c>
      <c r="M104" s="32">
        <v>4.8758375284392759E-3</v>
      </c>
      <c r="N104" s="32">
        <v>2.3926870229304373E-4</v>
      </c>
      <c r="O104" s="14"/>
      <c r="P104" s="14"/>
      <c r="Q104" s="14"/>
      <c r="R104" s="14"/>
    </row>
    <row r="105" spans="1:18" x14ac:dyDescent="0.25">
      <c r="A105" s="16" t="s">
        <v>3984</v>
      </c>
      <c r="B105" s="117" t="s">
        <v>1944</v>
      </c>
      <c r="C105" s="117" t="s">
        <v>456</v>
      </c>
      <c r="D105" s="117" t="s">
        <v>249</v>
      </c>
      <c r="E105" s="117" t="s">
        <v>670</v>
      </c>
      <c r="F105" s="117" t="s">
        <v>225</v>
      </c>
      <c r="G105" s="118" t="s">
        <v>255</v>
      </c>
      <c r="H105" s="69">
        <v>248.64392288331558</v>
      </c>
      <c r="I105" s="66">
        <v>31450</v>
      </c>
      <c r="J105" s="66">
        <v>0</v>
      </c>
      <c r="K105" s="64">
        <v>78.198509999999999</v>
      </c>
      <c r="L105" s="24">
        <v>2.3385860983606696E-5</v>
      </c>
      <c r="M105" s="32">
        <v>6.5640615462674605E-3</v>
      </c>
      <c r="N105" s="32">
        <v>3.2211378635699049E-4</v>
      </c>
      <c r="O105" s="14"/>
      <c r="P105" s="14"/>
      <c r="Q105" s="14"/>
      <c r="R105" s="14"/>
    </row>
    <row r="106" spans="1:18" x14ac:dyDescent="0.25">
      <c r="A106" s="16" t="s">
        <v>1883</v>
      </c>
      <c r="B106" s="117" t="s">
        <v>1884</v>
      </c>
      <c r="C106" s="117" t="s">
        <v>456</v>
      </c>
      <c r="D106" s="117" t="s">
        <v>249</v>
      </c>
      <c r="E106" s="117" t="s">
        <v>1885</v>
      </c>
      <c r="F106" s="117" t="s">
        <v>212</v>
      </c>
      <c r="G106" s="118" t="s">
        <v>255</v>
      </c>
      <c r="H106" s="69">
        <v>121.10682902481834</v>
      </c>
      <c r="I106" s="66">
        <v>15780.000000000002</v>
      </c>
      <c r="J106" s="66">
        <v>0</v>
      </c>
      <c r="K106" s="64">
        <v>19.110659999999999</v>
      </c>
      <c r="L106" s="24">
        <v>1.2684059468736326E-5</v>
      </c>
      <c r="M106" s="32">
        <v>1.6041680133009148E-3</v>
      </c>
      <c r="N106" s="32">
        <v>7.872026017351334E-5</v>
      </c>
      <c r="O106" s="14"/>
      <c r="P106" s="14"/>
      <c r="Q106" s="14"/>
      <c r="R106" s="14"/>
    </row>
    <row r="107" spans="1:18" x14ac:dyDescent="0.25">
      <c r="A107" s="16" t="s">
        <v>1990</v>
      </c>
      <c r="B107" s="117" t="s">
        <v>1991</v>
      </c>
      <c r="C107" s="117" t="s">
        <v>456</v>
      </c>
      <c r="D107" s="117" t="s">
        <v>249</v>
      </c>
      <c r="E107" s="117" t="s">
        <v>1992</v>
      </c>
      <c r="F107" s="117" t="s">
        <v>193</v>
      </c>
      <c r="G107" s="118" t="s">
        <v>255</v>
      </c>
      <c r="H107" s="69">
        <v>65.042189120994408</v>
      </c>
      <c r="I107" s="66">
        <v>11690</v>
      </c>
      <c r="J107" s="66">
        <v>0</v>
      </c>
      <c r="K107" s="64">
        <v>7.6034300000000004</v>
      </c>
      <c r="L107" s="24">
        <v>1.3827146486159544E-6</v>
      </c>
      <c r="M107" s="32">
        <v>6.3823955830790639E-4</v>
      </c>
      <c r="N107" s="32">
        <v>3.1319901448254356E-5</v>
      </c>
      <c r="O107" s="14"/>
      <c r="P107" s="14"/>
      <c r="Q107" s="14"/>
      <c r="R107" s="14"/>
    </row>
    <row r="108" spans="1:18" x14ac:dyDescent="0.25">
      <c r="A108" s="16" t="s">
        <v>2002</v>
      </c>
      <c r="B108" s="117" t="s">
        <v>2003</v>
      </c>
      <c r="C108" s="117" t="s">
        <v>456</v>
      </c>
      <c r="D108" s="117" t="s">
        <v>249</v>
      </c>
      <c r="E108" s="117" t="s">
        <v>2004</v>
      </c>
      <c r="F108" s="117" t="s">
        <v>226</v>
      </c>
      <c r="G108" s="118" t="s">
        <v>255</v>
      </c>
      <c r="H108" s="69">
        <v>360.59087297890613</v>
      </c>
      <c r="I108" s="66">
        <v>8450</v>
      </c>
      <c r="J108" s="66">
        <v>0</v>
      </c>
      <c r="K108" s="64">
        <v>30.469930000000002</v>
      </c>
      <c r="L108" s="24">
        <v>1.7115124480032166E-5</v>
      </c>
      <c r="M108" s="32">
        <v>2.5576765571423458E-3</v>
      </c>
      <c r="N108" s="32">
        <v>1.255111449352738E-4</v>
      </c>
      <c r="O108" s="14"/>
      <c r="P108" s="14"/>
      <c r="Q108" s="14"/>
      <c r="R108" s="14"/>
    </row>
    <row r="109" spans="1:18" x14ac:dyDescent="0.25">
      <c r="A109" s="16" t="s">
        <v>3985</v>
      </c>
      <c r="B109" s="117" t="s">
        <v>1964</v>
      </c>
      <c r="C109" s="117" t="s">
        <v>456</v>
      </c>
      <c r="D109" s="117" t="s">
        <v>249</v>
      </c>
      <c r="E109" s="117" t="s">
        <v>1114</v>
      </c>
      <c r="F109" s="117" t="s">
        <v>231</v>
      </c>
      <c r="G109" s="118" t="s">
        <v>255</v>
      </c>
      <c r="H109" s="69">
        <v>4441.5333484119919</v>
      </c>
      <c r="I109" s="66">
        <v>794.8</v>
      </c>
      <c r="J109" s="66">
        <v>0</v>
      </c>
      <c r="K109" s="64">
        <v>35.301310000000001</v>
      </c>
      <c r="L109" s="24">
        <v>2.4991344239410633E-5</v>
      </c>
      <c r="M109" s="32">
        <v>2.9632274515699465E-3</v>
      </c>
      <c r="N109" s="32">
        <v>1.4541247176527906E-4</v>
      </c>
      <c r="O109" s="14"/>
      <c r="P109" s="14"/>
      <c r="Q109" s="14"/>
      <c r="R109" s="14"/>
    </row>
    <row r="110" spans="1:18" x14ac:dyDescent="0.25">
      <c r="A110" s="16" t="s">
        <v>2018</v>
      </c>
      <c r="B110" s="117" t="s">
        <v>2019</v>
      </c>
      <c r="C110" s="117" t="s">
        <v>456</v>
      </c>
      <c r="D110" s="117" t="s">
        <v>249</v>
      </c>
      <c r="E110" s="117" t="s">
        <v>1114</v>
      </c>
      <c r="F110" s="117" t="s">
        <v>231</v>
      </c>
      <c r="G110" s="118" t="s">
        <v>255</v>
      </c>
      <c r="H110" s="69">
        <v>1378.85827014642</v>
      </c>
      <c r="I110" s="66">
        <v>709.32667500000002</v>
      </c>
      <c r="J110" s="66">
        <v>0</v>
      </c>
      <c r="K110" s="64">
        <v>9.7806100000000011</v>
      </c>
      <c r="L110" s="24">
        <v>7.7584741537307074E-6</v>
      </c>
      <c r="M110" s="32">
        <v>8.2099423633569225E-4</v>
      </c>
      <c r="N110" s="32">
        <v>4.0288099095251886E-5</v>
      </c>
      <c r="O110" s="14"/>
      <c r="P110" s="14"/>
      <c r="Q110" s="14"/>
      <c r="R110" s="14"/>
    </row>
    <row r="111" spans="1:18" x14ac:dyDescent="0.25">
      <c r="A111" s="16" t="s">
        <v>2013</v>
      </c>
      <c r="B111" s="117" t="s">
        <v>2014</v>
      </c>
      <c r="C111" s="117" t="s">
        <v>456</v>
      </c>
      <c r="D111" s="117" t="s">
        <v>249</v>
      </c>
      <c r="E111" s="117" t="s">
        <v>2015</v>
      </c>
      <c r="F111" s="117" t="s">
        <v>203</v>
      </c>
      <c r="G111" s="118" t="s">
        <v>255</v>
      </c>
      <c r="H111" s="69">
        <v>176.92064804331088</v>
      </c>
      <c r="I111" s="66">
        <v>11980</v>
      </c>
      <c r="J111" s="66">
        <v>0</v>
      </c>
      <c r="K111" s="64">
        <v>21.19509</v>
      </c>
      <c r="L111" s="24">
        <v>1.449771984966012E-5</v>
      </c>
      <c r="M111" s="32">
        <v>1.7791371630824936E-3</v>
      </c>
      <c r="N111" s="32">
        <v>8.73064038186557E-5</v>
      </c>
      <c r="O111" s="14"/>
      <c r="P111" s="14"/>
      <c r="Q111" s="14"/>
      <c r="R111" s="14"/>
    </row>
    <row r="112" spans="1:18" x14ac:dyDescent="0.25">
      <c r="A112" s="16" t="s">
        <v>3986</v>
      </c>
      <c r="B112" s="117" t="s">
        <v>1932</v>
      </c>
      <c r="C112" s="117" t="s">
        <v>456</v>
      </c>
      <c r="D112" s="117" t="s">
        <v>249</v>
      </c>
      <c r="E112" s="117" t="s">
        <v>1933</v>
      </c>
      <c r="F112" s="117" t="s">
        <v>197</v>
      </c>
      <c r="G112" s="118" t="s">
        <v>255</v>
      </c>
      <c r="H112" s="69">
        <v>12.497971360607151</v>
      </c>
      <c r="I112" s="66">
        <v>23500</v>
      </c>
      <c r="J112" s="66">
        <v>0</v>
      </c>
      <c r="K112" s="64">
        <v>2.93702</v>
      </c>
      <c r="L112" s="24">
        <v>2.8235399732567705E-7</v>
      </c>
      <c r="M112" s="32">
        <v>2.4653641153288546E-4</v>
      </c>
      <c r="N112" s="32">
        <v>1.2098115843974626E-5</v>
      </c>
      <c r="O112" s="14"/>
      <c r="P112" s="14"/>
      <c r="Q112" s="14"/>
      <c r="R112" s="14"/>
    </row>
    <row r="113" spans="1:18" x14ac:dyDescent="0.25">
      <c r="A113" s="16" t="s">
        <v>3987</v>
      </c>
      <c r="B113" s="117" t="s">
        <v>1925</v>
      </c>
      <c r="C113" s="117" t="s">
        <v>456</v>
      </c>
      <c r="D113" s="117" t="s">
        <v>249</v>
      </c>
      <c r="E113" s="117" t="s">
        <v>1252</v>
      </c>
      <c r="F113" s="117" t="s">
        <v>203</v>
      </c>
      <c r="G113" s="118" t="s">
        <v>255</v>
      </c>
      <c r="H113" s="69">
        <v>756.75340029121435</v>
      </c>
      <c r="I113" s="66">
        <v>1630.9999999999998</v>
      </c>
      <c r="J113" s="66">
        <v>0</v>
      </c>
      <c r="K113" s="64">
        <v>12.342649999999999</v>
      </c>
      <c r="L113" s="24">
        <v>8.2738034017486164E-6</v>
      </c>
      <c r="M113" s="32">
        <v>1.0360544496824566E-3</v>
      </c>
      <c r="N113" s="32">
        <v>5.0841604592966142E-5</v>
      </c>
      <c r="O113" s="14"/>
      <c r="P113" s="14"/>
      <c r="Q113" s="14"/>
      <c r="R113" s="14"/>
    </row>
    <row r="114" spans="1:18" x14ac:dyDescent="0.25">
      <c r="A114" s="16" t="s">
        <v>1906</v>
      </c>
      <c r="B114" s="117" t="s">
        <v>1907</v>
      </c>
      <c r="C114" s="117" t="s">
        <v>456</v>
      </c>
      <c r="D114" s="117" t="s">
        <v>249</v>
      </c>
      <c r="E114" s="117" t="s">
        <v>597</v>
      </c>
      <c r="F114" s="117" t="s">
        <v>223</v>
      </c>
      <c r="G114" s="118" t="s">
        <v>255</v>
      </c>
      <c r="H114" s="69">
        <v>295.52872324295339</v>
      </c>
      <c r="I114" s="66">
        <v>1555</v>
      </c>
      <c r="J114" s="66">
        <v>0</v>
      </c>
      <c r="K114" s="64">
        <v>4.5954700000000006</v>
      </c>
      <c r="L114" s="24">
        <v>1.5212708185132977E-6</v>
      </c>
      <c r="M114" s="32">
        <v>3.857483718554961E-4</v>
      </c>
      <c r="N114" s="32">
        <v>1.8929570931593958E-5</v>
      </c>
      <c r="O114" s="14"/>
      <c r="P114" s="14"/>
      <c r="Q114" s="14"/>
      <c r="R114" s="14"/>
    </row>
    <row r="115" spans="1:18" x14ac:dyDescent="0.25">
      <c r="A115" s="16" t="s">
        <v>1995</v>
      </c>
      <c r="B115" s="117" t="s">
        <v>1996</v>
      </c>
      <c r="C115" s="117" t="s">
        <v>456</v>
      </c>
      <c r="D115" s="117" t="s">
        <v>249</v>
      </c>
      <c r="E115" s="117" t="s">
        <v>1997</v>
      </c>
      <c r="F115" s="117" t="s">
        <v>235</v>
      </c>
      <c r="G115" s="118" t="s">
        <v>255</v>
      </c>
      <c r="H115" s="69">
        <v>227.40393230925264</v>
      </c>
      <c r="I115" s="66">
        <v>7500</v>
      </c>
      <c r="J115" s="66">
        <v>0</v>
      </c>
      <c r="K115" s="64">
        <v>17.055289999999999</v>
      </c>
      <c r="L115" s="24">
        <v>4.6942653935956347E-6</v>
      </c>
      <c r="M115" s="32">
        <v>1.4316381891348053E-3</v>
      </c>
      <c r="N115" s="32">
        <v>7.025381991698456E-5</v>
      </c>
      <c r="O115" s="14"/>
      <c r="P115" s="14"/>
      <c r="Q115" s="14"/>
      <c r="R115" s="14"/>
    </row>
    <row r="116" spans="1:18" x14ac:dyDescent="0.25">
      <c r="A116" s="16" t="s">
        <v>1901</v>
      </c>
      <c r="B116" s="117" t="s">
        <v>1902</v>
      </c>
      <c r="C116" s="117" t="s">
        <v>456</v>
      </c>
      <c r="D116" s="117" t="s">
        <v>249</v>
      </c>
      <c r="E116" s="117" t="s">
        <v>1903</v>
      </c>
      <c r="F116" s="117" t="s">
        <v>215</v>
      </c>
      <c r="G116" s="118" t="s">
        <v>255</v>
      </c>
      <c r="H116" s="69">
        <v>2547.1007983618788</v>
      </c>
      <c r="I116" s="66">
        <v>317.89999999999998</v>
      </c>
      <c r="J116" s="66">
        <v>0</v>
      </c>
      <c r="K116" s="64">
        <v>8.0972299999999997</v>
      </c>
      <c r="L116" s="24">
        <v>2.266363726328711E-6</v>
      </c>
      <c r="M116" s="32">
        <v>6.796896267497075E-4</v>
      </c>
      <c r="N116" s="32">
        <v>3.335395283495062E-5</v>
      </c>
      <c r="O116" s="14"/>
      <c r="P116" s="14"/>
      <c r="Q116" s="14"/>
      <c r="R116" s="14"/>
    </row>
    <row r="117" spans="1:18" x14ac:dyDescent="0.25">
      <c r="A117" s="16" t="s">
        <v>1896</v>
      </c>
      <c r="B117" s="117" t="s">
        <v>1897</v>
      </c>
      <c r="C117" s="117" t="s">
        <v>456</v>
      </c>
      <c r="D117" s="117" t="s">
        <v>249</v>
      </c>
      <c r="E117" s="117" t="s">
        <v>1898</v>
      </c>
      <c r="F117" s="117" t="s">
        <v>235</v>
      </c>
      <c r="G117" s="118" t="s">
        <v>255</v>
      </c>
      <c r="H117" s="69">
        <v>160.64224126546802</v>
      </c>
      <c r="I117" s="66">
        <v>21820</v>
      </c>
      <c r="J117" s="66">
        <v>0</v>
      </c>
      <c r="K117" s="64">
        <v>35.052140000000001</v>
      </c>
      <c r="L117" s="24">
        <v>1.1661375149455963E-5</v>
      </c>
      <c r="M117" s="32">
        <v>2.9423118712669015E-3</v>
      </c>
      <c r="N117" s="32">
        <v>1.4438609553193944E-4</v>
      </c>
      <c r="O117" s="14"/>
      <c r="P117" s="14"/>
      <c r="Q117" s="14"/>
      <c r="R117" s="14"/>
    </row>
    <row r="118" spans="1:18" x14ac:dyDescent="0.25">
      <c r="A118" s="16" t="s">
        <v>2016</v>
      </c>
      <c r="B118" s="117" t="s">
        <v>2017</v>
      </c>
      <c r="C118" s="117" t="s">
        <v>456</v>
      </c>
      <c r="D118" s="117" t="s">
        <v>249</v>
      </c>
      <c r="E118" s="117" t="s">
        <v>593</v>
      </c>
      <c r="F118" s="117" t="s">
        <v>235</v>
      </c>
      <c r="G118" s="118" t="s">
        <v>255</v>
      </c>
      <c r="H118" s="69">
        <v>5844.2410025452473</v>
      </c>
      <c r="I118" s="66">
        <v>1769.0000000000002</v>
      </c>
      <c r="J118" s="66">
        <v>0</v>
      </c>
      <c r="K118" s="64">
        <v>103.38462</v>
      </c>
      <c r="L118" s="24">
        <v>2.1998486324690535E-5</v>
      </c>
      <c r="M118" s="32">
        <v>8.6782089405216777E-3</v>
      </c>
      <c r="N118" s="32">
        <v>4.2585992238571615E-4</v>
      </c>
      <c r="O118" s="14"/>
      <c r="P118" s="14"/>
      <c r="Q118" s="14"/>
      <c r="R118" s="14"/>
    </row>
    <row r="119" spans="1:18" x14ac:dyDescent="0.25">
      <c r="A119" s="16" t="s">
        <v>2005</v>
      </c>
      <c r="B119" s="117" t="s">
        <v>2006</v>
      </c>
      <c r="C119" s="117" t="s">
        <v>456</v>
      </c>
      <c r="D119" s="117" t="s">
        <v>249</v>
      </c>
      <c r="E119" s="117" t="s">
        <v>2007</v>
      </c>
      <c r="F119" s="117" t="s">
        <v>208</v>
      </c>
      <c r="G119" s="118" t="s">
        <v>255</v>
      </c>
      <c r="H119" s="69">
        <v>408.9121074772583</v>
      </c>
      <c r="I119" s="66">
        <v>864</v>
      </c>
      <c r="J119" s="66">
        <v>0</v>
      </c>
      <c r="K119" s="64">
        <v>3.5329999999999999</v>
      </c>
      <c r="L119" s="24">
        <v>4.0856574178400353E-6</v>
      </c>
      <c r="M119" s="32">
        <v>2.9656357190134362E-4</v>
      </c>
      <c r="N119" s="32">
        <v>1.4553065105706585E-5</v>
      </c>
      <c r="O119" s="14"/>
      <c r="P119" s="14"/>
      <c r="Q119" s="14"/>
      <c r="R119" s="14"/>
    </row>
    <row r="120" spans="1:18" s="119" customFormat="1" x14ac:dyDescent="0.25">
      <c r="A120" s="92" t="s">
        <v>2035</v>
      </c>
      <c r="B120" s="131" t="s">
        <v>249</v>
      </c>
      <c r="C120" s="131" t="s">
        <v>249</v>
      </c>
      <c r="D120" s="131" t="s">
        <v>249</v>
      </c>
      <c r="E120" s="131" t="s">
        <v>249</v>
      </c>
      <c r="F120" s="131" t="s">
        <v>249</v>
      </c>
      <c r="G120" s="132" t="s">
        <v>249</v>
      </c>
      <c r="H120" s="135" t="s">
        <v>249</v>
      </c>
      <c r="I120" s="122" t="s">
        <v>249</v>
      </c>
      <c r="J120" s="122" t="s">
        <v>249</v>
      </c>
      <c r="K120" s="152">
        <v>537.48182009999994</v>
      </c>
      <c r="L120" s="137"/>
      <c r="M120" s="121">
        <v>4.5116764336510434E-2</v>
      </c>
      <c r="N120" s="121">
        <v>2.2139846931924635E-3</v>
      </c>
    </row>
    <row r="121" spans="1:18" x14ac:dyDescent="0.25">
      <c r="A121" s="16" t="s">
        <v>2046</v>
      </c>
      <c r="B121" s="117" t="s">
        <v>2047</v>
      </c>
      <c r="C121" s="117" t="s">
        <v>456</v>
      </c>
      <c r="D121" s="117" t="s">
        <v>249</v>
      </c>
      <c r="E121" s="117" t="s">
        <v>2048</v>
      </c>
      <c r="F121" s="117" t="s">
        <v>192</v>
      </c>
      <c r="G121" s="118" t="s">
        <v>255</v>
      </c>
      <c r="H121" s="69">
        <v>357.14556578123359</v>
      </c>
      <c r="I121" s="66">
        <v>738.5</v>
      </c>
      <c r="J121" s="66">
        <v>0</v>
      </c>
      <c r="K121" s="64">
        <v>2.6375199999999999</v>
      </c>
      <c r="L121" s="24">
        <v>8.0584682190675484E-6</v>
      </c>
      <c r="M121" s="32">
        <v>2.2139608043057795E-4</v>
      </c>
      <c r="N121" s="32">
        <v>1.0864421250383027E-5</v>
      </c>
      <c r="O121" s="14"/>
      <c r="P121" s="14"/>
      <c r="Q121" s="14"/>
      <c r="R121" s="14"/>
    </row>
    <row r="122" spans="1:18" x14ac:dyDescent="0.25">
      <c r="A122" s="16" t="s">
        <v>3988</v>
      </c>
      <c r="B122" s="117" t="s">
        <v>2136</v>
      </c>
      <c r="C122" s="117" t="s">
        <v>456</v>
      </c>
      <c r="D122" s="117" t="s">
        <v>249</v>
      </c>
      <c r="E122" s="117" t="s">
        <v>729</v>
      </c>
      <c r="F122" s="117" t="s">
        <v>224</v>
      </c>
      <c r="G122" s="118" t="s">
        <v>255</v>
      </c>
      <c r="H122" s="69">
        <v>4543.1956494310407</v>
      </c>
      <c r="I122" s="66">
        <v>435.20000000000005</v>
      </c>
      <c r="J122" s="66">
        <v>0</v>
      </c>
      <c r="K122" s="64">
        <v>19.771990000000002</v>
      </c>
      <c r="L122" s="24">
        <v>2.7558646264710359E-5</v>
      </c>
      <c r="M122" s="32">
        <v>1.6596807183689919E-3</v>
      </c>
      <c r="N122" s="32">
        <v>8.1444397888304445E-5</v>
      </c>
      <c r="O122" s="14"/>
      <c r="P122" s="14"/>
      <c r="Q122" s="14"/>
      <c r="R122" s="14"/>
    </row>
    <row r="123" spans="1:18" x14ac:dyDescent="0.25">
      <c r="A123" s="16" t="s">
        <v>2082</v>
      </c>
      <c r="B123" s="117" t="s">
        <v>2083</v>
      </c>
      <c r="C123" s="117" t="s">
        <v>456</v>
      </c>
      <c r="D123" s="117" t="s">
        <v>249</v>
      </c>
      <c r="E123" s="117" t="s">
        <v>2084</v>
      </c>
      <c r="F123" s="117" t="s">
        <v>204</v>
      </c>
      <c r="G123" s="118" t="s">
        <v>255</v>
      </c>
      <c r="H123" s="69">
        <v>1128.2298996935031</v>
      </c>
      <c r="I123" s="66">
        <v>426.79999999999995</v>
      </c>
      <c r="J123" s="66">
        <v>0</v>
      </c>
      <c r="K123" s="64">
        <v>4.8152900000000001</v>
      </c>
      <c r="L123" s="24">
        <v>2.050897557825122E-5</v>
      </c>
      <c r="M123" s="32">
        <v>4.0420028365152025E-4</v>
      </c>
      <c r="N123" s="32">
        <v>1.9835049213942219E-5</v>
      </c>
      <c r="O123" s="14"/>
      <c r="P123" s="14"/>
      <c r="Q123" s="14"/>
      <c r="R123" s="14"/>
    </row>
    <row r="124" spans="1:18" x14ac:dyDescent="0.25">
      <c r="A124" s="16" t="s">
        <v>2057</v>
      </c>
      <c r="B124" s="117" t="s">
        <v>2058</v>
      </c>
      <c r="C124" s="117" t="s">
        <v>456</v>
      </c>
      <c r="D124" s="117" t="s">
        <v>249</v>
      </c>
      <c r="E124" s="117" t="s">
        <v>2059</v>
      </c>
      <c r="F124" s="117" t="s">
        <v>204</v>
      </c>
      <c r="G124" s="118" t="s">
        <v>255</v>
      </c>
      <c r="H124" s="69">
        <v>378.75371939261578</v>
      </c>
      <c r="I124" s="66">
        <v>2113</v>
      </c>
      <c r="J124" s="66">
        <v>0</v>
      </c>
      <c r="K124" s="64">
        <v>8.0030699999999992</v>
      </c>
      <c r="L124" s="24">
        <v>2.2414978787063924E-5</v>
      </c>
      <c r="M124" s="32">
        <v>6.7178574168595695E-4</v>
      </c>
      <c r="N124" s="32">
        <v>3.2966090788431131E-5</v>
      </c>
      <c r="O124" s="14"/>
      <c r="P124" s="14"/>
      <c r="Q124" s="14"/>
      <c r="R124" s="14"/>
    </row>
    <row r="125" spans="1:18" x14ac:dyDescent="0.25">
      <c r="A125" s="16" t="s">
        <v>3989</v>
      </c>
      <c r="B125" s="117" t="s">
        <v>2124</v>
      </c>
      <c r="C125" s="117" t="s">
        <v>456</v>
      </c>
      <c r="D125" s="117" t="s">
        <v>249</v>
      </c>
      <c r="E125" s="117" t="s">
        <v>2125</v>
      </c>
      <c r="F125" s="117" t="s">
        <v>204</v>
      </c>
      <c r="G125" s="118" t="s">
        <v>255</v>
      </c>
      <c r="H125" s="69">
        <v>530.37455061593914</v>
      </c>
      <c r="I125" s="66">
        <v>1309</v>
      </c>
      <c r="J125" s="66">
        <v>0</v>
      </c>
      <c r="K125" s="64">
        <v>6.9426000000000005</v>
      </c>
      <c r="L125" s="24">
        <v>2.3813318983710628E-5</v>
      </c>
      <c r="M125" s="32">
        <v>5.8276882374250455E-4</v>
      </c>
      <c r="N125" s="32">
        <v>2.8597823323769757E-5</v>
      </c>
      <c r="O125" s="14"/>
      <c r="P125" s="14"/>
      <c r="Q125" s="14"/>
      <c r="R125" s="14"/>
    </row>
    <row r="126" spans="1:18" x14ac:dyDescent="0.25">
      <c r="A126" s="16" t="s">
        <v>2049</v>
      </c>
      <c r="B126" s="117" t="s">
        <v>2050</v>
      </c>
      <c r="C126" s="117" t="s">
        <v>456</v>
      </c>
      <c r="D126" s="117" t="s">
        <v>249</v>
      </c>
      <c r="E126" s="117" t="s">
        <v>1478</v>
      </c>
      <c r="F126" s="117" t="s">
        <v>201</v>
      </c>
      <c r="G126" s="118" t="s">
        <v>255</v>
      </c>
      <c r="H126" s="69">
        <v>147.74663344371768</v>
      </c>
      <c r="I126" s="66">
        <v>1675</v>
      </c>
      <c r="J126" s="66">
        <v>0</v>
      </c>
      <c r="K126" s="64">
        <v>2.4747600000000003</v>
      </c>
      <c r="L126" s="24">
        <v>8.1189283014275174E-6</v>
      </c>
      <c r="M126" s="32">
        <v>2.0773384239982146E-4</v>
      </c>
      <c r="N126" s="32">
        <v>1.0193983413812181E-5</v>
      </c>
      <c r="O126" s="14"/>
      <c r="P126" s="14"/>
      <c r="Q126" s="14"/>
      <c r="R126" s="14"/>
    </row>
    <row r="127" spans="1:18" x14ac:dyDescent="0.25">
      <c r="A127" s="16" t="s">
        <v>2139</v>
      </c>
      <c r="B127" s="117" t="s">
        <v>2140</v>
      </c>
      <c r="C127" s="117" t="s">
        <v>456</v>
      </c>
      <c r="D127" s="117" t="s">
        <v>249</v>
      </c>
      <c r="E127" s="117" t="s">
        <v>2141</v>
      </c>
      <c r="F127" s="117" t="s">
        <v>203</v>
      </c>
      <c r="G127" s="118" t="s">
        <v>255</v>
      </c>
      <c r="H127" s="69">
        <v>391.77434369752604</v>
      </c>
      <c r="I127" s="66">
        <v>542.5</v>
      </c>
      <c r="J127" s="66">
        <v>0</v>
      </c>
      <c r="K127" s="64">
        <v>2.1253800000000003</v>
      </c>
      <c r="L127" s="24">
        <v>6.8938658682149664E-6</v>
      </c>
      <c r="M127" s="32">
        <v>1.7840653395065887E-4</v>
      </c>
      <c r="N127" s="32">
        <v>8.7548240912444578E-6</v>
      </c>
      <c r="O127" s="14"/>
      <c r="P127" s="14"/>
      <c r="Q127" s="14"/>
      <c r="R127" s="14"/>
    </row>
    <row r="128" spans="1:18" x14ac:dyDescent="0.25">
      <c r="A128" s="16" t="s">
        <v>2091</v>
      </c>
      <c r="B128" s="117" t="s">
        <v>2092</v>
      </c>
      <c r="C128" s="117" t="s">
        <v>456</v>
      </c>
      <c r="D128" s="117" t="s">
        <v>249</v>
      </c>
      <c r="E128" s="117" t="s">
        <v>2093</v>
      </c>
      <c r="F128" s="117" t="s">
        <v>204</v>
      </c>
      <c r="G128" s="118" t="s">
        <v>255</v>
      </c>
      <c r="H128" s="69">
        <v>3206.5622217512323</v>
      </c>
      <c r="I128" s="66">
        <v>363</v>
      </c>
      <c r="J128" s="66">
        <v>0</v>
      </c>
      <c r="K128" s="64">
        <v>11.63982</v>
      </c>
      <c r="L128" s="24">
        <v>1.2685105272467658E-5</v>
      </c>
      <c r="M128" s="32">
        <v>9.7705819289235708E-4</v>
      </c>
      <c r="N128" s="32">
        <v>4.7946520882735813E-5</v>
      </c>
      <c r="O128" s="14"/>
      <c r="P128" s="14"/>
      <c r="Q128" s="14"/>
      <c r="R128" s="14"/>
    </row>
    <row r="129" spans="1:18" x14ac:dyDescent="0.25">
      <c r="A129" s="16" t="s">
        <v>2148</v>
      </c>
      <c r="B129" s="117" t="s">
        <v>2149</v>
      </c>
      <c r="C129" s="117" t="s">
        <v>456</v>
      </c>
      <c r="D129" s="117" t="s">
        <v>249</v>
      </c>
      <c r="E129" s="117" t="s">
        <v>2150</v>
      </c>
      <c r="F129" s="117" t="s">
        <v>193</v>
      </c>
      <c r="G129" s="118" t="s">
        <v>255</v>
      </c>
      <c r="H129" s="69">
        <v>110.62067754027245</v>
      </c>
      <c r="I129" s="66">
        <v>825.4</v>
      </c>
      <c r="J129" s="66">
        <v>0</v>
      </c>
      <c r="K129" s="64">
        <v>0.91305999999999998</v>
      </c>
      <c r="L129" s="24">
        <v>2.9012496551547433E-6</v>
      </c>
      <c r="M129" s="32">
        <v>7.6643174344817667E-5</v>
      </c>
      <c r="N129" s="32">
        <v>3.7610590504999872E-6</v>
      </c>
      <c r="O129" s="14"/>
      <c r="P129" s="14"/>
      <c r="Q129" s="14"/>
      <c r="R129" s="14"/>
    </row>
    <row r="130" spans="1:18" x14ac:dyDescent="0.25">
      <c r="A130" s="16" t="s">
        <v>2145</v>
      </c>
      <c r="B130" s="117" t="s">
        <v>2146</v>
      </c>
      <c r="C130" s="117" t="s">
        <v>456</v>
      </c>
      <c r="D130" s="117" t="s">
        <v>249</v>
      </c>
      <c r="E130" s="117" t="s">
        <v>2147</v>
      </c>
      <c r="F130" s="117" t="s">
        <v>231</v>
      </c>
      <c r="G130" s="118" t="s">
        <v>255</v>
      </c>
      <c r="H130" s="69">
        <v>132.59101125727975</v>
      </c>
      <c r="I130" s="66">
        <v>5877</v>
      </c>
      <c r="J130" s="66">
        <v>0</v>
      </c>
      <c r="K130" s="64">
        <v>7.79237</v>
      </c>
      <c r="L130" s="24">
        <v>1.0316291334177502E-5</v>
      </c>
      <c r="M130" s="32">
        <v>6.5409937185872437E-4</v>
      </c>
      <c r="N130" s="32">
        <v>3.2098179433273371E-5</v>
      </c>
      <c r="O130" s="14"/>
      <c r="P130" s="14"/>
      <c r="Q130" s="14"/>
      <c r="R130" s="14"/>
    </row>
    <row r="131" spans="1:18" x14ac:dyDescent="0.25">
      <c r="A131" s="16" t="s">
        <v>3990</v>
      </c>
      <c r="B131" s="117" t="s">
        <v>2168</v>
      </c>
      <c r="C131" s="117" t="s">
        <v>456</v>
      </c>
      <c r="D131" s="117" t="s">
        <v>249</v>
      </c>
      <c r="E131" s="117" t="s">
        <v>2169</v>
      </c>
      <c r="F131" s="117" t="s">
        <v>198</v>
      </c>
      <c r="G131" s="118" t="s">
        <v>255</v>
      </c>
      <c r="H131" s="69">
        <v>137.3768313332051</v>
      </c>
      <c r="I131" s="66">
        <v>6797.704514</v>
      </c>
      <c r="J131" s="66">
        <v>0</v>
      </c>
      <c r="K131" s="64">
        <v>9.3384699999999992</v>
      </c>
      <c r="L131" s="24">
        <v>1.2117230187894178E-5</v>
      </c>
      <c r="M131" s="32">
        <v>7.83880560230269E-4</v>
      </c>
      <c r="N131" s="32">
        <v>3.8466844579022862E-5</v>
      </c>
      <c r="O131" s="14"/>
      <c r="P131" s="14"/>
      <c r="Q131" s="14"/>
      <c r="R131" s="14"/>
    </row>
    <row r="132" spans="1:18" x14ac:dyDescent="0.25">
      <c r="A132" s="16" t="s">
        <v>2039</v>
      </c>
      <c r="B132" s="117" t="s">
        <v>2040</v>
      </c>
      <c r="C132" s="117" t="s">
        <v>456</v>
      </c>
      <c r="D132" s="117" t="s">
        <v>249</v>
      </c>
      <c r="E132" s="117" t="s">
        <v>2041</v>
      </c>
      <c r="F132" s="117" t="s">
        <v>224</v>
      </c>
      <c r="G132" s="118" t="s">
        <v>255</v>
      </c>
      <c r="H132" s="69">
        <v>1599.2888565641188</v>
      </c>
      <c r="I132" s="66">
        <v>689.9</v>
      </c>
      <c r="J132" s="66">
        <v>0</v>
      </c>
      <c r="K132" s="64">
        <v>11.03349</v>
      </c>
      <c r="L132" s="24">
        <v>2.5538844250164036E-5</v>
      </c>
      <c r="M132" s="32">
        <v>9.2616224311852706E-4</v>
      </c>
      <c r="N132" s="32">
        <v>4.5448938101659371E-5</v>
      </c>
      <c r="O132" s="14"/>
      <c r="P132" s="14"/>
      <c r="Q132" s="14"/>
      <c r="R132" s="14"/>
    </row>
    <row r="133" spans="1:18" x14ac:dyDescent="0.25">
      <c r="A133" s="16" t="s">
        <v>2130</v>
      </c>
      <c r="B133" s="117" t="s">
        <v>2131</v>
      </c>
      <c r="C133" s="117" t="s">
        <v>456</v>
      </c>
      <c r="D133" s="117" t="s">
        <v>249</v>
      </c>
      <c r="E133" s="117" t="s">
        <v>2132</v>
      </c>
      <c r="F133" s="117" t="s">
        <v>194</v>
      </c>
      <c r="G133" s="118" t="s">
        <v>255</v>
      </c>
      <c r="H133" s="69">
        <v>629.13205687921277</v>
      </c>
      <c r="I133" s="66">
        <v>5999</v>
      </c>
      <c r="J133" s="66">
        <v>0</v>
      </c>
      <c r="K133" s="64">
        <v>37.741630000000001</v>
      </c>
      <c r="L133" s="24">
        <v>2.5439285769477257E-5</v>
      </c>
      <c r="M133" s="32">
        <v>3.1680703657455157E-3</v>
      </c>
      <c r="N133" s="32">
        <v>1.5546459059877975E-4</v>
      </c>
      <c r="O133" s="14"/>
      <c r="P133" s="14"/>
      <c r="Q133" s="14"/>
      <c r="R133" s="14"/>
    </row>
    <row r="134" spans="1:18" x14ac:dyDescent="0.25">
      <c r="A134" s="16" t="s">
        <v>2153</v>
      </c>
      <c r="B134" s="117" t="s">
        <v>2154</v>
      </c>
      <c r="C134" s="117" t="s">
        <v>456</v>
      </c>
      <c r="D134" s="117" t="s">
        <v>249</v>
      </c>
      <c r="E134" s="117" t="s">
        <v>1017</v>
      </c>
      <c r="F134" s="117" t="s">
        <v>223</v>
      </c>
      <c r="G134" s="118" t="s">
        <v>255</v>
      </c>
      <c r="H134" s="69">
        <v>3007.2242272717158</v>
      </c>
      <c r="I134" s="66">
        <v>215.28755100000004</v>
      </c>
      <c r="J134" s="66">
        <v>0</v>
      </c>
      <c r="K134" s="64">
        <v>6.4741800000000005</v>
      </c>
      <c r="L134" s="24">
        <v>9.7063975798720413E-6</v>
      </c>
      <c r="M134" s="32">
        <v>5.434491780164849E-4</v>
      </c>
      <c r="N134" s="32">
        <v>2.6668316741031267E-5</v>
      </c>
      <c r="O134" s="14"/>
      <c r="P134" s="14"/>
      <c r="Q134" s="14"/>
      <c r="R134" s="14"/>
    </row>
    <row r="135" spans="1:18" x14ac:dyDescent="0.25">
      <c r="A135" s="16" t="s">
        <v>3991</v>
      </c>
      <c r="B135" s="117" t="s">
        <v>2128</v>
      </c>
      <c r="C135" s="117" t="s">
        <v>456</v>
      </c>
      <c r="D135" s="117" t="s">
        <v>249</v>
      </c>
      <c r="E135" s="117" t="s">
        <v>2129</v>
      </c>
      <c r="F135" s="117" t="s">
        <v>190</v>
      </c>
      <c r="G135" s="118" t="s">
        <v>255</v>
      </c>
      <c r="H135" s="69">
        <v>1290.8737178878828</v>
      </c>
      <c r="I135" s="66">
        <v>16.2</v>
      </c>
      <c r="J135" s="66">
        <v>0</v>
      </c>
      <c r="K135" s="64">
        <v>0.20912</v>
      </c>
      <c r="L135" s="24">
        <v>1.2392551233743797E-5</v>
      </c>
      <c r="M135" s="32">
        <v>1.7553743038779786E-5</v>
      </c>
      <c r="N135" s="32">
        <v>8.6140304978923329E-7</v>
      </c>
      <c r="O135" s="14"/>
      <c r="P135" s="14"/>
      <c r="Q135" s="14"/>
      <c r="R135" s="14"/>
    </row>
    <row r="136" spans="1:18" x14ac:dyDescent="0.25">
      <c r="A136" s="16" t="s">
        <v>2142</v>
      </c>
      <c r="B136" s="117" t="s">
        <v>2143</v>
      </c>
      <c r="C136" s="117" t="s">
        <v>456</v>
      </c>
      <c r="D136" s="117" t="s">
        <v>249</v>
      </c>
      <c r="E136" s="117" t="s">
        <v>2144</v>
      </c>
      <c r="F136" s="117" t="s">
        <v>223</v>
      </c>
      <c r="G136" s="118" t="s">
        <v>255</v>
      </c>
      <c r="H136" s="69">
        <v>1122.9040924550213</v>
      </c>
      <c r="I136" s="66">
        <v>939.4</v>
      </c>
      <c r="J136" s="66">
        <v>0</v>
      </c>
      <c r="K136" s="64">
        <v>10.54856</v>
      </c>
      <c r="L136" s="24">
        <v>1.6056722341374473E-5</v>
      </c>
      <c r="M136" s="32">
        <v>8.8545673139417977E-4</v>
      </c>
      <c r="N136" s="32">
        <v>4.3451423847000359E-5</v>
      </c>
      <c r="O136" s="14"/>
      <c r="P136" s="14"/>
      <c r="Q136" s="14"/>
      <c r="R136" s="14"/>
    </row>
    <row r="137" spans="1:18" x14ac:dyDescent="0.25">
      <c r="A137" s="16" t="s">
        <v>3992</v>
      </c>
      <c r="B137" s="117" t="s">
        <v>2044</v>
      </c>
      <c r="C137" s="117" t="s">
        <v>456</v>
      </c>
      <c r="D137" s="117" t="s">
        <v>249</v>
      </c>
      <c r="E137" s="117" t="s">
        <v>2045</v>
      </c>
      <c r="F137" s="117" t="s">
        <v>192</v>
      </c>
      <c r="G137" s="118" t="s">
        <v>255</v>
      </c>
      <c r="H137" s="69">
        <v>271.71991183241755</v>
      </c>
      <c r="I137" s="66">
        <v>886</v>
      </c>
      <c r="J137" s="66">
        <v>0</v>
      </c>
      <c r="K137" s="64">
        <v>2.4074400000000002</v>
      </c>
      <c r="L137" s="24">
        <v>3.1628099411857953E-5</v>
      </c>
      <c r="M137" s="32">
        <v>2.0208293391966339E-4</v>
      </c>
      <c r="N137" s="32">
        <v>9.9166801749454477E-6</v>
      </c>
      <c r="O137" s="14"/>
      <c r="P137" s="14"/>
      <c r="Q137" s="14"/>
      <c r="R137" s="14"/>
    </row>
    <row r="138" spans="1:18" x14ac:dyDescent="0.25">
      <c r="A138" s="16" t="s">
        <v>2119</v>
      </c>
      <c r="B138" s="117" t="s">
        <v>2120</v>
      </c>
      <c r="C138" s="117" t="s">
        <v>456</v>
      </c>
      <c r="D138" s="117" t="s">
        <v>249</v>
      </c>
      <c r="E138" s="117" t="s">
        <v>2121</v>
      </c>
      <c r="F138" s="117" t="s">
        <v>234</v>
      </c>
      <c r="G138" s="118" t="s">
        <v>255</v>
      </c>
      <c r="H138" s="69">
        <v>1838.4776935285599</v>
      </c>
      <c r="I138" s="66">
        <v>348.5</v>
      </c>
      <c r="J138" s="66">
        <v>0</v>
      </c>
      <c r="K138" s="64">
        <v>6.4070900000000002</v>
      </c>
      <c r="L138" s="24">
        <v>2.2083424870593103E-5</v>
      </c>
      <c r="M138" s="32">
        <v>5.3781757596755729E-4</v>
      </c>
      <c r="N138" s="32">
        <v>2.6391960913705521E-5</v>
      </c>
      <c r="O138" s="14"/>
      <c r="P138" s="14"/>
      <c r="Q138" s="14"/>
      <c r="R138" s="14"/>
    </row>
    <row r="139" spans="1:18" x14ac:dyDescent="0.25">
      <c r="A139" s="16" t="s">
        <v>2054</v>
      </c>
      <c r="B139" s="117" t="s">
        <v>2055</v>
      </c>
      <c r="C139" s="117" t="s">
        <v>456</v>
      </c>
      <c r="D139" s="117" t="s">
        <v>249</v>
      </c>
      <c r="E139" s="117" t="s">
        <v>2056</v>
      </c>
      <c r="F139" s="117" t="s">
        <v>208</v>
      </c>
      <c r="G139" s="118" t="s">
        <v>255</v>
      </c>
      <c r="H139" s="69">
        <v>210.03557089881781</v>
      </c>
      <c r="I139" s="66">
        <v>1457</v>
      </c>
      <c r="J139" s="66">
        <v>0</v>
      </c>
      <c r="K139" s="64">
        <v>3.0602199999999997</v>
      </c>
      <c r="L139" s="24">
        <v>1.3257852804862422E-5</v>
      </c>
      <c r="M139" s="32">
        <v>2.5687794339199823E-4</v>
      </c>
      <c r="N139" s="32">
        <v>1.2605598895495444E-5</v>
      </c>
      <c r="O139" s="14"/>
      <c r="P139" s="14"/>
      <c r="Q139" s="14"/>
      <c r="R139" s="14"/>
    </row>
    <row r="140" spans="1:18" x14ac:dyDescent="0.25">
      <c r="A140" s="16" t="s">
        <v>2103</v>
      </c>
      <c r="B140" s="117" t="s">
        <v>2104</v>
      </c>
      <c r="C140" s="117" t="s">
        <v>456</v>
      </c>
      <c r="D140" s="117" t="s">
        <v>249</v>
      </c>
      <c r="E140" s="117" t="s">
        <v>1225</v>
      </c>
      <c r="F140" s="117" t="s">
        <v>225</v>
      </c>
      <c r="G140" s="118" t="s">
        <v>255</v>
      </c>
      <c r="H140" s="69">
        <v>234.85291601769265</v>
      </c>
      <c r="I140" s="66">
        <v>7034</v>
      </c>
      <c r="J140" s="66">
        <v>0</v>
      </c>
      <c r="K140" s="64">
        <v>16.519549999999999</v>
      </c>
      <c r="L140" s="24">
        <v>1.483906252520699E-5</v>
      </c>
      <c r="M140" s="32">
        <v>1.3866676349286275E-3</v>
      </c>
      <c r="N140" s="32">
        <v>6.8047010095379347E-5</v>
      </c>
      <c r="O140" s="14"/>
      <c r="P140" s="14"/>
      <c r="Q140" s="14"/>
      <c r="R140" s="14"/>
    </row>
    <row r="141" spans="1:18" x14ac:dyDescent="0.25">
      <c r="A141" s="16" t="s">
        <v>2105</v>
      </c>
      <c r="B141" s="117" t="s">
        <v>2106</v>
      </c>
      <c r="C141" s="117" t="s">
        <v>456</v>
      </c>
      <c r="D141" s="117" t="s">
        <v>249</v>
      </c>
      <c r="E141" s="117" t="s">
        <v>2107</v>
      </c>
      <c r="F141" s="117" t="s">
        <v>233</v>
      </c>
      <c r="G141" s="118" t="s">
        <v>255</v>
      </c>
      <c r="H141" s="69">
        <v>235.82573598363646</v>
      </c>
      <c r="I141" s="66">
        <v>17.600000000000001</v>
      </c>
      <c r="J141" s="66">
        <v>0</v>
      </c>
      <c r="K141" s="64">
        <v>4.1509999999999998E-2</v>
      </c>
      <c r="L141" s="24">
        <v>2.2647320997976037E-6</v>
      </c>
      <c r="M141" s="32">
        <v>3.4843911320760751E-6</v>
      </c>
      <c r="N141" s="32">
        <v>1.7098718724536664E-7</v>
      </c>
      <c r="O141" s="14"/>
      <c r="P141" s="14"/>
      <c r="Q141" s="14"/>
      <c r="R141" s="14"/>
    </row>
    <row r="142" spans="1:18" x14ac:dyDescent="0.25">
      <c r="A142" s="16" t="s">
        <v>2151</v>
      </c>
      <c r="B142" s="117" t="s">
        <v>2152</v>
      </c>
      <c r="C142" s="117" t="s">
        <v>456</v>
      </c>
      <c r="D142" s="117" t="s">
        <v>249</v>
      </c>
      <c r="E142" s="117" t="s">
        <v>2107</v>
      </c>
      <c r="F142" s="117" t="s">
        <v>233</v>
      </c>
      <c r="G142" s="118" t="s">
        <v>255</v>
      </c>
      <c r="H142" s="69">
        <v>2387.3946048820872</v>
      </c>
      <c r="I142" s="66">
        <v>5.4777009999999997</v>
      </c>
      <c r="J142" s="66">
        <v>0</v>
      </c>
      <c r="K142" s="64">
        <v>0.13077</v>
      </c>
      <c r="L142" s="24">
        <v>2.2927138015739085E-5</v>
      </c>
      <c r="M142" s="32">
        <v>1.0976965269611862E-5</v>
      </c>
      <c r="N142" s="32">
        <v>5.386652487611804E-7</v>
      </c>
      <c r="O142" s="14"/>
      <c r="P142" s="14"/>
      <c r="Q142" s="14"/>
      <c r="R142" s="14"/>
    </row>
    <row r="143" spans="1:18" x14ac:dyDescent="0.25">
      <c r="A143" s="16" t="s">
        <v>2085</v>
      </c>
      <c r="B143" s="117" t="s">
        <v>2086</v>
      </c>
      <c r="C143" s="117" t="s">
        <v>456</v>
      </c>
      <c r="D143" s="117" t="s">
        <v>249</v>
      </c>
      <c r="E143" s="117" t="s">
        <v>2087</v>
      </c>
      <c r="F143" s="117" t="s">
        <v>223</v>
      </c>
      <c r="G143" s="118" t="s">
        <v>255</v>
      </c>
      <c r="H143" s="69">
        <v>375.73283790247785</v>
      </c>
      <c r="I143" s="66">
        <v>16710</v>
      </c>
      <c r="J143" s="66">
        <v>0</v>
      </c>
      <c r="K143" s="64">
        <v>62.784959999999998</v>
      </c>
      <c r="L143" s="24">
        <v>2.1206735459725899E-5</v>
      </c>
      <c r="M143" s="32">
        <v>5.2702326632558683E-3</v>
      </c>
      <c r="N143" s="32">
        <v>2.5862259001958215E-4</v>
      </c>
      <c r="O143" s="14"/>
      <c r="P143" s="14"/>
      <c r="Q143" s="14"/>
      <c r="R143" s="14"/>
    </row>
    <row r="144" spans="1:18" x14ac:dyDescent="0.25">
      <c r="A144" s="16" t="s">
        <v>2133</v>
      </c>
      <c r="B144" s="117" t="s">
        <v>2134</v>
      </c>
      <c r="C144" s="117" t="s">
        <v>456</v>
      </c>
      <c r="D144" s="117" t="s">
        <v>249</v>
      </c>
      <c r="E144" s="117" t="s">
        <v>2135</v>
      </c>
      <c r="F144" s="117" t="s">
        <v>235</v>
      </c>
      <c r="G144" s="118" t="s">
        <v>255</v>
      </c>
      <c r="H144" s="69">
        <v>146.85365856400381</v>
      </c>
      <c r="I144" s="66">
        <v>3339</v>
      </c>
      <c r="J144" s="66">
        <v>0</v>
      </c>
      <c r="K144" s="64">
        <v>4.9034399999999998</v>
      </c>
      <c r="L144" s="24">
        <v>1.0225510482158152E-5</v>
      </c>
      <c r="M144" s="32">
        <v>4.1159968327311757E-4</v>
      </c>
      <c r="N144" s="32">
        <v>2.0198154984977609E-5</v>
      </c>
      <c r="O144" s="14"/>
      <c r="P144" s="14"/>
      <c r="Q144" s="14"/>
      <c r="R144" s="14"/>
    </row>
    <row r="145" spans="1:18" x14ac:dyDescent="0.25">
      <c r="A145" s="16" t="s">
        <v>2165</v>
      </c>
      <c r="B145" s="117" t="s">
        <v>2166</v>
      </c>
      <c r="C145" s="117" t="s">
        <v>456</v>
      </c>
      <c r="D145" s="117" t="s">
        <v>249</v>
      </c>
      <c r="E145" s="117" t="s">
        <v>2167</v>
      </c>
      <c r="F145" s="117" t="s">
        <v>231</v>
      </c>
      <c r="G145" s="118" t="s">
        <v>255</v>
      </c>
      <c r="H145" s="69">
        <v>1096.6330341335097</v>
      </c>
      <c r="I145" s="66">
        <v>1766</v>
      </c>
      <c r="J145" s="66">
        <v>0</v>
      </c>
      <c r="K145" s="64">
        <v>19.366540000000001</v>
      </c>
      <c r="L145" s="24">
        <v>1.6866785693433173E-5</v>
      </c>
      <c r="M145" s="32">
        <v>1.6256468377498579E-3</v>
      </c>
      <c r="N145" s="32">
        <v>7.9774276108766153E-5</v>
      </c>
      <c r="O145" s="14"/>
      <c r="P145" s="14"/>
      <c r="Q145" s="14"/>
      <c r="R145" s="14"/>
    </row>
    <row r="146" spans="1:18" x14ac:dyDescent="0.25">
      <c r="A146" s="16" t="s">
        <v>2137</v>
      </c>
      <c r="B146" s="117" t="s">
        <v>2138</v>
      </c>
      <c r="C146" s="117" t="s">
        <v>456</v>
      </c>
      <c r="D146" s="117" t="s">
        <v>249</v>
      </c>
      <c r="E146" s="117" t="s">
        <v>567</v>
      </c>
      <c r="F146" s="117" t="s">
        <v>223</v>
      </c>
      <c r="G146" s="118" t="s">
        <v>255</v>
      </c>
      <c r="H146" s="69">
        <v>211.0378038814614</v>
      </c>
      <c r="I146" s="66">
        <v>2420</v>
      </c>
      <c r="J146" s="66">
        <v>0</v>
      </c>
      <c r="K146" s="64">
        <v>5.1071099999999996</v>
      </c>
      <c r="L146" s="24">
        <v>9.8305582833477921E-7</v>
      </c>
      <c r="M146" s="32">
        <v>4.2869594783274018E-4</v>
      </c>
      <c r="N146" s="32">
        <v>2.1037108500426026E-5</v>
      </c>
      <c r="O146" s="14"/>
      <c r="P146" s="14"/>
      <c r="Q146" s="14"/>
      <c r="R146" s="14"/>
    </row>
    <row r="147" spans="1:18" x14ac:dyDescent="0.25">
      <c r="A147" s="16" t="s">
        <v>2065</v>
      </c>
      <c r="B147" s="117" t="s">
        <v>2066</v>
      </c>
      <c r="C147" s="117" t="s">
        <v>456</v>
      </c>
      <c r="D147" s="117" t="s">
        <v>249</v>
      </c>
      <c r="E147" s="117" t="s">
        <v>2067</v>
      </c>
      <c r="F147" s="117" t="s">
        <v>221</v>
      </c>
      <c r="G147" s="118" t="s">
        <v>255</v>
      </c>
      <c r="H147" s="69">
        <v>80.696038762378578</v>
      </c>
      <c r="I147" s="66">
        <v>1252</v>
      </c>
      <c r="J147" s="66">
        <v>0</v>
      </c>
      <c r="K147" s="64">
        <v>1.01031</v>
      </c>
      <c r="L147" s="24">
        <v>4.5428397453688528E-6</v>
      </c>
      <c r="M147" s="32">
        <v>8.4806437115099488E-5</v>
      </c>
      <c r="N147" s="32">
        <v>4.1616493651136205E-6</v>
      </c>
      <c r="O147" s="14"/>
      <c r="P147" s="14"/>
      <c r="Q147" s="14"/>
      <c r="R147" s="14"/>
    </row>
    <row r="148" spans="1:18" x14ac:dyDescent="0.25">
      <c r="A148" s="16" t="s">
        <v>2036</v>
      </c>
      <c r="B148" s="117" t="s">
        <v>2037</v>
      </c>
      <c r="C148" s="117" t="s">
        <v>456</v>
      </c>
      <c r="D148" s="117" t="s">
        <v>249</v>
      </c>
      <c r="E148" s="117" t="s">
        <v>2038</v>
      </c>
      <c r="F148" s="117" t="s">
        <v>235</v>
      </c>
      <c r="G148" s="118" t="s">
        <v>255</v>
      </c>
      <c r="H148" s="69">
        <v>1074.0131925113458</v>
      </c>
      <c r="I148" s="66">
        <v>626.20000000000005</v>
      </c>
      <c r="J148" s="66">
        <v>0</v>
      </c>
      <c r="K148" s="64">
        <v>6.7254700000000005</v>
      </c>
      <c r="L148" s="24">
        <v>1.0086263090792981E-5</v>
      </c>
      <c r="M148" s="32">
        <v>5.6454271325087168E-4</v>
      </c>
      <c r="N148" s="32">
        <v>2.7703425637270444E-5</v>
      </c>
      <c r="O148" s="14"/>
      <c r="P148" s="14"/>
      <c r="Q148" s="14"/>
      <c r="R148" s="14"/>
    </row>
    <row r="149" spans="1:18" x14ac:dyDescent="0.25">
      <c r="A149" s="16" t="s">
        <v>2051</v>
      </c>
      <c r="B149" s="117" t="s">
        <v>2052</v>
      </c>
      <c r="C149" s="117" t="s">
        <v>456</v>
      </c>
      <c r="D149" s="117" t="s">
        <v>249</v>
      </c>
      <c r="E149" s="117" t="s">
        <v>2053</v>
      </c>
      <c r="F149" s="117" t="s">
        <v>194</v>
      </c>
      <c r="G149" s="118" t="s">
        <v>255</v>
      </c>
      <c r="H149" s="69">
        <v>14.290487111797496</v>
      </c>
      <c r="I149" s="66">
        <v>26500</v>
      </c>
      <c r="J149" s="66">
        <v>0.24986034900000001</v>
      </c>
      <c r="K149" s="64">
        <v>4.0368399999999998</v>
      </c>
      <c r="L149" s="24">
        <v>2.1127288106803002E-6</v>
      </c>
      <c r="M149" s="32">
        <v>3.3885640803685816E-4</v>
      </c>
      <c r="N149" s="32">
        <v>1.6628473065757307E-5</v>
      </c>
      <c r="O149" s="14"/>
      <c r="P149" s="14"/>
      <c r="Q149" s="14"/>
      <c r="R149" s="14"/>
    </row>
    <row r="150" spans="1:18" x14ac:dyDescent="0.25">
      <c r="A150" s="16" t="s">
        <v>3993</v>
      </c>
      <c r="B150" s="117" t="s">
        <v>2174</v>
      </c>
      <c r="C150" s="117" t="s">
        <v>456</v>
      </c>
      <c r="D150" s="117" t="s">
        <v>249</v>
      </c>
      <c r="E150" s="117" t="s">
        <v>2053</v>
      </c>
      <c r="F150" s="117" t="s">
        <v>194</v>
      </c>
      <c r="G150" s="118" t="s">
        <v>255</v>
      </c>
      <c r="H150" s="69">
        <v>63.95275976774348</v>
      </c>
      <c r="I150" s="66">
        <v>25362.909232999998</v>
      </c>
      <c r="J150" s="66">
        <v>0.20422540620000001</v>
      </c>
      <c r="K150" s="64">
        <v>16.424509999999998</v>
      </c>
      <c r="L150" s="24">
        <v>9.4548798110796182E-6</v>
      </c>
      <c r="M150" s="32">
        <v>1.3786898817801691E-3</v>
      </c>
      <c r="N150" s="32">
        <v>6.7655523169920419E-5</v>
      </c>
      <c r="O150" s="14"/>
      <c r="P150" s="14"/>
      <c r="Q150" s="14"/>
      <c r="R150" s="14"/>
    </row>
    <row r="151" spans="1:18" x14ac:dyDescent="0.25">
      <c r="A151" s="16" t="s">
        <v>2155</v>
      </c>
      <c r="B151" s="117" t="s">
        <v>2156</v>
      </c>
      <c r="C151" s="117" t="s">
        <v>456</v>
      </c>
      <c r="D151" s="117" t="s">
        <v>249</v>
      </c>
      <c r="E151" s="117" t="s">
        <v>2157</v>
      </c>
      <c r="F151" s="117" t="s">
        <v>204</v>
      </c>
      <c r="G151" s="118" t="s">
        <v>255</v>
      </c>
      <c r="H151" s="69">
        <v>2770.4984251372621</v>
      </c>
      <c r="I151" s="66">
        <v>170</v>
      </c>
      <c r="J151" s="66">
        <v>0</v>
      </c>
      <c r="K151" s="64">
        <v>4.7098500000000003</v>
      </c>
      <c r="L151" s="24">
        <v>1.0598718871189249E-5</v>
      </c>
      <c r="M151" s="32">
        <v>3.9534954404742243E-4</v>
      </c>
      <c r="N151" s="32">
        <v>1.9400722810108171E-5</v>
      </c>
      <c r="O151" s="14"/>
      <c r="P151" s="14"/>
      <c r="Q151" s="14"/>
      <c r="R151" s="14"/>
    </row>
    <row r="152" spans="1:18" x14ac:dyDescent="0.25">
      <c r="A152" s="16" t="s">
        <v>3994</v>
      </c>
      <c r="B152" s="117" t="s">
        <v>2170</v>
      </c>
      <c r="C152" s="117" t="s">
        <v>456</v>
      </c>
      <c r="D152" s="117" t="s">
        <v>249</v>
      </c>
      <c r="E152" s="117" t="s">
        <v>2157</v>
      </c>
      <c r="F152" s="117" t="s">
        <v>204</v>
      </c>
      <c r="G152" s="118" t="s">
        <v>255</v>
      </c>
      <c r="H152" s="69">
        <v>2704.1380475100077</v>
      </c>
      <c r="I152" s="66">
        <v>167.63611399999999</v>
      </c>
      <c r="J152" s="66">
        <v>0</v>
      </c>
      <c r="K152" s="64">
        <v>4.5331099999999998</v>
      </c>
      <c r="L152" s="24">
        <v>1.0344853003489874E-5</v>
      </c>
      <c r="M152" s="32">
        <v>3.8051381076187367E-4</v>
      </c>
      <c r="N152" s="32">
        <v>1.8672698828567669E-5</v>
      </c>
      <c r="O152" s="14"/>
      <c r="P152" s="14"/>
      <c r="Q152" s="14"/>
      <c r="R152" s="14"/>
    </row>
    <row r="153" spans="1:18" x14ac:dyDescent="0.25">
      <c r="A153" s="16" t="s">
        <v>2068</v>
      </c>
      <c r="B153" s="117" t="s">
        <v>2069</v>
      </c>
      <c r="C153" s="117" t="s">
        <v>456</v>
      </c>
      <c r="D153" s="117" t="s">
        <v>249</v>
      </c>
      <c r="E153" s="117" t="s">
        <v>2070</v>
      </c>
      <c r="F153" s="117" t="s">
        <v>205</v>
      </c>
      <c r="G153" s="118" t="s">
        <v>255</v>
      </c>
      <c r="H153" s="69">
        <v>84.74410400385797</v>
      </c>
      <c r="I153" s="66">
        <v>6895</v>
      </c>
      <c r="J153" s="66">
        <v>0</v>
      </c>
      <c r="K153" s="64">
        <v>5.8431099999999994</v>
      </c>
      <c r="L153" s="24">
        <v>1.4284128126142258E-6</v>
      </c>
      <c r="M153" s="32">
        <v>4.9047652777029719E-4</v>
      </c>
      <c r="N153" s="32">
        <v>2.4068825431589356E-5</v>
      </c>
      <c r="O153" s="14"/>
      <c r="P153" s="14"/>
      <c r="Q153" s="14"/>
      <c r="R153" s="14"/>
    </row>
    <row r="154" spans="1:18" x14ac:dyDescent="0.25">
      <c r="A154" s="16" t="s">
        <v>2088</v>
      </c>
      <c r="B154" s="117" t="s">
        <v>2089</v>
      </c>
      <c r="C154" s="117" t="s">
        <v>456</v>
      </c>
      <c r="D154" s="117" t="s">
        <v>249</v>
      </c>
      <c r="E154" s="117" t="s">
        <v>2090</v>
      </c>
      <c r="F154" s="117" t="s">
        <v>208</v>
      </c>
      <c r="G154" s="118" t="s">
        <v>255</v>
      </c>
      <c r="H154" s="69">
        <v>401.60678504218731</v>
      </c>
      <c r="I154" s="66">
        <v>2502</v>
      </c>
      <c r="J154" s="66">
        <v>0</v>
      </c>
      <c r="K154" s="64">
        <v>10.048200000000001</v>
      </c>
      <c r="L154" s="24">
        <v>2.2706234686466023E-5</v>
      </c>
      <c r="M154" s="32">
        <v>8.4345600995728318E-4</v>
      </c>
      <c r="N154" s="32">
        <v>4.1390350635482856E-5</v>
      </c>
      <c r="O154" s="14"/>
      <c r="P154" s="14"/>
      <c r="Q154" s="14"/>
      <c r="R154" s="14"/>
    </row>
    <row r="155" spans="1:18" x14ac:dyDescent="0.25">
      <c r="A155" s="16" t="s">
        <v>2097</v>
      </c>
      <c r="B155" s="117" t="s">
        <v>2098</v>
      </c>
      <c r="C155" s="117" t="s">
        <v>456</v>
      </c>
      <c r="D155" s="117" t="s">
        <v>249</v>
      </c>
      <c r="E155" s="117" t="s">
        <v>2099</v>
      </c>
      <c r="F155" s="117" t="s">
        <v>228</v>
      </c>
      <c r="G155" s="118" t="s">
        <v>255</v>
      </c>
      <c r="H155" s="69">
        <v>311.40189802038213</v>
      </c>
      <c r="I155" s="66">
        <v>9900</v>
      </c>
      <c r="J155" s="66">
        <v>0</v>
      </c>
      <c r="K155" s="64">
        <v>30.828790000000001</v>
      </c>
      <c r="L155" s="24">
        <v>3.2615714962214302E-5</v>
      </c>
      <c r="M155" s="32">
        <v>2.5877996263222259E-3</v>
      </c>
      <c r="N155" s="32">
        <v>1.269893540900527E-4</v>
      </c>
      <c r="O155" s="14"/>
      <c r="P155" s="14"/>
      <c r="Q155" s="14"/>
      <c r="R155" s="14"/>
    </row>
    <row r="156" spans="1:18" x14ac:dyDescent="0.25">
      <c r="A156" s="16" t="s">
        <v>2094</v>
      </c>
      <c r="B156" s="117" t="s">
        <v>2095</v>
      </c>
      <c r="C156" s="117" t="s">
        <v>456</v>
      </c>
      <c r="D156" s="117" t="s">
        <v>249</v>
      </c>
      <c r="E156" s="117" t="s">
        <v>859</v>
      </c>
      <c r="F156" s="117" t="s">
        <v>223</v>
      </c>
      <c r="G156" s="118" t="s">
        <v>255</v>
      </c>
      <c r="H156" s="69">
        <v>199.37082443832915</v>
      </c>
      <c r="I156" s="66">
        <v>425.5</v>
      </c>
      <c r="J156" s="66">
        <v>0</v>
      </c>
      <c r="K156" s="64">
        <v>0.84832000000000007</v>
      </c>
      <c r="L156" s="24">
        <v>1.5256137563705161E-6</v>
      </c>
      <c r="M156" s="32">
        <v>7.1208833658462453E-5</v>
      </c>
      <c r="N156" s="32">
        <v>3.4943832976147784E-6</v>
      </c>
      <c r="O156" s="14"/>
      <c r="P156" s="14"/>
      <c r="Q156" s="14"/>
      <c r="R156" s="14"/>
    </row>
    <row r="157" spans="1:18" x14ac:dyDescent="0.25">
      <c r="A157" s="16" t="s">
        <v>2071</v>
      </c>
      <c r="B157" s="117" t="s">
        <v>2072</v>
      </c>
      <c r="C157" s="117" t="s">
        <v>456</v>
      </c>
      <c r="D157" s="117" t="s">
        <v>249</v>
      </c>
      <c r="E157" s="117" t="s">
        <v>2073</v>
      </c>
      <c r="F157" s="117" t="s">
        <v>208</v>
      </c>
      <c r="G157" s="118" t="s">
        <v>255</v>
      </c>
      <c r="H157" s="69">
        <v>16.756195613630492</v>
      </c>
      <c r="I157" s="66">
        <v>14700</v>
      </c>
      <c r="J157" s="66">
        <v>0</v>
      </c>
      <c r="K157" s="64">
        <v>2.4631599999999998</v>
      </c>
      <c r="L157" s="24">
        <v>5.0397240917505682E-6</v>
      </c>
      <c r="M157" s="32">
        <v>2.0676012673776211E-4</v>
      </c>
      <c r="N157" s="32">
        <v>1.0146200918701451E-5</v>
      </c>
      <c r="O157" s="14"/>
      <c r="P157" s="14"/>
      <c r="Q157" s="14"/>
      <c r="R157" s="14"/>
    </row>
    <row r="158" spans="1:18" x14ac:dyDescent="0.25">
      <c r="A158" s="16" t="s">
        <v>2110</v>
      </c>
      <c r="B158" s="117" t="s">
        <v>2111</v>
      </c>
      <c r="C158" s="117" t="s">
        <v>456</v>
      </c>
      <c r="D158" s="117" t="s">
        <v>249</v>
      </c>
      <c r="E158" s="117" t="s">
        <v>2112</v>
      </c>
      <c r="F158" s="117" t="s">
        <v>235</v>
      </c>
      <c r="G158" s="118" t="s">
        <v>255</v>
      </c>
      <c r="H158" s="69">
        <v>292.03666618393117</v>
      </c>
      <c r="I158" s="66">
        <v>310.8</v>
      </c>
      <c r="J158" s="66">
        <v>0</v>
      </c>
      <c r="K158" s="64">
        <v>0.90764999999999996</v>
      </c>
      <c r="L158" s="24">
        <v>1.1072072194493198E-5</v>
      </c>
      <c r="M158" s="32">
        <v>7.618905350587448E-5</v>
      </c>
      <c r="N158" s="32">
        <v>3.7387742833836916E-6</v>
      </c>
      <c r="O158" s="14"/>
      <c r="P158" s="14"/>
      <c r="Q158" s="14"/>
      <c r="R158" s="14"/>
    </row>
    <row r="159" spans="1:18" x14ac:dyDescent="0.25">
      <c r="A159" s="16" t="s">
        <v>3995</v>
      </c>
      <c r="B159" s="117" t="s">
        <v>2160</v>
      </c>
      <c r="C159" s="117" t="s">
        <v>456</v>
      </c>
      <c r="D159" s="117" t="s">
        <v>249</v>
      </c>
      <c r="E159" s="117" t="s">
        <v>2161</v>
      </c>
      <c r="F159" s="117" t="s">
        <v>192</v>
      </c>
      <c r="G159" s="118" t="s">
        <v>255</v>
      </c>
      <c r="H159" s="69">
        <v>225.21824497131766</v>
      </c>
      <c r="I159" s="66">
        <v>6272</v>
      </c>
      <c r="J159" s="66">
        <v>0</v>
      </c>
      <c r="K159" s="64">
        <v>14.125690000000001</v>
      </c>
      <c r="L159" s="24">
        <v>1.0286178540774299E-5</v>
      </c>
      <c r="M159" s="32">
        <v>1.1857246198616164E-3</v>
      </c>
      <c r="N159" s="32">
        <v>5.8186268393158353E-5</v>
      </c>
      <c r="O159" s="14"/>
      <c r="P159" s="14"/>
      <c r="Q159" s="14"/>
      <c r="R159" s="14"/>
    </row>
    <row r="160" spans="1:18" x14ac:dyDescent="0.25">
      <c r="A160" s="16" t="s">
        <v>3996</v>
      </c>
      <c r="B160" s="117" t="s">
        <v>2108</v>
      </c>
      <c r="C160" s="117" t="s">
        <v>456</v>
      </c>
      <c r="D160" s="117" t="s">
        <v>249</v>
      </c>
      <c r="E160" s="117" t="s">
        <v>2109</v>
      </c>
      <c r="F160" s="117" t="s">
        <v>234</v>
      </c>
      <c r="G160" s="118" t="s">
        <v>255</v>
      </c>
      <c r="H160" s="69">
        <v>1147.052496959519</v>
      </c>
      <c r="I160" s="66">
        <v>949.30000000000007</v>
      </c>
      <c r="J160" s="66">
        <v>0</v>
      </c>
      <c r="K160" s="64">
        <v>10.888969999999999</v>
      </c>
      <c r="L160" s="24">
        <v>1.8967795925241117E-5</v>
      </c>
      <c r="M160" s="32">
        <v>9.1403108902535343E-4</v>
      </c>
      <c r="N160" s="32">
        <v>4.4853634119469525E-5</v>
      </c>
      <c r="O160" s="14"/>
      <c r="P160" s="14"/>
      <c r="Q160" s="14"/>
      <c r="R160" s="14"/>
    </row>
    <row r="161" spans="1:18" x14ac:dyDescent="0.25">
      <c r="A161" s="16" t="s">
        <v>2100</v>
      </c>
      <c r="B161" s="117" t="s">
        <v>2101</v>
      </c>
      <c r="C161" s="117" t="s">
        <v>456</v>
      </c>
      <c r="D161" s="117" t="s">
        <v>249</v>
      </c>
      <c r="E161" s="117" t="s">
        <v>2102</v>
      </c>
      <c r="F161" s="117" t="s">
        <v>208</v>
      </c>
      <c r="G161" s="118" t="s">
        <v>255</v>
      </c>
      <c r="H161" s="69">
        <v>43.964042364689462</v>
      </c>
      <c r="I161" s="66">
        <v>6380</v>
      </c>
      <c r="J161" s="66">
        <v>0</v>
      </c>
      <c r="K161" s="64">
        <v>2.80491</v>
      </c>
      <c r="L161" s="24">
        <v>1.1852395269800378E-5</v>
      </c>
      <c r="M161" s="32">
        <v>2.3544696531610466E-4</v>
      </c>
      <c r="N161" s="32">
        <v>1.1553930893192035E-5</v>
      </c>
      <c r="O161" s="14"/>
      <c r="P161" s="14"/>
      <c r="Q161" s="14"/>
      <c r="R161" s="14"/>
    </row>
    <row r="162" spans="1:18" x14ac:dyDescent="0.25">
      <c r="A162" s="16" t="s">
        <v>2171</v>
      </c>
      <c r="B162" s="117" t="s">
        <v>2172</v>
      </c>
      <c r="C162" s="117" t="s">
        <v>456</v>
      </c>
      <c r="D162" s="117" t="s">
        <v>249</v>
      </c>
      <c r="E162" s="117" t="s">
        <v>2173</v>
      </c>
      <c r="F162" s="117" t="s">
        <v>194</v>
      </c>
      <c r="G162" s="118" t="s">
        <v>255</v>
      </c>
      <c r="H162" s="69">
        <v>795.81789960265019</v>
      </c>
      <c r="I162" s="66">
        <v>2340</v>
      </c>
      <c r="J162" s="66">
        <v>0</v>
      </c>
      <c r="K162" s="64">
        <v>18.622139999999998</v>
      </c>
      <c r="L162" s="24">
        <v>1.0082022587158192E-5</v>
      </c>
      <c r="M162" s="32">
        <v>1.5631611533673613E-3</v>
      </c>
      <c r="N162" s="32">
        <v>7.6707958060453666E-5</v>
      </c>
      <c r="O162" s="14"/>
      <c r="P162" s="14"/>
      <c r="Q162" s="14"/>
      <c r="R162" s="14"/>
    </row>
    <row r="163" spans="1:18" x14ac:dyDescent="0.25">
      <c r="A163" s="16" t="s">
        <v>2061</v>
      </c>
      <c r="B163" s="117" t="s">
        <v>2062</v>
      </c>
      <c r="C163" s="117" t="s">
        <v>456</v>
      </c>
      <c r="D163" s="117" t="s">
        <v>249</v>
      </c>
      <c r="E163" s="117" t="s">
        <v>2063</v>
      </c>
      <c r="F163" s="117" t="s">
        <v>203</v>
      </c>
      <c r="G163" s="118" t="s">
        <v>255</v>
      </c>
      <c r="H163" s="69">
        <v>486.5988208950011</v>
      </c>
      <c r="I163" s="66">
        <v>97.4</v>
      </c>
      <c r="J163" s="66">
        <v>0</v>
      </c>
      <c r="K163" s="64">
        <v>0.47394999999999998</v>
      </c>
      <c r="L163" s="24">
        <v>2.239984279815763E-6</v>
      </c>
      <c r="M163" s="32">
        <v>3.9783839485604819E-5</v>
      </c>
      <c r="N163" s="32">
        <v>1.9522856515283432E-6</v>
      </c>
      <c r="O163" s="14"/>
      <c r="P163" s="14"/>
      <c r="Q163" s="14"/>
      <c r="R163" s="14"/>
    </row>
    <row r="164" spans="1:18" x14ac:dyDescent="0.25">
      <c r="A164" s="16" t="s">
        <v>2042</v>
      </c>
      <c r="B164" s="117" t="s">
        <v>2043</v>
      </c>
      <c r="C164" s="117" t="s">
        <v>456</v>
      </c>
      <c r="D164" s="117" t="s">
        <v>249</v>
      </c>
      <c r="E164" s="117" t="s">
        <v>1013</v>
      </c>
      <c r="F164" s="117" t="s">
        <v>231</v>
      </c>
      <c r="G164" s="118" t="s">
        <v>255</v>
      </c>
      <c r="H164" s="69">
        <v>573.64128465544024</v>
      </c>
      <c r="I164" s="66">
        <v>571.70000000000005</v>
      </c>
      <c r="J164" s="66">
        <v>0</v>
      </c>
      <c r="K164" s="64">
        <v>3.2795100000000001</v>
      </c>
      <c r="L164" s="24">
        <v>9.8184824808917123E-6</v>
      </c>
      <c r="M164" s="32">
        <v>2.7528536645518695E-4</v>
      </c>
      <c r="N164" s="32">
        <v>1.3508894012118825E-5</v>
      </c>
      <c r="O164" s="14"/>
      <c r="P164" s="14"/>
      <c r="Q164" s="14"/>
      <c r="R164" s="14"/>
    </row>
    <row r="165" spans="1:18" x14ac:dyDescent="0.25">
      <c r="A165" s="16" t="s">
        <v>2113</v>
      </c>
      <c r="B165" s="117" t="s">
        <v>2114</v>
      </c>
      <c r="C165" s="117" t="s">
        <v>456</v>
      </c>
      <c r="D165" s="117" t="s">
        <v>249</v>
      </c>
      <c r="E165" s="117" t="s">
        <v>2115</v>
      </c>
      <c r="F165" s="117" t="s">
        <v>198</v>
      </c>
      <c r="G165" s="118" t="s">
        <v>255</v>
      </c>
      <c r="H165" s="69">
        <v>145.17565370915324</v>
      </c>
      <c r="I165" s="66">
        <v>241</v>
      </c>
      <c r="J165" s="66">
        <v>0</v>
      </c>
      <c r="K165" s="64">
        <v>0.34987000000000001</v>
      </c>
      <c r="L165" s="24">
        <v>1.8980041755139441E-6</v>
      </c>
      <c r="M165" s="32">
        <v>2.9368439541784064E-5</v>
      </c>
      <c r="N165" s="32">
        <v>1.4411777210680905E-6</v>
      </c>
      <c r="O165" s="14"/>
      <c r="P165" s="14"/>
      <c r="Q165" s="14"/>
      <c r="R165" s="14"/>
    </row>
    <row r="166" spans="1:18" x14ac:dyDescent="0.25">
      <c r="A166" s="16" t="s">
        <v>3997</v>
      </c>
      <c r="B166" s="117" t="s">
        <v>2074</v>
      </c>
      <c r="C166" s="117" t="s">
        <v>456</v>
      </c>
      <c r="D166" s="117" t="s">
        <v>249</v>
      </c>
      <c r="E166" s="117" t="s">
        <v>2075</v>
      </c>
      <c r="F166" s="117" t="s">
        <v>194</v>
      </c>
      <c r="G166" s="118" t="s">
        <v>255</v>
      </c>
      <c r="H166" s="69">
        <v>2143.139711313293</v>
      </c>
      <c r="I166" s="66">
        <v>285.8</v>
      </c>
      <c r="J166" s="66">
        <v>0</v>
      </c>
      <c r="K166" s="64">
        <v>6.1250900000000001</v>
      </c>
      <c r="L166" s="24">
        <v>2.9903955695151643E-5</v>
      </c>
      <c r="M166" s="32">
        <v>5.1414621245887378E-4</v>
      </c>
      <c r="N166" s="32">
        <v>2.5230351980841311E-5</v>
      </c>
      <c r="O166" s="14"/>
      <c r="P166" s="14"/>
      <c r="Q166" s="14"/>
      <c r="R166" s="14"/>
    </row>
    <row r="167" spans="1:18" x14ac:dyDescent="0.25">
      <c r="A167" s="16" t="s">
        <v>2076</v>
      </c>
      <c r="B167" s="117" t="s">
        <v>2077</v>
      </c>
      <c r="C167" s="117" t="s">
        <v>456</v>
      </c>
      <c r="D167" s="117" t="s">
        <v>249</v>
      </c>
      <c r="E167" s="117" t="s">
        <v>2078</v>
      </c>
      <c r="F167" s="117" t="s">
        <v>221</v>
      </c>
      <c r="G167" s="118" t="s">
        <v>255</v>
      </c>
      <c r="H167" s="69">
        <v>455.17477223819947</v>
      </c>
      <c r="I167" s="66">
        <v>2624</v>
      </c>
      <c r="J167" s="66">
        <v>0</v>
      </c>
      <c r="K167" s="64">
        <v>11.943790000000002</v>
      </c>
      <c r="L167" s="24">
        <v>2.2733117252110982E-5</v>
      </c>
      <c r="M167" s="32">
        <v>1.002573740288579E-3</v>
      </c>
      <c r="N167" s="32">
        <v>4.91986282136675E-5</v>
      </c>
      <c r="O167" s="14"/>
      <c r="P167" s="14"/>
      <c r="Q167" s="14"/>
      <c r="R167" s="14"/>
    </row>
    <row r="168" spans="1:18" x14ac:dyDescent="0.25">
      <c r="A168" s="16" t="s">
        <v>3998</v>
      </c>
      <c r="B168" s="117" t="s">
        <v>2126</v>
      </c>
      <c r="C168" s="117" t="s">
        <v>456</v>
      </c>
      <c r="D168" s="117" t="s">
        <v>249</v>
      </c>
      <c r="E168" s="117" t="s">
        <v>2127</v>
      </c>
      <c r="F168" s="117" t="s">
        <v>210</v>
      </c>
      <c r="G168" s="118" t="s">
        <v>255</v>
      </c>
      <c r="H168" s="69">
        <v>6571.3695724952413</v>
      </c>
      <c r="I168" s="66">
        <v>424.7</v>
      </c>
      <c r="J168" s="66">
        <v>0</v>
      </c>
      <c r="K168" s="64">
        <v>27.908609999999999</v>
      </c>
      <c r="L168" s="24">
        <v>2.2856142647195718E-5</v>
      </c>
      <c r="M168" s="32">
        <v>2.3426767813194333E-3</v>
      </c>
      <c r="N168" s="32">
        <v>1.1496060524760087E-4</v>
      </c>
      <c r="O168" s="14"/>
      <c r="P168" s="14"/>
      <c r="Q168" s="14"/>
      <c r="R168" s="14"/>
    </row>
    <row r="169" spans="1:18" x14ac:dyDescent="0.25">
      <c r="A169" s="16" t="s">
        <v>2079</v>
      </c>
      <c r="B169" s="117" t="s">
        <v>2080</v>
      </c>
      <c r="C169" s="117" t="s">
        <v>456</v>
      </c>
      <c r="D169" s="117" t="s">
        <v>249</v>
      </c>
      <c r="E169" s="117" t="s">
        <v>2081</v>
      </c>
      <c r="F169" s="117" t="s">
        <v>235</v>
      </c>
      <c r="G169" s="118" t="s">
        <v>255</v>
      </c>
      <c r="H169" s="69">
        <v>1369.2062622553951</v>
      </c>
      <c r="I169" s="66">
        <v>367.3</v>
      </c>
      <c r="J169" s="66">
        <v>0</v>
      </c>
      <c r="K169" s="64">
        <v>5.0290900000000001</v>
      </c>
      <c r="L169" s="24">
        <v>3.0922109303135451E-5</v>
      </c>
      <c r="M169" s="32">
        <v>4.2214687059533777E-4</v>
      </c>
      <c r="N169" s="32">
        <v>2.0715730029000264E-5</v>
      </c>
      <c r="O169" s="14"/>
      <c r="P169" s="14"/>
      <c r="Q169" s="14"/>
      <c r="R169" s="14"/>
    </row>
    <row r="170" spans="1:18" x14ac:dyDescent="0.25">
      <c r="A170" s="16" t="s">
        <v>3999</v>
      </c>
      <c r="B170" s="117" t="s">
        <v>2122</v>
      </c>
      <c r="C170" s="117" t="s">
        <v>456</v>
      </c>
      <c r="D170" s="117" t="s">
        <v>249</v>
      </c>
      <c r="E170" s="117" t="s">
        <v>2123</v>
      </c>
      <c r="F170" s="117" t="s">
        <v>228</v>
      </c>
      <c r="G170" s="118" t="s">
        <v>255</v>
      </c>
      <c r="H170" s="69">
        <v>2576.3701511618647</v>
      </c>
      <c r="I170" s="66">
        <v>570</v>
      </c>
      <c r="J170" s="66">
        <v>0.25341743569999997</v>
      </c>
      <c r="K170" s="64">
        <v>14.93873</v>
      </c>
      <c r="L170" s="24">
        <v>1.6894487184843751E-5</v>
      </c>
      <c r="M170" s="32">
        <v>1.253972014851333E-3</v>
      </c>
      <c r="N170" s="32">
        <v>6.153532699874671E-5</v>
      </c>
      <c r="O170" s="14"/>
      <c r="P170" s="14"/>
      <c r="Q170" s="14"/>
      <c r="R170" s="14"/>
    </row>
    <row r="171" spans="1:18" x14ac:dyDescent="0.25">
      <c r="A171" s="16" t="s">
        <v>4000</v>
      </c>
      <c r="B171" s="117" t="s">
        <v>2064</v>
      </c>
      <c r="C171" s="117" t="s">
        <v>456</v>
      </c>
      <c r="D171" s="117" t="s">
        <v>249</v>
      </c>
      <c r="E171" s="117" t="s">
        <v>4007</v>
      </c>
      <c r="F171" s="117" t="s">
        <v>228</v>
      </c>
      <c r="G171" s="118" t="s">
        <v>255</v>
      </c>
      <c r="H171" s="69">
        <v>3955.6064666524217</v>
      </c>
      <c r="I171" s="66">
        <v>7.0000000000000009</v>
      </c>
      <c r="J171" s="66">
        <v>0</v>
      </c>
      <c r="K171" s="64">
        <v>0.27688999999999997</v>
      </c>
      <c r="L171" s="24">
        <v>1.6092869106808664E-4</v>
      </c>
      <c r="M171" s="32">
        <v>2.3242424971345327E-5</v>
      </c>
      <c r="N171" s="32">
        <v>1.1405599199318132E-6</v>
      </c>
      <c r="O171" s="14"/>
      <c r="P171" s="14"/>
      <c r="Q171" s="14"/>
      <c r="R171" s="14"/>
    </row>
    <row r="172" spans="1:18" x14ac:dyDescent="0.25">
      <c r="A172" s="16" t="s">
        <v>4001</v>
      </c>
      <c r="B172" s="117" t="s">
        <v>2060</v>
      </c>
      <c r="C172" s="117" t="s">
        <v>456</v>
      </c>
      <c r="D172" s="117" t="s">
        <v>249</v>
      </c>
      <c r="E172" s="117" t="s">
        <v>1341</v>
      </c>
      <c r="F172" s="117" t="s">
        <v>226</v>
      </c>
      <c r="G172" s="118" t="s">
        <v>255</v>
      </c>
      <c r="H172" s="69">
        <v>7629.3768179965291</v>
      </c>
      <c r="I172" s="66">
        <v>429</v>
      </c>
      <c r="J172" s="66">
        <v>0</v>
      </c>
      <c r="K172" s="64">
        <v>32.730029999999999</v>
      </c>
      <c r="L172" s="24">
        <v>4.1294043101558538E-5</v>
      </c>
      <c r="M172" s="32">
        <v>2.7473916233337488E-3</v>
      </c>
      <c r="N172" s="32">
        <v>1.3482090503870073E-4</v>
      </c>
      <c r="O172" s="14"/>
      <c r="P172" s="14"/>
      <c r="Q172" s="14"/>
      <c r="R172" s="14"/>
    </row>
    <row r="173" spans="1:18" x14ac:dyDescent="0.25">
      <c r="A173" s="16" t="s">
        <v>2158</v>
      </c>
      <c r="B173" s="117" t="s">
        <v>2159</v>
      </c>
      <c r="C173" s="117" t="s">
        <v>456</v>
      </c>
      <c r="D173" s="117" t="s">
        <v>249</v>
      </c>
      <c r="E173" s="117" t="s">
        <v>1463</v>
      </c>
      <c r="F173" s="117" t="s">
        <v>226</v>
      </c>
      <c r="G173" s="118" t="s">
        <v>255</v>
      </c>
      <c r="H173" s="69">
        <v>53.357350180267886</v>
      </c>
      <c r="I173" s="66">
        <v>2810</v>
      </c>
      <c r="J173" s="66">
        <v>0</v>
      </c>
      <c r="K173" s="64">
        <v>1.4993399999999999</v>
      </c>
      <c r="L173" s="24">
        <v>9.8520702044841645E-7</v>
      </c>
      <c r="M173" s="32">
        <v>1.2585610696138141E-4</v>
      </c>
      <c r="N173" s="32">
        <v>6.1760522602859076E-6</v>
      </c>
      <c r="O173" s="14"/>
      <c r="P173" s="14"/>
      <c r="Q173" s="14"/>
      <c r="R173" s="14"/>
    </row>
    <row r="174" spans="1:18" x14ac:dyDescent="0.25">
      <c r="A174" s="16" t="s">
        <v>4002</v>
      </c>
      <c r="B174" s="117" t="s">
        <v>2096</v>
      </c>
      <c r="C174" s="117" t="s">
        <v>456</v>
      </c>
      <c r="D174" s="117" t="s">
        <v>249</v>
      </c>
      <c r="E174" s="117" t="s">
        <v>908</v>
      </c>
      <c r="F174" s="117" t="s">
        <v>223</v>
      </c>
      <c r="G174" s="118" t="s">
        <v>255</v>
      </c>
      <c r="H174" s="69">
        <v>2433.2359956115397</v>
      </c>
      <c r="I174" s="66">
        <v>470.9</v>
      </c>
      <c r="J174" s="66">
        <v>0</v>
      </c>
      <c r="K174" s="64">
        <v>11.458110000000001</v>
      </c>
      <c r="L174" s="24">
        <v>3.4222622596829376E-5</v>
      </c>
      <c r="M174" s="32">
        <v>9.6180527281021933E-4</v>
      </c>
      <c r="N174" s="32">
        <v>4.719802457354874E-5</v>
      </c>
      <c r="O174" s="14"/>
      <c r="P174" s="14"/>
      <c r="Q174" s="14"/>
      <c r="R174" s="14"/>
    </row>
    <row r="175" spans="1:18" x14ac:dyDescent="0.25">
      <c r="A175" s="16" t="s">
        <v>2116</v>
      </c>
      <c r="B175" s="117" t="s">
        <v>2117</v>
      </c>
      <c r="C175" s="117" t="s">
        <v>456</v>
      </c>
      <c r="D175" s="117" t="s">
        <v>249</v>
      </c>
      <c r="E175" s="117" t="s">
        <v>2118</v>
      </c>
      <c r="F175" s="117" t="s">
        <v>198</v>
      </c>
      <c r="G175" s="118" t="s">
        <v>255</v>
      </c>
      <c r="H175" s="69">
        <v>103.57326726163647</v>
      </c>
      <c r="I175" s="66">
        <v>409.3</v>
      </c>
      <c r="J175" s="66">
        <v>0</v>
      </c>
      <c r="K175" s="64">
        <v>0.42393000000000003</v>
      </c>
      <c r="L175" s="24">
        <v>2.5346789343582787E-5</v>
      </c>
      <c r="M175" s="32">
        <v>3.5585110398000738E-5</v>
      </c>
      <c r="N175" s="32">
        <v>1.7462442372664005E-6</v>
      </c>
      <c r="O175" s="14"/>
      <c r="P175" s="14"/>
      <c r="Q175" s="14"/>
      <c r="R175" s="14"/>
    </row>
    <row r="176" spans="1:18" x14ac:dyDescent="0.25">
      <c r="A176" s="16" t="s">
        <v>2162</v>
      </c>
      <c r="B176" s="117" t="s">
        <v>2163</v>
      </c>
      <c r="C176" s="117" t="s">
        <v>456</v>
      </c>
      <c r="D176" s="117" t="s">
        <v>249</v>
      </c>
      <c r="E176" s="117" t="s">
        <v>2164</v>
      </c>
      <c r="F176" s="117" t="s">
        <v>228</v>
      </c>
      <c r="G176" s="118" t="s">
        <v>255</v>
      </c>
      <c r="H176" s="69">
        <v>247.27761353662586</v>
      </c>
      <c r="I176" s="66">
        <v>9315</v>
      </c>
      <c r="J176" s="66">
        <v>0</v>
      </c>
      <c r="K176" s="64">
        <v>23.033909999999999</v>
      </c>
      <c r="L176" s="24">
        <v>9.8911045414650341E-6</v>
      </c>
      <c r="M176" s="32">
        <v>1.9334895625400732E-3</v>
      </c>
      <c r="N176" s="32">
        <v>9.4880835513440687E-5</v>
      </c>
      <c r="O176" s="14"/>
      <c r="P176" s="14"/>
      <c r="Q176" s="14"/>
      <c r="R176" s="14"/>
    </row>
    <row r="177" spans="1:18" s="119" customFormat="1" x14ac:dyDescent="0.25">
      <c r="A177" s="92" t="s">
        <v>2175</v>
      </c>
      <c r="B177" s="131" t="s">
        <v>249</v>
      </c>
      <c r="C177" s="131" t="s">
        <v>249</v>
      </c>
      <c r="D177" s="131" t="s">
        <v>249</v>
      </c>
      <c r="E177" s="131" t="s">
        <v>249</v>
      </c>
      <c r="F177" s="131" t="s">
        <v>249</v>
      </c>
      <c r="G177" s="132" t="s">
        <v>249</v>
      </c>
      <c r="H177" s="135" t="s">
        <v>249</v>
      </c>
      <c r="I177" s="122" t="s">
        <v>249</v>
      </c>
      <c r="J177" s="122" t="s">
        <v>249</v>
      </c>
      <c r="K177" s="152">
        <v>0</v>
      </c>
      <c r="L177" s="137"/>
      <c r="M177" s="121">
        <v>0</v>
      </c>
      <c r="N177" s="121">
        <v>0</v>
      </c>
    </row>
    <row r="178" spans="1:18" s="119" customFormat="1" x14ac:dyDescent="0.25">
      <c r="A178" s="92" t="s">
        <v>2176</v>
      </c>
      <c r="B178" s="131" t="s">
        <v>249</v>
      </c>
      <c r="C178" s="131" t="s">
        <v>249</v>
      </c>
      <c r="D178" s="131" t="s">
        <v>249</v>
      </c>
      <c r="E178" s="131" t="s">
        <v>249</v>
      </c>
      <c r="F178" s="131" t="s">
        <v>249</v>
      </c>
      <c r="G178" s="132" t="s">
        <v>249</v>
      </c>
      <c r="H178" s="135" t="s">
        <v>249</v>
      </c>
      <c r="I178" s="122" t="s">
        <v>249</v>
      </c>
      <c r="J178" s="122" t="s">
        <v>249</v>
      </c>
      <c r="K178" s="152">
        <v>0</v>
      </c>
      <c r="L178" s="137"/>
      <c r="M178" s="121">
        <v>0</v>
      </c>
      <c r="N178" s="121">
        <v>0</v>
      </c>
    </row>
    <row r="179" spans="1:18" s="119" customFormat="1" x14ac:dyDescent="0.25">
      <c r="A179" s="92" t="s">
        <v>2177</v>
      </c>
      <c r="B179" s="131" t="s">
        <v>249</v>
      </c>
      <c r="C179" s="131" t="s">
        <v>249</v>
      </c>
      <c r="D179" s="131" t="s">
        <v>249</v>
      </c>
      <c r="E179" s="131" t="s">
        <v>249</v>
      </c>
      <c r="F179" s="131" t="s">
        <v>249</v>
      </c>
      <c r="G179" s="132" t="s">
        <v>249</v>
      </c>
      <c r="H179" s="135" t="s">
        <v>249</v>
      </c>
      <c r="I179" s="122" t="s">
        <v>249</v>
      </c>
      <c r="J179" s="122" t="s">
        <v>249</v>
      </c>
      <c r="K179" s="152">
        <v>0</v>
      </c>
      <c r="L179" s="137"/>
      <c r="M179" s="121">
        <v>0</v>
      </c>
      <c r="N179" s="121">
        <v>0</v>
      </c>
    </row>
    <row r="180" spans="1:18" s="119" customFormat="1" x14ac:dyDescent="0.25">
      <c r="A180" s="92" t="s">
        <v>544</v>
      </c>
      <c r="B180" s="131" t="s">
        <v>249</v>
      </c>
      <c r="C180" s="131" t="s">
        <v>249</v>
      </c>
      <c r="D180" s="131" t="s">
        <v>249</v>
      </c>
      <c r="E180" s="131" t="s">
        <v>249</v>
      </c>
      <c r="F180" s="131" t="s">
        <v>249</v>
      </c>
      <c r="G180" s="132" t="s">
        <v>249</v>
      </c>
      <c r="H180" s="135" t="s">
        <v>249</v>
      </c>
      <c r="I180" s="122" t="s">
        <v>249</v>
      </c>
      <c r="J180" s="122" t="s">
        <v>249</v>
      </c>
      <c r="K180" s="152">
        <v>4078.1104901999988</v>
      </c>
      <c r="L180" s="137"/>
      <c r="M180" s="121">
        <v>0.34232069447553104</v>
      </c>
      <c r="N180" s="121">
        <v>1.6798473668877888E-2</v>
      </c>
    </row>
    <row r="181" spans="1:18" s="119" customFormat="1" x14ac:dyDescent="0.25">
      <c r="A181" s="92" t="s">
        <v>143</v>
      </c>
      <c r="B181" s="131" t="s">
        <v>249</v>
      </c>
      <c r="C181" s="131" t="s">
        <v>249</v>
      </c>
      <c r="D181" s="131" t="s">
        <v>249</v>
      </c>
      <c r="E181" s="131" t="s">
        <v>249</v>
      </c>
      <c r="F181" s="131" t="s">
        <v>249</v>
      </c>
      <c r="G181" s="132" t="s">
        <v>249</v>
      </c>
      <c r="H181" s="135" t="s">
        <v>249</v>
      </c>
      <c r="I181" s="122" t="s">
        <v>249</v>
      </c>
      <c r="J181" s="122" t="s">
        <v>249</v>
      </c>
      <c r="K181" s="152">
        <v>1043.9126901</v>
      </c>
      <c r="L181" s="137"/>
      <c r="M181" s="121">
        <v>8.7627080704556021E-2</v>
      </c>
      <c r="N181" s="121">
        <v>4.3000649147179743E-3</v>
      </c>
    </row>
    <row r="182" spans="1:18" x14ac:dyDescent="0.25">
      <c r="A182" s="16" t="s">
        <v>2216</v>
      </c>
      <c r="B182" s="117" t="s">
        <v>2217</v>
      </c>
      <c r="C182" s="117" t="s">
        <v>218</v>
      </c>
      <c r="D182" s="117" t="s">
        <v>1566</v>
      </c>
      <c r="E182" s="117" t="s">
        <v>2218</v>
      </c>
      <c r="F182" s="117" t="s">
        <v>166</v>
      </c>
      <c r="G182" s="118" t="s">
        <v>131</v>
      </c>
      <c r="H182" s="69">
        <v>358.93151554066134</v>
      </c>
      <c r="I182" s="66">
        <v>215</v>
      </c>
      <c r="J182" s="66">
        <v>0</v>
      </c>
      <c r="K182" s="64">
        <v>2.1935700000000002</v>
      </c>
      <c r="L182" s="24">
        <v>9.6912045701063559E-6</v>
      </c>
      <c r="M182" s="32">
        <v>1.8413047110547138E-4</v>
      </c>
      <c r="N182" s="32">
        <v>9.0357110172444937E-6</v>
      </c>
      <c r="O182" s="14"/>
      <c r="P182" s="14"/>
      <c r="Q182" s="14"/>
      <c r="R182" s="14"/>
    </row>
    <row r="183" spans="1:18" x14ac:dyDescent="0.25">
      <c r="A183" s="16" t="s">
        <v>2219</v>
      </c>
      <c r="B183" s="117" t="s">
        <v>2220</v>
      </c>
      <c r="C183" s="117" t="s">
        <v>2180</v>
      </c>
      <c r="D183" s="117" t="s">
        <v>1566</v>
      </c>
      <c r="E183" s="117" t="s">
        <v>2221</v>
      </c>
      <c r="F183" s="117" t="s">
        <v>177</v>
      </c>
      <c r="G183" s="118" t="s">
        <v>125</v>
      </c>
      <c r="H183" s="69">
        <v>245.99934626028249</v>
      </c>
      <c r="I183" s="66">
        <v>328</v>
      </c>
      <c r="J183" s="66">
        <v>0</v>
      </c>
      <c r="K183" s="64">
        <v>3.0855000000000001</v>
      </c>
      <c r="L183" s="24">
        <v>9.0342807892883729E-6</v>
      </c>
      <c r="M183" s="32">
        <v>2.5899997200724476E-4</v>
      </c>
      <c r="N183" s="32">
        <v>1.2709731781391925E-5</v>
      </c>
      <c r="O183" s="14"/>
      <c r="P183" s="14"/>
      <c r="Q183" s="14"/>
      <c r="R183" s="14"/>
    </row>
    <row r="184" spans="1:18" x14ac:dyDescent="0.25">
      <c r="A184" s="16" t="s">
        <v>2202</v>
      </c>
      <c r="B184" s="117" t="s">
        <v>2203</v>
      </c>
      <c r="C184" s="117" t="s">
        <v>218</v>
      </c>
      <c r="D184" s="117" t="s">
        <v>1566</v>
      </c>
      <c r="E184" s="117" t="s">
        <v>2204</v>
      </c>
      <c r="F184" s="117" t="s">
        <v>178</v>
      </c>
      <c r="G184" s="118" t="s">
        <v>125</v>
      </c>
      <c r="H184" s="69">
        <v>3.5523853913370349</v>
      </c>
      <c r="I184" s="66">
        <v>480.99999999999994</v>
      </c>
      <c r="J184" s="66">
        <v>0</v>
      </c>
      <c r="K184" s="64">
        <v>6.5340000000000009E-2</v>
      </c>
      <c r="L184" s="24">
        <v>1.133728922441515E-6</v>
      </c>
      <c r="M184" s="32">
        <v>5.4847052895651838E-6</v>
      </c>
      <c r="N184" s="32">
        <v>2.6914726125300553E-7</v>
      </c>
      <c r="O184" s="14"/>
      <c r="P184" s="14"/>
      <c r="Q184" s="14"/>
      <c r="R184" s="14"/>
    </row>
    <row r="185" spans="1:18" x14ac:dyDescent="0.25">
      <c r="A185" s="16" t="s">
        <v>2199</v>
      </c>
      <c r="B185" s="117" t="s">
        <v>2200</v>
      </c>
      <c r="C185" s="117" t="s">
        <v>2201</v>
      </c>
      <c r="D185" s="117" t="s">
        <v>1566</v>
      </c>
      <c r="E185" s="117" t="s">
        <v>1624</v>
      </c>
      <c r="F185" s="117" t="s">
        <v>173</v>
      </c>
      <c r="G185" s="118" t="s">
        <v>125</v>
      </c>
      <c r="H185" s="69">
        <v>15.180835594806329</v>
      </c>
      <c r="I185" s="66">
        <v>2447</v>
      </c>
      <c r="J185" s="66">
        <v>0</v>
      </c>
      <c r="K185" s="64">
        <v>1.42052</v>
      </c>
      <c r="L185" s="24">
        <v>3.9709735184143703E-7</v>
      </c>
      <c r="M185" s="32">
        <v>1.1923987691969902E-4</v>
      </c>
      <c r="N185" s="32">
        <v>5.8513784443697482E-6</v>
      </c>
      <c r="O185" s="14"/>
      <c r="P185" s="14"/>
      <c r="Q185" s="14"/>
      <c r="R185" s="14"/>
    </row>
    <row r="186" spans="1:18" x14ac:dyDescent="0.25">
      <c r="A186" s="16" t="s">
        <v>2222</v>
      </c>
      <c r="B186" s="117" t="s">
        <v>2223</v>
      </c>
      <c r="C186" s="117" t="s">
        <v>2180</v>
      </c>
      <c r="D186" s="117" t="s">
        <v>1566</v>
      </c>
      <c r="E186" s="175" t="s">
        <v>3845</v>
      </c>
      <c r="F186" s="117" t="s">
        <v>177</v>
      </c>
      <c r="G186" s="118" t="s">
        <v>125</v>
      </c>
      <c r="H186" s="69">
        <v>283.65084414440639</v>
      </c>
      <c r="I186" s="66">
        <v>3046</v>
      </c>
      <c r="J186" s="66">
        <v>0</v>
      </c>
      <c r="K186" s="64">
        <v>33.039379999999994</v>
      </c>
      <c r="L186" s="24">
        <v>3.4141448828590867E-6</v>
      </c>
      <c r="M186" s="32">
        <v>2.7733587733387529E-3</v>
      </c>
      <c r="N186" s="32">
        <v>1.360951735613303E-4</v>
      </c>
      <c r="O186" s="14"/>
      <c r="P186" s="14"/>
      <c r="Q186" s="14"/>
      <c r="R186" s="14"/>
    </row>
    <row r="187" spans="1:18" x14ac:dyDescent="0.25">
      <c r="A187" s="16" t="s">
        <v>2188</v>
      </c>
      <c r="B187" s="117" t="s">
        <v>2189</v>
      </c>
      <c r="C187" s="117" t="s">
        <v>2180</v>
      </c>
      <c r="D187" s="117" t="s">
        <v>1566</v>
      </c>
      <c r="E187" s="117" t="s">
        <v>2190</v>
      </c>
      <c r="F187" s="117" t="s">
        <v>166</v>
      </c>
      <c r="G187" s="118" t="s">
        <v>125</v>
      </c>
      <c r="H187" s="69">
        <v>91.499721608563917</v>
      </c>
      <c r="I187" s="66">
        <v>1891</v>
      </c>
      <c r="J187" s="66">
        <v>0</v>
      </c>
      <c r="K187" s="64">
        <v>6.6165099999999999</v>
      </c>
      <c r="L187" s="24">
        <v>1.8257669418481068E-6</v>
      </c>
      <c r="M187" s="32">
        <v>5.5539650130794209E-4</v>
      </c>
      <c r="N187" s="32">
        <v>2.7254599717678652E-5</v>
      </c>
      <c r="O187" s="14"/>
      <c r="P187" s="14"/>
      <c r="Q187" s="14"/>
      <c r="R187" s="14"/>
    </row>
    <row r="188" spans="1:18" x14ac:dyDescent="0.25">
      <c r="A188" s="16" t="s">
        <v>2210</v>
      </c>
      <c r="B188" s="117" t="s">
        <v>2211</v>
      </c>
      <c r="C188" s="117" t="s">
        <v>2180</v>
      </c>
      <c r="D188" s="117" t="s">
        <v>1566</v>
      </c>
      <c r="E188" s="117" t="s">
        <v>2212</v>
      </c>
      <c r="F188" s="117" t="s">
        <v>183</v>
      </c>
      <c r="G188" s="118" t="s">
        <v>125</v>
      </c>
      <c r="H188" s="69">
        <v>34.5875434880233</v>
      </c>
      <c r="I188" s="66">
        <v>15922</v>
      </c>
      <c r="J188" s="66">
        <v>0</v>
      </c>
      <c r="K188" s="64">
        <v>21.058880000000002</v>
      </c>
      <c r="L188" s="24">
        <v>7.2453054434737843E-7</v>
      </c>
      <c r="M188" s="32">
        <v>1.7677035587437781E-3</v>
      </c>
      <c r="N188" s="32">
        <v>8.6745330227359845E-5</v>
      </c>
      <c r="O188" s="14"/>
      <c r="P188" s="14"/>
      <c r="Q188" s="14"/>
      <c r="R188" s="14"/>
    </row>
    <row r="189" spans="1:18" x14ac:dyDescent="0.25">
      <c r="A189" s="16" t="s">
        <v>2213</v>
      </c>
      <c r="B189" s="117" t="s">
        <v>2214</v>
      </c>
      <c r="C189" s="117" t="s">
        <v>2180</v>
      </c>
      <c r="D189" s="117" t="s">
        <v>1566</v>
      </c>
      <c r="E189" s="117" t="s">
        <v>2215</v>
      </c>
      <c r="F189" s="117" t="s">
        <v>172</v>
      </c>
      <c r="G189" s="118" t="s">
        <v>125</v>
      </c>
      <c r="H189" s="69">
        <v>76.41186045711602</v>
      </c>
      <c r="I189" s="66">
        <v>487</v>
      </c>
      <c r="J189" s="66">
        <v>0</v>
      </c>
      <c r="K189" s="64">
        <v>1.4230099999999999</v>
      </c>
      <c r="L189" s="24">
        <v>1.4990714842154327E-6</v>
      </c>
      <c r="M189" s="32">
        <v>1.1944889002302038E-4</v>
      </c>
      <c r="N189" s="32">
        <v>5.861635204096102E-6</v>
      </c>
      <c r="O189" s="14"/>
      <c r="P189" s="14"/>
      <c r="Q189" s="14"/>
      <c r="R189" s="14"/>
    </row>
    <row r="190" spans="1:18" x14ac:dyDescent="0.25">
      <c r="A190" s="16" t="s">
        <v>2196</v>
      </c>
      <c r="B190" s="117" t="s">
        <v>2197</v>
      </c>
      <c r="C190" s="117" t="s">
        <v>2180</v>
      </c>
      <c r="D190" s="117" t="s">
        <v>1566</v>
      </c>
      <c r="E190" s="117" t="s">
        <v>2198</v>
      </c>
      <c r="F190" s="117" t="s">
        <v>183</v>
      </c>
      <c r="G190" s="118" t="s">
        <v>125</v>
      </c>
      <c r="H190" s="69">
        <v>21.700865415070115</v>
      </c>
      <c r="I190" s="66">
        <v>23444</v>
      </c>
      <c r="J190" s="66">
        <v>0</v>
      </c>
      <c r="K190" s="64">
        <v>19.454789999999999</v>
      </c>
      <c r="L190" s="24">
        <v>7.0321597117330402E-8</v>
      </c>
      <c r="M190" s="32">
        <v>1.6330546314719903E-3</v>
      </c>
      <c r="N190" s="32">
        <v>8.0137793797862845E-5</v>
      </c>
      <c r="O190" s="14"/>
      <c r="P190" s="14"/>
      <c r="Q190" s="14"/>
      <c r="R190" s="14"/>
    </row>
    <row r="191" spans="1:18" x14ac:dyDescent="0.25">
      <c r="A191" s="16" t="s">
        <v>2191</v>
      </c>
      <c r="B191" s="117" t="s">
        <v>2192</v>
      </c>
      <c r="C191" s="117" t="s">
        <v>2180</v>
      </c>
      <c r="D191" s="117" t="s">
        <v>1566</v>
      </c>
      <c r="E191" s="117" t="s">
        <v>1619</v>
      </c>
      <c r="F191" s="117" t="s">
        <v>4003</v>
      </c>
      <c r="G191" s="118" t="s">
        <v>125</v>
      </c>
      <c r="H191" s="69">
        <v>13.175056431166668</v>
      </c>
      <c r="I191" s="66">
        <v>12951</v>
      </c>
      <c r="J191" s="66">
        <v>0</v>
      </c>
      <c r="K191" s="64">
        <v>6.5248999999999997</v>
      </c>
      <c r="L191" s="24">
        <v>2.3294846518059801E-7</v>
      </c>
      <c r="M191" s="32">
        <v>5.4770666580783391E-4</v>
      </c>
      <c r="N191" s="32">
        <v>2.6877241581722302E-5</v>
      </c>
      <c r="O191" s="14"/>
      <c r="P191" s="14"/>
      <c r="Q191" s="14"/>
      <c r="R191" s="14"/>
    </row>
    <row r="192" spans="1:18" x14ac:dyDescent="0.25">
      <c r="A192" s="16" t="s">
        <v>2253</v>
      </c>
      <c r="B192" s="117" t="s">
        <v>2254</v>
      </c>
      <c r="C192" s="117" t="s">
        <v>2180</v>
      </c>
      <c r="D192" s="117" t="s">
        <v>1566</v>
      </c>
      <c r="E192" s="117" t="s">
        <v>2255</v>
      </c>
      <c r="F192" s="117" t="s">
        <v>172</v>
      </c>
      <c r="G192" s="118" t="s">
        <v>125</v>
      </c>
      <c r="H192" s="69">
        <v>131.31983525204001</v>
      </c>
      <c r="I192" s="66">
        <v>379</v>
      </c>
      <c r="J192" s="66">
        <v>0</v>
      </c>
      <c r="K192" s="64">
        <v>1.9032100000000001</v>
      </c>
      <c r="L192" s="24">
        <v>4.3620798136989648E-7</v>
      </c>
      <c r="M192" s="32">
        <v>1.5975736079206233E-4</v>
      </c>
      <c r="N192" s="32">
        <v>7.8396657344556564E-6</v>
      </c>
      <c r="O192" s="14"/>
      <c r="P192" s="14"/>
      <c r="Q192" s="14"/>
      <c r="R192" s="14"/>
    </row>
    <row r="193" spans="1:18" x14ac:dyDescent="0.25">
      <c r="A193" s="16" t="s">
        <v>2226</v>
      </c>
      <c r="B193" s="117" t="s">
        <v>2227</v>
      </c>
      <c r="C193" s="117" t="s">
        <v>2201</v>
      </c>
      <c r="D193" s="117" t="s">
        <v>1566</v>
      </c>
      <c r="E193" s="117" t="s">
        <v>1602</v>
      </c>
      <c r="F193" s="117" t="s">
        <v>178</v>
      </c>
      <c r="G193" s="118" t="s">
        <v>125</v>
      </c>
      <c r="H193" s="69">
        <v>7846.226735356774</v>
      </c>
      <c r="I193" s="66">
        <v>1019.9999999999999</v>
      </c>
      <c r="J193" s="66">
        <v>0</v>
      </c>
      <c r="K193" s="64">
        <v>306.04050000000001</v>
      </c>
      <c r="L193" s="24">
        <v>7.0030221401106809E-6</v>
      </c>
      <c r="M193" s="32">
        <v>2.56893472477988E-2</v>
      </c>
      <c r="N193" s="32">
        <v>1.260636094390885E-3</v>
      </c>
      <c r="O193" s="14"/>
      <c r="P193" s="14"/>
      <c r="Q193" s="14"/>
      <c r="R193" s="14"/>
    </row>
    <row r="194" spans="1:18" x14ac:dyDescent="0.25">
      <c r="A194" s="16" t="s">
        <v>2193</v>
      </c>
      <c r="B194" s="117" t="s">
        <v>2194</v>
      </c>
      <c r="C194" s="117" t="s">
        <v>2180</v>
      </c>
      <c r="D194" s="117" t="s">
        <v>1566</v>
      </c>
      <c r="E194" s="117" t="s">
        <v>2195</v>
      </c>
      <c r="F194" s="117" t="s">
        <v>178</v>
      </c>
      <c r="G194" s="118" t="s">
        <v>125</v>
      </c>
      <c r="H194" s="69">
        <v>58.347766559515911</v>
      </c>
      <c r="I194" s="66">
        <v>1401</v>
      </c>
      <c r="J194" s="66">
        <v>0</v>
      </c>
      <c r="K194" s="64">
        <v>3.1259399999999999</v>
      </c>
      <c r="L194" s="24">
        <v>1.893978232001703E-6</v>
      </c>
      <c r="M194" s="32">
        <v>2.6239454626359642E-4</v>
      </c>
      <c r="N194" s="32">
        <v>1.2876311445381388E-5</v>
      </c>
      <c r="O194" s="14"/>
      <c r="P194" s="14"/>
      <c r="Q194" s="14"/>
      <c r="R194" s="14"/>
    </row>
    <row r="195" spans="1:18" x14ac:dyDescent="0.25">
      <c r="A195" s="16" t="s">
        <v>2205</v>
      </c>
      <c r="B195" s="117" t="s">
        <v>2206</v>
      </c>
      <c r="C195" s="117" t="s">
        <v>2180</v>
      </c>
      <c r="D195" s="117" t="s">
        <v>1566</v>
      </c>
      <c r="E195" s="117" t="s">
        <v>1611</v>
      </c>
      <c r="F195" s="117" t="s">
        <v>183</v>
      </c>
      <c r="G195" s="118" t="s">
        <v>125</v>
      </c>
      <c r="H195" s="69">
        <v>11.033229918205897</v>
      </c>
      <c r="I195" s="66">
        <v>9180</v>
      </c>
      <c r="J195" s="66">
        <v>0</v>
      </c>
      <c r="K195" s="64">
        <v>3.8731399999999998</v>
      </c>
      <c r="L195" s="24">
        <v>1.9301994248615243E-7</v>
      </c>
      <c r="M195" s="32">
        <v>3.2511526546107278E-4</v>
      </c>
      <c r="N195" s="32">
        <v>1.5954163199410247E-5</v>
      </c>
      <c r="O195" s="14"/>
      <c r="P195" s="14"/>
      <c r="Q195" s="14"/>
      <c r="R195" s="14"/>
    </row>
    <row r="196" spans="1:18" x14ac:dyDescent="0.25">
      <c r="A196" s="16" t="s">
        <v>2234</v>
      </c>
      <c r="B196" s="117" t="s">
        <v>2235</v>
      </c>
      <c r="C196" s="117" t="s">
        <v>2201</v>
      </c>
      <c r="D196" s="117" t="s">
        <v>1566</v>
      </c>
      <c r="E196" s="117" t="s">
        <v>1276</v>
      </c>
      <c r="F196" s="117" t="s">
        <v>165</v>
      </c>
      <c r="G196" s="118" t="s">
        <v>125</v>
      </c>
      <c r="H196" s="69">
        <v>137.13494019667084</v>
      </c>
      <c r="I196" s="66">
        <v>555</v>
      </c>
      <c r="J196" s="66">
        <v>0</v>
      </c>
      <c r="K196" s="64">
        <v>2.9104399999999999</v>
      </c>
      <c r="L196" s="24">
        <v>1.0635477622529308E-7</v>
      </c>
      <c r="M196" s="32">
        <v>2.4430525961068402E-4</v>
      </c>
      <c r="N196" s="32">
        <v>1.1988628023281255E-5</v>
      </c>
      <c r="O196" s="14"/>
      <c r="P196" s="14"/>
      <c r="Q196" s="14"/>
      <c r="R196" s="14"/>
    </row>
    <row r="197" spans="1:18" x14ac:dyDescent="0.25">
      <c r="A197" s="16" t="s">
        <v>2238</v>
      </c>
      <c r="B197" s="117" t="s">
        <v>2239</v>
      </c>
      <c r="C197" s="117" t="s">
        <v>2180</v>
      </c>
      <c r="D197" s="117" t="s">
        <v>1566</v>
      </c>
      <c r="E197" s="117" t="s">
        <v>1822</v>
      </c>
      <c r="F197" s="117" t="s">
        <v>166</v>
      </c>
      <c r="G197" s="118" t="s">
        <v>125</v>
      </c>
      <c r="H197" s="69">
        <v>23.709008335744311</v>
      </c>
      <c r="I197" s="66">
        <v>19798</v>
      </c>
      <c r="J197" s="66">
        <v>0</v>
      </c>
      <c r="K197" s="64">
        <v>17.94951</v>
      </c>
      <c r="L197" s="24">
        <v>5.339540717625172E-7</v>
      </c>
      <c r="M197" s="32">
        <v>1.50669991493883E-3</v>
      </c>
      <c r="N197" s="32">
        <v>7.3937273604735758E-5</v>
      </c>
      <c r="O197" s="14"/>
      <c r="P197" s="14"/>
      <c r="Q197" s="14"/>
      <c r="R197" s="14"/>
    </row>
    <row r="198" spans="1:18" x14ac:dyDescent="0.25">
      <c r="A198" s="16" t="s">
        <v>2232</v>
      </c>
      <c r="B198" s="117" t="s">
        <v>2233</v>
      </c>
      <c r="C198" s="117" t="s">
        <v>2180</v>
      </c>
      <c r="D198" s="117" t="s">
        <v>1566</v>
      </c>
      <c r="E198" s="117" t="s">
        <v>2150</v>
      </c>
      <c r="F198" s="117" t="s">
        <v>183</v>
      </c>
      <c r="G198" s="118" t="s">
        <v>125</v>
      </c>
      <c r="H198" s="69">
        <v>611.38654490193414</v>
      </c>
      <c r="I198" s="66">
        <v>218.00000000000003</v>
      </c>
      <c r="J198" s="66">
        <v>0</v>
      </c>
      <c r="K198" s="64">
        <v>5.0967099999999999</v>
      </c>
      <c r="L198" s="24">
        <v>1.6034841243105059E-5</v>
      </c>
      <c r="M198" s="32">
        <v>4.2782296137710082E-4</v>
      </c>
      <c r="N198" s="32">
        <v>2.0994269022050895E-5</v>
      </c>
      <c r="O198" s="14"/>
      <c r="P198" s="14"/>
      <c r="Q198" s="14"/>
      <c r="R198" s="14"/>
    </row>
    <row r="199" spans="1:18" x14ac:dyDescent="0.25">
      <c r="A199" s="16" t="s">
        <v>2245</v>
      </c>
      <c r="B199" s="117" t="s">
        <v>2246</v>
      </c>
      <c r="C199" s="117" t="s">
        <v>2201</v>
      </c>
      <c r="D199" s="117" t="s">
        <v>1566</v>
      </c>
      <c r="E199" s="117" t="s">
        <v>2147</v>
      </c>
      <c r="F199" s="117" t="s">
        <v>187</v>
      </c>
      <c r="G199" s="118" t="s">
        <v>125</v>
      </c>
      <c r="H199" s="69">
        <v>256.86159775299024</v>
      </c>
      <c r="I199" s="66">
        <v>1552</v>
      </c>
      <c r="J199" s="66">
        <v>0</v>
      </c>
      <c r="K199" s="64">
        <v>15.244350000000001</v>
      </c>
      <c r="L199" s="24">
        <v>1.9985209026276833E-5</v>
      </c>
      <c r="M199" s="32">
        <v>1.2796260649063822E-3</v>
      </c>
      <c r="N199" s="32">
        <v>6.2794230977689837E-5</v>
      </c>
      <c r="O199" s="14"/>
      <c r="P199" s="14"/>
      <c r="Q199" s="14"/>
      <c r="R199" s="14"/>
    </row>
    <row r="200" spans="1:18" x14ac:dyDescent="0.25">
      <c r="A200" s="16" t="s">
        <v>2182</v>
      </c>
      <c r="B200" s="117" t="s">
        <v>2183</v>
      </c>
      <c r="C200" s="117" t="s">
        <v>2180</v>
      </c>
      <c r="D200" s="117" t="s">
        <v>1566</v>
      </c>
      <c r="E200" s="117" t="s">
        <v>2184</v>
      </c>
      <c r="F200" s="117" t="s">
        <v>183</v>
      </c>
      <c r="G200" s="118" t="s">
        <v>125</v>
      </c>
      <c r="H200" s="69">
        <v>494.67604132168361</v>
      </c>
      <c r="I200" s="66">
        <v>8449</v>
      </c>
      <c r="J200" s="66">
        <v>0</v>
      </c>
      <c r="K200" s="64">
        <v>159.82476</v>
      </c>
      <c r="L200" s="24">
        <v>4.1560334827826159E-6</v>
      </c>
      <c r="M200" s="32">
        <v>1.3415851034213132E-2</v>
      </c>
      <c r="N200" s="32">
        <v>6.5834705286836387E-4</v>
      </c>
      <c r="O200" s="14"/>
      <c r="P200" s="14"/>
      <c r="Q200" s="14"/>
      <c r="R200" s="14"/>
    </row>
    <row r="201" spans="1:18" x14ac:dyDescent="0.25">
      <c r="A201" s="16" t="s">
        <v>2251</v>
      </c>
      <c r="B201" s="117" t="s">
        <v>2252</v>
      </c>
      <c r="C201" s="117" t="s">
        <v>2180</v>
      </c>
      <c r="D201" s="117" t="s">
        <v>1566</v>
      </c>
      <c r="E201" s="117" t="s">
        <v>1369</v>
      </c>
      <c r="F201" s="117" t="s">
        <v>187</v>
      </c>
      <c r="G201" s="118" t="s">
        <v>125</v>
      </c>
      <c r="H201" s="69">
        <v>148.2180716522725</v>
      </c>
      <c r="I201" s="66">
        <v>1569</v>
      </c>
      <c r="J201" s="66">
        <v>0</v>
      </c>
      <c r="K201" s="64">
        <v>8.8928700000000003</v>
      </c>
      <c r="L201" s="24">
        <v>1.2576063319246962E-6</v>
      </c>
      <c r="M201" s="32">
        <v>7.4647644824633516E-4</v>
      </c>
      <c r="N201" s="32">
        <v>3.6631337697872896E-5</v>
      </c>
      <c r="O201" s="14"/>
      <c r="P201" s="14"/>
      <c r="Q201" s="14"/>
      <c r="R201" s="14"/>
    </row>
    <row r="202" spans="1:18" x14ac:dyDescent="0.25">
      <c r="A202" s="16" t="s">
        <v>2207</v>
      </c>
      <c r="B202" s="117" t="s">
        <v>2208</v>
      </c>
      <c r="C202" s="117" t="s">
        <v>2180</v>
      </c>
      <c r="D202" s="117" t="s">
        <v>1566</v>
      </c>
      <c r="E202" s="117" t="s">
        <v>2209</v>
      </c>
      <c r="F202" s="117" t="s">
        <v>173</v>
      </c>
      <c r="G202" s="118" t="s">
        <v>125</v>
      </c>
      <c r="H202" s="69">
        <v>103.35979636384745</v>
      </c>
      <c r="I202" s="66">
        <v>715</v>
      </c>
      <c r="J202" s="66">
        <v>0</v>
      </c>
      <c r="K202" s="64">
        <v>2.8260200000000002</v>
      </c>
      <c r="L202" s="24">
        <v>8.7108154319316361E-7</v>
      </c>
      <c r="M202" s="32">
        <v>2.3721895993904194E-4</v>
      </c>
      <c r="N202" s="32">
        <v>1.1640886795932331E-5</v>
      </c>
      <c r="O202" s="14"/>
      <c r="P202" s="14"/>
      <c r="Q202" s="14"/>
      <c r="R202" s="14"/>
    </row>
    <row r="203" spans="1:18" x14ac:dyDescent="0.25">
      <c r="A203" s="16" t="s">
        <v>2240</v>
      </c>
      <c r="B203" s="117" t="s">
        <v>2241</v>
      </c>
      <c r="C203" s="117" t="s">
        <v>2180</v>
      </c>
      <c r="D203" s="117" t="s">
        <v>1566</v>
      </c>
      <c r="E203" s="117" t="s">
        <v>2242</v>
      </c>
      <c r="F203" s="117" t="s">
        <v>184</v>
      </c>
      <c r="G203" s="118" t="s">
        <v>125</v>
      </c>
      <c r="H203" s="69">
        <v>354.56355518050799</v>
      </c>
      <c r="I203" s="66">
        <v>643</v>
      </c>
      <c r="J203" s="66">
        <v>0</v>
      </c>
      <c r="K203" s="64">
        <v>8.7181200000000008</v>
      </c>
      <c r="L203" s="24">
        <v>6.2619765136644857E-6</v>
      </c>
      <c r="M203" s="32">
        <v>7.3180775756143286E-4</v>
      </c>
      <c r="N203" s="32">
        <v>3.591151088575225E-5</v>
      </c>
      <c r="O203" s="14"/>
      <c r="P203" s="14"/>
      <c r="Q203" s="14"/>
      <c r="R203" s="14"/>
    </row>
    <row r="204" spans="1:18" x14ac:dyDescent="0.25">
      <c r="A204" s="16" t="s">
        <v>2185</v>
      </c>
      <c r="B204" s="117" t="s">
        <v>2186</v>
      </c>
      <c r="C204" s="117" t="s">
        <v>2180</v>
      </c>
      <c r="D204" s="117" t="s">
        <v>1566</v>
      </c>
      <c r="E204" s="117" t="s">
        <v>2187</v>
      </c>
      <c r="F204" s="117" t="s">
        <v>183</v>
      </c>
      <c r="G204" s="118" t="s">
        <v>125</v>
      </c>
      <c r="H204" s="69">
        <v>766.42195448148107</v>
      </c>
      <c r="I204" s="66">
        <v>2299</v>
      </c>
      <c r="J204" s="66">
        <v>0</v>
      </c>
      <c r="K204" s="64">
        <v>67.379039999999989</v>
      </c>
      <c r="L204" s="24">
        <v>1.1924825008228906E-5</v>
      </c>
      <c r="M204" s="32">
        <v>5.6558643571139279E-3</v>
      </c>
      <c r="N204" s="32">
        <v>2.7754643529012403E-4</v>
      </c>
      <c r="O204" s="14"/>
      <c r="P204" s="14"/>
      <c r="Q204" s="14"/>
      <c r="R204" s="14"/>
    </row>
    <row r="205" spans="1:18" x14ac:dyDescent="0.25">
      <c r="A205" s="16" t="s">
        <v>2236</v>
      </c>
      <c r="B205" s="117" t="s">
        <v>2237</v>
      </c>
      <c r="C205" s="117" t="s">
        <v>2180</v>
      </c>
      <c r="D205" s="117" t="s">
        <v>1566</v>
      </c>
      <c r="E205" s="117" t="s">
        <v>1841</v>
      </c>
      <c r="F205" s="117" t="s">
        <v>185</v>
      </c>
      <c r="G205" s="118" t="s">
        <v>125</v>
      </c>
      <c r="H205" s="69">
        <v>560.64062096548832</v>
      </c>
      <c r="I205" s="66">
        <v>2456</v>
      </c>
      <c r="J205" s="66">
        <v>0</v>
      </c>
      <c r="K205" s="64">
        <v>52.653930000000003</v>
      </c>
      <c r="L205" s="24">
        <v>5.0749621606472522E-6</v>
      </c>
      <c r="M205" s="32">
        <v>4.4198238198254504E-3</v>
      </c>
      <c r="N205" s="32">
        <v>2.1689104765392506E-4</v>
      </c>
      <c r="O205" s="14"/>
      <c r="P205" s="14"/>
      <c r="Q205" s="14"/>
      <c r="R205" s="14"/>
    </row>
    <row r="206" spans="1:18" x14ac:dyDescent="0.25">
      <c r="A206" s="16" t="s">
        <v>2230</v>
      </c>
      <c r="B206" s="117" t="s">
        <v>2231</v>
      </c>
      <c r="C206" s="117" t="s">
        <v>2180</v>
      </c>
      <c r="D206" s="117" t="s">
        <v>1566</v>
      </c>
      <c r="E206" s="117" t="s">
        <v>1924</v>
      </c>
      <c r="F206" s="117" t="s">
        <v>183</v>
      </c>
      <c r="G206" s="118" t="s">
        <v>125</v>
      </c>
      <c r="H206" s="69">
        <v>634.29712863934606</v>
      </c>
      <c r="I206" s="66">
        <v>1129</v>
      </c>
      <c r="J206" s="66">
        <v>0</v>
      </c>
      <c r="K206" s="64">
        <v>27.38448</v>
      </c>
      <c r="L206" s="24">
        <v>1.2920302650534705E-5</v>
      </c>
      <c r="M206" s="32">
        <v>2.2986807821853686E-3</v>
      </c>
      <c r="N206" s="32">
        <v>1.128016191129125E-4</v>
      </c>
      <c r="O206" s="14"/>
      <c r="P206" s="14"/>
      <c r="Q206" s="14"/>
      <c r="R206" s="14"/>
    </row>
    <row r="207" spans="1:18" x14ac:dyDescent="0.25">
      <c r="A207" s="16" t="s">
        <v>2228</v>
      </c>
      <c r="B207" s="117" t="s">
        <v>2229</v>
      </c>
      <c r="C207" s="117" t="s">
        <v>2180</v>
      </c>
      <c r="D207" s="117" t="s">
        <v>1566</v>
      </c>
      <c r="E207" s="117" t="s">
        <v>1859</v>
      </c>
      <c r="F207" s="117" t="s">
        <v>185</v>
      </c>
      <c r="G207" s="118" t="s">
        <v>125</v>
      </c>
      <c r="H207" s="69">
        <v>86.244301801777269</v>
      </c>
      <c r="I207" s="66">
        <v>11244</v>
      </c>
      <c r="J207" s="66">
        <v>0</v>
      </c>
      <c r="K207" s="64">
        <v>37.082509999999999</v>
      </c>
      <c r="L207" s="24">
        <v>2.9940651729296154E-6</v>
      </c>
      <c r="M207" s="32">
        <v>3.1127431702992628E-3</v>
      </c>
      <c r="N207" s="32">
        <v>1.5274955627314336E-4</v>
      </c>
      <c r="O207" s="14"/>
      <c r="P207" s="14"/>
      <c r="Q207" s="14"/>
      <c r="R207" s="14"/>
    </row>
    <row r="208" spans="1:18" x14ac:dyDescent="0.25">
      <c r="A208" s="16" t="s">
        <v>2224</v>
      </c>
      <c r="B208" s="117" t="s">
        <v>2225</v>
      </c>
      <c r="C208" s="117" t="s">
        <v>2180</v>
      </c>
      <c r="D208" s="117" t="s">
        <v>1566</v>
      </c>
      <c r="E208" s="117" t="s">
        <v>1615</v>
      </c>
      <c r="F208" s="117" t="s">
        <v>183</v>
      </c>
      <c r="G208" s="118" t="s">
        <v>125</v>
      </c>
      <c r="H208" s="69">
        <v>133.44012531201943</v>
      </c>
      <c r="I208" s="66">
        <v>17000</v>
      </c>
      <c r="J208" s="66">
        <v>0</v>
      </c>
      <c r="K208" s="64">
        <v>86.746759999999995</v>
      </c>
      <c r="L208" s="24">
        <v>2.1070455724762668E-6</v>
      </c>
      <c r="M208" s="32">
        <v>7.2816102452500989E-3</v>
      </c>
      <c r="N208" s="32">
        <v>3.5732557203201353E-4</v>
      </c>
      <c r="O208" s="14"/>
      <c r="P208" s="14"/>
      <c r="Q208" s="14"/>
      <c r="R208" s="14"/>
    </row>
    <row r="209" spans="1:18" x14ac:dyDescent="0.25">
      <c r="A209" s="16" t="s">
        <v>2243</v>
      </c>
      <c r="B209" s="117" t="s">
        <v>2244</v>
      </c>
      <c r="C209" s="117" t="s">
        <v>2180</v>
      </c>
      <c r="D209" s="117" t="s">
        <v>1566</v>
      </c>
      <c r="E209" s="117" t="s">
        <v>1989</v>
      </c>
      <c r="F209" s="117" t="s">
        <v>183</v>
      </c>
      <c r="G209" s="118" t="s">
        <v>125</v>
      </c>
      <c r="H209" s="69">
        <v>23.28038039348165</v>
      </c>
      <c r="I209" s="66">
        <v>2843</v>
      </c>
      <c r="J209" s="66">
        <v>0</v>
      </c>
      <c r="K209" s="64">
        <v>2.5309599999999999</v>
      </c>
      <c r="L209" s="24">
        <v>4.2207024344228863E-7</v>
      </c>
      <c r="M209" s="32">
        <v>2.1245132690048818E-4</v>
      </c>
      <c r="N209" s="32">
        <v>1.0425481364262423E-5</v>
      </c>
      <c r="O209" s="14"/>
      <c r="P209" s="14"/>
      <c r="Q209" s="14"/>
      <c r="R209" s="14"/>
    </row>
    <row r="210" spans="1:18" x14ac:dyDescent="0.25">
      <c r="A210" s="16" t="s">
        <v>2247</v>
      </c>
      <c r="B210" s="117" t="s">
        <v>2248</v>
      </c>
      <c r="C210" s="117" t="s">
        <v>2180</v>
      </c>
      <c r="D210" s="117" t="s">
        <v>1566</v>
      </c>
      <c r="E210" s="117" t="s">
        <v>1992</v>
      </c>
      <c r="F210" s="117" t="s">
        <v>172</v>
      </c>
      <c r="G210" s="118" t="s">
        <v>125</v>
      </c>
      <c r="H210" s="69">
        <v>630.06968050291232</v>
      </c>
      <c r="I210" s="66">
        <v>3063</v>
      </c>
      <c r="J210" s="66">
        <v>0</v>
      </c>
      <c r="K210" s="64">
        <v>73.799509999999998</v>
      </c>
      <c r="L210" s="24">
        <v>1.3394484236369926E-5</v>
      </c>
      <c r="M210" s="32">
        <v>6.1948050637330677E-3</v>
      </c>
      <c r="N210" s="32">
        <v>3.0399351084043144E-4</v>
      </c>
      <c r="O210" s="14"/>
      <c r="P210" s="14"/>
      <c r="Q210" s="14"/>
      <c r="R210" s="14"/>
    </row>
    <row r="211" spans="1:18" x14ac:dyDescent="0.25">
      <c r="A211" s="16" t="s">
        <v>2178</v>
      </c>
      <c r="B211" s="117" t="s">
        <v>2179</v>
      </c>
      <c r="C211" s="117" t="s">
        <v>2180</v>
      </c>
      <c r="D211" s="117" t="s">
        <v>1566</v>
      </c>
      <c r="E211" s="117" t="s">
        <v>2181</v>
      </c>
      <c r="F211" s="117" t="s">
        <v>183</v>
      </c>
      <c r="G211" s="118" t="s">
        <v>125</v>
      </c>
      <c r="H211" s="69">
        <v>3.1485243700029111</v>
      </c>
      <c r="I211" s="66">
        <v>13328</v>
      </c>
      <c r="J211" s="66">
        <v>0</v>
      </c>
      <c r="K211" s="64">
        <v>1.6046899999999999</v>
      </c>
      <c r="L211" s="24">
        <v>2.6911902532526853E-8</v>
      </c>
      <c r="M211" s="32">
        <v>1.3469929187499778E-4</v>
      </c>
      <c r="N211" s="32">
        <v>6.610007937864789E-6</v>
      </c>
      <c r="O211" s="14"/>
      <c r="P211" s="14"/>
      <c r="Q211" s="14"/>
      <c r="R211" s="14"/>
    </row>
    <row r="212" spans="1:18" x14ac:dyDescent="0.25">
      <c r="A212" s="16" t="s">
        <v>2249</v>
      </c>
      <c r="B212" s="117" t="s">
        <v>2250</v>
      </c>
      <c r="C212" s="117" t="s">
        <v>2180</v>
      </c>
      <c r="D212" s="117" t="s">
        <v>1566</v>
      </c>
      <c r="E212" s="117" t="s">
        <v>1933</v>
      </c>
      <c r="F212" s="117" t="s">
        <v>185</v>
      </c>
      <c r="G212" s="118" t="s">
        <v>125</v>
      </c>
      <c r="H212" s="69">
        <v>266.4744723331101</v>
      </c>
      <c r="I212" s="66">
        <v>6226</v>
      </c>
      <c r="J212" s="66">
        <v>0</v>
      </c>
      <c r="K212" s="64">
        <v>63.442839999999997</v>
      </c>
      <c r="L212" s="24">
        <v>5.9588476844429993E-6</v>
      </c>
      <c r="M212" s="32">
        <v>5.3254557718554882E-3</v>
      </c>
      <c r="N212" s="32">
        <v>2.6133251656125842E-4</v>
      </c>
      <c r="O212" s="14"/>
      <c r="P212" s="14"/>
      <c r="Q212" s="14"/>
      <c r="R212" s="14"/>
    </row>
    <row r="213" spans="1:18" s="119" customFormat="1" x14ac:dyDescent="0.25">
      <c r="A213" s="92" t="s">
        <v>144</v>
      </c>
      <c r="B213" s="131" t="s">
        <v>249</v>
      </c>
      <c r="C213" s="131" t="s">
        <v>249</v>
      </c>
      <c r="D213" s="131" t="s">
        <v>249</v>
      </c>
      <c r="E213" s="131" t="s">
        <v>249</v>
      </c>
      <c r="F213" s="131" t="s">
        <v>249</v>
      </c>
      <c r="G213" s="132" t="s">
        <v>249</v>
      </c>
      <c r="H213" s="135" t="s">
        <v>249</v>
      </c>
      <c r="I213" s="122" t="s">
        <v>249</v>
      </c>
      <c r="J213" s="122" t="s">
        <v>249</v>
      </c>
      <c r="K213" s="152">
        <v>3034.1978001000002</v>
      </c>
      <c r="L213" s="137"/>
      <c r="M213" s="121">
        <v>0.2546936137709751</v>
      </c>
      <c r="N213" s="121">
        <v>1.2498408754159921E-2</v>
      </c>
    </row>
    <row r="214" spans="1:18" x14ac:dyDescent="0.25">
      <c r="A214" s="16" t="s">
        <v>2256</v>
      </c>
      <c r="B214" s="117" t="s">
        <v>2257</v>
      </c>
      <c r="C214" s="117" t="s">
        <v>2258</v>
      </c>
      <c r="D214" s="117" t="s">
        <v>1566</v>
      </c>
      <c r="E214" s="175" t="s">
        <v>3846</v>
      </c>
      <c r="F214" s="117" t="s">
        <v>164</v>
      </c>
      <c r="G214" s="118" t="s">
        <v>126</v>
      </c>
      <c r="H214" s="69">
        <v>296.52170253053754</v>
      </c>
      <c r="I214" s="66">
        <v>6231</v>
      </c>
      <c r="J214" s="66">
        <v>0.88935576030000008</v>
      </c>
      <c r="K214" s="64">
        <v>75.775509999999997</v>
      </c>
      <c r="L214" s="24">
        <v>1.229231949285832E-7</v>
      </c>
      <c r="M214" s="32">
        <v>6.3606724903045517E-3</v>
      </c>
      <c r="N214" s="32">
        <v>3.1213301173170689E-4</v>
      </c>
      <c r="O214" s="14"/>
      <c r="P214" s="14"/>
      <c r="Q214" s="14"/>
      <c r="R214" s="14"/>
    </row>
    <row r="215" spans="1:18" x14ac:dyDescent="0.25">
      <c r="A215" s="16" t="s">
        <v>2256</v>
      </c>
      <c r="B215" s="117" t="s">
        <v>2257</v>
      </c>
      <c r="C215" s="117" t="s">
        <v>2258</v>
      </c>
      <c r="D215" s="117" t="s">
        <v>1566</v>
      </c>
      <c r="E215" s="175" t="s">
        <v>3846</v>
      </c>
      <c r="F215" s="117" t="s">
        <v>164</v>
      </c>
      <c r="G215" s="118" t="s">
        <v>126</v>
      </c>
      <c r="H215" s="69">
        <v>0.82273282118901803</v>
      </c>
      <c r="I215" s="66">
        <v>6231</v>
      </c>
      <c r="J215" s="66">
        <v>1.8507012370000001E-3</v>
      </c>
      <c r="K215" s="64">
        <v>0.20962999999999998</v>
      </c>
      <c r="L215" s="24">
        <v>3.4106423270231152E-10</v>
      </c>
      <c r="M215" s="32">
        <v>1.7596552951508257E-5</v>
      </c>
      <c r="N215" s="32">
        <v>8.6350383190186001E-7</v>
      </c>
      <c r="O215" s="14"/>
      <c r="P215" s="14"/>
      <c r="Q215" s="14"/>
      <c r="R215" s="14"/>
    </row>
    <row r="216" spans="1:18" x14ac:dyDescent="0.25">
      <c r="A216" s="16" t="s">
        <v>2259</v>
      </c>
      <c r="B216" s="117" t="s">
        <v>2260</v>
      </c>
      <c r="C216" s="117" t="s">
        <v>2258</v>
      </c>
      <c r="D216" s="117" t="s">
        <v>1566</v>
      </c>
      <c r="E216" s="175" t="s">
        <v>3847</v>
      </c>
      <c r="F216" s="117" t="s">
        <v>166</v>
      </c>
      <c r="G216" s="118" t="s">
        <v>126</v>
      </c>
      <c r="H216" s="69">
        <v>68.536773321023688</v>
      </c>
      <c r="I216" s="66">
        <v>10502</v>
      </c>
      <c r="J216" s="66">
        <v>0</v>
      </c>
      <c r="K216" s="64">
        <v>29.17313</v>
      </c>
      <c r="L216" s="24">
        <v>1.1474859285052086E-7</v>
      </c>
      <c r="M216" s="32">
        <v>2.4488218614045418E-3</v>
      </c>
      <c r="N216" s="32">
        <v>1.201693915163436E-4</v>
      </c>
      <c r="O216" s="14"/>
      <c r="P216" s="14"/>
      <c r="Q216" s="14"/>
      <c r="R216" s="14"/>
    </row>
    <row r="217" spans="1:18" x14ac:dyDescent="0.25">
      <c r="A217" s="16" t="s">
        <v>2261</v>
      </c>
      <c r="B217" s="117" t="s">
        <v>2262</v>
      </c>
      <c r="C217" s="117" t="s">
        <v>218</v>
      </c>
      <c r="D217" s="117" t="s">
        <v>1566</v>
      </c>
      <c r="E217" s="175" t="s">
        <v>3848</v>
      </c>
      <c r="F217" s="117" t="s">
        <v>185</v>
      </c>
      <c r="G217" s="118" t="s">
        <v>126</v>
      </c>
      <c r="H217" s="69">
        <v>10.950625345098889</v>
      </c>
      <c r="I217" s="66">
        <v>55910</v>
      </c>
      <c r="J217" s="66">
        <v>0</v>
      </c>
      <c r="K217" s="64">
        <v>24.815080000000002</v>
      </c>
      <c r="L217" s="24">
        <v>2.7163450609548468E-8</v>
      </c>
      <c r="M217" s="32">
        <v>2.0830027630392286E-3</v>
      </c>
      <c r="N217" s="32">
        <v>1.0221779644588662E-4</v>
      </c>
      <c r="O217" s="14"/>
      <c r="P217" s="14"/>
      <c r="Q217" s="14"/>
      <c r="R217" s="14"/>
    </row>
    <row r="218" spans="1:18" x14ac:dyDescent="0.25">
      <c r="A218" s="16" t="s">
        <v>2263</v>
      </c>
      <c r="B218" s="117" t="s">
        <v>2264</v>
      </c>
      <c r="C218" s="117" t="s">
        <v>2265</v>
      </c>
      <c r="D218" s="117" t="s">
        <v>1566</v>
      </c>
      <c r="E218" s="175" t="s">
        <v>3849</v>
      </c>
      <c r="F218" s="117" t="s">
        <v>182</v>
      </c>
      <c r="G218" s="118" t="s">
        <v>126</v>
      </c>
      <c r="H218" s="69">
        <v>3594.9752291134637</v>
      </c>
      <c r="I218" s="66">
        <v>58.599999999999994</v>
      </c>
      <c r="J218" s="66">
        <v>0</v>
      </c>
      <c r="K218" s="64">
        <v>8.5384899999999995</v>
      </c>
      <c r="L218" s="24">
        <v>4.4558223563673726E-6</v>
      </c>
      <c r="M218" s="32">
        <v>7.1672943477042272E-4</v>
      </c>
      <c r="N218" s="32">
        <v>3.5171582472240199E-5</v>
      </c>
      <c r="O218" s="14"/>
      <c r="P218" s="14"/>
      <c r="Q218" s="14"/>
      <c r="R218" s="14"/>
    </row>
    <row r="219" spans="1:18" x14ac:dyDescent="0.25">
      <c r="A219" s="16" t="s">
        <v>2266</v>
      </c>
      <c r="B219" s="117" t="s">
        <v>2267</v>
      </c>
      <c r="C219" s="117" t="s">
        <v>2258</v>
      </c>
      <c r="D219" s="117" t="s">
        <v>1566</v>
      </c>
      <c r="E219" s="175" t="s">
        <v>3850</v>
      </c>
      <c r="F219" s="117" t="s">
        <v>185</v>
      </c>
      <c r="G219" s="118" t="s">
        <v>126</v>
      </c>
      <c r="H219" s="69">
        <v>0.95860059088946703</v>
      </c>
      <c r="I219" s="66">
        <v>15775</v>
      </c>
      <c r="J219" s="66">
        <v>0</v>
      </c>
      <c r="K219" s="64">
        <v>0.61290999999999995</v>
      </c>
      <c r="L219" s="24">
        <v>2.6842307474031416E-8</v>
      </c>
      <c r="M219" s="32">
        <v>5.1448281589032696E-5</v>
      </c>
      <c r="N219" s="32">
        <v>2.5246869895099412E-6</v>
      </c>
      <c r="O219" s="14"/>
      <c r="P219" s="14"/>
      <c r="Q219" s="14"/>
      <c r="R219" s="14"/>
    </row>
    <row r="220" spans="1:18" x14ac:dyDescent="0.25">
      <c r="A220" s="16" t="s">
        <v>2268</v>
      </c>
      <c r="B220" s="117" t="s">
        <v>2269</v>
      </c>
      <c r="C220" s="117" t="s">
        <v>2265</v>
      </c>
      <c r="D220" s="117" t="s">
        <v>1566</v>
      </c>
      <c r="E220" s="175" t="s">
        <v>3851</v>
      </c>
      <c r="F220" s="117" t="s">
        <v>4004</v>
      </c>
      <c r="G220" s="118" t="s">
        <v>2</v>
      </c>
      <c r="H220" s="69">
        <v>2673.2799687413481</v>
      </c>
      <c r="I220" s="66">
        <v>531.4</v>
      </c>
      <c r="J220" s="66">
        <v>0</v>
      </c>
      <c r="K220" s="64">
        <v>66.453360000000004</v>
      </c>
      <c r="L220" s="24">
        <v>1.5616381508460275E-7</v>
      </c>
      <c r="M220" s="32">
        <v>5.5781618472815946E-3</v>
      </c>
      <c r="N220" s="32">
        <v>2.737333921802881E-4</v>
      </c>
      <c r="O220" s="14"/>
      <c r="P220" s="14"/>
      <c r="Q220" s="14"/>
      <c r="R220" s="14"/>
    </row>
    <row r="221" spans="1:18" x14ac:dyDescent="0.25">
      <c r="A221" s="16" t="s">
        <v>2270</v>
      </c>
      <c r="B221" s="117" t="s">
        <v>2271</v>
      </c>
      <c r="C221" s="117" t="s">
        <v>2272</v>
      </c>
      <c r="D221" s="117" t="s">
        <v>1566</v>
      </c>
      <c r="E221" s="175" t="s">
        <v>3852</v>
      </c>
      <c r="F221" s="117" t="s">
        <v>172</v>
      </c>
      <c r="G221" s="118" t="s">
        <v>131</v>
      </c>
      <c r="H221" s="69">
        <v>678.17189092341948</v>
      </c>
      <c r="I221" s="66">
        <v>947.00000000000011</v>
      </c>
      <c r="J221" s="66">
        <v>0</v>
      </c>
      <c r="K221" s="64">
        <v>18.25535</v>
      </c>
      <c r="L221" s="24">
        <v>1.0700646550070324E-5</v>
      </c>
      <c r="M221" s="32">
        <v>1.5323724320150561E-3</v>
      </c>
      <c r="N221" s="32">
        <v>7.5197083803413731E-5</v>
      </c>
      <c r="O221" s="14"/>
      <c r="P221" s="14"/>
      <c r="Q221" s="14"/>
      <c r="R221" s="14"/>
    </row>
    <row r="222" spans="1:18" x14ac:dyDescent="0.25">
      <c r="A222" s="16" t="s">
        <v>2273</v>
      </c>
      <c r="B222" s="117" t="s">
        <v>2274</v>
      </c>
      <c r="C222" s="117" t="s">
        <v>2275</v>
      </c>
      <c r="D222" s="117" t="s">
        <v>1566</v>
      </c>
      <c r="E222" s="175" t="s">
        <v>3853</v>
      </c>
      <c r="F222" s="117" t="s">
        <v>170</v>
      </c>
      <c r="G222" s="118" t="s">
        <v>65</v>
      </c>
      <c r="H222" s="69">
        <v>5456.1355112243482</v>
      </c>
      <c r="I222" s="66">
        <v>750</v>
      </c>
      <c r="J222" s="66">
        <v>0</v>
      </c>
      <c r="K222" s="64">
        <v>19.981729999999999</v>
      </c>
      <c r="L222" s="24">
        <v>1.0412230722325886E-6</v>
      </c>
      <c r="M222" s="32">
        <v>1.6772865048310884E-3</v>
      </c>
      <c r="N222" s="32">
        <v>8.2308354830073715E-5</v>
      </c>
      <c r="O222" s="14"/>
      <c r="P222" s="14"/>
      <c r="Q222" s="14"/>
      <c r="R222" s="14"/>
    </row>
    <row r="223" spans="1:18" x14ac:dyDescent="0.25">
      <c r="A223" s="16" t="s">
        <v>2276</v>
      </c>
      <c r="B223" s="117" t="s">
        <v>2277</v>
      </c>
      <c r="C223" s="117" t="s">
        <v>2275</v>
      </c>
      <c r="D223" s="117" t="s">
        <v>1566</v>
      </c>
      <c r="E223" s="175" t="s">
        <v>3854</v>
      </c>
      <c r="F223" s="117" t="s">
        <v>173</v>
      </c>
      <c r="G223" s="118" t="s">
        <v>65</v>
      </c>
      <c r="H223" s="69">
        <v>830.61711299111016</v>
      </c>
      <c r="I223" s="66">
        <v>8560</v>
      </c>
      <c r="J223" s="66">
        <v>0</v>
      </c>
      <c r="K223" s="64">
        <v>34.718530000000001</v>
      </c>
      <c r="L223" s="24">
        <v>4.0821795175371717E-8</v>
      </c>
      <c r="M223" s="32">
        <v>2.9143083124721077E-3</v>
      </c>
      <c r="N223" s="32">
        <v>1.4301189568763863E-4</v>
      </c>
      <c r="O223" s="14"/>
      <c r="P223" s="14"/>
      <c r="Q223" s="14"/>
      <c r="R223" s="14"/>
    </row>
    <row r="224" spans="1:18" x14ac:dyDescent="0.25">
      <c r="A224" s="16" t="s">
        <v>2278</v>
      </c>
      <c r="B224" s="117" t="s">
        <v>2279</v>
      </c>
      <c r="C224" s="117" t="s">
        <v>2201</v>
      </c>
      <c r="D224" s="117" t="s">
        <v>1566</v>
      </c>
      <c r="E224" s="175" t="s">
        <v>3854</v>
      </c>
      <c r="F224" s="117" t="s">
        <v>173</v>
      </c>
      <c r="G224" s="118" t="s">
        <v>125</v>
      </c>
      <c r="H224" s="69">
        <v>64.208018256048447</v>
      </c>
      <c r="I224" s="66">
        <v>8674</v>
      </c>
      <c r="J224" s="66">
        <v>0</v>
      </c>
      <c r="K224" s="64">
        <v>21.297400000000003</v>
      </c>
      <c r="L224" s="24">
        <v>2.5244715321852417E-8</v>
      </c>
      <c r="M224" s="32">
        <v>1.7877251673398462E-3</v>
      </c>
      <c r="N224" s="32">
        <v>8.7727837187171091E-5</v>
      </c>
      <c r="O224" s="14"/>
      <c r="P224" s="14"/>
      <c r="Q224" s="14"/>
      <c r="R224" s="14"/>
    </row>
    <row r="225" spans="1:18" x14ac:dyDescent="0.25">
      <c r="A225" s="16" t="s">
        <v>2280</v>
      </c>
      <c r="B225" s="117" t="s">
        <v>2281</v>
      </c>
      <c r="C225" s="117" t="s">
        <v>2282</v>
      </c>
      <c r="D225" s="117" t="s">
        <v>1566</v>
      </c>
      <c r="E225" s="175" t="s">
        <v>3855</v>
      </c>
      <c r="F225" s="117" t="s">
        <v>182</v>
      </c>
      <c r="G225" s="118" t="s">
        <v>422</v>
      </c>
      <c r="H225" s="69">
        <v>487.71973989074814</v>
      </c>
      <c r="I225" s="66">
        <v>56500</v>
      </c>
      <c r="J225" s="66">
        <v>8.7604218450000007E-2</v>
      </c>
      <c r="K225" s="64">
        <v>7.1585200000000002</v>
      </c>
      <c r="L225" s="24">
        <v>9.2058460492767109E-6</v>
      </c>
      <c r="M225" s="32">
        <v>6.0089336561766388E-4</v>
      </c>
      <c r="N225" s="32">
        <v>2.9487236801727347E-5</v>
      </c>
      <c r="O225" s="14"/>
      <c r="P225" s="14"/>
      <c r="Q225" s="14"/>
      <c r="R225" s="14"/>
    </row>
    <row r="226" spans="1:18" x14ac:dyDescent="0.25">
      <c r="A226" s="16" t="s">
        <v>2283</v>
      </c>
      <c r="B226" s="117" t="s">
        <v>2284</v>
      </c>
      <c r="C226" s="117" t="s">
        <v>2282</v>
      </c>
      <c r="D226" s="117" t="s">
        <v>1566</v>
      </c>
      <c r="E226" s="175" t="s">
        <v>3856</v>
      </c>
      <c r="F226" s="117" t="s">
        <v>170</v>
      </c>
      <c r="G226" s="118" t="s">
        <v>422</v>
      </c>
      <c r="H226" s="69">
        <v>47.043918171820557</v>
      </c>
      <c r="I226" s="66">
        <v>59200</v>
      </c>
      <c r="J226" s="66">
        <v>0</v>
      </c>
      <c r="K226" s="64">
        <v>0.71462999999999999</v>
      </c>
      <c r="L226" s="24">
        <v>1.0029616921825084E-5</v>
      </c>
      <c r="M226" s="32">
        <v>5.9986760653228756E-5</v>
      </c>
      <c r="N226" s="32">
        <v>2.9436900414636562E-6</v>
      </c>
      <c r="O226" s="14"/>
      <c r="P226" s="14"/>
      <c r="Q226" s="14"/>
      <c r="R226" s="14"/>
    </row>
    <row r="227" spans="1:18" x14ac:dyDescent="0.25">
      <c r="A227" s="16" t="s">
        <v>2285</v>
      </c>
      <c r="B227" s="117" t="s">
        <v>2286</v>
      </c>
      <c r="C227" s="117" t="s">
        <v>2282</v>
      </c>
      <c r="D227" s="117" t="s">
        <v>1566</v>
      </c>
      <c r="E227" s="175" t="s">
        <v>3857</v>
      </c>
      <c r="F227" s="117" t="s">
        <v>182</v>
      </c>
      <c r="G227" s="118" t="s">
        <v>422</v>
      </c>
      <c r="H227" s="69">
        <v>1663.601414879392</v>
      </c>
      <c r="I227" s="66">
        <v>91900</v>
      </c>
      <c r="J227" s="66">
        <v>0.59763217059999996</v>
      </c>
      <c r="K227" s="64">
        <v>39.827919999999999</v>
      </c>
      <c r="L227" s="24">
        <v>2.3111000706665783E-6</v>
      </c>
      <c r="M227" s="32">
        <v>3.3431956457970454E-3</v>
      </c>
      <c r="N227" s="32">
        <v>1.6405839591986226E-4</v>
      </c>
      <c r="O227" s="14"/>
      <c r="P227" s="14"/>
      <c r="Q227" s="14"/>
      <c r="R227" s="14"/>
    </row>
    <row r="228" spans="1:18" x14ac:dyDescent="0.25">
      <c r="A228" s="16" t="s">
        <v>2287</v>
      </c>
      <c r="B228" s="117" t="s">
        <v>2288</v>
      </c>
      <c r="C228" s="117" t="s">
        <v>2282</v>
      </c>
      <c r="D228" s="117" t="s">
        <v>1566</v>
      </c>
      <c r="E228" s="175" t="s">
        <v>3858</v>
      </c>
      <c r="F228" s="117" t="s">
        <v>173</v>
      </c>
      <c r="G228" s="118" t="s">
        <v>422</v>
      </c>
      <c r="H228" s="69">
        <v>222.62825326298565</v>
      </c>
      <c r="I228" s="66">
        <v>136000</v>
      </c>
      <c r="J228" s="66">
        <v>6.8551691050000002E-2</v>
      </c>
      <c r="K228" s="64">
        <v>7.8377400000000002</v>
      </c>
      <c r="L228" s="24">
        <v>9.143670198662123E-6</v>
      </c>
      <c r="M228" s="32">
        <v>6.579077752714512E-4</v>
      </c>
      <c r="N228" s="32">
        <v>3.2285066657684899E-5</v>
      </c>
      <c r="O228" s="14"/>
      <c r="P228" s="14"/>
      <c r="Q228" s="14"/>
      <c r="R228" s="14"/>
    </row>
    <row r="229" spans="1:18" x14ac:dyDescent="0.25">
      <c r="A229" s="16" t="s">
        <v>2289</v>
      </c>
      <c r="B229" s="117" t="s">
        <v>2290</v>
      </c>
      <c r="C229" s="117" t="s">
        <v>2282</v>
      </c>
      <c r="D229" s="117" t="s">
        <v>1566</v>
      </c>
      <c r="E229" s="175" t="s">
        <v>3859</v>
      </c>
      <c r="F229" s="117" t="s">
        <v>179</v>
      </c>
      <c r="G229" s="118" t="s">
        <v>422</v>
      </c>
      <c r="H229" s="69">
        <v>2632.3663409598603</v>
      </c>
      <c r="I229" s="66">
        <v>36100</v>
      </c>
      <c r="J229" s="66">
        <v>0.33773259950000001</v>
      </c>
      <c r="K229" s="64">
        <v>24.72203</v>
      </c>
      <c r="L229" s="24">
        <v>6.5964144745192937E-6</v>
      </c>
      <c r="M229" s="32">
        <v>2.0751920524914166E-3</v>
      </c>
      <c r="N229" s="32">
        <v>1.0183450668984755E-4</v>
      </c>
      <c r="O229" s="14"/>
      <c r="P229" s="14"/>
      <c r="Q229" s="14"/>
      <c r="R229" s="14"/>
    </row>
    <row r="230" spans="1:18" x14ac:dyDescent="0.25">
      <c r="A230" s="16" t="s">
        <v>2291</v>
      </c>
      <c r="B230" s="117" t="s">
        <v>2292</v>
      </c>
      <c r="C230" s="117" t="s">
        <v>2201</v>
      </c>
      <c r="D230" s="117" t="s">
        <v>1566</v>
      </c>
      <c r="E230" s="175" t="s">
        <v>3860</v>
      </c>
      <c r="F230" s="117" t="s">
        <v>185</v>
      </c>
      <c r="G230" s="118" t="s">
        <v>125</v>
      </c>
      <c r="H230" s="69">
        <v>190.78488842785615</v>
      </c>
      <c r="I230" s="66">
        <v>8690</v>
      </c>
      <c r="J230" s="66">
        <v>0.3437000268</v>
      </c>
      <c r="K230" s="64">
        <v>63.74259</v>
      </c>
      <c r="L230" s="24">
        <v>3.6785509437604724E-8</v>
      </c>
      <c r="M230" s="32">
        <v>5.3506170882091329E-3</v>
      </c>
      <c r="N230" s="32">
        <v>2.6256724095000329E-4</v>
      </c>
      <c r="O230" s="14"/>
      <c r="P230" s="14"/>
      <c r="Q230" s="14"/>
      <c r="R230" s="14"/>
    </row>
    <row r="231" spans="1:18" x14ac:dyDescent="0.25">
      <c r="A231" s="16" t="s">
        <v>2293</v>
      </c>
      <c r="B231" s="117" t="s">
        <v>2294</v>
      </c>
      <c r="C231" s="117" t="s">
        <v>2201</v>
      </c>
      <c r="D231" s="117" t="s">
        <v>1566</v>
      </c>
      <c r="E231" s="117" t="s">
        <v>2295</v>
      </c>
      <c r="F231" s="117" t="s">
        <v>179</v>
      </c>
      <c r="G231" s="118" t="s">
        <v>125</v>
      </c>
      <c r="H231" s="69">
        <v>298.62230539561472</v>
      </c>
      <c r="I231" s="66">
        <v>4113</v>
      </c>
      <c r="J231" s="66">
        <v>0</v>
      </c>
      <c r="K231" s="64">
        <v>46.967649999999999</v>
      </c>
      <c r="L231" s="24">
        <v>1.5507188045752904E-7</v>
      </c>
      <c r="M231" s="32">
        <v>3.9425117599241844E-3</v>
      </c>
      <c r="N231" s="32">
        <v>1.9346823331787148E-4</v>
      </c>
      <c r="O231" s="14"/>
      <c r="P231" s="14"/>
      <c r="Q231" s="14"/>
      <c r="R231" s="14"/>
    </row>
    <row r="232" spans="1:18" x14ac:dyDescent="0.25">
      <c r="A232" s="16" t="s">
        <v>2296</v>
      </c>
      <c r="B232" s="117" t="s">
        <v>2297</v>
      </c>
      <c r="C232" s="117" t="s">
        <v>2180</v>
      </c>
      <c r="D232" s="117" t="s">
        <v>1566</v>
      </c>
      <c r="E232" s="175" t="s">
        <v>3861</v>
      </c>
      <c r="F232" s="117" t="s">
        <v>172</v>
      </c>
      <c r="G232" s="118" t="s">
        <v>125</v>
      </c>
      <c r="H232" s="69">
        <v>417.28240225770475</v>
      </c>
      <c r="I232" s="66">
        <v>13086.000000000002</v>
      </c>
      <c r="J232" s="66">
        <v>0</v>
      </c>
      <c r="K232" s="64">
        <v>208.81172000000001</v>
      </c>
      <c r="L232" s="24">
        <v>7.0332446023547067E-8</v>
      </c>
      <c r="M232" s="32">
        <v>1.7527865705650507E-2</v>
      </c>
      <c r="N232" s="32">
        <v>8.6013318878985963E-4</v>
      </c>
      <c r="O232" s="14"/>
      <c r="P232" s="14"/>
      <c r="Q232" s="14"/>
      <c r="R232" s="14"/>
    </row>
    <row r="233" spans="1:18" x14ac:dyDescent="0.25">
      <c r="A233" s="16" t="s">
        <v>2298</v>
      </c>
      <c r="B233" s="117" t="s">
        <v>2299</v>
      </c>
      <c r="C233" s="117" t="s">
        <v>2201</v>
      </c>
      <c r="D233" s="117" t="s">
        <v>1566</v>
      </c>
      <c r="E233" s="175" t="s">
        <v>3798</v>
      </c>
      <c r="F233" s="117" t="s">
        <v>179</v>
      </c>
      <c r="G233" s="118" t="s">
        <v>125</v>
      </c>
      <c r="H233" s="69">
        <v>265.26736210807445</v>
      </c>
      <c r="I233" s="66">
        <v>2738</v>
      </c>
      <c r="J233" s="66">
        <v>0</v>
      </c>
      <c r="K233" s="64">
        <v>27.773790000000002</v>
      </c>
      <c r="L233" s="24">
        <v>3.3382198843266659E-8</v>
      </c>
      <c r="M233" s="32">
        <v>2.3313598549781545E-3</v>
      </c>
      <c r="N233" s="32">
        <v>1.1440525731735708E-4</v>
      </c>
      <c r="O233" s="14"/>
      <c r="P233" s="14"/>
      <c r="Q233" s="14"/>
      <c r="R233" s="14"/>
    </row>
    <row r="234" spans="1:18" x14ac:dyDescent="0.25">
      <c r="A234" s="16" t="s">
        <v>2300</v>
      </c>
      <c r="B234" s="117" t="s">
        <v>2301</v>
      </c>
      <c r="C234" s="117" t="s">
        <v>2201</v>
      </c>
      <c r="D234" s="117" t="s">
        <v>1566</v>
      </c>
      <c r="E234" s="175" t="s">
        <v>3862</v>
      </c>
      <c r="F234" s="117" t="s">
        <v>178</v>
      </c>
      <c r="G234" s="118" t="s">
        <v>125</v>
      </c>
      <c r="H234" s="69">
        <v>580.01317099607138</v>
      </c>
      <c r="I234" s="66">
        <v>3317</v>
      </c>
      <c r="J234" s="66">
        <v>0</v>
      </c>
      <c r="K234" s="64">
        <v>73.570080000000004</v>
      </c>
      <c r="L234" s="24">
        <v>1.0273066319461288E-7</v>
      </c>
      <c r="M234" s="32">
        <v>6.1755464788756306E-3</v>
      </c>
      <c r="N234" s="32">
        <v>3.0304844723239233E-4</v>
      </c>
      <c r="O234" s="14"/>
      <c r="P234" s="14"/>
      <c r="Q234" s="14"/>
      <c r="R234" s="14"/>
    </row>
    <row r="235" spans="1:18" x14ac:dyDescent="0.25">
      <c r="A235" s="16" t="s">
        <v>2302</v>
      </c>
      <c r="B235" s="117" t="s">
        <v>2303</v>
      </c>
      <c r="C235" s="117" t="s">
        <v>2180</v>
      </c>
      <c r="D235" s="117" t="s">
        <v>1566</v>
      </c>
      <c r="E235" s="175" t="s">
        <v>3863</v>
      </c>
      <c r="F235" s="117" t="s">
        <v>185</v>
      </c>
      <c r="G235" s="118" t="s">
        <v>125</v>
      </c>
      <c r="H235" s="69">
        <v>122.65175725646733</v>
      </c>
      <c r="I235" s="66">
        <v>6803</v>
      </c>
      <c r="J235" s="66">
        <v>0</v>
      </c>
      <c r="K235" s="64">
        <v>31.907450000000001</v>
      </c>
      <c r="L235" s="24">
        <v>1.1197989335597445E-7</v>
      </c>
      <c r="M235" s="32">
        <v>2.6783434311529941E-3</v>
      </c>
      <c r="N235" s="32">
        <v>1.3143254945006442E-4</v>
      </c>
      <c r="O235" s="14"/>
      <c r="P235" s="14"/>
      <c r="Q235" s="14"/>
      <c r="R235" s="14"/>
    </row>
    <row r="236" spans="1:18" x14ac:dyDescent="0.25">
      <c r="A236" s="16" t="s">
        <v>2304</v>
      </c>
      <c r="B236" s="117" t="s">
        <v>2305</v>
      </c>
      <c r="C236" s="117" t="s">
        <v>2180</v>
      </c>
      <c r="D236" s="117" t="s">
        <v>1566</v>
      </c>
      <c r="E236" s="175" t="s">
        <v>3864</v>
      </c>
      <c r="F236" s="117" t="s">
        <v>184</v>
      </c>
      <c r="G236" s="118" t="s">
        <v>125</v>
      </c>
      <c r="H236" s="69">
        <v>55.531494560658821</v>
      </c>
      <c r="I236" s="66">
        <v>17121</v>
      </c>
      <c r="J236" s="66">
        <v>0</v>
      </c>
      <c r="K236" s="64">
        <v>36.356859999999998</v>
      </c>
      <c r="L236" s="24">
        <v>3.5519170088213363E-9</v>
      </c>
      <c r="M236" s="32">
        <v>3.0518313797670777E-3</v>
      </c>
      <c r="N236" s="32">
        <v>1.4976047286132451E-4</v>
      </c>
      <c r="O236" s="14"/>
      <c r="P236" s="14"/>
      <c r="Q236" s="14"/>
      <c r="R236" s="14"/>
    </row>
    <row r="237" spans="1:18" x14ac:dyDescent="0.25">
      <c r="A237" s="16" t="s">
        <v>2306</v>
      </c>
      <c r="B237" s="117" t="s">
        <v>2307</v>
      </c>
      <c r="C237" s="117" t="s">
        <v>2201</v>
      </c>
      <c r="D237" s="117" t="s">
        <v>1566</v>
      </c>
      <c r="E237" s="175" t="s">
        <v>3865</v>
      </c>
      <c r="F237" s="117" t="s">
        <v>172</v>
      </c>
      <c r="G237" s="118" t="s">
        <v>125</v>
      </c>
      <c r="H237" s="69">
        <v>168.13458248254599</v>
      </c>
      <c r="I237" s="66">
        <v>8105</v>
      </c>
      <c r="J237" s="66">
        <v>0</v>
      </c>
      <c r="K237" s="64">
        <v>52.11083</v>
      </c>
      <c r="L237" s="24">
        <v>9.1887928471634495E-8</v>
      </c>
      <c r="M237" s="32">
        <v>4.3742354598198972E-3</v>
      </c>
      <c r="N237" s="32">
        <v>2.1465392066300818E-4</v>
      </c>
      <c r="O237" s="14"/>
      <c r="P237" s="14"/>
      <c r="Q237" s="14"/>
      <c r="R237" s="14"/>
    </row>
    <row r="238" spans="1:18" x14ac:dyDescent="0.25">
      <c r="A238" s="16" t="s">
        <v>2308</v>
      </c>
      <c r="B238" s="117" t="s">
        <v>2309</v>
      </c>
      <c r="C238" s="117" t="s">
        <v>2201</v>
      </c>
      <c r="D238" s="117" t="s">
        <v>1566</v>
      </c>
      <c r="E238" s="175" t="s">
        <v>3866</v>
      </c>
      <c r="F238" s="117" t="s">
        <v>183</v>
      </c>
      <c r="G238" s="118" t="s">
        <v>125</v>
      </c>
      <c r="H238" s="69">
        <v>66.638585704683891</v>
      </c>
      <c r="I238" s="66">
        <v>23001</v>
      </c>
      <c r="J238" s="66">
        <v>0</v>
      </c>
      <c r="K238" s="64">
        <v>58.612519999999996</v>
      </c>
      <c r="L238" s="24">
        <v>4.1473176405060857E-8</v>
      </c>
      <c r="M238" s="32">
        <v>4.919993854893558E-3</v>
      </c>
      <c r="N238" s="32">
        <v>2.414355560627029E-4</v>
      </c>
      <c r="O238" s="14"/>
      <c r="P238" s="14"/>
      <c r="Q238" s="14"/>
      <c r="R238" s="14"/>
    </row>
    <row r="239" spans="1:18" x14ac:dyDescent="0.25">
      <c r="A239" s="16" t="s">
        <v>2310</v>
      </c>
      <c r="B239" s="117" t="s">
        <v>2311</v>
      </c>
      <c r="C239" s="117" t="s">
        <v>2201</v>
      </c>
      <c r="D239" s="117" t="s">
        <v>1566</v>
      </c>
      <c r="E239" s="175" t="s">
        <v>3867</v>
      </c>
      <c r="F239" s="117" t="s">
        <v>183</v>
      </c>
      <c r="G239" s="118" t="s">
        <v>125</v>
      </c>
      <c r="H239" s="69">
        <v>41.34539416333466</v>
      </c>
      <c r="I239" s="66">
        <v>39591</v>
      </c>
      <c r="J239" s="66">
        <v>0</v>
      </c>
      <c r="K239" s="64">
        <v>62.595269999999999</v>
      </c>
      <c r="L239" s="24">
        <v>4.4226867501720362E-8</v>
      </c>
      <c r="M239" s="32">
        <v>5.2543098939510377E-3</v>
      </c>
      <c r="N239" s="32">
        <v>2.5784122264910339E-4</v>
      </c>
      <c r="O239" s="14"/>
      <c r="P239" s="14"/>
      <c r="Q239" s="14"/>
      <c r="R239" s="14"/>
    </row>
    <row r="240" spans="1:18" x14ac:dyDescent="0.25">
      <c r="A240" s="16" t="s">
        <v>2312</v>
      </c>
      <c r="B240" s="117" t="s">
        <v>2313</v>
      </c>
      <c r="C240" s="117" t="s">
        <v>2180</v>
      </c>
      <c r="D240" s="117" t="s">
        <v>1566</v>
      </c>
      <c r="E240" s="175" t="s">
        <v>3868</v>
      </c>
      <c r="F240" s="117" t="s">
        <v>172</v>
      </c>
      <c r="G240" s="118" t="s">
        <v>125</v>
      </c>
      <c r="H240" s="69">
        <v>187.99781662723703</v>
      </c>
      <c r="I240" s="66">
        <v>30020.999999999996</v>
      </c>
      <c r="J240" s="66">
        <v>0</v>
      </c>
      <c r="K240" s="64">
        <v>215.82207</v>
      </c>
      <c r="L240" s="24">
        <v>8.4585302491428025E-8</v>
      </c>
      <c r="M240" s="32">
        <v>1.8116321532505468E-2</v>
      </c>
      <c r="N240" s="32">
        <v>8.8901008660015963E-4</v>
      </c>
      <c r="O240" s="14"/>
      <c r="P240" s="14"/>
      <c r="Q240" s="14"/>
      <c r="R240" s="14"/>
    </row>
    <row r="241" spans="1:18" x14ac:dyDescent="0.25">
      <c r="A241" s="16" t="s">
        <v>2314</v>
      </c>
      <c r="B241" s="117" t="s">
        <v>2315</v>
      </c>
      <c r="C241" s="117" t="s">
        <v>2180</v>
      </c>
      <c r="D241" s="117" t="s">
        <v>1566</v>
      </c>
      <c r="E241" s="175" t="s">
        <v>3869</v>
      </c>
      <c r="F241" s="117" t="s">
        <v>183</v>
      </c>
      <c r="G241" s="118" t="s">
        <v>125</v>
      </c>
      <c r="H241" s="69">
        <v>187.66270253637236</v>
      </c>
      <c r="I241" s="66">
        <v>31575</v>
      </c>
      <c r="J241" s="66">
        <v>0</v>
      </c>
      <c r="K241" s="64">
        <v>226.58920000000001</v>
      </c>
      <c r="L241" s="24">
        <v>2.5258232907284957E-8</v>
      </c>
      <c r="M241" s="32">
        <v>1.9020125249438986E-2</v>
      </c>
      <c r="N241" s="32">
        <v>9.3336183975374209E-4</v>
      </c>
      <c r="O241" s="14"/>
      <c r="P241" s="14"/>
      <c r="Q241" s="14"/>
      <c r="R241" s="14"/>
    </row>
    <row r="242" spans="1:18" x14ac:dyDescent="0.25">
      <c r="A242" s="16" t="s">
        <v>2316</v>
      </c>
      <c r="B242" s="117" t="s">
        <v>2317</v>
      </c>
      <c r="C242" s="117" t="s">
        <v>2201</v>
      </c>
      <c r="D242" s="117" t="s">
        <v>1566</v>
      </c>
      <c r="E242" s="175" t="s">
        <v>3870</v>
      </c>
      <c r="F242" s="117" t="s">
        <v>177</v>
      </c>
      <c r="G242" s="118" t="s">
        <v>125</v>
      </c>
      <c r="H242" s="69">
        <v>19.706768345764864</v>
      </c>
      <c r="I242" s="66">
        <v>50419</v>
      </c>
      <c r="J242" s="66">
        <v>0</v>
      </c>
      <c r="K242" s="64">
        <v>37.995089999999998</v>
      </c>
      <c r="L242" s="24">
        <v>2.1274596799753762E-8</v>
      </c>
      <c r="M242" s="32">
        <v>3.1893460529615119E-3</v>
      </c>
      <c r="N242" s="32">
        <v>1.5650863811694912E-4</v>
      </c>
      <c r="O242" s="14"/>
      <c r="P242" s="14"/>
      <c r="Q242" s="14"/>
      <c r="R242" s="14"/>
    </row>
    <row r="243" spans="1:18" x14ac:dyDescent="0.25">
      <c r="A243" s="16" t="s">
        <v>2318</v>
      </c>
      <c r="B243" s="117" t="s">
        <v>2319</v>
      </c>
      <c r="C243" s="117" t="s">
        <v>2180</v>
      </c>
      <c r="D243" s="117" t="s">
        <v>1566</v>
      </c>
      <c r="E243" s="175" t="s">
        <v>3871</v>
      </c>
      <c r="F243" s="117" t="s">
        <v>185</v>
      </c>
      <c r="G243" s="118" t="s">
        <v>125</v>
      </c>
      <c r="H243" s="69">
        <v>114.47750858142805</v>
      </c>
      <c r="I243" s="66">
        <v>43499</v>
      </c>
      <c r="J243" s="66">
        <v>0</v>
      </c>
      <c r="K243" s="64">
        <v>190.42209</v>
      </c>
      <c r="L243" s="24">
        <v>4.6347169466165207E-8</v>
      </c>
      <c r="M243" s="32">
        <v>1.598422167543706E-2</v>
      </c>
      <c r="N243" s="32">
        <v>7.8438298141373308E-4</v>
      </c>
      <c r="O243" s="14"/>
      <c r="P243" s="14"/>
      <c r="Q243" s="14"/>
      <c r="R243" s="14"/>
    </row>
    <row r="244" spans="1:18" x14ac:dyDescent="0.25">
      <c r="A244" s="16" t="s">
        <v>2320</v>
      </c>
      <c r="B244" s="117" t="s">
        <v>2321</v>
      </c>
      <c r="C244" s="117" t="s">
        <v>2201</v>
      </c>
      <c r="D244" s="117" t="s">
        <v>1566</v>
      </c>
      <c r="E244" s="175" t="s">
        <v>3872</v>
      </c>
      <c r="F244" s="117" t="s">
        <v>187</v>
      </c>
      <c r="G244" s="118" t="s">
        <v>125</v>
      </c>
      <c r="H244" s="69">
        <v>367.43596376334574</v>
      </c>
      <c r="I244" s="66">
        <v>1047</v>
      </c>
      <c r="J244" s="66">
        <v>0</v>
      </c>
      <c r="K244" s="64">
        <v>14.711139999999999</v>
      </c>
      <c r="L244" s="24">
        <v>3.0053913255960103E-6</v>
      </c>
      <c r="M244" s="32">
        <v>1.2348678814437398E-3</v>
      </c>
      <c r="N244" s="32">
        <v>6.0597842683035482E-5</v>
      </c>
      <c r="O244" s="14"/>
      <c r="P244" s="14"/>
      <c r="Q244" s="14"/>
      <c r="R244" s="14"/>
    </row>
    <row r="245" spans="1:18" x14ac:dyDescent="0.25">
      <c r="A245" s="16" t="s">
        <v>2322</v>
      </c>
      <c r="B245" s="117" t="s">
        <v>2323</v>
      </c>
      <c r="C245" s="117" t="s">
        <v>2180</v>
      </c>
      <c r="D245" s="117" t="s">
        <v>1566</v>
      </c>
      <c r="E245" s="175" t="s">
        <v>3873</v>
      </c>
      <c r="F245" s="117" t="s">
        <v>183</v>
      </c>
      <c r="G245" s="118" t="s">
        <v>125</v>
      </c>
      <c r="H245" s="69">
        <v>53.033191285146479</v>
      </c>
      <c r="I245" s="66">
        <v>50990</v>
      </c>
      <c r="J245" s="66">
        <v>0</v>
      </c>
      <c r="K245" s="64">
        <v>103.40716999999999</v>
      </c>
      <c r="L245" s="24">
        <v>1.1647966458411263E-7</v>
      </c>
      <c r="M245" s="32">
        <v>8.6801018101923186E-3</v>
      </c>
      <c r="N245" s="32">
        <v>4.2595280990853916E-4</v>
      </c>
      <c r="O245" s="14"/>
      <c r="P245" s="14"/>
      <c r="Q245" s="14"/>
      <c r="R245" s="14"/>
    </row>
    <row r="246" spans="1:18" x14ac:dyDescent="0.25">
      <c r="A246" s="16" t="s">
        <v>2324</v>
      </c>
      <c r="B246" s="117" t="s">
        <v>2325</v>
      </c>
      <c r="C246" s="117" t="s">
        <v>2201</v>
      </c>
      <c r="D246" s="117" t="s">
        <v>1566</v>
      </c>
      <c r="E246" s="175" t="s">
        <v>3874</v>
      </c>
      <c r="F246" s="117" t="s">
        <v>165</v>
      </c>
      <c r="G246" s="118" t="s">
        <v>125</v>
      </c>
      <c r="H246" s="69">
        <v>263.95621832466776</v>
      </c>
      <c r="I246" s="66">
        <v>3729</v>
      </c>
      <c r="J246" s="66">
        <v>0</v>
      </c>
      <c r="K246" s="64">
        <v>37.63935</v>
      </c>
      <c r="L246" s="24">
        <v>1.8411667047994459E-7</v>
      </c>
      <c r="M246" s="32">
        <v>3.159484879718324E-3</v>
      </c>
      <c r="N246" s="32">
        <v>1.5504328080568277E-4</v>
      </c>
      <c r="O246" s="14"/>
      <c r="P246" s="14"/>
      <c r="Q246" s="14"/>
      <c r="R246" s="14"/>
    </row>
    <row r="247" spans="1:18" x14ac:dyDescent="0.25">
      <c r="A247" s="16" t="s">
        <v>2326</v>
      </c>
      <c r="B247" s="117" t="s">
        <v>2327</v>
      </c>
      <c r="C247" s="117" t="s">
        <v>2180</v>
      </c>
      <c r="D247" s="117" t="s">
        <v>1566</v>
      </c>
      <c r="E247" s="175" t="s">
        <v>3875</v>
      </c>
      <c r="F247" s="117" t="s">
        <v>173</v>
      </c>
      <c r="G247" s="118" t="s">
        <v>125</v>
      </c>
      <c r="H247" s="69">
        <v>445.64984966099325</v>
      </c>
      <c r="I247" s="66">
        <v>12712</v>
      </c>
      <c r="J247" s="66">
        <v>0</v>
      </c>
      <c r="K247" s="64">
        <v>216.63345999999999</v>
      </c>
      <c r="L247" s="24">
        <v>4.319253861352839E-8</v>
      </c>
      <c r="M247" s="32">
        <v>1.8184430424836358E-2</v>
      </c>
      <c r="N247" s="32">
        <v>8.923523485577365E-4</v>
      </c>
      <c r="O247" s="14"/>
      <c r="P247" s="14"/>
      <c r="Q247" s="14"/>
      <c r="R247" s="14"/>
    </row>
    <row r="248" spans="1:18" x14ac:dyDescent="0.25">
      <c r="A248" s="16" t="s">
        <v>2328</v>
      </c>
      <c r="B248" s="117" t="s">
        <v>2329</v>
      </c>
      <c r="C248" s="117" t="s">
        <v>2201</v>
      </c>
      <c r="D248" s="117" t="s">
        <v>1566</v>
      </c>
      <c r="E248" s="175" t="s">
        <v>3876</v>
      </c>
      <c r="F248" s="117" t="s">
        <v>173</v>
      </c>
      <c r="G248" s="118" t="s">
        <v>125</v>
      </c>
      <c r="H248" s="69">
        <v>92.515652151393056</v>
      </c>
      <c r="I248" s="66">
        <v>11057</v>
      </c>
      <c r="J248" s="66">
        <v>0</v>
      </c>
      <c r="K248" s="64">
        <v>39.117440000000002</v>
      </c>
      <c r="L248" s="24">
        <v>2.0042148407366569E-7</v>
      </c>
      <c r="M248" s="32">
        <v>3.2835572403160196E-3</v>
      </c>
      <c r="N248" s="32">
        <v>1.6113180047794257E-4</v>
      </c>
      <c r="O248" s="14"/>
      <c r="P248" s="14"/>
      <c r="Q248" s="14"/>
      <c r="R248" s="14"/>
    </row>
    <row r="249" spans="1:18" x14ac:dyDescent="0.25">
      <c r="A249" s="16" t="s">
        <v>2330</v>
      </c>
      <c r="B249" s="117" t="s">
        <v>2331</v>
      </c>
      <c r="C249" s="117" t="s">
        <v>2201</v>
      </c>
      <c r="D249" s="117" t="s">
        <v>1566</v>
      </c>
      <c r="E249" s="175" t="s">
        <v>3786</v>
      </c>
      <c r="F249" s="117" t="s">
        <v>177</v>
      </c>
      <c r="G249" s="118" t="s">
        <v>125</v>
      </c>
      <c r="H249" s="69">
        <v>171.69130756750323</v>
      </c>
      <c r="I249" s="66">
        <v>6888</v>
      </c>
      <c r="J249" s="66">
        <v>0</v>
      </c>
      <c r="K249" s="64">
        <v>45.222999999999999</v>
      </c>
      <c r="L249" s="24">
        <v>3.1707832784602132E-7</v>
      </c>
      <c r="M249" s="32">
        <v>3.7960640849404085E-3</v>
      </c>
      <c r="N249" s="32">
        <v>1.8628170486141208E-4</v>
      </c>
      <c r="O249" s="14"/>
      <c r="P249" s="14"/>
      <c r="Q249" s="14"/>
      <c r="R249" s="14"/>
    </row>
    <row r="250" spans="1:18" x14ac:dyDescent="0.25">
      <c r="A250" s="16" t="s">
        <v>2332</v>
      </c>
      <c r="B250" s="117" t="s">
        <v>2333</v>
      </c>
      <c r="C250" s="117" t="s">
        <v>2201</v>
      </c>
      <c r="D250" s="117" t="s">
        <v>1566</v>
      </c>
      <c r="E250" s="175" t="s">
        <v>3877</v>
      </c>
      <c r="F250" s="117" t="s">
        <v>184</v>
      </c>
      <c r="G250" s="118" t="s">
        <v>125</v>
      </c>
      <c r="H250" s="69">
        <v>223.97306690185744</v>
      </c>
      <c r="I250" s="66">
        <v>4726</v>
      </c>
      <c r="J250" s="66">
        <v>0</v>
      </c>
      <c r="K250" s="64">
        <v>40.476910000000004</v>
      </c>
      <c r="L250" s="24">
        <v>1.5149452056676007E-6</v>
      </c>
      <c r="M250" s="32">
        <v>3.3976725188591046E-3</v>
      </c>
      <c r="N250" s="32">
        <v>1.6673170294588904E-4</v>
      </c>
      <c r="O250" s="14"/>
      <c r="P250" s="14"/>
      <c r="Q250" s="14"/>
      <c r="R250" s="14"/>
    </row>
    <row r="251" spans="1:18" x14ac:dyDescent="0.25">
      <c r="A251" s="16" t="s">
        <v>2334</v>
      </c>
      <c r="B251" s="117" t="s">
        <v>2335</v>
      </c>
      <c r="C251" s="117" t="s">
        <v>2201</v>
      </c>
      <c r="D251" s="117" t="s">
        <v>1566</v>
      </c>
      <c r="E251" s="175" t="s">
        <v>3878</v>
      </c>
      <c r="F251" s="117" t="s">
        <v>4005</v>
      </c>
      <c r="G251" s="118" t="s">
        <v>125</v>
      </c>
      <c r="H251" s="69">
        <v>53.702231119035865</v>
      </c>
      <c r="I251" s="66">
        <v>16445</v>
      </c>
      <c r="J251" s="66">
        <v>0</v>
      </c>
      <c r="K251" s="64">
        <v>33.771010000000004</v>
      </c>
      <c r="L251" s="24">
        <v>1.1520239211976611E-7</v>
      </c>
      <c r="M251" s="32">
        <v>2.8347725310829313E-3</v>
      </c>
      <c r="N251" s="32">
        <v>1.3910888967321488E-4</v>
      </c>
      <c r="O251" s="14"/>
      <c r="P251" s="14"/>
      <c r="Q251" s="14"/>
      <c r="R251" s="14"/>
    </row>
    <row r="252" spans="1:18" x14ac:dyDescent="0.25">
      <c r="A252" s="16" t="s">
        <v>2336</v>
      </c>
      <c r="B252" s="117" t="s">
        <v>2337</v>
      </c>
      <c r="C252" s="117" t="s">
        <v>2180</v>
      </c>
      <c r="D252" s="117" t="s">
        <v>1566</v>
      </c>
      <c r="E252" s="175" t="s">
        <v>3879</v>
      </c>
      <c r="F252" s="117" t="s">
        <v>185</v>
      </c>
      <c r="G252" s="118" t="s">
        <v>125</v>
      </c>
      <c r="H252" s="69">
        <v>85.059165571680936</v>
      </c>
      <c r="I252" s="66">
        <v>13844.999999999998</v>
      </c>
      <c r="J252" s="66">
        <v>0</v>
      </c>
      <c r="K252" s="64">
        <v>45.033110000000001</v>
      </c>
      <c r="L252" s="24">
        <v>1.016804823478691E-7</v>
      </c>
      <c r="M252" s="32">
        <v>3.7801245274345081E-3</v>
      </c>
      <c r="N252" s="32">
        <v>1.8549951365481074E-4</v>
      </c>
      <c r="O252" s="14"/>
      <c r="P252" s="14"/>
      <c r="Q252" s="14"/>
      <c r="R252" s="14"/>
    </row>
    <row r="253" spans="1:18" x14ac:dyDescent="0.25">
      <c r="A253" s="16" t="s">
        <v>2338</v>
      </c>
      <c r="B253" s="117" t="s">
        <v>2339</v>
      </c>
      <c r="C253" s="117" t="s">
        <v>2180</v>
      </c>
      <c r="D253" s="117" t="s">
        <v>1566</v>
      </c>
      <c r="E253" s="175" t="s">
        <v>3880</v>
      </c>
      <c r="F253" s="117" t="s">
        <v>166</v>
      </c>
      <c r="G253" s="118" t="s">
        <v>125</v>
      </c>
      <c r="H253" s="69">
        <v>687.65728338186545</v>
      </c>
      <c r="I253" s="66">
        <v>825</v>
      </c>
      <c r="J253" s="66">
        <v>0</v>
      </c>
      <c r="K253" s="64">
        <v>21.694209999999998</v>
      </c>
      <c r="L253" s="24">
        <v>3.530169600672232E-6</v>
      </c>
      <c r="M253" s="32">
        <v>1.8210337976727563E-3</v>
      </c>
      <c r="N253" s="32">
        <v>8.936236924621309E-5</v>
      </c>
      <c r="O253" s="14"/>
      <c r="P253" s="14"/>
      <c r="Q253" s="14"/>
      <c r="R253" s="14"/>
    </row>
    <row r="254" spans="1:18" x14ac:dyDescent="0.25">
      <c r="A254" s="16" t="s">
        <v>2340</v>
      </c>
      <c r="B254" s="117" t="s">
        <v>2339</v>
      </c>
      <c r="C254" s="117" t="s">
        <v>2180</v>
      </c>
      <c r="D254" s="117" t="s">
        <v>1566</v>
      </c>
      <c r="E254" s="175" t="s">
        <v>3880</v>
      </c>
      <c r="F254" s="117" t="s">
        <v>166</v>
      </c>
      <c r="G254" s="118" t="s">
        <v>125</v>
      </c>
      <c r="H254" s="69">
        <v>187.24757302428469</v>
      </c>
      <c r="I254" s="66">
        <v>825</v>
      </c>
      <c r="J254" s="66">
        <v>0</v>
      </c>
      <c r="K254" s="64">
        <v>5.9072899999999997</v>
      </c>
      <c r="L254" s="24">
        <v>9.6125745493327768E-7</v>
      </c>
      <c r="M254" s="32">
        <v>4.958638614936565E-4</v>
      </c>
      <c r="N254" s="32">
        <v>2.4333194443331291E-5</v>
      </c>
      <c r="O254" s="14"/>
      <c r="P254" s="14"/>
      <c r="Q254" s="14"/>
      <c r="R254" s="14"/>
    </row>
    <row r="255" spans="1:18" x14ac:dyDescent="0.25">
      <c r="A255" s="16" t="s">
        <v>2341</v>
      </c>
      <c r="B255" s="117" t="s">
        <v>2342</v>
      </c>
      <c r="C255" s="117" t="s">
        <v>2180</v>
      </c>
      <c r="D255" s="117" t="s">
        <v>1566</v>
      </c>
      <c r="E255" s="175" t="s">
        <v>3881</v>
      </c>
      <c r="F255" s="117" t="s">
        <v>169</v>
      </c>
      <c r="G255" s="118" t="s">
        <v>125</v>
      </c>
      <c r="H255" s="69">
        <v>58.35025563700983</v>
      </c>
      <c r="I255" s="66">
        <v>25022</v>
      </c>
      <c r="J255" s="66">
        <v>0</v>
      </c>
      <c r="K255" s="64">
        <v>55.83193</v>
      </c>
      <c r="L255" s="24">
        <v>1.8383855499332799E-8</v>
      </c>
      <c r="M255" s="32">
        <v>4.6865883348275643E-3</v>
      </c>
      <c r="N255" s="32">
        <v>2.2998180364201888E-4</v>
      </c>
      <c r="O255" s="14"/>
      <c r="P255" s="14"/>
      <c r="Q255" s="14"/>
      <c r="R255" s="14"/>
    </row>
    <row r="256" spans="1:18" x14ac:dyDescent="0.25">
      <c r="A256" s="16" t="s">
        <v>2343</v>
      </c>
      <c r="B256" s="117" t="s">
        <v>2344</v>
      </c>
      <c r="C256" s="117" t="s">
        <v>2180</v>
      </c>
      <c r="D256" s="117" t="s">
        <v>1566</v>
      </c>
      <c r="E256" s="117" t="s">
        <v>2345</v>
      </c>
      <c r="F256" s="117" t="s">
        <v>169</v>
      </c>
      <c r="G256" s="118" t="s">
        <v>125</v>
      </c>
      <c r="H256" s="69">
        <v>438.75069821821563</v>
      </c>
      <c r="I256" s="66">
        <v>14.66</v>
      </c>
      <c r="J256" s="66">
        <v>0</v>
      </c>
      <c r="K256" s="64">
        <v>0.24596000000000001</v>
      </c>
      <c r="L256" s="24">
        <v>1.7509291790968098E-6</v>
      </c>
      <c r="M256" s="32">
        <v>2.0646129675871636E-5</v>
      </c>
      <c r="N256" s="32">
        <v>1.0131536635719197E-6</v>
      </c>
      <c r="O256" s="14"/>
      <c r="P256" s="14"/>
      <c r="Q256" s="14"/>
      <c r="R256" s="14"/>
    </row>
    <row r="257" spans="1:18" x14ac:dyDescent="0.25">
      <c r="A257" s="16" t="s">
        <v>2346</v>
      </c>
      <c r="B257" s="117" t="s">
        <v>2347</v>
      </c>
      <c r="C257" s="117" t="s">
        <v>2201</v>
      </c>
      <c r="D257" s="117" t="s">
        <v>1566</v>
      </c>
      <c r="E257" s="175">
        <v>433539202</v>
      </c>
      <c r="F257" s="117" t="s">
        <v>181</v>
      </c>
      <c r="G257" s="118" t="s">
        <v>125</v>
      </c>
      <c r="H257" s="69">
        <v>70.348211545047462</v>
      </c>
      <c r="I257" s="66">
        <v>797</v>
      </c>
      <c r="J257" s="66">
        <v>0</v>
      </c>
      <c r="K257" s="64">
        <v>2.1440199999999998</v>
      </c>
      <c r="L257" s="24">
        <v>2.9726233882424478E-6</v>
      </c>
      <c r="M257" s="32">
        <v>1.7997119429038176E-4</v>
      </c>
      <c r="N257" s="32">
        <v>8.8316056178706573E-6</v>
      </c>
      <c r="O257" s="14"/>
      <c r="P257" s="14"/>
      <c r="Q257" s="14"/>
      <c r="R257" s="14"/>
    </row>
    <row r="258" spans="1:18" x14ac:dyDescent="0.25">
      <c r="A258" s="16" t="s">
        <v>2348</v>
      </c>
      <c r="B258" s="117" t="s">
        <v>2349</v>
      </c>
      <c r="C258" s="117" t="s">
        <v>2350</v>
      </c>
      <c r="D258" s="117" t="s">
        <v>1566</v>
      </c>
      <c r="E258" s="175" t="s">
        <v>3882</v>
      </c>
      <c r="F258" s="117" t="s">
        <v>182</v>
      </c>
      <c r="G258" s="118" t="s">
        <v>126</v>
      </c>
      <c r="H258" s="69">
        <v>5129.1171771602403</v>
      </c>
      <c r="I258" s="66">
        <v>197.2</v>
      </c>
      <c r="J258" s="66">
        <v>0</v>
      </c>
      <c r="K258" s="64">
        <v>40.995559999999998</v>
      </c>
      <c r="L258" s="24">
        <v>3.3370408060391922E-6</v>
      </c>
      <c r="M258" s="32">
        <v>3.4412085212838514E-3</v>
      </c>
      <c r="N258" s="32">
        <v>1.6886811597081818E-4</v>
      </c>
      <c r="O258" s="14"/>
      <c r="P258" s="14"/>
      <c r="Q258" s="14"/>
      <c r="R258" s="14"/>
    </row>
    <row r="259" spans="1:18" x14ac:dyDescent="0.25">
      <c r="A259" s="16" t="s">
        <v>2351</v>
      </c>
      <c r="B259" s="117" t="s">
        <v>2352</v>
      </c>
      <c r="C259" s="117" t="s">
        <v>2265</v>
      </c>
      <c r="D259" s="117" t="s">
        <v>1566</v>
      </c>
      <c r="E259" s="175" t="s">
        <v>3883</v>
      </c>
      <c r="F259" s="117" t="s">
        <v>170</v>
      </c>
      <c r="G259" s="118" t="s">
        <v>2</v>
      </c>
      <c r="H259" s="69">
        <v>1038.0641249714295</v>
      </c>
      <c r="I259" s="66">
        <v>1060</v>
      </c>
      <c r="J259" s="66">
        <v>0</v>
      </c>
      <c r="K259" s="64">
        <v>51.473179999999999</v>
      </c>
      <c r="L259" s="24">
        <v>2.4506482212672799E-5</v>
      </c>
      <c r="M259" s="32">
        <v>4.3207104777585065E-3</v>
      </c>
      <c r="N259" s="32">
        <v>2.1202732514513279E-4</v>
      </c>
      <c r="O259" s="14"/>
      <c r="P259" s="14"/>
      <c r="Q259" s="14"/>
      <c r="R259" s="14"/>
    </row>
    <row r="260" spans="1:18" x14ac:dyDescent="0.25">
      <c r="A260" s="16" t="s">
        <v>2353</v>
      </c>
      <c r="B260" s="117" t="s">
        <v>2354</v>
      </c>
      <c r="C260" s="117" t="s">
        <v>2201</v>
      </c>
      <c r="D260" s="117" t="s">
        <v>1566</v>
      </c>
      <c r="E260" s="117" t="s">
        <v>1838</v>
      </c>
      <c r="F260" s="117" t="s">
        <v>187</v>
      </c>
      <c r="G260" s="118" t="s">
        <v>125</v>
      </c>
      <c r="H260" s="69">
        <v>549.47344481532537</v>
      </c>
      <c r="I260" s="66">
        <v>6992</v>
      </c>
      <c r="J260" s="66">
        <v>0</v>
      </c>
      <c r="K260" s="64">
        <v>146.91495999999998</v>
      </c>
      <c r="L260" s="24">
        <v>9.1183272368740166E-6</v>
      </c>
      <c r="M260" s="32">
        <v>1.2332189443346454E-2</v>
      </c>
      <c r="N260" s="32">
        <v>6.0516925499073829E-4</v>
      </c>
      <c r="O260" s="14"/>
      <c r="P260" s="14"/>
      <c r="Q260" s="14"/>
      <c r="R260" s="14"/>
    </row>
    <row r="261" spans="1:18" x14ac:dyDescent="0.25">
      <c r="A261" s="16" t="s">
        <v>2355</v>
      </c>
      <c r="B261" s="117" t="s">
        <v>2356</v>
      </c>
      <c r="C261" s="117" t="s">
        <v>2265</v>
      </c>
      <c r="D261" s="117" t="s">
        <v>1566</v>
      </c>
      <c r="E261" s="117" t="s">
        <v>1578</v>
      </c>
      <c r="F261" s="117" t="s">
        <v>164</v>
      </c>
      <c r="G261" s="118" t="s">
        <v>2</v>
      </c>
      <c r="H261" s="69">
        <v>3021.8571965138508</v>
      </c>
      <c r="I261" s="66">
        <v>1143</v>
      </c>
      <c r="J261" s="66">
        <v>3.4666745740000002</v>
      </c>
      <c r="K261" s="64">
        <v>165.04052999999999</v>
      </c>
      <c r="L261" s="24">
        <v>1.687632628259663E-5</v>
      </c>
      <c r="M261" s="32">
        <v>1.3853668011687196E-2</v>
      </c>
      <c r="N261" s="32">
        <v>6.7983175153419782E-4</v>
      </c>
      <c r="O261" s="14"/>
      <c r="P261" s="14"/>
      <c r="Q261" s="14"/>
      <c r="R261" s="14"/>
    </row>
    <row r="262" spans="1:18" x14ac:dyDescent="0.25">
      <c r="A262" s="16" t="s">
        <v>2357</v>
      </c>
      <c r="B262" s="117" t="s">
        <v>2358</v>
      </c>
      <c r="C262" s="117" t="s">
        <v>2180</v>
      </c>
      <c r="D262" s="117" t="s">
        <v>1566</v>
      </c>
      <c r="E262" s="175" t="s">
        <v>3884</v>
      </c>
      <c r="F262" s="117" t="s">
        <v>195</v>
      </c>
      <c r="G262" s="118" t="s">
        <v>125</v>
      </c>
      <c r="H262" s="69">
        <v>249.54708292945162</v>
      </c>
      <c r="I262" s="66">
        <v>1670</v>
      </c>
      <c r="J262" s="66">
        <v>0</v>
      </c>
      <c r="K262" s="64">
        <v>15.93628</v>
      </c>
      <c r="L262" s="24">
        <v>9.524697821734795E-7</v>
      </c>
      <c r="M262" s="32">
        <v>1.3377073647381672E-3</v>
      </c>
      <c r="N262" s="32">
        <v>6.5644415619238539E-5</v>
      </c>
      <c r="O262" s="14"/>
      <c r="P262" s="14"/>
      <c r="Q262" s="14"/>
      <c r="R262" s="14"/>
    </row>
    <row r="263" spans="1:18" x14ac:dyDescent="0.25">
      <c r="A263" s="16" t="s">
        <v>2359</v>
      </c>
      <c r="B263" s="117" t="s">
        <v>2360</v>
      </c>
      <c r="C263" s="117" t="s">
        <v>2201</v>
      </c>
      <c r="D263" s="117" t="s">
        <v>1566</v>
      </c>
      <c r="E263" s="175" t="s">
        <v>3885</v>
      </c>
      <c r="F263" s="117" t="s">
        <v>165</v>
      </c>
      <c r="G263" s="118" t="s">
        <v>125</v>
      </c>
      <c r="H263" s="69">
        <v>357.52665594313504</v>
      </c>
      <c r="I263" s="66">
        <v>6176</v>
      </c>
      <c r="J263" s="66">
        <v>0.54345481250000005</v>
      </c>
      <c r="K263" s="64">
        <v>84.980609999999999</v>
      </c>
      <c r="L263" s="24">
        <v>7.2300277511686313E-7</v>
      </c>
      <c r="M263" s="32">
        <v>7.1333578386513002E-3</v>
      </c>
      <c r="N263" s="32">
        <v>3.5005048119237476E-4</v>
      </c>
      <c r="O263" s="14"/>
      <c r="P263" s="14"/>
      <c r="Q263" s="14"/>
      <c r="R263" s="14"/>
    </row>
    <row r="264" spans="1:18" x14ac:dyDescent="0.25">
      <c r="A264" s="16" t="s">
        <v>2361</v>
      </c>
      <c r="B264" s="117" t="s">
        <v>2362</v>
      </c>
      <c r="C264" s="117" t="s">
        <v>2180</v>
      </c>
      <c r="D264" s="117" t="s">
        <v>1566</v>
      </c>
      <c r="E264" s="175" t="s">
        <v>3886</v>
      </c>
      <c r="F264" s="117" t="s">
        <v>183</v>
      </c>
      <c r="G264" s="118" t="s">
        <v>125</v>
      </c>
      <c r="H264" s="69">
        <v>54.232465562387482</v>
      </c>
      <c r="I264" s="66">
        <v>5868</v>
      </c>
      <c r="J264" s="66">
        <v>0</v>
      </c>
      <c r="K264" s="64">
        <v>12.16935</v>
      </c>
      <c r="L264" s="24">
        <v>6.9056303106735807E-8</v>
      </c>
      <c r="M264" s="32">
        <v>1.0215074734553117E-3</v>
      </c>
      <c r="N264" s="32">
        <v>5.0127750592734345E-5</v>
      </c>
      <c r="O264" s="14"/>
      <c r="P264" s="14"/>
      <c r="Q264" s="14"/>
      <c r="R264" s="14"/>
    </row>
    <row r="265" spans="1:18" x14ac:dyDescent="0.25">
      <c r="A265" s="16" t="s">
        <v>2363</v>
      </c>
      <c r="B265" s="117" t="s">
        <v>2364</v>
      </c>
      <c r="C265" s="117" t="s">
        <v>2180</v>
      </c>
      <c r="D265" s="117" t="s">
        <v>1566</v>
      </c>
      <c r="E265" s="175" t="s">
        <v>3887</v>
      </c>
      <c r="F265" s="117" t="s">
        <v>185</v>
      </c>
      <c r="G265" s="118" t="s">
        <v>125</v>
      </c>
      <c r="H265" s="69">
        <v>35.131732885307756</v>
      </c>
      <c r="I265" s="66">
        <v>45866</v>
      </c>
      <c r="J265" s="66">
        <v>0</v>
      </c>
      <c r="K265" s="64">
        <v>61.618099999999998</v>
      </c>
      <c r="L265" s="24">
        <v>2.577107529500136E-7</v>
      </c>
      <c r="M265" s="32">
        <v>5.1722852617532358E-3</v>
      </c>
      <c r="N265" s="32">
        <v>2.5381608292950438E-4</v>
      </c>
      <c r="O265" s="14"/>
      <c r="P265" s="14"/>
      <c r="Q265" s="14"/>
      <c r="R265" s="14"/>
    </row>
    <row r="266" spans="1:18" x14ac:dyDescent="0.25">
      <c r="A266" s="16" t="s">
        <v>2365</v>
      </c>
      <c r="B266" s="117" t="s">
        <v>2366</v>
      </c>
      <c r="C266" s="117" t="s">
        <v>2180</v>
      </c>
      <c r="D266" s="117" t="s">
        <v>1566</v>
      </c>
      <c r="E266" s="175" t="s">
        <v>3888</v>
      </c>
      <c r="F266" s="117" t="s">
        <v>183</v>
      </c>
      <c r="G266" s="118" t="s">
        <v>125</v>
      </c>
      <c r="H266" s="69">
        <v>9.6488562149788901</v>
      </c>
      <c r="I266" s="66">
        <v>6430</v>
      </c>
      <c r="J266" s="66">
        <v>0</v>
      </c>
      <c r="K266" s="64">
        <v>2.37249</v>
      </c>
      <c r="L266" s="24">
        <v>1.3361788243227677E-7</v>
      </c>
      <c r="M266" s="32">
        <v>1.991491957826829E-4</v>
      </c>
      <c r="N266" s="32">
        <v>9.7727148125213187E-6</v>
      </c>
      <c r="O266" s="14"/>
      <c r="P266" s="14"/>
      <c r="Q266" s="14"/>
      <c r="R266" s="14"/>
    </row>
    <row r="267" spans="1:18" x14ac:dyDescent="0.25">
      <c r="A267" s="16" t="s">
        <v>2367</v>
      </c>
      <c r="B267" s="117" t="s">
        <v>2368</v>
      </c>
      <c r="C267" s="117" t="s">
        <v>2201</v>
      </c>
      <c r="D267" s="117" t="s">
        <v>1566</v>
      </c>
      <c r="E267" s="175" t="s">
        <v>3889</v>
      </c>
      <c r="F267" s="117" t="s">
        <v>165</v>
      </c>
      <c r="G267" s="118" t="s">
        <v>125</v>
      </c>
      <c r="H267" s="69">
        <v>87.527559231860209</v>
      </c>
      <c r="I267" s="66">
        <v>8574</v>
      </c>
      <c r="J267" s="66">
        <v>0</v>
      </c>
      <c r="K267" s="64">
        <v>28.69764</v>
      </c>
      <c r="L267" s="24">
        <v>4.5363378533438355E-7</v>
      </c>
      <c r="M267" s="32">
        <v>2.4089087527706977E-3</v>
      </c>
      <c r="N267" s="32">
        <v>1.1821076232667125E-4</v>
      </c>
      <c r="O267" s="14"/>
      <c r="P267" s="14"/>
      <c r="Q267" s="14"/>
      <c r="R267" s="14"/>
    </row>
    <row r="268" spans="1:18" x14ac:dyDescent="0.25">
      <c r="A268" s="16" t="s">
        <v>2369</v>
      </c>
      <c r="B268" s="117" t="s">
        <v>2370</v>
      </c>
      <c r="C268" s="117" t="s">
        <v>2201</v>
      </c>
      <c r="D268" s="117" t="s">
        <v>1566</v>
      </c>
      <c r="E268" s="175" t="s">
        <v>3890</v>
      </c>
      <c r="F268" s="117" t="s">
        <v>183</v>
      </c>
      <c r="G268" s="118" t="s">
        <v>125</v>
      </c>
      <c r="H268" s="69">
        <v>36.988595355771601</v>
      </c>
      <c r="I268" s="66">
        <v>7448</v>
      </c>
      <c r="J268" s="66">
        <v>0</v>
      </c>
      <c r="K268" s="64">
        <v>10.534780000000001</v>
      </c>
      <c r="L268" s="24">
        <v>2.5194459095372865E-7</v>
      </c>
      <c r="M268" s="32">
        <v>8.8430002434045768E-4</v>
      </c>
      <c r="N268" s="32">
        <v>4.3394661538153309E-5</v>
      </c>
      <c r="O268" s="14"/>
      <c r="P268" s="14"/>
      <c r="Q268" s="14"/>
      <c r="R268" s="14"/>
    </row>
    <row r="269" spans="1:18" x14ac:dyDescent="0.25">
      <c r="A269" s="16" t="s">
        <v>2371</v>
      </c>
      <c r="B269" s="117" t="s">
        <v>2372</v>
      </c>
      <c r="C269" s="117" t="s">
        <v>2180</v>
      </c>
      <c r="D269" s="117" t="s">
        <v>1566</v>
      </c>
      <c r="E269" s="175" t="s">
        <v>3891</v>
      </c>
      <c r="F269" s="117" t="s">
        <v>185</v>
      </c>
      <c r="G269" s="118" t="s">
        <v>125</v>
      </c>
      <c r="H269" s="69">
        <v>19.55378610869926</v>
      </c>
      <c r="I269" s="66">
        <v>5413</v>
      </c>
      <c r="J269" s="66">
        <v>0</v>
      </c>
      <c r="K269" s="64">
        <v>4.0475000000000003</v>
      </c>
      <c r="L269" s="24">
        <v>2.2663173514950462E-8</v>
      </c>
      <c r="M269" s="32">
        <v>3.3975121915388862E-4</v>
      </c>
      <c r="N269" s="32">
        <v>1.6672383531091823E-5</v>
      </c>
      <c r="O269" s="14"/>
      <c r="P269" s="14"/>
      <c r="Q269" s="14"/>
      <c r="R269" s="14"/>
    </row>
    <row r="270" spans="1:18" x14ac:dyDescent="0.25">
      <c r="A270" s="16" t="s">
        <v>2373</v>
      </c>
      <c r="B270" s="117" t="s">
        <v>2374</v>
      </c>
      <c r="C270" s="117" t="s">
        <v>2201</v>
      </c>
      <c r="D270" s="117" t="s">
        <v>1566</v>
      </c>
      <c r="E270" s="175" t="s">
        <v>3892</v>
      </c>
      <c r="F270" s="117" t="s">
        <v>183</v>
      </c>
      <c r="G270" s="118" t="s">
        <v>125</v>
      </c>
      <c r="H270" s="69">
        <v>370.88109526925598</v>
      </c>
      <c r="I270" s="66">
        <v>1686</v>
      </c>
      <c r="J270" s="66">
        <v>0</v>
      </c>
      <c r="K270" s="64">
        <v>23.91168</v>
      </c>
      <c r="L270" s="24">
        <v>1.5314288475898828E-6</v>
      </c>
      <c r="M270" s="32">
        <v>2.0071704588060912E-3</v>
      </c>
      <c r="N270" s="32">
        <v>9.8496528680108142E-5</v>
      </c>
      <c r="O270" s="14"/>
      <c r="P270" s="14"/>
      <c r="Q270" s="14"/>
      <c r="R270" s="14"/>
    </row>
    <row r="271" spans="1:18" x14ac:dyDescent="0.25">
      <c r="A271" s="16" t="s">
        <v>2375</v>
      </c>
      <c r="B271" s="117" t="s">
        <v>2376</v>
      </c>
      <c r="C271" s="117" t="s">
        <v>2201</v>
      </c>
      <c r="D271" s="117" t="s">
        <v>1566</v>
      </c>
      <c r="E271" s="117" t="s">
        <v>2377</v>
      </c>
      <c r="F271" s="117" t="s">
        <v>164</v>
      </c>
      <c r="G271" s="118" t="s">
        <v>125</v>
      </c>
      <c r="H271" s="69">
        <v>53.048485927755088</v>
      </c>
      <c r="I271" s="66">
        <v>2841</v>
      </c>
      <c r="J271" s="66">
        <v>0</v>
      </c>
      <c r="K271" s="64">
        <v>5.7631800000000002</v>
      </c>
      <c r="L271" s="24">
        <v>8.1842322058921997E-7</v>
      </c>
      <c r="M271" s="32">
        <v>4.8376712321267641E-4</v>
      </c>
      <c r="N271" s="32">
        <v>2.3739579325192779E-5</v>
      </c>
      <c r="O271" s="14"/>
      <c r="P271" s="14"/>
      <c r="Q271" s="14"/>
      <c r="R271" s="14"/>
    </row>
    <row r="272" spans="1:18" x14ac:dyDescent="0.25">
      <c r="A272" s="16" t="s">
        <v>2378</v>
      </c>
      <c r="B272" s="117" t="s">
        <v>2379</v>
      </c>
      <c r="C272" s="117" t="s">
        <v>2180</v>
      </c>
      <c r="D272" s="117" t="s">
        <v>1566</v>
      </c>
      <c r="E272" s="175" t="s">
        <v>218</v>
      </c>
      <c r="F272" s="117" t="s">
        <v>188</v>
      </c>
      <c r="G272" s="118" t="s">
        <v>125</v>
      </c>
      <c r="H272" s="69">
        <v>111.22975393485667</v>
      </c>
      <c r="I272" s="66">
        <v>1066.6199999999999</v>
      </c>
      <c r="J272" s="66">
        <v>0</v>
      </c>
      <c r="K272" s="64">
        <v>4.5367899999999999</v>
      </c>
      <c r="L272" s="24">
        <v>9.6843379395514772E-6</v>
      </c>
      <c r="M272" s="32">
        <v>3.8082271366156149E-4</v>
      </c>
      <c r="N272" s="32">
        <v>1.8687857413223485E-5</v>
      </c>
      <c r="O272" s="14"/>
      <c r="P272" s="14"/>
      <c r="Q272" s="14"/>
      <c r="R272" s="14"/>
    </row>
    <row r="273" spans="1:18" s="119" customFormat="1" x14ac:dyDescent="0.25">
      <c r="A273" s="78" t="s">
        <v>241</v>
      </c>
      <c r="B273" s="125"/>
      <c r="C273" s="125"/>
      <c r="D273" s="125"/>
      <c r="E273" s="125"/>
      <c r="F273" s="125"/>
      <c r="G273" s="126"/>
      <c r="H273" s="126"/>
      <c r="I273" s="126"/>
      <c r="J273" s="126"/>
      <c r="K273" s="127"/>
      <c r="L273" s="128"/>
      <c r="M273" s="128"/>
      <c r="N273" s="129"/>
      <c r="O273" s="148"/>
      <c r="P273" s="148"/>
      <c r="Q273" s="130"/>
      <c r="R273" s="130"/>
    </row>
    <row r="274" spans="1:18" s="119" customFormat="1" x14ac:dyDescent="0.25">
      <c r="A274" s="78" t="s">
        <v>242</v>
      </c>
      <c r="B274" s="125"/>
      <c r="C274" s="125"/>
      <c r="D274" s="125"/>
      <c r="E274" s="125"/>
      <c r="F274" s="125"/>
      <c r="G274" s="126"/>
      <c r="H274" s="126"/>
      <c r="I274" s="126"/>
      <c r="J274" s="126"/>
      <c r="K274" s="127"/>
      <c r="L274" s="128"/>
      <c r="M274" s="128"/>
      <c r="N274" s="129"/>
      <c r="O274" s="148"/>
      <c r="P274" s="148"/>
      <c r="Q274" s="130"/>
      <c r="R274" s="130"/>
    </row>
    <row r="275" spans="1:18" s="119" customFormat="1" x14ac:dyDescent="0.25">
      <c r="A275" s="78" t="s">
        <v>243</v>
      </c>
      <c r="B275" s="125"/>
      <c r="C275" s="125"/>
      <c r="D275" s="125"/>
      <c r="E275" s="125"/>
      <c r="F275" s="125"/>
      <c r="G275" s="126"/>
      <c r="H275" s="126"/>
      <c r="I275" s="126"/>
      <c r="J275" s="126"/>
      <c r="K275" s="127"/>
      <c r="L275" s="128"/>
      <c r="M275" s="128"/>
      <c r="N275" s="129"/>
      <c r="O275" s="148"/>
      <c r="P275" s="148"/>
      <c r="Q275" s="130"/>
      <c r="R275" s="130"/>
    </row>
    <row r="276" spans="1:18" s="119" customFormat="1" x14ac:dyDescent="0.25">
      <c r="A276" s="78" t="s">
        <v>244</v>
      </c>
      <c r="B276" s="125"/>
      <c r="C276" s="125"/>
      <c r="D276" s="125"/>
      <c r="E276" s="125"/>
      <c r="F276" s="125"/>
      <c r="G276" s="126"/>
      <c r="H276" s="126"/>
      <c r="I276" s="126"/>
      <c r="J276" s="126"/>
      <c r="K276" s="127"/>
      <c r="L276" s="128"/>
      <c r="M276" s="128"/>
      <c r="N276" s="129"/>
      <c r="O276" s="148"/>
      <c r="P276" s="148"/>
      <c r="Q276" s="130"/>
      <c r="R276" s="130"/>
    </row>
    <row r="277" spans="1:18" s="119" customFormat="1" x14ac:dyDescent="0.25">
      <c r="A277" s="78" t="s">
        <v>245</v>
      </c>
      <c r="B277" s="125"/>
      <c r="C277" s="125"/>
      <c r="D277" s="125"/>
      <c r="E277" s="125"/>
      <c r="F277" s="125"/>
      <c r="G277" s="126"/>
      <c r="H277" s="126"/>
      <c r="I277" s="126"/>
      <c r="J277" s="126"/>
      <c r="K277" s="127"/>
      <c r="L277" s="128"/>
      <c r="M277" s="128"/>
      <c r="N277" s="129"/>
      <c r="O277" s="148"/>
      <c r="P277" s="148"/>
      <c r="Q277" s="130"/>
      <c r="R277" s="130"/>
    </row>
  </sheetData>
  <mergeCells count="2">
    <mergeCell ref="A5:N5"/>
    <mergeCell ref="A4:N4"/>
  </mergeCells>
  <phoneticPr fontId="3" type="noConversion"/>
  <conditionalFormatting sqref="A9:A272 K9:K272">
    <cfRule type="expression" dxfId="109" priority="124" stopIfTrue="1">
      <formula>#REF!&gt;0</formula>
    </cfRule>
    <cfRule type="expression" dxfId="108" priority="125" stopIfTrue="1">
      <formula>LEFT(#REF!,3)="TIR"</formula>
    </cfRule>
  </conditionalFormatting>
  <conditionalFormatting sqref="B9:G272 M9:N272">
    <cfRule type="expression" dxfId="107" priority="119" stopIfTrue="1">
      <formula>LEFT(#REF!,3)="TIR"</formula>
    </cfRule>
  </conditionalFormatting>
  <conditionalFormatting sqref="L9:M55807 L1:M3 H9:J272">
    <cfRule type="expression" dxfId="106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1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.88671875" style="8" bestFit="1" customWidth="1"/>
    <col min="7" max="7" width="10.88671875" style="59" bestFit="1" customWidth="1"/>
    <col min="8" max="8" width="10.33203125" style="59" bestFit="1" customWidth="1"/>
    <col min="9" max="9" width="16.5546875" style="59" customWidth="1"/>
    <col min="10" max="10" width="11.33203125" style="59" bestFit="1" customWidth="1"/>
    <col min="11" max="11" width="22" style="36" customWidth="1"/>
    <col min="12" max="12" width="25.44140625" style="36" customWidth="1"/>
    <col min="13" max="13" width="20.6640625" style="61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36"/>
      <c r="M1" s="61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36"/>
      <c r="M2" s="61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36"/>
      <c r="M3" s="61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24" t="s">
        <v>11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6"/>
      <c r="N4" s="13"/>
      <c r="O4" s="13"/>
      <c r="P4" s="13"/>
      <c r="Q4" s="12"/>
      <c r="R4" s="12"/>
      <c r="S4" s="14"/>
    </row>
    <row r="5" spans="1:19" s="7" customFormat="1" x14ac:dyDescent="0.25">
      <c r="A5" s="227" t="s">
        <v>158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9"/>
      <c r="N5" s="13"/>
    </row>
    <row r="6" spans="1:19" s="7" customFormat="1" x14ac:dyDescent="0.25">
      <c r="A6" s="86" t="s">
        <v>157</v>
      </c>
      <c r="B6" s="206" t="s">
        <v>69</v>
      </c>
      <c r="C6" s="206" t="s">
        <v>76</v>
      </c>
      <c r="D6" s="206" t="s">
        <v>74</v>
      </c>
      <c r="E6" s="206" t="s">
        <v>19</v>
      </c>
      <c r="F6" s="206" t="s">
        <v>6</v>
      </c>
      <c r="G6" s="207" t="s">
        <v>67</v>
      </c>
      <c r="H6" s="207" t="s">
        <v>68</v>
      </c>
      <c r="I6" s="207" t="s">
        <v>134</v>
      </c>
      <c r="J6" s="207" t="s">
        <v>7</v>
      </c>
      <c r="K6" s="207" t="s">
        <v>17</v>
      </c>
      <c r="L6" s="89" t="s">
        <v>75</v>
      </c>
      <c r="M6" s="90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8"/>
      <c r="I7" s="2" t="s">
        <v>135</v>
      </c>
      <c r="J7" s="2" t="s">
        <v>135</v>
      </c>
      <c r="K7" s="48" t="s">
        <v>9</v>
      </c>
      <c r="L7" s="48" t="s">
        <v>9</v>
      </c>
      <c r="M7" s="54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7">
        <v>11</v>
      </c>
      <c r="M8" s="44">
        <v>12</v>
      </c>
    </row>
    <row r="9" spans="1:19" s="119" customFormat="1" ht="12.75" customHeight="1" thickBot="1" x14ac:dyDescent="0.3">
      <c r="A9" s="149" t="s">
        <v>159</v>
      </c>
      <c r="B9" s="70"/>
      <c r="C9" s="70"/>
      <c r="D9" s="70"/>
      <c r="E9" s="70"/>
      <c r="F9" s="150"/>
      <c r="G9" s="151"/>
      <c r="H9" s="150"/>
      <c r="I9" s="153" t="s">
        <v>249</v>
      </c>
      <c r="J9" s="107">
        <v>12499.160671</v>
      </c>
      <c r="K9" s="70" t="s">
        <v>249</v>
      </c>
      <c r="L9" s="70">
        <v>1</v>
      </c>
      <c r="M9" s="82">
        <v>5.1486300314675972E-2</v>
      </c>
    </row>
    <row r="10" spans="1:19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3" t="s">
        <v>249</v>
      </c>
      <c r="H10" s="122" t="s">
        <v>249</v>
      </c>
      <c r="I10" s="123" t="s">
        <v>249</v>
      </c>
      <c r="J10" s="154">
        <v>4202.1041305999988</v>
      </c>
      <c r="K10" s="121" t="s">
        <v>249</v>
      </c>
      <c r="L10" s="121">
        <v>0.33619090443004984</v>
      </c>
      <c r="M10" s="121">
        <v>1.7309225868548075E-2</v>
      </c>
    </row>
    <row r="11" spans="1:19" s="119" customFormat="1" x14ac:dyDescent="0.25">
      <c r="A11" s="92" t="s">
        <v>2380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5" t="s">
        <v>249</v>
      </c>
      <c r="H11" s="122" t="s">
        <v>249</v>
      </c>
      <c r="I11" s="124" t="s">
        <v>249</v>
      </c>
      <c r="J11" s="124">
        <v>1094.0441000999999</v>
      </c>
      <c r="K11" s="137"/>
      <c r="L11" s="121">
        <v>8.7529405285456705E-2</v>
      </c>
      <c r="M11" s="121">
        <v>4.50656524689201E-3</v>
      </c>
    </row>
    <row r="12" spans="1:19" x14ac:dyDescent="0.25">
      <c r="A12" s="16" t="s">
        <v>2409</v>
      </c>
      <c r="B12" s="117" t="s">
        <v>2410</v>
      </c>
      <c r="C12" s="117" t="s">
        <v>456</v>
      </c>
      <c r="D12" s="117" t="s">
        <v>2411</v>
      </c>
      <c r="E12" s="117" t="s">
        <v>2384</v>
      </c>
      <c r="F12" s="117" t="s">
        <v>255</v>
      </c>
      <c r="G12" s="69">
        <v>4787.3331430671196</v>
      </c>
      <c r="H12" s="66">
        <v>1854</v>
      </c>
      <c r="I12" s="84">
        <v>0</v>
      </c>
      <c r="J12" s="84">
        <v>88.757159999999999</v>
      </c>
      <c r="K12" s="24">
        <v>5.1390719920541537E-5</v>
      </c>
      <c r="L12" s="32">
        <v>7.1010496093494059E-3</v>
      </c>
      <c r="M12" s="32">
        <v>3.6560677273637595E-4</v>
      </c>
      <c r="N12" s="14"/>
      <c r="O12" s="14"/>
      <c r="P12" s="14"/>
      <c r="Q12" s="14"/>
      <c r="R12" s="14"/>
    </row>
    <row r="13" spans="1:19" x14ac:dyDescent="0.25">
      <c r="A13" s="16" t="s">
        <v>2412</v>
      </c>
      <c r="B13" s="117" t="s">
        <v>2413</v>
      </c>
      <c r="C13" s="117" t="s">
        <v>456</v>
      </c>
      <c r="D13" s="117" t="s">
        <v>2411</v>
      </c>
      <c r="E13" s="117" t="s">
        <v>2384</v>
      </c>
      <c r="F13" s="117" t="s">
        <v>255</v>
      </c>
      <c r="G13" s="69">
        <v>711.11555530640237</v>
      </c>
      <c r="H13" s="66">
        <v>1874.0000000000002</v>
      </c>
      <c r="I13" s="84">
        <v>0</v>
      </c>
      <c r="J13" s="84">
        <v>13.326309999999999</v>
      </c>
      <c r="K13" s="24">
        <v>1.7872865738013506E-5</v>
      </c>
      <c r="L13" s="32">
        <v>1.0661763898210472E-3</v>
      </c>
      <c r="M13" s="32">
        <v>5.4893477794743485E-5</v>
      </c>
      <c r="N13" s="14"/>
      <c r="O13" s="14"/>
      <c r="P13" s="14"/>
      <c r="Q13" s="14"/>
      <c r="R13" s="14"/>
    </row>
    <row r="14" spans="1:19" x14ac:dyDescent="0.25">
      <c r="A14" s="16" t="s">
        <v>2414</v>
      </c>
      <c r="B14" s="117" t="s">
        <v>2415</v>
      </c>
      <c r="C14" s="117" t="s">
        <v>456</v>
      </c>
      <c r="D14" s="117" t="s">
        <v>2411</v>
      </c>
      <c r="E14" s="117" t="s">
        <v>2384</v>
      </c>
      <c r="F14" s="117" t="s">
        <v>255</v>
      </c>
      <c r="G14" s="69">
        <v>190.2842797578995</v>
      </c>
      <c r="H14" s="66">
        <v>535.4</v>
      </c>
      <c r="I14" s="84">
        <v>0</v>
      </c>
      <c r="J14" s="84">
        <v>1.01878</v>
      </c>
      <c r="K14" s="24">
        <v>2.9758152383382272E-5</v>
      </c>
      <c r="L14" s="32">
        <v>8.1507872953719867E-5</v>
      </c>
      <c r="M14" s="32">
        <v>4.196538824905677E-6</v>
      </c>
      <c r="N14" s="14"/>
      <c r="O14" s="14"/>
      <c r="P14" s="14"/>
      <c r="Q14" s="14"/>
      <c r="R14" s="14"/>
    </row>
    <row r="15" spans="1:19" x14ac:dyDescent="0.25">
      <c r="A15" s="16" t="s">
        <v>2416</v>
      </c>
      <c r="B15" s="117" t="s">
        <v>2417</v>
      </c>
      <c r="C15" s="117" t="s">
        <v>456</v>
      </c>
      <c r="D15" s="117" t="s">
        <v>2411</v>
      </c>
      <c r="E15" s="117" t="s">
        <v>2384</v>
      </c>
      <c r="F15" s="117" t="s">
        <v>255</v>
      </c>
      <c r="G15" s="69">
        <v>291.57888523824255</v>
      </c>
      <c r="H15" s="66">
        <v>3155</v>
      </c>
      <c r="I15" s="84">
        <v>0</v>
      </c>
      <c r="J15" s="84">
        <v>9.1993099999999988</v>
      </c>
      <c r="K15" s="24">
        <v>8.1605016339885027E-5</v>
      </c>
      <c r="L15" s="32">
        <v>7.3599421930336747E-4</v>
      </c>
      <c r="M15" s="32">
        <v>3.7893619404918664E-5</v>
      </c>
      <c r="N15" s="14"/>
      <c r="O15" s="14"/>
      <c r="P15" s="14"/>
      <c r="Q15" s="14"/>
      <c r="R15" s="14"/>
    </row>
    <row r="16" spans="1:19" x14ac:dyDescent="0.25">
      <c r="A16" s="16" t="s">
        <v>2425</v>
      </c>
      <c r="B16" s="117" t="s">
        <v>2426</v>
      </c>
      <c r="C16" s="117" t="s">
        <v>456</v>
      </c>
      <c r="D16" s="117" t="s">
        <v>2411</v>
      </c>
      <c r="E16" s="117" t="s">
        <v>2384</v>
      </c>
      <c r="F16" s="117" t="s">
        <v>255</v>
      </c>
      <c r="G16" s="69">
        <v>1833.8455176598795</v>
      </c>
      <c r="H16" s="66">
        <v>3597</v>
      </c>
      <c r="I16" s="84">
        <v>0</v>
      </c>
      <c r="J16" s="84">
        <v>65.963419999999999</v>
      </c>
      <c r="K16" s="24">
        <v>2.7791133006729395E-5</v>
      </c>
      <c r="L16" s="32">
        <v>5.2774279598665702E-3</v>
      </c>
      <c r="M16" s="32">
        <v>2.7171524083075796E-4</v>
      </c>
      <c r="N16" s="14"/>
      <c r="O16" s="14"/>
      <c r="P16" s="14"/>
      <c r="Q16" s="14"/>
      <c r="R16" s="14"/>
    </row>
    <row r="17" spans="1:18" x14ac:dyDescent="0.25">
      <c r="A17" s="16" t="s">
        <v>2418</v>
      </c>
      <c r="B17" s="117" t="s">
        <v>2419</v>
      </c>
      <c r="C17" s="117" t="s">
        <v>456</v>
      </c>
      <c r="D17" s="117" t="s">
        <v>2420</v>
      </c>
      <c r="E17" s="117" t="s">
        <v>2384</v>
      </c>
      <c r="F17" s="117" t="s">
        <v>255</v>
      </c>
      <c r="G17" s="69">
        <v>844.95541819692903</v>
      </c>
      <c r="H17" s="66">
        <v>2904</v>
      </c>
      <c r="I17" s="84">
        <v>0</v>
      </c>
      <c r="J17" s="84">
        <v>24.537509999999997</v>
      </c>
      <c r="K17" s="24">
        <v>1.8270875461930027E-5</v>
      </c>
      <c r="L17" s="32">
        <v>1.9631326171309122E-3</v>
      </c>
      <c r="M17" s="32">
        <v>1.0107443548313794E-4</v>
      </c>
      <c r="N17" s="14"/>
      <c r="O17" s="14"/>
      <c r="P17" s="14"/>
      <c r="Q17" s="14"/>
      <c r="R17" s="14"/>
    </row>
    <row r="18" spans="1:18" x14ac:dyDescent="0.25">
      <c r="A18" s="16" t="s">
        <v>2423</v>
      </c>
      <c r="B18" s="117" t="s">
        <v>2424</v>
      </c>
      <c r="C18" s="117" t="s">
        <v>456</v>
      </c>
      <c r="D18" s="117" t="s">
        <v>2420</v>
      </c>
      <c r="E18" s="117" t="s">
        <v>2384</v>
      </c>
      <c r="F18" s="117" t="s">
        <v>255</v>
      </c>
      <c r="G18" s="69">
        <v>2079.5974573505473</v>
      </c>
      <c r="H18" s="66">
        <v>2802</v>
      </c>
      <c r="I18" s="84">
        <v>0</v>
      </c>
      <c r="J18" s="84">
        <v>58.270319999999998</v>
      </c>
      <c r="K18" s="24">
        <v>5.7158950350578551E-5</v>
      </c>
      <c r="L18" s="32">
        <v>4.6619386320232064E-3</v>
      </c>
      <c r="M18" s="32">
        <v>2.4002597245693648E-4</v>
      </c>
      <c r="N18" s="14"/>
      <c r="O18" s="14"/>
      <c r="P18" s="14"/>
      <c r="Q18" s="14"/>
      <c r="R18" s="14"/>
    </row>
    <row r="19" spans="1:18" x14ac:dyDescent="0.25">
      <c r="A19" s="16" t="s">
        <v>2381</v>
      </c>
      <c r="B19" s="117" t="s">
        <v>2382</v>
      </c>
      <c r="C19" s="117" t="s">
        <v>456</v>
      </c>
      <c r="D19" s="117" t="s">
        <v>2383</v>
      </c>
      <c r="E19" s="117" t="s">
        <v>2384</v>
      </c>
      <c r="F19" s="117" t="s">
        <v>255</v>
      </c>
      <c r="G19" s="69">
        <v>221.68731724106081</v>
      </c>
      <c r="H19" s="66">
        <v>1852</v>
      </c>
      <c r="I19" s="84">
        <v>0</v>
      </c>
      <c r="J19" s="84">
        <v>4.1056499999999998</v>
      </c>
      <c r="K19" s="24">
        <v>1.2182653652085515E-6</v>
      </c>
      <c r="L19" s="32">
        <v>3.2847405582406405E-4</v>
      </c>
      <c r="M19" s="32">
        <v>1.6911913883737401E-5</v>
      </c>
      <c r="N19" s="14"/>
      <c r="O19" s="14"/>
      <c r="P19" s="14"/>
      <c r="Q19" s="14"/>
      <c r="R19" s="14"/>
    </row>
    <row r="20" spans="1:18" x14ac:dyDescent="0.25">
      <c r="A20" s="16" t="s">
        <v>2385</v>
      </c>
      <c r="B20" s="117" t="s">
        <v>2386</v>
      </c>
      <c r="C20" s="117" t="s">
        <v>456</v>
      </c>
      <c r="D20" s="117" t="s">
        <v>2383</v>
      </c>
      <c r="E20" s="117" t="s">
        <v>2384</v>
      </c>
      <c r="F20" s="117" t="s">
        <v>255</v>
      </c>
      <c r="G20" s="69">
        <v>8215.4109787484231</v>
      </c>
      <c r="H20" s="66">
        <v>3539</v>
      </c>
      <c r="I20" s="84">
        <v>0</v>
      </c>
      <c r="J20" s="84">
        <v>290.74339000000003</v>
      </c>
      <c r="K20" s="24">
        <v>5.5837597635793461E-5</v>
      </c>
      <c r="L20" s="32">
        <v>2.3261033092771579E-2</v>
      </c>
      <c r="M20" s="32">
        <v>1.1976245354440537E-3</v>
      </c>
      <c r="N20" s="14"/>
      <c r="O20" s="14"/>
      <c r="P20" s="14"/>
      <c r="Q20" s="14"/>
      <c r="R20" s="14"/>
    </row>
    <row r="21" spans="1:18" x14ac:dyDescent="0.25">
      <c r="A21" s="16" t="s">
        <v>2387</v>
      </c>
      <c r="B21" s="117" t="s">
        <v>2388</v>
      </c>
      <c r="C21" s="117" t="s">
        <v>456</v>
      </c>
      <c r="D21" s="117" t="s">
        <v>2383</v>
      </c>
      <c r="E21" s="117" t="s">
        <v>2384</v>
      </c>
      <c r="F21" s="117" t="s">
        <v>255</v>
      </c>
      <c r="G21" s="69">
        <v>1723.5082755992216</v>
      </c>
      <c r="H21" s="66">
        <v>1849.0000000000002</v>
      </c>
      <c r="I21" s="84">
        <v>0</v>
      </c>
      <c r="J21" s="84">
        <v>31.867669999999997</v>
      </c>
      <c r="K21" s="24">
        <v>2.7635452682563342E-5</v>
      </c>
      <c r="L21" s="32">
        <v>2.5495847952365278E-3</v>
      </c>
      <c r="M21" s="32">
        <v>1.3126868844527952E-4</v>
      </c>
      <c r="N21" s="14"/>
      <c r="O21" s="14"/>
      <c r="P21" s="14"/>
      <c r="Q21" s="14"/>
      <c r="R21" s="14"/>
    </row>
    <row r="22" spans="1:18" x14ac:dyDescent="0.25">
      <c r="A22" s="16" t="s">
        <v>2389</v>
      </c>
      <c r="B22" s="117" t="s">
        <v>2390</v>
      </c>
      <c r="C22" s="117" t="s">
        <v>456</v>
      </c>
      <c r="D22" s="117" t="s">
        <v>2383</v>
      </c>
      <c r="E22" s="117" t="s">
        <v>2384</v>
      </c>
      <c r="F22" s="117" t="s">
        <v>255</v>
      </c>
      <c r="G22" s="69">
        <v>17.311105962264921</v>
      </c>
      <c r="H22" s="66">
        <v>3134</v>
      </c>
      <c r="I22" s="84">
        <v>0</v>
      </c>
      <c r="J22" s="84">
        <v>0.54252999999999996</v>
      </c>
      <c r="K22" s="24">
        <v>5.644327067780066E-6</v>
      </c>
      <c r="L22" s="32">
        <v>4.3405314507137593E-5</v>
      </c>
      <c r="M22" s="32">
        <v>2.2347790579674479E-6</v>
      </c>
      <c r="N22" s="14"/>
      <c r="O22" s="14"/>
      <c r="P22" s="14"/>
      <c r="Q22" s="14"/>
      <c r="R22" s="14"/>
    </row>
    <row r="23" spans="1:18" x14ac:dyDescent="0.25">
      <c r="A23" s="16" t="s">
        <v>2391</v>
      </c>
      <c r="B23" s="117" t="s">
        <v>2392</v>
      </c>
      <c r="C23" s="117" t="s">
        <v>456</v>
      </c>
      <c r="D23" s="117" t="s">
        <v>2383</v>
      </c>
      <c r="E23" s="117" t="s">
        <v>2384</v>
      </c>
      <c r="F23" s="117" t="s">
        <v>255</v>
      </c>
      <c r="G23" s="69">
        <v>718.98712887108013</v>
      </c>
      <c r="H23" s="66">
        <v>1155</v>
      </c>
      <c r="I23" s="84">
        <v>0</v>
      </c>
      <c r="J23" s="84">
        <v>8.3042999999999996</v>
      </c>
      <c r="K23" s="24">
        <v>2.1009961029216646E-4</v>
      </c>
      <c r="L23" s="32">
        <v>6.643886112502953E-4</v>
      </c>
      <c r="M23" s="32">
        <v>3.4206911564483216E-5</v>
      </c>
      <c r="N23" s="14"/>
      <c r="O23" s="14"/>
      <c r="P23" s="14"/>
      <c r="Q23" s="14"/>
      <c r="R23" s="14"/>
    </row>
    <row r="24" spans="1:18" x14ac:dyDescent="0.25">
      <c r="A24" s="16" t="s">
        <v>2393</v>
      </c>
      <c r="B24" s="117" t="s">
        <v>2394</v>
      </c>
      <c r="C24" s="117" t="s">
        <v>456</v>
      </c>
      <c r="D24" s="117" t="s">
        <v>2383</v>
      </c>
      <c r="E24" s="117" t="s">
        <v>2384</v>
      </c>
      <c r="F24" s="117" t="s">
        <v>255</v>
      </c>
      <c r="G24" s="69">
        <v>652.24844768882838</v>
      </c>
      <c r="H24" s="66">
        <v>514</v>
      </c>
      <c r="I24" s="84">
        <v>0</v>
      </c>
      <c r="J24" s="84">
        <v>3.35256</v>
      </c>
      <c r="K24" s="24">
        <v>6.5722369679594328E-5</v>
      </c>
      <c r="L24" s="32">
        <v>2.6822281017464328E-4</v>
      </c>
      <c r="M24" s="32">
        <v>1.3809800155898011E-5</v>
      </c>
      <c r="N24" s="14"/>
      <c r="O24" s="14"/>
      <c r="P24" s="14"/>
      <c r="Q24" s="14"/>
      <c r="R24" s="14"/>
    </row>
    <row r="25" spans="1:18" x14ac:dyDescent="0.25">
      <c r="A25" s="16" t="s">
        <v>2406</v>
      </c>
      <c r="B25" s="117" t="s">
        <v>2407</v>
      </c>
      <c r="C25" s="117" t="s">
        <v>456</v>
      </c>
      <c r="D25" s="117" t="s">
        <v>2408</v>
      </c>
      <c r="E25" s="117" t="s">
        <v>2384</v>
      </c>
      <c r="F25" s="117" t="s">
        <v>255</v>
      </c>
      <c r="G25" s="69">
        <v>5481.1528675344935</v>
      </c>
      <c r="H25" s="66">
        <v>3560</v>
      </c>
      <c r="I25" s="84">
        <v>0</v>
      </c>
      <c r="J25" s="84">
        <v>195.12904</v>
      </c>
      <c r="K25" s="24">
        <v>5.436934496749807E-5</v>
      </c>
      <c r="L25" s="32">
        <v>1.5611371446142762E-2</v>
      </c>
      <c r="M25" s="32">
        <v>8.0377175860006362E-4</v>
      </c>
      <c r="N25" s="14"/>
      <c r="O25" s="14"/>
      <c r="P25" s="14"/>
      <c r="Q25" s="14"/>
      <c r="R25" s="14"/>
    </row>
    <row r="26" spans="1:18" x14ac:dyDescent="0.25">
      <c r="A26" s="16" t="s">
        <v>2395</v>
      </c>
      <c r="B26" s="117" t="s">
        <v>2396</v>
      </c>
      <c r="C26" s="117" t="s">
        <v>456</v>
      </c>
      <c r="D26" s="117" t="s">
        <v>2397</v>
      </c>
      <c r="E26" s="117" t="s">
        <v>2384</v>
      </c>
      <c r="F26" s="117" t="s">
        <v>255</v>
      </c>
      <c r="G26" s="69">
        <v>895.0171657917117</v>
      </c>
      <c r="H26" s="66">
        <v>17920</v>
      </c>
      <c r="I26" s="84">
        <v>0</v>
      </c>
      <c r="J26" s="84">
        <v>160.38708</v>
      </c>
      <c r="K26" s="24">
        <v>8.0189444672468837E-5</v>
      </c>
      <c r="L26" s="32">
        <v>1.2831828010029746E-2</v>
      </c>
      <c r="M26" s="32">
        <v>6.6066335051066251E-4</v>
      </c>
      <c r="N26" s="14"/>
      <c r="O26" s="14"/>
      <c r="P26" s="14"/>
      <c r="Q26" s="14"/>
      <c r="R26" s="14"/>
    </row>
    <row r="27" spans="1:18" x14ac:dyDescent="0.25">
      <c r="A27" s="16" t="s">
        <v>2398</v>
      </c>
      <c r="B27" s="117" t="s">
        <v>2399</v>
      </c>
      <c r="C27" s="117" t="s">
        <v>456</v>
      </c>
      <c r="D27" s="117" t="s">
        <v>2397</v>
      </c>
      <c r="E27" s="117" t="s">
        <v>2384</v>
      </c>
      <c r="F27" s="117" t="s">
        <v>255</v>
      </c>
      <c r="G27" s="69">
        <v>29.595025991411248</v>
      </c>
      <c r="H27" s="66">
        <v>18410</v>
      </c>
      <c r="I27" s="84">
        <v>0</v>
      </c>
      <c r="J27" s="84">
        <v>5.4484399999999997</v>
      </c>
      <c r="K27" s="24">
        <v>9.883553834767512E-7</v>
      </c>
      <c r="L27" s="32">
        <v>4.3590446938099043E-4</v>
      </c>
      <c r="M27" s="32">
        <v>2.2443108419059153E-5</v>
      </c>
      <c r="N27" s="14"/>
      <c r="O27" s="14"/>
      <c r="P27" s="14"/>
      <c r="Q27" s="14"/>
      <c r="R27" s="14"/>
    </row>
    <row r="28" spans="1:18" x14ac:dyDescent="0.25">
      <c r="A28" s="16" t="s">
        <v>2400</v>
      </c>
      <c r="B28" s="117" t="s">
        <v>2401</v>
      </c>
      <c r="C28" s="117" t="s">
        <v>456</v>
      </c>
      <c r="D28" s="117" t="s">
        <v>2397</v>
      </c>
      <c r="E28" s="117" t="s">
        <v>2384</v>
      </c>
      <c r="F28" s="117" t="s">
        <v>255</v>
      </c>
      <c r="G28" s="69">
        <v>315.15709901807583</v>
      </c>
      <c r="H28" s="66">
        <v>34690</v>
      </c>
      <c r="I28" s="84">
        <v>0</v>
      </c>
      <c r="J28" s="84">
        <v>109.328</v>
      </c>
      <c r="K28" s="24">
        <v>3.8868757661878388E-5</v>
      </c>
      <c r="L28" s="32">
        <v>8.7468273172660298E-3</v>
      </c>
      <c r="M28" s="32">
        <v>4.5034177805737042E-4</v>
      </c>
      <c r="N28" s="14"/>
      <c r="O28" s="14"/>
      <c r="P28" s="14"/>
      <c r="Q28" s="14"/>
      <c r="R28" s="14"/>
    </row>
    <row r="29" spans="1:18" x14ac:dyDescent="0.25">
      <c r="A29" s="16" t="s">
        <v>2402</v>
      </c>
      <c r="B29" s="117" t="s">
        <v>2403</v>
      </c>
      <c r="C29" s="117" t="s">
        <v>456</v>
      </c>
      <c r="D29" s="117" t="s">
        <v>2397</v>
      </c>
      <c r="E29" s="117" t="s">
        <v>2384</v>
      </c>
      <c r="F29" s="117" t="s">
        <v>255</v>
      </c>
      <c r="G29" s="69">
        <v>115.91207898191814</v>
      </c>
      <c r="H29" s="66">
        <v>5080</v>
      </c>
      <c r="I29" s="84">
        <v>0</v>
      </c>
      <c r="J29" s="84">
        <v>5.8883299999999998</v>
      </c>
      <c r="K29" s="24">
        <v>7.3745880606420716E-5</v>
      </c>
      <c r="L29" s="32">
        <v>4.7109803249924156E-4</v>
      </c>
      <c r="M29" s="32">
        <v>2.4255094778908931E-5</v>
      </c>
      <c r="N29" s="14"/>
      <c r="O29" s="14"/>
      <c r="P29" s="14"/>
      <c r="Q29" s="14"/>
      <c r="R29" s="14"/>
    </row>
    <row r="30" spans="1:18" x14ac:dyDescent="0.25">
      <c r="A30" s="16" t="s">
        <v>2404</v>
      </c>
      <c r="B30" s="117" t="s">
        <v>2405</v>
      </c>
      <c r="C30" s="117" t="s">
        <v>456</v>
      </c>
      <c r="D30" s="117" t="s">
        <v>2397</v>
      </c>
      <c r="E30" s="117" t="s">
        <v>2384</v>
      </c>
      <c r="F30" s="117" t="s">
        <v>255</v>
      </c>
      <c r="G30" s="69">
        <v>46.041784798047239</v>
      </c>
      <c r="H30" s="66">
        <v>30480</v>
      </c>
      <c r="I30" s="84">
        <v>0</v>
      </c>
      <c r="J30" s="84">
        <v>14.03354</v>
      </c>
      <c r="K30" s="24">
        <v>7.0140847230270968E-5</v>
      </c>
      <c r="L30" s="32">
        <v>1.1227585891075071E-3</v>
      </c>
      <c r="M30" s="32">
        <v>5.7806685899670992E-5</v>
      </c>
      <c r="N30" s="14"/>
      <c r="O30" s="14"/>
      <c r="P30" s="14"/>
      <c r="Q30" s="14"/>
      <c r="R30" s="14"/>
    </row>
    <row r="31" spans="1:18" x14ac:dyDescent="0.25">
      <c r="A31" s="16" t="s">
        <v>2421</v>
      </c>
      <c r="B31" s="117" t="s">
        <v>2422</v>
      </c>
      <c r="C31" s="117" t="s">
        <v>456</v>
      </c>
      <c r="D31" s="117" t="s">
        <v>2397</v>
      </c>
      <c r="E31" s="117" t="s">
        <v>2384</v>
      </c>
      <c r="F31" s="117" t="s">
        <v>255</v>
      </c>
      <c r="G31" s="69">
        <v>14.875123018339579</v>
      </c>
      <c r="H31" s="66">
        <v>25820</v>
      </c>
      <c r="I31" s="84">
        <v>0</v>
      </c>
      <c r="J31" s="84">
        <v>3.8407600000000004</v>
      </c>
      <c r="K31" s="24">
        <v>1.7719174571246667E-5</v>
      </c>
      <c r="L31" s="32">
        <v>3.0728143281741804E-4</v>
      </c>
      <c r="M31" s="32">
        <v>1.5820784131161516E-5</v>
      </c>
      <c r="N31" s="14"/>
      <c r="O31" s="14"/>
      <c r="P31" s="14"/>
      <c r="Q31" s="14"/>
      <c r="R31" s="14"/>
    </row>
    <row r="32" spans="1:18" s="119" customFormat="1" x14ac:dyDescent="0.25">
      <c r="A32" s="92" t="s">
        <v>2427</v>
      </c>
      <c r="B32" s="131" t="s">
        <v>249</v>
      </c>
      <c r="C32" s="131" t="s">
        <v>249</v>
      </c>
      <c r="D32" s="131" t="s">
        <v>249</v>
      </c>
      <c r="E32" s="131" t="s">
        <v>249</v>
      </c>
      <c r="F32" s="131" t="s">
        <v>249</v>
      </c>
      <c r="G32" s="135" t="s">
        <v>249</v>
      </c>
      <c r="H32" s="122" t="s">
        <v>249</v>
      </c>
      <c r="I32" s="124" t="s">
        <v>249</v>
      </c>
      <c r="J32" s="124">
        <v>0</v>
      </c>
      <c r="K32" s="137"/>
      <c r="L32" s="121">
        <v>0</v>
      </c>
      <c r="M32" s="121">
        <v>0</v>
      </c>
    </row>
    <row r="33" spans="1:18" s="119" customFormat="1" x14ac:dyDescent="0.25">
      <c r="A33" s="92" t="s">
        <v>2428</v>
      </c>
      <c r="B33" s="131" t="s">
        <v>249</v>
      </c>
      <c r="C33" s="131" t="s">
        <v>249</v>
      </c>
      <c r="D33" s="131" t="s">
        <v>249</v>
      </c>
      <c r="E33" s="131" t="s">
        <v>249</v>
      </c>
      <c r="F33" s="131" t="s">
        <v>249</v>
      </c>
      <c r="G33" s="135" t="s">
        <v>249</v>
      </c>
      <c r="H33" s="122" t="s">
        <v>249</v>
      </c>
      <c r="I33" s="124" t="s">
        <v>249</v>
      </c>
      <c r="J33" s="124">
        <v>3108.0600300999999</v>
      </c>
      <c r="K33" s="137"/>
      <c r="L33" s="121">
        <v>0.24866149911259111</v>
      </c>
      <c r="M33" s="121">
        <v>1.2802660620008397E-2</v>
      </c>
    </row>
    <row r="34" spans="1:18" x14ac:dyDescent="0.25">
      <c r="A34" s="16" t="s">
        <v>2440</v>
      </c>
      <c r="B34" s="117" t="s">
        <v>2441</v>
      </c>
      <c r="C34" s="117" t="s">
        <v>456</v>
      </c>
      <c r="D34" s="117" t="s">
        <v>2411</v>
      </c>
      <c r="E34" s="117" t="s">
        <v>2431</v>
      </c>
      <c r="F34" s="117" t="s">
        <v>255</v>
      </c>
      <c r="G34" s="69">
        <v>147458.42046999789</v>
      </c>
      <c r="H34" s="66">
        <v>356.2</v>
      </c>
      <c r="I34" s="84">
        <v>0</v>
      </c>
      <c r="J34" s="84">
        <v>525.24689000000001</v>
      </c>
      <c r="K34" s="24">
        <v>1.4967433553693197E-3</v>
      </c>
      <c r="L34" s="32">
        <v>4.2022572861124555E-2</v>
      </c>
      <c r="M34" s="32">
        <v>2.1635868063232112E-3</v>
      </c>
      <c r="N34" s="14"/>
      <c r="O34" s="14"/>
      <c r="P34" s="14"/>
      <c r="Q34" s="14"/>
      <c r="R34" s="14"/>
    </row>
    <row r="35" spans="1:18" x14ac:dyDescent="0.25">
      <c r="A35" s="16" t="s">
        <v>2442</v>
      </c>
      <c r="B35" s="117" t="s">
        <v>2443</v>
      </c>
      <c r="C35" s="117" t="s">
        <v>456</v>
      </c>
      <c r="D35" s="117" t="s">
        <v>2411</v>
      </c>
      <c r="E35" s="117" t="s">
        <v>2431</v>
      </c>
      <c r="F35" s="117" t="s">
        <v>255</v>
      </c>
      <c r="G35" s="69">
        <v>50089.390387684063</v>
      </c>
      <c r="H35" s="66">
        <v>368.92</v>
      </c>
      <c r="I35" s="84">
        <v>0</v>
      </c>
      <c r="J35" s="84">
        <v>184.78978000000001</v>
      </c>
      <c r="K35" s="24">
        <v>5.9424331953274591E-4</v>
      </c>
      <c r="L35" s="32">
        <v>1.4784175102952398E-2</v>
      </c>
      <c r="M35" s="32">
        <v>7.6118247925536283E-4</v>
      </c>
      <c r="N35" s="14"/>
      <c r="O35" s="14"/>
      <c r="P35" s="14"/>
      <c r="Q35" s="14"/>
      <c r="R35" s="14"/>
    </row>
    <row r="36" spans="1:18" x14ac:dyDescent="0.25">
      <c r="A36" s="16" t="s">
        <v>2454</v>
      </c>
      <c r="B36" s="117" t="s">
        <v>2455</v>
      </c>
      <c r="C36" s="117" t="s">
        <v>456</v>
      </c>
      <c r="D36" s="117" t="s">
        <v>2411</v>
      </c>
      <c r="E36" s="117" t="s">
        <v>2431</v>
      </c>
      <c r="F36" s="117" t="s">
        <v>255</v>
      </c>
      <c r="G36" s="69">
        <v>16203.536568499598</v>
      </c>
      <c r="H36" s="66">
        <v>367.81</v>
      </c>
      <c r="I36" s="84">
        <v>0</v>
      </c>
      <c r="J36" s="84">
        <v>59.598230000000001</v>
      </c>
      <c r="K36" s="24">
        <v>9.4866608742163512E-5</v>
      </c>
      <c r="L36" s="32">
        <v>4.7681785656437858E-3</v>
      </c>
      <c r="M36" s="32">
        <v>2.4549587358473686E-4</v>
      </c>
      <c r="N36" s="14"/>
      <c r="O36" s="14"/>
      <c r="P36" s="14"/>
      <c r="Q36" s="14"/>
      <c r="R36" s="14"/>
    </row>
    <row r="37" spans="1:18" x14ac:dyDescent="0.25">
      <c r="A37" s="16" t="s">
        <v>2446</v>
      </c>
      <c r="B37" s="117" t="s">
        <v>2447</v>
      </c>
      <c r="C37" s="117" t="s">
        <v>456</v>
      </c>
      <c r="D37" s="117" t="s">
        <v>2420</v>
      </c>
      <c r="E37" s="117" t="s">
        <v>2431</v>
      </c>
      <c r="F37" s="117" t="s">
        <v>255</v>
      </c>
      <c r="G37" s="69">
        <v>32052.723053027315</v>
      </c>
      <c r="H37" s="66">
        <v>380.63</v>
      </c>
      <c r="I37" s="84">
        <v>0</v>
      </c>
      <c r="J37" s="84">
        <v>122.00228</v>
      </c>
      <c r="K37" s="24">
        <v>6.0116475111825554E-4</v>
      </c>
      <c r="L37" s="32">
        <v>9.7608378043386786E-3</v>
      </c>
      <c r="M37" s="32">
        <v>5.0254942651702366E-4</v>
      </c>
      <c r="N37" s="14"/>
      <c r="O37" s="14"/>
      <c r="P37" s="14"/>
      <c r="Q37" s="14"/>
      <c r="R37" s="14"/>
    </row>
    <row r="38" spans="1:18" x14ac:dyDescent="0.25">
      <c r="A38" s="16" t="s">
        <v>2448</v>
      </c>
      <c r="B38" s="117" t="s">
        <v>2449</v>
      </c>
      <c r="C38" s="117" t="s">
        <v>456</v>
      </c>
      <c r="D38" s="117" t="s">
        <v>2420</v>
      </c>
      <c r="E38" s="117" t="s">
        <v>2431</v>
      </c>
      <c r="F38" s="117" t="s">
        <v>255</v>
      </c>
      <c r="G38" s="69">
        <v>161044.97939797817</v>
      </c>
      <c r="H38" s="66">
        <v>386.99</v>
      </c>
      <c r="I38" s="84">
        <v>0</v>
      </c>
      <c r="J38" s="84">
        <v>623.22797000000003</v>
      </c>
      <c r="K38" s="24">
        <v>1.7881118289242281E-3</v>
      </c>
      <c r="L38" s="32">
        <v>4.9861585621983881E-2</v>
      </c>
      <c r="M38" s="32">
        <v>2.5671885714993918E-3</v>
      </c>
      <c r="N38" s="14"/>
      <c r="O38" s="14"/>
      <c r="P38" s="14"/>
      <c r="Q38" s="14"/>
      <c r="R38" s="14"/>
    </row>
    <row r="39" spans="1:18" x14ac:dyDescent="0.25">
      <c r="A39" s="16" t="s">
        <v>2456</v>
      </c>
      <c r="B39" s="117" t="s">
        <v>2457</v>
      </c>
      <c r="C39" s="117" t="s">
        <v>456</v>
      </c>
      <c r="D39" s="117" t="s">
        <v>2420</v>
      </c>
      <c r="E39" s="117" t="s">
        <v>2431</v>
      </c>
      <c r="F39" s="117" t="s">
        <v>255</v>
      </c>
      <c r="G39" s="69">
        <v>6282.844681608206</v>
      </c>
      <c r="H39" s="66">
        <v>427.11000000000007</v>
      </c>
      <c r="I39" s="84">
        <v>0</v>
      </c>
      <c r="J39" s="84">
        <v>26.83466</v>
      </c>
      <c r="K39" s="24">
        <v>4.8474123564623239E-5</v>
      </c>
      <c r="L39" s="32">
        <v>2.1469169575730465E-3</v>
      </c>
      <c r="M39" s="32">
        <v>1.1053681122827633E-4</v>
      </c>
      <c r="N39" s="14"/>
      <c r="O39" s="14"/>
      <c r="P39" s="14"/>
      <c r="Q39" s="14"/>
      <c r="R39" s="14"/>
    </row>
    <row r="40" spans="1:18" x14ac:dyDescent="0.25">
      <c r="A40" s="16" t="s">
        <v>2429</v>
      </c>
      <c r="B40" s="117" t="s">
        <v>2430</v>
      </c>
      <c r="C40" s="117" t="s">
        <v>456</v>
      </c>
      <c r="D40" s="117" t="s">
        <v>2383</v>
      </c>
      <c r="E40" s="117" t="s">
        <v>2431</v>
      </c>
      <c r="F40" s="117" t="s">
        <v>255</v>
      </c>
      <c r="G40" s="69">
        <v>8439.3033501673763</v>
      </c>
      <c r="H40" s="66">
        <v>3704.6</v>
      </c>
      <c r="I40" s="84">
        <v>0</v>
      </c>
      <c r="J40" s="84">
        <v>312.64242999999999</v>
      </c>
      <c r="K40" s="24">
        <v>6.6807766316965981E-4</v>
      </c>
      <c r="L40" s="32">
        <v>2.501307393586668E-2</v>
      </c>
      <c r="M40" s="32">
        <v>1.287830636455226E-3</v>
      </c>
      <c r="N40" s="14"/>
      <c r="O40" s="14"/>
      <c r="P40" s="14"/>
      <c r="Q40" s="14"/>
      <c r="R40" s="14"/>
    </row>
    <row r="41" spans="1:18" x14ac:dyDescent="0.25">
      <c r="A41" s="16" t="s">
        <v>2450</v>
      </c>
      <c r="B41" s="117" t="s">
        <v>2451</v>
      </c>
      <c r="C41" s="117" t="s">
        <v>456</v>
      </c>
      <c r="D41" s="117" t="s">
        <v>2383</v>
      </c>
      <c r="E41" s="117" t="s">
        <v>2431</v>
      </c>
      <c r="F41" s="117" t="s">
        <v>255</v>
      </c>
      <c r="G41" s="69">
        <v>10073.198488414548</v>
      </c>
      <c r="H41" s="66">
        <v>369.15</v>
      </c>
      <c r="I41" s="84">
        <v>0</v>
      </c>
      <c r="J41" s="84">
        <v>37.185209999999998</v>
      </c>
      <c r="K41" s="24">
        <v>4.3895513481975905E-5</v>
      </c>
      <c r="L41" s="32">
        <v>2.9750165614140381E-3</v>
      </c>
      <c r="M41" s="32">
        <v>1.5317259612209781E-4</v>
      </c>
      <c r="N41" s="14"/>
      <c r="O41" s="14"/>
      <c r="P41" s="14"/>
      <c r="Q41" s="14"/>
      <c r="R41" s="14"/>
    </row>
    <row r="42" spans="1:18" x14ac:dyDescent="0.25">
      <c r="A42" s="16" t="s">
        <v>2438</v>
      </c>
      <c r="B42" s="117" t="s">
        <v>2439</v>
      </c>
      <c r="C42" s="117" t="s">
        <v>456</v>
      </c>
      <c r="D42" s="117" t="s">
        <v>2408</v>
      </c>
      <c r="E42" s="117" t="s">
        <v>2431</v>
      </c>
      <c r="F42" s="117" t="s">
        <v>255</v>
      </c>
      <c r="G42" s="69">
        <v>16945.265053918556</v>
      </c>
      <c r="H42" s="66">
        <v>3549.9</v>
      </c>
      <c r="I42" s="84">
        <v>0</v>
      </c>
      <c r="J42" s="84">
        <v>601.53995999999995</v>
      </c>
      <c r="K42" s="24">
        <v>2.2061357937581791E-3</v>
      </c>
      <c r="L42" s="32">
        <v>4.8126428312555931E-2</v>
      </c>
      <c r="M42" s="32">
        <v>2.477851741172979E-3</v>
      </c>
      <c r="N42" s="14"/>
      <c r="O42" s="14"/>
      <c r="P42" s="14"/>
      <c r="Q42" s="14"/>
      <c r="R42" s="14"/>
    </row>
    <row r="43" spans="1:18" x14ac:dyDescent="0.25">
      <c r="A43" s="16" t="s">
        <v>2432</v>
      </c>
      <c r="B43" s="117" t="s">
        <v>2433</v>
      </c>
      <c r="C43" s="117" t="s">
        <v>456</v>
      </c>
      <c r="D43" s="117" t="s">
        <v>2397</v>
      </c>
      <c r="E43" s="117" t="s">
        <v>2431</v>
      </c>
      <c r="F43" s="117" t="s">
        <v>255</v>
      </c>
      <c r="G43" s="69">
        <v>5.172867952764463</v>
      </c>
      <c r="H43" s="66">
        <v>3330.16</v>
      </c>
      <c r="I43" s="84">
        <v>0</v>
      </c>
      <c r="J43" s="84">
        <v>0.17226</v>
      </c>
      <c r="K43" s="24">
        <v>7.4955749950689403E-7</v>
      </c>
      <c r="L43" s="32">
        <v>1.3781725392143333E-5</v>
      </c>
      <c r="M43" s="32">
        <v>7.0957005239428711E-7</v>
      </c>
      <c r="N43" s="14"/>
      <c r="O43" s="14"/>
      <c r="P43" s="14"/>
      <c r="Q43" s="14"/>
      <c r="R43" s="14"/>
    </row>
    <row r="44" spans="1:18" x14ac:dyDescent="0.25">
      <c r="A44" s="16" t="s">
        <v>2434</v>
      </c>
      <c r="B44" s="117" t="s">
        <v>2435</v>
      </c>
      <c r="C44" s="117" t="s">
        <v>456</v>
      </c>
      <c r="D44" s="117" t="s">
        <v>2397</v>
      </c>
      <c r="E44" s="117" t="s">
        <v>2431</v>
      </c>
      <c r="F44" s="117" t="s">
        <v>255</v>
      </c>
      <c r="G44" s="69">
        <v>10224.234223051553</v>
      </c>
      <c r="H44" s="66">
        <v>3543.66</v>
      </c>
      <c r="I44" s="84">
        <v>0</v>
      </c>
      <c r="J44" s="84">
        <v>362.31209999999999</v>
      </c>
      <c r="K44" s="24">
        <v>1.9090656926593313E-3</v>
      </c>
      <c r="L44" s="32">
        <v>2.8986914364627737E-2</v>
      </c>
      <c r="M44" s="32">
        <v>1.4924289781730186E-3</v>
      </c>
      <c r="N44" s="14"/>
      <c r="O44" s="14"/>
      <c r="P44" s="14"/>
      <c r="Q44" s="14"/>
      <c r="R44" s="14"/>
    </row>
    <row r="45" spans="1:18" x14ac:dyDescent="0.25">
      <c r="A45" s="16" t="s">
        <v>2436</v>
      </c>
      <c r="B45" s="117" t="s">
        <v>2437</v>
      </c>
      <c r="C45" s="117" t="s">
        <v>456</v>
      </c>
      <c r="D45" s="117" t="s">
        <v>2397</v>
      </c>
      <c r="E45" s="117" t="s">
        <v>2431</v>
      </c>
      <c r="F45" s="117" t="s">
        <v>255</v>
      </c>
      <c r="G45" s="69">
        <v>2216.0760595763254</v>
      </c>
      <c r="H45" s="66">
        <v>3694.2</v>
      </c>
      <c r="I45" s="84">
        <v>0</v>
      </c>
      <c r="J45" s="84">
        <v>81.866280000000003</v>
      </c>
      <c r="K45" s="24">
        <v>2.1077343010345476E-4</v>
      </c>
      <c r="L45" s="32">
        <v>6.5497421910850799E-3</v>
      </c>
      <c r="M45" s="32">
        <v>3.3722199343391029E-4</v>
      </c>
      <c r="N45" s="14"/>
      <c r="O45" s="14"/>
      <c r="P45" s="14"/>
      <c r="Q45" s="14"/>
      <c r="R45" s="14"/>
    </row>
    <row r="46" spans="1:18" x14ac:dyDescent="0.25">
      <c r="A46" s="16" t="s">
        <v>2444</v>
      </c>
      <c r="B46" s="117" t="s">
        <v>2445</v>
      </c>
      <c r="C46" s="117" t="s">
        <v>456</v>
      </c>
      <c r="D46" s="117" t="s">
        <v>2397</v>
      </c>
      <c r="E46" s="117" t="s">
        <v>2431</v>
      </c>
      <c r="F46" s="117" t="s">
        <v>255</v>
      </c>
      <c r="G46" s="69">
        <v>34.194357171325656</v>
      </c>
      <c r="H46" s="66">
        <v>3260.9</v>
      </c>
      <c r="I46" s="84">
        <v>0</v>
      </c>
      <c r="J46" s="84">
        <v>1.11504</v>
      </c>
      <c r="K46" s="24">
        <v>5.1641570065125411E-6</v>
      </c>
      <c r="L46" s="32">
        <v>8.9209190068823303E-5</v>
      </c>
      <c r="M46" s="32">
        <v>4.5930511507124463E-6</v>
      </c>
      <c r="N46" s="14"/>
      <c r="O46" s="14"/>
      <c r="P46" s="14"/>
      <c r="Q46" s="14"/>
      <c r="R46" s="14"/>
    </row>
    <row r="47" spans="1:18" x14ac:dyDescent="0.25">
      <c r="A47" s="16" t="s">
        <v>2452</v>
      </c>
      <c r="B47" s="117" t="s">
        <v>2453</v>
      </c>
      <c r="C47" s="117" t="s">
        <v>456</v>
      </c>
      <c r="D47" s="117" t="s">
        <v>2397</v>
      </c>
      <c r="E47" s="117" t="s">
        <v>2431</v>
      </c>
      <c r="F47" s="117" t="s">
        <v>255</v>
      </c>
      <c r="G47" s="69">
        <v>4620.2697497425561</v>
      </c>
      <c r="H47" s="66">
        <v>3669.2</v>
      </c>
      <c r="I47" s="84">
        <v>0</v>
      </c>
      <c r="J47" s="84">
        <v>169.52694</v>
      </c>
      <c r="K47" s="24">
        <v>1.3235013853966153E-4</v>
      </c>
      <c r="L47" s="32">
        <v>1.3563065909963772E-2</v>
      </c>
      <c r="M47" s="32">
        <v>6.9831208462813868E-4</v>
      </c>
      <c r="N47" s="14"/>
      <c r="O47" s="14"/>
      <c r="P47" s="14"/>
      <c r="Q47" s="14"/>
      <c r="R47" s="14"/>
    </row>
    <row r="48" spans="1:18" s="119" customFormat="1" x14ac:dyDescent="0.25">
      <c r="A48" s="92" t="s">
        <v>2458</v>
      </c>
      <c r="B48" s="131" t="s">
        <v>249</v>
      </c>
      <c r="C48" s="131" t="s">
        <v>249</v>
      </c>
      <c r="D48" s="131" t="s">
        <v>249</v>
      </c>
      <c r="E48" s="131" t="s">
        <v>249</v>
      </c>
      <c r="F48" s="131" t="s">
        <v>249</v>
      </c>
      <c r="G48" s="135" t="s">
        <v>249</v>
      </c>
      <c r="H48" s="122" t="s">
        <v>249</v>
      </c>
      <c r="I48" s="124" t="s">
        <v>249</v>
      </c>
      <c r="J48" s="124">
        <v>0</v>
      </c>
      <c r="K48" s="137"/>
      <c r="L48" s="121">
        <v>0</v>
      </c>
      <c r="M48" s="121">
        <v>0</v>
      </c>
    </row>
    <row r="49" spans="1:18" s="119" customFormat="1" x14ac:dyDescent="0.25">
      <c r="A49" s="92" t="s">
        <v>2459</v>
      </c>
      <c r="B49" s="131" t="s">
        <v>249</v>
      </c>
      <c r="C49" s="131" t="s">
        <v>249</v>
      </c>
      <c r="D49" s="131" t="s">
        <v>249</v>
      </c>
      <c r="E49" s="131" t="s">
        <v>249</v>
      </c>
      <c r="F49" s="131" t="s">
        <v>249</v>
      </c>
      <c r="G49" s="135" t="s">
        <v>249</v>
      </c>
      <c r="H49" s="122" t="s">
        <v>249</v>
      </c>
      <c r="I49" s="124" t="s">
        <v>249</v>
      </c>
      <c r="J49" s="124">
        <v>0</v>
      </c>
      <c r="K49" s="137"/>
      <c r="L49" s="121">
        <v>0</v>
      </c>
      <c r="M49" s="121">
        <v>0</v>
      </c>
    </row>
    <row r="50" spans="1:18" s="119" customFormat="1" x14ac:dyDescent="0.25">
      <c r="A50" s="92" t="s">
        <v>141</v>
      </c>
      <c r="B50" s="131" t="s">
        <v>249</v>
      </c>
      <c r="C50" s="131" t="s">
        <v>249</v>
      </c>
      <c r="D50" s="131" t="s">
        <v>249</v>
      </c>
      <c r="E50" s="131" t="s">
        <v>249</v>
      </c>
      <c r="F50" s="131" t="s">
        <v>249</v>
      </c>
      <c r="G50" s="135" t="s">
        <v>249</v>
      </c>
      <c r="H50" s="122" t="s">
        <v>249</v>
      </c>
      <c r="I50" s="124" t="s">
        <v>249</v>
      </c>
      <c r="J50" s="124">
        <v>0</v>
      </c>
      <c r="K50" s="137"/>
      <c r="L50" s="121">
        <v>0</v>
      </c>
      <c r="M50" s="121">
        <v>0</v>
      </c>
    </row>
    <row r="51" spans="1:18" s="119" customFormat="1" x14ac:dyDescent="0.25">
      <c r="A51" s="92" t="s">
        <v>544</v>
      </c>
      <c r="B51" s="131" t="s">
        <v>249</v>
      </c>
      <c r="C51" s="131" t="s">
        <v>249</v>
      </c>
      <c r="D51" s="131" t="s">
        <v>249</v>
      </c>
      <c r="E51" s="131" t="s">
        <v>249</v>
      </c>
      <c r="F51" s="131" t="s">
        <v>249</v>
      </c>
      <c r="G51" s="135" t="s">
        <v>249</v>
      </c>
      <c r="H51" s="122" t="s">
        <v>249</v>
      </c>
      <c r="I51" s="124" t="s">
        <v>249</v>
      </c>
      <c r="J51" s="124">
        <v>8297.0565404000008</v>
      </c>
      <c r="K51" s="137"/>
      <c r="L51" s="121">
        <v>0.66380909556995016</v>
      </c>
      <c r="M51" s="121">
        <v>3.4177074446127893E-2</v>
      </c>
    </row>
    <row r="52" spans="1:18" s="119" customFormat="1" x14ac:dyDescent="0.25">
      <c r="A52" s="92" t="s">
        <v>2460</v>
      </c>
      <c r="B52" s="131" t="s">
        <v>249</v>
      </c>
      <c r="C52" s="131" t="s">
        <v>249</v>
      </c>
      <c r="D52" s="131" t="s">
        <v>249</v>
      </c>
      <c r="E52" s="131" t="s">
        <v>249</v>
      </c>
      <c r="F52" s="131" t="s">
        <v>249</v>
      </c>
      <c r="G52" s="135" t="s">
        <v>249</v>
      </c>
      <c r="H52" s="122" t="s">
        <v>249</v>
      </c>
      <c r="I52" s="124" t="s">
        <v>249</v>
      </c>
      <c r="J52" s="124">
        <v>4171.9708100999997</v>
      </c>
      <c r="K52" s="137"/>
      <c r="L52" s="121">
        <v>0.33378007691185391</v>
      </c>
      <c r="M52" s="121">
        <v>1.7185101278939355E-2</v>
      </c>
    </row>
    <row r="53" spans="1:18" x14ac:dyDescent="0.25">
      <c r="A53" s="16" t="s">
        <v>2490</v>
      </c>
      <c r="B53" s="117" t="s">
        <v>2491</v>
      </c>
      <c r="C53" s="117" t="s">
        <v>2265</v>
      </c>
      <c r="D53" s="175" t="s">
        <v>3893</v>
      </c>
      <c r="E53" s="117" t="s">
        <v>2463</v>
      </c>
      <c r="F53" s="117" t="s">
        <v>125</v>
      </c>
      <c r="G53" s="69">
        <v>533.80030408031939</v>
      </c>
      <c r="H53" s="66">
        <v>6110.75</v>
      </c>
      <c r="I53" s="84">
        <v>0</v>
      </c>
      <c r="J53" s="84">
        <v>124.73583000000001</v>
      </c>
      <c r="K53" s="24">
        <v>6.8513745197182701E-6</v>
      </c>
      <c r="L53" s="32">
        <v>9.9795364891505523E-3</v>
      </c>
      <c r="M53" s="32">
        <v>5.1380941268167242E-4</v>
      </c>
      <c r="N53" s="14"/>
      <c r="O53" s="14"/>
      <c r="P53" s="14"/>
      <c r="Q53" s="14"/>
      <c r="R53" s="14"/>
    </row>
    <row r="54" spans="1:18" x14ac:dyDescent="0.25">
      <c r="A54" s="16" t="s">
        <v>2494</v>
      </c>
      <c r="B54" s="117" t="s">
        <v>2495</v>
      </c>
      <c r="C54" s="117" t="s">
        <v>2265</v>
      </c>
      <c r="D54" s="175" t="s">
        <v>3894</v>
      </c>
      <c r="E54" s="117" t="s">
        <v>2463</v>
      </c>
      <c r="F54" s="117" t="s">
        <v>125</v>
      </c>
      <c r="G54" s="69">
        <v>2089.4735914401704</v>
      </c>
      <c r="H54" s="66">
        <v>4497.5</v>
      </c>
      <c r="I54" s="84">
        <v>0</v>
      </c>
      <c r="J54" s="84">
        <v>359.35685999999998</v>
      </c>
      <c r="K54" s="24">
        <v>4.0266739958523102E-5</v>
      </c>
      <c r="L54" s="32">
        <v>2.8750479288882483E-2</v>
      </c>
      <c r="M54" s="32">
        <v>1.4802558108582753E-3</v>
      </c>
      <c r="N54" s="14"/>
      <c r="O54" s="14"/>
      <c r="P54" s="14"/>
      <c r="Q54" s="14"/>
      <c r="R54" s="14"/>
    </row>
    <row r="55" spans="1:18" x14ac:dyDescent="0.25">
      <c r="A55" s="16" t="s">
        <v>2486</v>
      </c>
      <c r="B55" s="117" t="s">
        <v>2487</v>
      </c>
      <c r="C55" s="117" t="s">
        <v>2201</v>
      </c>
      <c r="D55" s="175" t="s">
        <v>3895</v>
      </c>
      <c r="E55" s="117" t="s">
        <v>2463</v>
      </c>
      <c r="F55" s="117" t="s">
        <v>125</v>
      </c>
      <c r="G55" s="69">
        <v>140.54035340711539</v>
      </c>
      <c r="H55" s="66">
        <v>1839</v>
      </c>
      <c r="I55" s="84">
        <v>0</v>
      </c>
      <c r="J55" s="84">
        <v>9.8832699999999996</v>
      </c>
      <c r="K55" s="24">
        <v>2.0626200934137566E-5</v>
      </c>
      <c r="L55" s="32">
        <v>7.9071469358184395E-4</v>
      </c>
      <c r="M55" s="32">
        <v>4.0710974176981808E-5</v>
      </c>
      <c r="N55" s="14"/>
      <c r="O55" s="14"/>
      <c r="P55" s="14"/>
      <c r="Q55" s="14"/>
      <c r="R55" s="14"/>
    </row>
    <row r="56" spans="1:18" x14ac:dyDescent="0.25">
      <c r="A56" s="16" t="s">
        <v>2464</v>
      </c>
      <c r="B56" s="117" t="s">
        <v>2465</v>
      </c>
      <c r="C56" s="117" t="s">
        <v>2265</v>
      </c>
      <c r="D56" s="175" t="s">
        <v>3896</v>
      </c>
      <c r="E56" s="117" t="s">
        <v>2463</v>
      </c>
      <c r="F56" s="117" t="s">
        <v>125</v>
      </c>
      <c r="G56" s="69">
        <v>147.06874032382999</v>
      </c>
      <c r="H56" s="66">
        <v>83576</v>
      </c>
      <c r="I56" s="84">
        <v>0</v>
      </c>
      <c r="J56" s="84">
        <v>470.02378999999996</v>
      </c>
      <c r="K56" s="24">
        <v>6.6974230854837492E-6</v>
      </c>
      <c r="L56" s="32">
        <v>3.760442819896926E-2</v>
      </c>
      <c r="M56" s="32">
        <v>1.9361128834138011E-3</v>
      </c>
      <c r="N56" s="14"/>
      <c r="O56" s="14"/>
      <c r="P56" s="14"/>
      <c r="Q56" s="14"/>
      <c r="R56" s="14"/>
    </row>
    <row r="57" spans="1:18" x14ac:dyDescent="0.25">
      <c r="A57" s="16" t="s">
        <v>2482</v>
      </c>
      <c r="B57" s="117" t="s">
        <v>2483</v>
      </c>
      <c r="C57" s="117" t="s">
        <v>2265</v>
      </c>
      <c r="D57" s="175" t="s">
        <v>3897</v>
      </c>
      <c r="E57" s="117" t="s">
        <v>2463</v>
      </c>
      <c r="F57" s="117" t="s">
        <v>125</v>
      </c>
      <c r="G57" s="69">
        <v>406.98932938404243</v>
      </c>
      <c r="H57" s="66">
        <v>4475</v>
      </c>
      <c r="I57" s="84">
        <v>0</v>
      </c>
      <c r="J57" s="84">
        <v>69.64564</v>
      </c>
      <c r="K57" s="24">
        <v>4.7916849181358898E-5</v>
      </c>
      <c r="L57" s="32">
        <v>5.5720253409965942E-3</v>
      </c>
      <c r="M57" s="32">
        <v>2.8688297006753549E-4</v>
      </c>
      <c r="N57" s="14"/>
      <c r="O57" s="14"/>
      <c r="P57" s="14"/>
      <c r="Q57" s="14"/>
      <c r="R57" s="14"/>
    </row>
    <row r="58" spans="1:18" x14ac:dyDescent="0.25">
      <c r="A58" s="16" t="s">
        <v>2492</v>
      </c>
      <c r="B58" s="117" t="s">
        <v>2493</v>
      </c>
      <c r="C58" s="117" t="s">
        <v>2350</v>
      </c>
      <c r="D58" s="175" t="s">
        <v>3898</v>
      </c>
      <c r="E58" s="117" t="s">
        <v>2463</v>
      </c>
      <c r="F58" s="117" t="s">
        <v>125</v>
      </c>
      <c r="G58" s="69">
        <v>1033.1702100779478</v>
      </c>
      <c r="H58" s="66">
        <v>3647.5</v>
      </c>
      <c r="I58" s="84">
        <v>0</v>
      </c>
      <c r="J58" s="84">
        <v>144.10699</v>
      </c>
      <c r="K58" s="24">
        <v>1.567506067324518E-5</v>
      </c>
      <c r="L58" s="32">
        <v>1.1529333352306661E-2</v>
      </c>
      <c r="M58" s="32">
        <v>5.9360271940487057E-4</v>
      </c>
      <c r="N58" s="14"/>
      <c r="O58" s="14"/>
      <c r="P58" s="14"/>
      <c r="Q58" s="14"/>
      <c r="R58" s="14"/>
    </row>
    <row r="59" spans="1:18" x14ac:dyDescent="0.25">
      <c r="A59" s="16" t="s">
        <v>2470</v>
      </c>
      <c r="B59" s="117" t="s">
        <v>2471</v>
      </c>
      <c r="C59" s="117" t="s">
        <v>218</v>
      </c>
      <c r="D59" s="175" t="s">
        <v>3899</v>
      </c>
      <c r="E59" s="117" t="s">
        <v>2463</v>
      </c>
      <c r="F59" s="117" t="s">
        <v>125</v>
      </c>
      <c r="G59" s="69">
        <v>12119.482696005614</v>
      </c>
      <c r="H59" s="66">
        <v>697.87</v>
      </c>
      <c r="I59" s="84">
        <v>0</v>
      </c>
      <c r="J59" s="84">
        <v>323.42716999999999</v>
      </c>
      <c r="K59" s="24">
        <v>3.2073304390136804E-5</v>
      </c>
      <c r="L59" s="32">
        <v>2.5875911072205143E-2</v>
      </c>
      <c r="M59" s="32">
        <v>1.3322549283794032E-3</v>
      </c>
      <c r="N59" s="14"/>
      <c r="O59" s="14"/>
      <c r="P59" s="14"/>
      <c r="Q59" s="14"/>
      <c r="R59" s="14"/>
    </row>
    <row r="60" spans="1:18" x14ac:dyDescent="0.25">
      <c r="A60" s="16" t="s">
        <v>2474</v>
      </c>
      <c r="B60" s="117" t="s">
        <v>2475</v>
      </c>
      <c r="C60" s="117" t="s">
        <v>218</v>
      </c>
      <c r="D60" s="175" t="s">
        <v>3900</v>
      </c>
      <c r="E60" s="117" t="s">
        <v>2463</v>
      </c>
      <c r="F60" s="117" t="s">
        <v>126</v>
      </c>
      <c r="G60" s="69">
        <v>1009.4804958886318</v>
      </c>
      <c r="H60" s="66">
        <v>3863.0000000000005</v>
      </c>
      <c r="I60" s="84">
        <v>0</v>
      </c>
      <c r="J60" s="84">
        <v>158.05563000000001</v>
      </c>
      <c r="K60" s="24">
        <v>3.6436017798323696E-5</v>
      </c>
      <c r="L60" s="32">
        <v>1.2645299485325738E-2</v>
      </c>
      <c r="M60" s="32">
        <v>6.5105968687049847E-4</v>
      </c>
      <c r="N60" s="14"/>
      <c r="O60" s="14"/>
      <c r="P60" s="14"/>
      <c r="Q60" s="14"/>
      <c r="R60" s="14"/>
    </row>
    <row r="61" spans="1:18" x14ac:dyDescent="0.25">
      <c r="A61" s="16" t="s">
        <v>2480</v>
      </c>
      <c r="B61" s="117" t="s">
        <v>2481</v>
      </c>
      <c r="C61" s="117" t="s">
        <v>2265</v>
      </c>
      <c r="D61" s="175" t="s">
        <v>3901</v>
      </c>
      <c r="E61" s="117" t="s">
        <v>2463</v>
      </c>
      <c r="F61" s="117" t="s">
        <v>2</v>
      </c>
      <c r="G61" s="69">
        <v>538.52279839626328</v>
      </c>
      <c r="H61" s="66">
        <v>14218</v>
      </c>
      <c r="I61" s="84">
        <v>0</v>
      </c>
      <c r="J61" s="84">
        <v>358.17356999999998</v>
      </c>
      <c r="K61" s="24">
        <v>3.9968373878271307E-5</v>
      </c>
      <c r="L61" s="32">
        <v>2.8655809732170134E-2</v>
      </c>
      <c r="M61" s="32">
        <v>1.475381625630726E-3</v>
      </c>
      <c r="N61" s="14"/>
      <c r="O61" s="14"/>
      <c r="P61" s="14"/>
      <c r="Q61" s="14"/>
      <c r="R61" s="14"/>
    </row>
    <row r="62" spans="1:18" x14ac:dyDescent="0.25">
      <c r="A62" s="16" t="s">
        <v>2468</v>
      </c>
      <c r="B62" s="117" t="s">
        <v>2469</v>
      </c>
      <c r="C62" s="117" t="s">
        <v>2265</v>
      </c>
      <c r="D62" s="175" t="s">
        <v>3902</v>
      </c>
      <c r="E62" s="117" t="s">
        <v>2463</v>
      </c>
      <c r="F62" s="117" t="s">
        <v>125</v>
      </c>
      <c r="G62" s="69">
        <v>455.06037620552263</v>
      </c>
      <c r="H62" s="66">
        <v>4440.5</v>
      </c>
      <c r="I62" s="84">
        <v>0</v>
      </c>
      <c r="J62" s="84">
        <v>77.2714</v>
      </c>
      <c r="K62" s="24">
        <v>2.437209928584563E-6</v>
      </c>
      <c r="L62" s="32">
        <v>6.1821271070850127E-3</v>
      </c>
      <c r="M62" s="32">
        <v>3.1829485281887796E-4</v>
      </c>
      <c r="N62" s="14"/>
      <c r="O62" s="14"/>
      <c r="P62" s="14"/>
      <c r="Q62" s="14"/>
      <c r="R62" s="14"/>
    </row>
    <row r="63" spans="1:18" x14ac:dyDescent="0.25">
      <c r="A63" s="16" t="s">
        <v>2476</v>
      </c>
      <c r="B63" s="117" t="s">
        <v>2477</v>
      </c>
      <c r="C63" s="117" t="s">
        <v>2282</v>
      </c>
      <c r="D63" s="175" t="s">
        <v>3903</v>
      </c>
      <c r="E63" s="117" t="s">
        <v>2463</v>
      </c>
      <c r="F63" s="117" t="s">
        <v>422</v>
      </c>
      <c r="G63" s="69">
        <v>906.87735503988699</v>
      </c>
      <c r="H63" s="66">
        <v>242750</v>
      </c>
      <c r="I63" s="84">
        <v>0</v>
      </c>
      <c r="J63" s="84">
        <v>56.489069999999998</v>
      </c>
      <c r="K63" s="24">
        <v>1.1260149372556139E-7</v>
      </c>
      <c r="L63" s="32">
        <v>4.519429063030083E-3</v>
      </c>
      <c r="M63" s="32">
        <v>2.3268868199004153E-4</v>
      </c>
      <c r="N63" s="14"/>
      <c r="O63" s="14"/>
      <c r="P63" s="14"/>
      <c r="Q63" s="14"/>
      <c r="R63" s="14"/>
    </row>
    <row r="64" spans="1:18" x14ac:dyDescent="0.25">
      <c r="A64" s="16" t="s">
        <v>2461</v>
      </c>
      <c r="B64" s="117" t="s">
        <v>2462</v>
      </c>
      <c r="C64" s="117" t="s">
        <v>2201</v>
      </c>
      <c r="D64" s="175" t="s">
        <v>3904</v>
      </c>
      <c r="E64" s="117" t="s">
        <v>2463</v>
      </c>
      <c r="F64" s="117" t="s">
        <v>125</v>
      </c>
      <c r="G64" s="69">
        <v>327.99232225987072</v>
      </c>
      <c r="H64" s="66">
        <v>42748</v>
      </c>
      <c r="I64" s="84">
        <v>1.985678066</v>
      </c>
      <c r="J64" s="84">
        <v>538.14931999999999</v>
      </c>
      <c r="K64" s="24">
        <v>3.4875237033940173E-7</v>
      </c>
      <c r="L64" s="32">
        <v>4.3054836573834132E-2</v>
      </c>
      <c r="M64" s="32">
        <v>2.216734245839719E-3</v>
      </c>
      <c r="N64" s="14"/>
      <c r="O64" s="14"/>
      <c r="P64" s="14"/>
      <c r="Q64" s="14"/>
      <c r="R64" s="14"/>
    </row>
    <row r="65" spans="1:18" x14ac:dyDescent="0.25">
      <c r="A65" s="16" t="s">
        <v>2466</v>
      </c>
      <c r="B65" s="117" t="s">
        <v>2467</v>
      </c>
      <c r="C65" s="117" t="s">
        <v>2201</v>
      </c>
      <c r="D65" s="175" t="s">
        <v>3905</v>
      </c>
      <c r="E65" s="117" t="s">
        <v>2463</v>
      </c>
      <c r="F65" s="117" t="s">
        <v>125</v>
      </c>
      <c r="G65" s="69">
        <v>435.08424901603678</v>
      </c>
      <c r="H65" s="66">
        <v>39270</v>
      </c>
      <c r="I65" s="84">
        <v>2.4831650349999999</v>
      </c>
      <c r="J65" s="84">
        <v>655.84256999999991</v>
      </c>
      <c r="K65" s="24">
        <v>5.2745340076730774E-7</v>
      </c>
      <c r="L65" s="32">
        <v>5.2470928829777899E-2</v>
      </c>
      <c r="M65" s="32">
        <v>2.7015339995199342E-3</v>
      </c>
      <c r="N65" s="14"/>
      <c r="O65" s="14"/>
      <c r="P65" s="14"/>
      <c r="Q65" s="14"/>
      <c r="R65" s="14"/>
    </row>
    <row r="66" spans="1:18" x14ac:dyDescent="0.25">
      <c r="A66" s="16" t="s">
        <v>2478</v>
      </c>
      <c r="B66" s="117" t="s">
        <v>2479</v>
      </c>
      <c r="C66" s="117" t="s">
        <v>2265</v>
      </c>
      <c r="D66" s="175" t="s">
        <v>3906</v>
      </c>
      <c r="E66" s="117" t="s">
        <v>2463</v>
      </c>
      <c r="F66" s="117" t="s">
        <v>125</v>
      </c>
      <c r="G66" s="69">
        <v>901.39550645421787</v>
      </c>
      <c r="H66" s="66">
        <v>2456.75</v>
      </c>
      <c r="I66" s="84">
        <v>0</v>
      </c>
      <c r="J66" s="84">
        <v>84.682609999999997</v>
      </c>
      <c r="K66" s="24">
        <v>7.2173368955337556E-5</v>
      </c>
      <c r="L66" s="32">
        <v>6.7750637205966037E-3</v>
      </c>
      <c r="M66" s="32">
        <v>3.4882296536970268E-4</v>
      </c>
      <c r="N66" s="14"/>
      <c r="O66" s="14"/>
      <c r="P66" s="14"/>
      <c r="Q66" s="14"/>
      <c r="R66" s="14"/>
    </row>
    <row r="67" spans="1:18" x14ac:dyDescent="0.25">
      <c r="A67" s="16" t="s">
        <v>2484</v>
      </c>
      <c r="B67" s="117" t="s">
        <v>2485</v>
      </c>
      <c r="C67" s="117" t="s">
        <v>2201</v>
      </c>
      <c r="D67" s="175" t="s">
        <v>3907</v>
      </c>
      <c r="E67" s="117" t="s">
        <v>2463</v>
      </c>
      <c r="F67" s="117" t="s">
        <v>125</v>
      </c>
      <c r="G67" s="69">
        <v>629.61837487892137</v>
      </c>
      <c r="H67" s="66">
        <v>2667</v>
      </c>
      <c r="I67" s="84">
        <v>0</v>
      </c>
      <c r="J67" s="84">
        <v>64.212310000000002</v>
      </c>
      <c r="K67" s="24">
        <v>8.3562562919462458E-6</v>
      </c>
      <c r="L67" s="32">
        <v>5.1373297527875263E-3</v>
      </c>
      <c r="M67" s="32">
        <v>2.6450210246753864E-4</v>
      </c>
      <c r="N67" s="14"/>
      <c r="O67" s="14"/>
      <c r="P67" s="14"/>
      <c r="Q67" s="14"/>
      <c r="R67" s="14"/>
    </row>
    <row r="68" spans="1:18" x14ac:dyDescent="0.25">
      <c r="A68" s="16" t="s">
        <v>2472</v>
      </c>
      <c r="B68" s="117" t="s">
        <v>2473</v>
      </c>
      <c r="C68" s="117" t="s">
        <v>2265</v>
      </c>
      <c r="D68" s="175" t="s">
        <v>3908</v>
      </c>
      <c r="E68" s="117" t="s">
        <v>2463</v>
      </c>
      <c r="F68" s="117" t="s">
        <v>125</v>
      </c>
      <c r="G68" s="69">
        <v>11311.74088281751</v>
      </c>
      <c r="H68" s="66">
        <v>943.75</v>
      </c>
      <c r="I68" s="84">
        <v>0</v>
      </c>
      <c r="J68" s="84">
        <v>408.22942</v>
      </c>
      <c r="K68" s="24">
        <v>1.5065935826867173E-5</v>
      </c>
      <c r="L68" s="32">
        <v>3.2660546635515764E-2</v>
      </c>
      <c r="M68" s="32">
        <v>1.6815707125176446E-3</v>
      </c>
      <c r="N68" s="14"/>
      <c r="O68" s="14"/>
      <c r="P68" s="14"/>
      <c r="Q68" s="14"/>
      <c r="R68" s="14"/>
    </row>
    <row r="69" spans="1:18" x14ac:dyDescent="0.25">
      <c r="A69" s="16" t="s">
        <v>2488</v>
      </c>
      <c r="B69" s="117" t="s">
        <v>2489</v>
      </c>
      <c r="C69" s="117" t="s">
        <v>2265</v>
      </c>
      <c r="D69" s="175" t="s">
        <v>3909</v>
      </c>
      <c r="E69" s="117" t="s">
        <v>2463</v>
      </c>
      <c r="F69" s="117" t="s">
        <v>125</v>
      </c>
      <c r="G69" s="69">
        <v>1449.7772346466168</v>
      </c>
      <c r="H69" s="66">
        <v>4864.5</v>
      </c>
      <c r="I69" s="84">
        <v>0</v>
      </c>
      <c r="J69" s="84">
        <v>269.68536</v>
      </c>
      <c r="K69" s="24">
        <v>1.493766337961767E-5</v>
      </c>
      <c r="L69" s="32">
        <v>2.1576277567637966E-2</v>
      </c>
      <c r="M69" s="32">
        <v>1.1108827065202148E-3</v>
      </c>
      <c r="N69" s="14"/>
      <c r="O69" s="14"/>
      <c r="P69" s="14"/>
      <c r="Q69" s="14"/>
      <c r="R69" s="14"/>
    </row>
    <row r="70" spans="1:18" s="119" customFormat="1" x14ac:dyDescent="0.25">
      <c r="A70" s="92" t="s">
        <v>2496</v>
      </c>
      <c r="B70" s="131" t="s">
        <v>249</v>
      </c>
      <c r="C70" s="131" t="s">
        <v>249</v>
      </c>
      <c r="D70" s="131" t="s">
        <v>249</v>
      </c>
      <c r="E70" s="131" t="s">
        <v>249</v>
      </c>
      <c r="F70" s="131" t="s">
        <v>249</v>
      </c>
      <c r="G70" s="135" t="s">
        <v>249</v>
      </c>
      <c r="H70" s="122" t="s">
        <v>249</v>
      </c>
      <c r="I70" s="124" t="s">
        <v>249</v>
      </c>
      <c r="J70" s="124">
        <v>2461.8546500999996</v>
      </c>
      <c r="K70" s="137"/>
      <c r="L70" s="121">
        <v>0.19696159725443693</v>
      </c>
      <c r="M70" s="121">
        <v>1.0140823946700198E-2</v>
      </c>
    </row>
    <row r="71" spans="1:18" x14ac:dyDescent="0.25">
      <c r="A71" s="16" t="s">
        <v>2502</v>
      </c>
      <c r="B71" s="117" t="s">
        <v>2503</v>
      </c>
      <c r="C71" s="117" t="s">
        <v>2265</v>
      </c>
      <c r="D71" s="175" t="s">
        <v>3910</v>
      </c>
      <c r="E71" s="117" t="s">
        <v>2499</v>
      </c>
      <c r="F71" s="117" t="s">
        <v>125</v>
      </c>
      <c r="G71" s="69">
        <v>23855.932033781384</v>
      </c>
      <c r="H71" s="66">
        <v>547.75</v>
      </c>
      <c r="I71" s="84">
        <v>0</v>
      </c>
      <c r="J71" s="84">
        <v>499.68540000000002</v>
      </c>
      <c r="K71" s="24">
        <v>7.2506911271673951E-5</v>
      </c>
      <c r="L71" s="32">
        <v>3.9977516343105181E-2</v>
      </c>
      <c r="M71" s="32">
        <v>2.0582944122759803E-3</v>
      </c>
      <c r="N71" s="14"/>
      <c r="O71" s="14"/>
      <c r="P71" s="14"/>
      <c r="Q71" s="14"/>
      <c r="R71" s="14"/>
    </row>
    <row r="72" spans="1:18" x14ac:dyDescent="0.25">
      <c r="A72" s="16" t="s">
        <v>2497</v>
      </c>
      <c r="B72" s="117" t="s">
        <v>2498</v>
      </c>
      <c r="C72" s="117" t="s">
        <v>2265</v>
      </c>
      <c r="D72" s="175" t="s">
        <v>3911</v>
      </c>
      <c r="E72" s="117" t="s">
        <v>2499</v>
      </c>
      <c r="F72" s="117" t="s">
        <v>125</v>
      </c>
      <c r="G72" s="69">
        <v>2495.4913172416254</v>
      </c>
      <c r="H72" s="66">
        <v>9625</v>
      </c>
      <c r="I72" s="84">
        <v>0</v>
      </c>
      <c r="J72" s="84">
        <v>918.49053000000004</v>
      </c>
      <c r="K72" s="24">
        <v>3.0277984131291831E-5</v>
      </c>
      <c r="L72" s="32">
        <v>7.348417659203639E-2</v>
      </c>
      <c r="M72" s="32">
        <v>3.7834283843942679E-3</v>
      </c>
      <c r="N72" s="14"/>
      <c r="O72" s="14"/>
      <c r="P72" s="14"/>
      <c r="Q72" s="14"/>
      <c r="R72" s="14"/>
    </row>
    <row r="73" spans="1:18" x14ac:dyDescent="0.25">
      <c r="A73" s="16" t="s">
        <v>2500</v>
      </c>
      <c r="B73" s="117" t="s">
        <v>2501</v>
      </c>
      <c r="C73" s="117" t="s">
        <v>2265</v>
      </c>
      <c r="D73" s="175" t="s">
        <v>3912</v>
      </c>
      <c r="E73" s="117" t="s">
        <v>2499</v>
      </c>
      <c r="F73" s="117" t="s">
        <v>125</v>
      </c>
      <c r="G73" s="69">
        <v>10646.714835750523</v>
      </c>
      <c r="H73" s="66">
        <v>2563.5</v>
      </c>
      <c r="I73" s="84">
        <v>0</v>
      </c>
      <c r="J73" s="84">
        <v>1043.6787199999999</v>
      </c>
      <c r="K73" s="24">
        <v>4.0029416433869931E-5</v>
      </c>
      <c r="L73" s="32">
        <v>8.3499904311294837E-2</v>
      </c>
      <c r="M73" s="32">
        <v>4.2991011496180337E-3</v>
      </c>
      <c r="N73" s="14"/>
      <c r="O73" s="14"/>
      <c r="P73" s="14"/>
      <c r="Q73" s="14"/>
      <c r="R73" s="14"/>
    </row>
    <row r="74" spans="1:18" s="119" customFormat="1" x14ac:dyDescent="0.25">
      <c r="A74" s="92" t="s">
        <v>141</v>
      </c>
      <c r="B74" s="131" t="s">
        <v>249</v>
      </c>
      <c r="C74" s="131" t="s">
        <v>249</v>
      </c>
      <c r="D74" s="131" t="s">
        <v>249</v>
      </c>
      <c r="E74" s="131" t="s">
        <v>249</v>
      </c>
      <c r="F74" s="131" t="s">
        <v>249</v>
      </c>
      <c r="G74" s="135" t="s">
        <v>249</v>
      </c>
      <c r="H74" s="122" t="s">
        <v>249</v>
      </c>
      <c r="I74" s="124" t="s">
        <v>249</v>
      </c>
      <c r="J74" s="124">
        <v>1663.2310800999999</v>
      </c>
      <c r="K74" s="137"/>
      <c r="L74" s="121">
        <v>0.13306742139565861</v>
      </c>
      <c r="M74" s="121">
        <v>6.851149220076418E-3</v>
      </c>
    </row>
    <row r="75" spans="1:18" x14ac:dyDescent="0.25">
      <c r="A75" s="16" t="s">
        <v>2544</v>
      </c>
      <c r="B75" s="117" t="s">
        <v>2545</v>
      </c>
      <c r="C75" s="117" t="s">
        <v>2275</v>
      </c>
      <c r="D75" s="175" t="s">
        <v>3913</v>
      </c>
      <c r="E75" s="117" t="s">
        <v>2463</v>
      </c>
      <c r="F75" s="117" t="s">
        <v>65</v>
      </c>
      <c r="G75" s="69">
        <v>3206.8604284712774</v>
      </c>
      <c r="H75" s="66">
        <v>823</v>
      </c>
      <c r="I75" s="84">
        <v>0</v>
      </c>
      <c r="J75" s="84">
        <v>12.88744</v>
      </c>
      <c r="K75" s="24">
        <v>2.4127559098922358E-6</v>
      </c>
      <c r="L75" s="32">
        <v>1.031064432182304E-3</v>
      </c>
      <c r="M75" s="32">
        <v>5.3085692999118957E-5</v>
      </c>
      <c r="N75" s="14"/>
      <c r="O75" s="14"/>
      <c r="P75" s="14"/>
      <c r="Q75" s="14"/>
      <c r="R75" s="14"/>
    </row>
    <row r="76" spans="1:18" x14ac:dyDescent="0.25">
      <c r="A76" s="16" t="s">
        <v>2524</v>
      </c>
      <c r="B76" s="117" t="s">
        <v>2525</v>
      </c>
      <c r="C76" s="117" t="s">
        <v>2180</v>
      </c>
      <c r="D76" s="175" t="s">
        <v>3914</v>
      </c>
      <c r="E76" s="117" t="s">
        <v>2463</v>
      </c>
      <c r="F76" s="117" t="s">
        <v>125</v>
      </c>
      <c r="G76" s="69">
        <v>782.43515370456828</v>
      </c>
      <c r="H76" s="66">
        <v>1462</v>
      </c>
      <c r="I76" s="84">
        <v>0</v>
      </c>
      <c r="J76" s="84">
        <v>43.743510000000001</v>
      </c>
      <c r="K76" s="24">
        <v>3.6435951988000085E-6</v>
      </c>
      <c r="L76" s="32">
        <v>3.4997157930365484E-3</v>
      </c>
      <c r="M76" s="32">
        <v>1.801874183362941E-4</v>
      </c>
      <c r="N76" s="14"/>
      <c r="O76" s="14"/>
      <c r="P76" s="14"/>
      <c r="Q76" s="14"/>
      <c r="R76" s="14"/>
    </row>
    <row r="77" spans="1:18" x14ac:dyDescent="0.25">
      <c r="A77" s="16" t="s">
        <v>2526</v>
      </c>
      <c r="B77" s="117" t="s">
        <v>2527</v>
      </c>
      <c r="C77" s="117" t="s">
        <v>2265</v>
      </c>
      <c r="D77" s="175" t="s">
        <v>3915</v>
      </c>
      <c r="E77" s="117" t="s">
        <v>2463</v>
      </c>
      <c r="F77" s="117" t="s">
        <v>125</v>
      </c>
      <c r="G77" s="69">
        <v>4083.7228898857647</v>
      </c>
      <c r="H77" s="66">
        <v>891.625</v>
      </c>
      <c r="I77" s="84">
        <v>0</v>
      </c>
      <c r="J77" s="84">
        <v>139.23755</v>
      </c>
      <c r="K77" s="24">
        <v>3.4508260091277368E-5</v>
      </c>
      <c r="L77" s="32">
        <v>1.1139751993352065E-2</v>
      </c>
      <c r="M77" s="32">
        <v>5.7354461656073481E-4</v>
      </c>
      <c r="N77" s="14"/>
      <c r="O77" s="14"/>
      <c r="P77" s="14"/>
      <c r="Q77" s="14"/>
      <c r="R77" s="14"/>
    </row>
    <row r="78" spans="1:18" x14ac:dyDescent="0.25">
      <c r="A78" s="16" t="s">
        <v>2530</v>
      </c>
      <c r="B78" s="117" t="s">
        <v>2531</v>
      </c>
      <c r="C78" s="117" t="s">
        <v>2265</v>
      </c>
      <c r="D78" s="175" t="s">
        <v>3916</v>
      </c>
      <c r="E78" s="117" t="s">
        <v>2463</v>
      </c>
      <c r="F78" s="117" t="s">
        <v>125</v>
      </c>
      <c r="G78" s="69">
        <v>1229.5268654113622</v>
      </c>
      <c r="H78" s="66">
        <v>1003.9999999999999</v>
      </c>
      <c r="I78" s="84">
        <v>0</v>
      </c>
      <c r="J78" s="84">
        <v>47.205179999999999</v>
      </c>
      <c r="K78" s="24">
        <v>5.0189320037146803E-6</v>
      </c>
      <c r="L78" s="32">
        <v>3.776667989357347E-3</v>
      </c>
      <c r="M78" s="32">
        <v>1.9444666228887584E-4</v>
      </c>
      <c r="N78" s="14"/>
      <c r="O78" s="14"/>
      <c r="P78" s="14"/>
      <c r="Q78" s="14"/>
      <c r="R78" s="14"/>
    </row>
    <row r="79" spans="1:18" x14ac:dyDescent="0.25">
      <c r="A79" s="16" t="s">
        <v>2520</v>
      </c>
      <c r="B79" s="117" t="s">
        <v>2521</v>
      </c>
      <c r="C79" s="117" t="s">
        <v>2201</v>
      </c>
      <c r="D79" s="175" t="s">
        <v>3917</v>
      </c>
      <c r="E79" s="117" t="s">
        <v>2463</v>
      </c>
      <c r="F79" s="117" t="s">
        <v>125</v>
      </c>
      <c r="G79" s="69">
        <v>242.22054410016906</v>
      </c>
      <c r="H79" s="66">
        <v>6058</v>
      </c>
      <c r="I79" s="84">
        <v>0</v>
      </c>
      <c r="J79" s="84">
        <v>56.112310000000001</v>
      </c>
      <c r="K79" s="24">
        <v>4.9703734662387608E-6</v>
      </c>
      <c r="L79" s="32">
        <v>4.4892862390503788E-3</v>
      </c>
      <c r="M79" s="32">
        <v>2.3113673950229003E-4</v>
      </c>
      <c r="N79" s="14"/>
      <c r="O79" s="14"/>
      <c r="P79" s="14"/>
      <c r="Q79" s="14"/>
      <c r="R79" s="14"/>
    </row>
    <row r="80" spans="1:18" x14ac:dyDescent="0.25">
      <c r="A80" s="16" t="s">
        <v>2512</v>
      </c>
      <c r="B80" s="117" t="s">
        <v>2513</v>
      </c>
      <c r="C80" s="117" t="s">
        <v>2201</v>
      </c>
      <c r="D80" s="175" t="s">
        <v>3918</v>
      </c>
      <c r="E80" s="117" t="s">
        <v>2463</v>
      </c>
      <c r="F80" s="117" t="s">
        <v>125</v>
      </c>
      <c r="G80" s="69">
        <v>200.11143839169603</v>
      </c>
      <c r="H80" s="66">
        <v>3640.9999999999995</v>
      </c>
      <c r="I80" s="84">
        <v>0</v>
      </c>
      <c r="J80" s="84">
        <v>27.861879999999999</v>
      </c>
      <c r="K80" s="24">
        <v>4.8122424528330651E-6</v>
      </c>
      <c r="L80" s="32">
        <v>2.2291000758670062E-3</v>
      </c>
      <c r="M80" s="32">
        <v>1.1476811593755567E-4</v>
      </c>
      <c r="N80" s="14"/>
      <c r="O80" s="14"/>
      <c r="P80" s="14"/>
      <c r="Q80" s="14"/>
      <c r="R80" s="14"/>
    </row>
    <row r="81" spans="1:18" x14ac:dyDescent="0.25">
      <c r="A81" s="16" t="s">
        <v>2514</v>
      </c>
      <c r="B81" s="117" t="s">
        <v>2515</v>
      </c>
      <c r="C81" s="117" t="s">
        <v>2201</v>
      </c>
      <c r="D81" s="175" t="s">
        <v>3919</v>
      </c>
      <c r="E81" s="117" t="s">
        <v>2463</v>
      </c>
      <c r="F81" s="117" t="s">
        <v>125</v>
      </c>
      <c r="G81" s="69">
        <v>477.41003014732655</v>
      </c>
      <c r="H81" s="66">
        <v>5179</v>
      </c>
      <c r="I81" s="84">
        <v>0</v>
      </c>
      <c r="J81" s="84">
        <v>94.548649999999995</v>
      </c>
      <c r="K81" s="24">
        <v>1.6873561263023731E-5</v>
      </c>
      <c r="L81" s="32">
        <v>7.5643999216177442E-3</v>
      </c>
      <c r="M81" s="32">
        <v>3.8946296606472261E-4</v>
      </c>
      <c r="N81" s="14"/>
      <c r="O81" s="14"/>
      <c r="P81" s="14"/>
      <c r="Q81" s="14"/>
      <c r="R81" s="14"/>
    </row>
    <row r="82" spans="1:18" x14ac:dyDescent="0.25">
      <c r="A82" s="16" t="s">
        <v>2516</v>
      </c>
      <c r="B82" s="117" t="s">
        <v>2517</v>
      </c>
      <c r="C82" s="117" t="s">
        <v>2180</v>
      </c>
      <c r="D82" s="175" t="s">
        <v>3920</v>
      </c>
      <c r="E82" s="117" t="s">
        <v>2463</v>
      </c>
      <c r="F82" s="117" t="s">
        <v>125</v>
      </c>
      <c r="G82" s="69">
        <v>0.98355589552832501</v>
      </c>
      <c r="H82" s="66">
        <v>35827</v>
      </c>
      <c r="I82" s="84">
        <v>2.0142654329999999E-3</v>
      </c>
      <c r="J82" s="84">
        <v>1.34951</v>
      </c>
      <c r="K82" s="24">
        <v>1.7877015365635193E-9</v>
      </c>
      <c r="L82" s="32">
        <v>1.0796804965721205E-4</v>
      </c>
      <c r="M82" s="32">
        <v>5.5588754290410684E-6</v>
      </c>
      <c r="N82" s="14"/>
      <c r="O82" s="14"/>
      <c r="P82" s="14"/>
      <c r="Q82" s="14"/>
      <c r="R82" s="14"/>
    </row>
    <row r="83" spans="1:18" x14ac:dyDescent="0.25">
      <c r="A83" s="16" t="s">
        <v>2518</v>
      </c>
      <c r="B83" s="117" t="s">
        <v>2519</v>
      </c>
      <c r="C83" s="117" t="s">
        <v>2265</v>
      </c>
      <c r="D83" s="175" t="s">
        <v>3921</v>
      </c>
      <c r="E83" s="117" t="s">
        <v>2463</v>
      </c>
      <c r="F83" s="117" t="s">
        <v>125</v>
      </c>
      <c r="G83" s="69">
        <v>20.735085343264476</v>
      </c>
      <c r="H83" s="66">
        <v>61925</v>
      </c>
      <c r="I83" s="84">
        <v>0</v>
      </c>
      <c r="J83" s="84">
        <v>49.100929999999998</v>
      </c>
      <c r="K83" s="24">
        <v>4.1595873415992082E-5</v>
      </c>
      <c r="L83" s="32">
        <v>3.9283381734520626E-3</v>
      </c>
      <c r="M83" s="32">
        <v>2.0225559893595856E-4</v>
      </c>
      <c r="N83" s="14"/>
      <c r="O83" s="14"/>
      <c r="P83" s="14"/>
      <c r="Q83" s="14"/>
      <c r="R83" s="14"/>
    </row>
    <row r="84" spans="1:18" x14ac:dyDescent="0.25">
      <c r="A84" s="16" t="s">
        <v>2528</v>
      </c>
      <c r="B84" s="117" t="s">
        <v>2529</v>
      </c>
      <c r="C84" s="117" t="s">
        <v>2180</v>
      </c>
      <c r="D84" s="175" t="s">
        <v>3922</v>
      </c>
      <c r="E84" s="117" t="s">
        <v>2463</v>
      </c>
      <c r="F84" s="117" t="s">
        <v>125</v>
      </c>
      <c r="G84" s="69">
        <v>865.49116093404757</v>
      </c>
      <c r="H84" s="66">
        <v>14741</v>
      </c>
      <c r="I84" s="84">
        <v>0</v>
      </c>
      <c r="J84" s="84">
        <v>487.87377000000004</v>
      </c>
      <c r="K84" s="24">
        <v>9.0208939685076968E-6</v>
      </c>
      <c r="L84" s="32">
        <v>3.9032522490245539E-2</v>
      </c>
      <c r="M84" s="32">
        <v>2.0096401749721258E-3</v>
      </c>
      <c r="N84" s="14"/>
      <c r="O84" s="14"/>
      <c r="P84" s="14"/>
      <c r="Q84" s="14"/>
      <c r="R84" s="14"/>
    </row>
    <row r="85" spans="1:18" x14ac:dyDescent="0.25">
      <c r="A85" s="16" t="s">
        <v>2542</v>
      </c>
      <c r="B85" s="117" t="s">
        <v>2543</v>
      </c>
      <c r="C85" s="117" t="s">
        <v>2201</v>
      </c>
      <c r="D85" s="175" t="s">
        <v>3923</v>
      </c>
      <c r="E85" s="117" t="s">
        <v>2463</v>
      </c>
      <c r="F85" s="117" t="s">
        <v>125</v>
      </c>
      <c r="G85" s="69">
        <v>118.84904416864134</v>
      </c>
      <c r="H85" s="66">
        <v>2737</v>
      </c>
      <c r="I85" s="84">
        <v>0</v>
      </c>
      <c r="J85" s="84">
        <v>12.439080000000001</v>
      </c>
      <c r="K85" s="24">
        <v>5.7956220084257535E-7</v>
      </c>
      <c r="L85" s="32">
        <v>9.9519322356265115E-4</v>
      </c>
      <c r="M85" s="32">
        <v>5.1238817179477128E-5</v>
      </c>
      <c r="N85" s="14"/>
      <c r="O85" s="14"/>
      <c r="P85" s="14"/>
      <c r="Q85" s="14"/>
      <c r="R85" s="14"/>
    </row>
    <row r="86" spans="1:18" x14ac:dyDescent="0.25">
      <c r="A86" s="16" t="s">
        <v>2536</v>
      </c>
      <c r="B86" s="117" t="s">
        <v>2537</v>
      </c>
      <c r="C86" s="117" t="s">
        <v>2258</v>
      </c>
      <c r="D86" s="175" t="s">
        <v>3924</v>
      </c>
      <c r="E86" s="117" t="s">
        <v>2463</v>
      </c>
      <c r="F86" s="117" t="s">
        <v>126</v>
      </c>
      <c r="G86" s="69">
        <v>191.75695696093166</v>
      </c>
      <c r="H86" s="66">
        <v>13634.800000000001</v>
      </c>
      <c r="I86" s="84">
        <v>0</v>
      </c>
      <c r="J86" s="84">
        <v>105.97105000000001</v>
      </c>
      <c r="K86" s="24">
        <v>3.3780777833590328E-5</v>
      </c>
      <c r="L86" s="32">
        <v>8.4782532835080155E-3</v>
      </c>
      <c r="M86" s="32">
        <v>4.3651389469858136E-4</v>
      </c>
      <c r="N86" s="14"/>
      <c r="O86" s="14"/>
      <c r="P86" s="14"/>
      <c r="Q86" s="14"/>
      <c r="R86" s="14"/>
    </row>
    <row r="87" spans="1:18" x14ac:dyDescent="0.25">
      <c r="A87" s="16" t="s">
        <v>2540</v>
      </c>
      <c r="B87" s="117" t="s">
        <v>2541</v>
      </c>
      <c r="C87" s="117" t="s">
        <v>2282</v>
      </c>
      <c r="D87" s="175" t="s">
        <v>3925</v>
      </c>
      <c r="E87" s="117" t="s">
        <v>2463</v>
      </c>
      <c r="F87" s="117" t="s">
        <v>422</v>
      </c>
      <c r="G87" s="69">
        <v>11449.608641932587</v>
      </c>
      <c r="H87" s="66">
        <v>27360.000000000004</v>
      </c>
      <c r="I87" s="84">
        <v>0</v>
      </c>
      <c r="J87" s="84">
        <v>80.382850000000005</v>
      </c>
      <c r="K87" s="24">
        <v>2.0102887923386514E-5</v>
      </c>
      <c r="L87" s="32">
        <v>6.4310598220007472E-3</v>
      </c>
      <c r="M87" s="32">
        <v>3.3111147733717709E-4</v>
      </c>
      <c r="N87" s="14"/>
      <c r="O87" s="14"/>
      <c r="P87" s="14"/>
      <c r="Q87" s="14"/>
      <c r="R87" s="14"/>
    </row>
    <row r="88" spans="1:18" x14ac:dyDescent="0.25">
      <c r="A88" s="16" t="s">
        <v>2534</v>
      </c>
      <c r="B88" s="117" t="s">
        <v>2535</v>
      </c>
      <c r="C88" s="117" t="s">
        <v>2265</v>
      </c>
      <c r="D88" s="175" t="s">
        <v>3926</v>
      </c>
      <c r="E88" s="117" t="s">
        <v>218</v>
      </c>
      <c r="F88" s="117" t="s">
        <v>125</v>
      </c>
      <c r="G88" s="69">
        <v>202.80779964053264</v>
      </c>
      <c r="H88" s="66">
        <v>3381</v>
      </c>
      <c r="I88" s="84">
        <v>0</v>
      </c>
      <c r="J88" s="84">
        <v>26.22091</v>
      </c>
      <c r="K88" s="24">
        <v>6.5047021652330508E-6</v>
      </c>
      <c r="L88" s="32">
        <v>2.0978136604673462E-3</v>
      </c>
      <c r="M88" s="32">
        <v>1.0800866412705148E-4</v>
      </c>
      <c r="N88" s="14"/>
      <c r="O88" s="14"/>
      <c r="P88" s="14"/>
      <c r="Q88" s="14"/>
      <c r="R88" s="14"/>
    </row>
    <row r="89" spans="1:18" x14ac:dyDescent="0.25">
      <c r="A89" s="16" t="s">
        <v>2538</v>
      </c>
      <c r="B89" s="117" t="s">
        <v>2539</v>
      </c>
      <c r="C89" s="117" t="s">
        <v>2258</v>
      </c>
      <c r="D89" s="175" t="s">
        <v>3927</v>
      </c>
      <c r="E89" s="117" t="s">
        <v>2463</v>
      </c>
      <c r="F89" s="117" t="s">
        <v>126</v>
      </c>
      <c r="G89" s="69">
        <v>101.43182599450505</v>
      </c>
      <c r="H89" s="66">
        <v>20350</v>
      </c>
      <c r="I89" s="84">
        <v>0</v>
      </c>
      <c r="J89" s="84">
        <v>83.661559999999994</v>
      </c>
      <c r="K89" s="24">
        <v>1.8194219209668869E-5</v>
      </c>
      <c r="L89" s="32">
        <v>6.693374235448293E-3</v>
      </c>
      <c r="M89" s="32">
        <v>3.446170760048055E-4</v>
      </c>
      <c r="N89" s="14"/>
      <c r="O89" s="14"/>
      <c r="P89" s="14"/>
      <c r="Q89" s="14"/>
      <c r="R89" s="14"/>
    </row>
    <row r="90" spans="1:18" x14ac:dyDescent="0.25">
      <c r="A90" s="16" t="s">
        <v>2504</v>
      </c>
      <c r="B90" s="117" t="s">
        <v>2505</v>
      </c>
      <c r="C90" s="117" t="s">
        <v>2201</v>
      </c>
      <c r="D90" s="175" t="s">
        <v>3928</v>
      </c>
      <c r="E90" s="117" t="s">
        <v>2463</v>
      </c>
      <c r="F90" s="117" t="s">
        <v>125</v>
      </c>
      <c r="G90" s="69">
        <v>45.293481803580661</v>
      </c>
      <c r="H90" s="66">
        <v>9039</v>
      </c>
      <c r="I90" s="84">
        <v>0</v>
      </c>
      <c r="J90" s="84">
        <v>15.655749999999999</v>
      </c>
      <c r="K90" s="24">
        <v>1.0236235164186243E-7</v>
      </c>
      <c r="L90" s="32">
        <v>1.252544103727203E-3</v>
      </c>
      <c r="M90" s="32">
        <v>6.4488861881875422E-5</v>
      </c>
      <c r="N90" s="14"/>
      <c r="O90" s="14"/>
      <c r="P90" s="14"/>
      <c r="Q90" s="14"/>
      <c r="R90" s="14"/>
    </row>
    <row r="91" spans="1:18" x14ac:dyDescent="0.25">
      <c r="A91" s="16" t="s">
        <v>2506</v>
      </c>
      <c r="B91" s="117" t="s">
        <v>2507</v>
      </c>
      <c r="C91" s="117" t="s">
        <v>2201</v>
      </c>
      <c r="D91" s="175" t="s">
        <v>3929</v>
      </c>
      <c r="E91" s="117" t="s">
        <v>2463</v>
      </c>
      <c r="F91" s="117" t="s">
        <v>125</v>
      </c>
      <c r="G91" s="69">
        <v>126.19580663113182</v>
      </c>
      <c r="H91" s="66">
        <v>12874</v>
      </c>
      <c r="I91" s="84">
        <v>0</v>
      </c>
      <c r="J91" s="84">
        <v>62.126419999999996</v>
      </c>
      <c r="K91" s="24">
        <v>4.251876022588071E-7</v>
      </c>
      <c r="L91" s="32">
        <v>4.9704473472481211E-3</v>
      </c>
      <c r="M91" s="32">
        <v>2.5590994481870132E-4</v>
      </c>
      <c r="N91" s="14"/>
      <c r="O91" s="14"/>
      <c r="P91" s="14"/>
      <c r="Q91" s="14"/>
      <c r="R91" s="14"/>
    </row>
    <row r="92" spans="1:18" x14ac:dyDescent="0.25">
      <c r="A92" s="16" t="s">
        <v>2508</v>
      </c>
      <c r="B92" s="117" t="s">
        <v>2509</v>
      </c>
      <c r="C92" s="117" t="s">
        <v>2201</v>
      </c>
      <c r="D92" s="175" t="s">
        <v>3930</v>
      </c>
      <c r="E92" s="117" t="s">
        <v>2463</v>
      </c>
      <c r="F92" s="117" t="s">
        <v>125</v>
      </c>
      <c r="G92" s="69">
        <v>1759.6611164054495</v>
      </c>
      <c r="H92" s="66">
        <v>3317</v>
      </c>
      <c r="I92" s="84">
        <v>0</v>
      </c>
      <c r="J92" s="84">
        <v>223.19907999999998</v>
      </c>
      <c r="K92" s="24">
        <v>1.9106355023611149E-6</v>
      </c>
      <c r="L92" s="32">
        <v>1.7857125440259091E-2</v>
      </c>
      <c r="M92" s="32">
        <v>9.1939732317401995E-4</v>
      </c>
      <c r="N92" s="14"/>
      <c r="O92" s="14"/>
      <c r="P92" s="14"/>
      <c r="Q92" s="14"/>
      <c r="R92" s="14"/>
    </row>
    <row r="93" spans="1:18" x14ac:dyDescent="0.25">
      <c r="A93" s="16" t="s">
        <v>2510</v>
      </c>
      <c r="B93" s="117" t="s">
        <v>2511</v>
      </c>
      <c r="C93" s="117" t="s">
        <v>2201</v>
      </c>
      <c r="D93" s="175" t="s">
        <v>3931</v>
      </c>
      <c r="E93" s="117" t="s">
        <v>2463</v>
      </c>
      <c r="F93" s="117" t="s">
        <v>125</v>
      </c>
      <c r="G93" s="69">
        <v>51.594102050972332</v>
      </c>
      <c r="H93" s="66">
        <v>7302</v>
      </c>
      <c r="I93" s="84">
        <v>0</v>
      </c>
      <c r="J93" s="84">
        <v>14.406540000000001</v>
      </c>
      <c r="K93" s="24">
        <v>6.7883954653666309E-7</v>
      </c>
      <c r="L93" s="32">
        <v>1.1526005928882423E-3</v>
      </c>
      <c r="M93" s="32">
        <v>5.9343140268317629E-5</v>
      </c>
      <c r="N93" s="14"/>
      <c r="O93" s="14"/>
      <c r="P93" s="14"/>
      <c r="Q93" s="14"/>
      <c r="R93" s="14"/>
    </row>
    <row r="94" spans="1:18" x14ac:dyDescent="0.25">
      <c r="A94" s="16" t="s">
        <v>2532</v>
      </c>
      <c r="B94" s="117" t="s">
        <v>2533</v>
      </c>
      <c r="C94" s="117" t="s">
        <v>2201</v>
      </c>
      <c r="D94" s="175" t="s">
        <v>3932</v>
      </c>
      <c r="E94" s="117" t="s">
        <v>2463</v>
      </c>
      <c r="F94" s="117" t="s">
        <v>125</v>
      </c>
      <c r="G94" s="69">
        <v>229.56741241637476</v>
      </c>
      <c r="H94" s="66">
        <v>3975</v>
      </c>
      <c r="I94" s="84">
        <v>0</v>
      </c>
      <c r="J94" s="84">
        <v>34.895160000000004</v>
      </c>
      <c r="K94" s="24">
        <v>4.592882271006011E-5</v>
      </c>
      <c r="L94" s="32">
        <v>2.7918002591135749E-3</v>
      </c>
      <c r="M94" s="32">
        <v>1.4373946655931171E-4</v>
      </c>
      <c r="N94" s="14"/>
      <c r="O94" s="14"/>
      <c r="P94" s="14"/>
      <c r="Q94" s="14"/>
      <c r="R94" s="14"/>
    </row>
    <row r="95" spans="1:18" x14ac:dyDescent="0.25">
      <c r="A95" s="16" t="s">
        <v>2522</v>
      </c>
      <c r="B95" s="117" t="s">
        <v>2523</v>
      </c>
      <c r="C95" s="117" t="s">
        <v>2201</v>
      </c>
      <c r="D95" s="175" t="s">
        <v>3933</v>
      </c>
      <c r="E95" s="117" t="s">
        <v>2463</v>
      </c>
      <c r="F95" s="117" t="s">
        <v>125</v>
      </c>
      <c r="G95" s="69">
        <v>33.614399232595105</v>
      </c>
      <c r="H95" s="66">
        <v>34504</v>
      </c>
      <c r="I95" s="84">
        <v>0</v>
      </c>
      <c r="J95" s="84">
        <v>44.351949999999995</v>
      </c>
      <c r="K95" s="24">
        <v>4.410425720634339E-6</v>
      </c>
      <c r="L95" s="32">
        <v>3.5483942616165763E-3</v>
      </c>
      <c r="M95" s="32">
        <v>1.8269369258846395E-4</v>
      </c>
      <c r="N95" s="14"/>
      <c r="O95" s="14"/>
      <c r="P95" s="14"/>
      <c r="Q95" s="14"/>
      <c r="R95" s="14"/>
    </row>
    <row r="96" spans="1:18" s="119" customFormat="1" x14ac:dyDescent="0.25">
      <c r="A96" s="92" t="s">
        <v>2459</v>
      </c>
      <c r="B96" s="131" t="s">
        <v>249</v>
      </c>
      <c r="C96" s="131" t="s">
        <v>249</v>
      </c>
      <c r="D96" s="131" t="s">
        <v>249</v>
      </c>
      <c r="E96" s="131" t="s">
        <v>249</v>
      </c>
      <c r="F96" s="131" t="s">
        <v>249</v>
      </c>
      <c r="G96" s="135" t="s">
        <v>249</v>
      </c>
      <c r="H96" s="122" t="s">
        <v>249</v>
      </c>
      <c r="I96" s="124" t="s">
        <v>249</v>
      </c>
      <c r="J96" s="124">
        <v>0</v>
      </c>
      <c r="K96" s="137"/>
      <c r="L96" s="121">
        <v>0</v>
      </c>
      <c r="M96" s="121">
        <v>0</v>
      </c>
    </row>
    <row r="97" spans="1:18" s="119" customFormat="1" x14ac:dyDescent="0.25">
      <c r="A97" s="78" t="s">
        <v>241</v>
      </c>
      <c r="B97" s="125"/>
      <c r="C97" s="125"/>
      <c r="D97" s="125"/>
      <c r="E97" s="125"/>
      <c r="F97" s="125"/>
      <c r="G97" s="126"/>
      <c r="H97" s="126"/>
      <c r="I97" s="126"/>
      <c r="J97" s="126"/>
      <c r="K97" s="127"/>
      <c r="L97" s="127"/>
      <c r="M97" s="128"/>
      <c r="N97" s="148"/>
      <c r="O97" s="148"/>
      <c r="P97" s="148"/>
      <c r="Q97" s="130"/>
      <c r="R97" s="130"/>
    </row>
    <row r="98" spans="1:18" s="119" customFormat="1" x14ac:dyDescent="0.25">
      <c r="A98" s="78" t="s">
        <v>242</v>
      </c>
      <c r="B98" s="125"/>
      <c r="C98" s="125"/>
      <c r="D98" s="125"/>
      <c r="E98" s="125"/>
      <c r="F98" s="125"/>
      <c r="G98" s="126"/>
      <c r="H98" s="126"/>
      <c r="I98" s="126"/>
      <c r="J98" s="126"/>
      <c r="K98" s="127"/>
      <c r="L98" s="127"/>
      <c r="M98" s="128"/>
      <c r="N98" s="148"/>
      <c r="O98" s="148"/>
      <c r="P98" s="148"/>
      <c r="Q98" s="130"/>
      <c r="R98" s="130"/>
    </row>
    <row r="99" spans="1:18" s="119" customFormat="1" x14ac:dyDescent="0.25">
      <c r="A99" s="78" t="s">
        <v>243</v>
      </c>
      <c r="B99" s="125"/>
      <c r="C99" s="125"/>
      <c r="D99" s="125"/>
      <c r="E99" s="125"/>
      <c r="F99" s="125"/>
      <c r="G99" s="126"/>
      <c r="H99" s="126"/>
      <c r="I99" s="126"/>
      <c r="J99" s="126"/>
      <c r="K99" s="127"/>
      <c r="L99" s="127"/>
      <c r="M99" s="128"/>
      <c r="N99" s="148"/>
      <c r="O99" s="148"/>
      <c r="P99" s="148"/>
      <c r="Q99" s="130"/>
      <c r="R99" s="130"/>
    </row>
    <row r="100" spans="1:18" s="119" customFormat="1" x14ac:dyDescent="0.25">
      <c r="A100" s="78" t="s">
        <v>244</v>
      </c>
      <c r="B100" s="125"/>
      <c r="C100" s="125"/>
      <c r="D100" s="125"/>
      <c r="E100" s="125"/>
      <c r="F100" s="125"/>
      <c r="G100" s="126"/>
      <c r="H100" s="126"/>
      <c r="I100" s="126"/>
      <c r="J100" s="126"/>
      <c r="K100" s="127"/>
      <c r="L100" s="127"/>
      <c r="M100" s="128"/>
      <c r="N100" s="148"/>
      <c r="O100" s="148"/>
      <c r="P100" s="148"/>
      <c r="Q100" s="130"/>
      <c r="R100" s="130"/>
    </row>
    <row r="101" spans="1:18" s="119" customFormat="1" x14ac:dyDescent="0.25">
      <c r="A101" s="78" t="s">
        <v>245</v>
      </c>
      <c r="B101" s="125"/>
      <c r="C101" s="125"/>
      <c r="D101" s="125"/>
      <c r="E101" s="125"/>
      <c r="F101" s="125"/>
      <c r="G101" s="126"/>
      <c r="H101" s="126"/>
      <c r="I101" s="126"/>
      <c r="J101" s="126"/>
      <c r="K101" s="127"/>
      <c r="L101" s="127"/>
      <c r="M101" s="128"/>
      <c r="N101" s="148"/>
      <c r="O101" s="148"/>
      <c r="P101" s="148"/>
      <c r="Q101" s="130"/>
      <c r="R101" s="130"/>
    </row>
  </sheetData>
  <mergeCells count="2">
    <mergeCell ref="A5:M5"/>
    <mergeCell ref="A4:M4"/>
  </mergeCells>
  <phoneticPr fontId="3" type="noConversion"/>
  <conditionalFormatting sqref="A9:A96 I9:J96">
    <cfRule type="expression" dxfId="105" priority="143" stopIfTrue="1">
      <formula>#REF!&gt;0</formula>
    </cfRule>
    <cfRule type="expression" dxfId="104" priority="144" stopIfTrue="1">
      <formula>LEFT(#REF!,3)="TIR"</formula>
    </cfRule>
  </conditionalFormatting>
  <conditionalFormatting sqref="B9:F9 L9:M96">
    <cfRule type="expression" dxfId="103" priority="141" stopIfTrue="1">
      <formula>OR(LEFT(#REF!,3)="TIR",LEFT(#REF!,2)="IR")</formula>
    </cfRule>
  </conditionalFormatting>
  <conditionalFormatting sqref="C9:D9 B10:F96">
    <cfRule type="expression" dxfId="102" priority="147" stopIfTrue="1">
      <formula>LEFT(#REF!,3)="TIR"</formula>
    </cfRule>
  </conditionalFormatting>
  <conditionalFormatting sqref="C9:E9">
    <cfRule type="expression" dxfId="101" priority="16" stopIfTrue="1">
      <formula>LEFT($IC9,3)="TIR"</formula>
    </cfRule>
  </conditionalFormatting>
  <conditionalFormatting sqref="M1:M3 G9:H96 K9:K96 M97:M55631">
    <cfRule type="expression" dxfId="100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0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9" customWidth="1"/>
    <col min="7" max="7" width="11.109375" style="59" customWidth="1"/>
    <col min="8" max="8" width="12.6640625" style="59" bestFit="1" customWidth="1"/>
    <col min="9" max="9" width="10.88671875" style="36" bestFit="1" customWidth="1"/>
    <col min="10" max="10" width="11.44140625" style="61" bestFit="1" customWidth="1"/>
    <col min="11" max="11" width="10.44140625" style="63" customWidth="1"/>
    <col min="12" max="12" width="22" style="63" customWidth="1"/>
    <col min="13" max="13" width="25.44140625" style="63" customWidth="1"/>
    <col min="14" max="14" width="20.6640625" style="63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62"/>
      <c r="M1" s="62"/>
      <c r="N1" s="62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62"/>
      <c r="M2" s="62"/>
      <c r="N2" s="62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62"/>
      <c r="M3" s="62"/>
      <c r="N3" s="62"/>
      <c r="O3" s="12"/>
      <c r="P3" s="12"/>
      <c r="Q3" s="14"/>
    </row>
    <row r="4" spans="1:19" s="7" customFormat="1" ht="15.75" customHeight="1" thickBot="1" x14ac:dyDescent="0.3">
      <c r="A4" s="224" t="s">
        <v>11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6"/>
      <c r="O4" s="12"/>
      <c r="P4" s="12"/>
      <c r="Q4" s="12"/>
      <c r="R4" s="12"/>
      <c r="S4" s="12"/>
    </row>
    <row r="5" spans="1:19" s="7" customFormat="1" x14ac:dyDescent="0.25">
      <c r="A5" s="227" t="s">
        <v>22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9"/>
      <c r="O5" s="12"/>
      <c r="P5" s="12"/>
      <c r="Q5" s="12"/>
      <c r="R5" s="12"/>
      <c r="S5" s="12"/>
    </row>
    <row r="6" spans="1:19" s="7" customFormat="1" ht="30.75" customHeight="1" x14ac:dyDescent="0.25">
      <c r="A6" s="86" t="s">
        <v>157</v>
      </c>
      <c r="B6" s="206" t="s">
        <v>69</v>
      </c>
      <c r="C6" s="206" t="s">
        <v>76</v>
      </c>
      <c r="D6" s="206" t="s">
        <v>74</v>
      </c>
      <c r="E6" s="206" t="s">
        <v>19</v>
      </c>
      <c r="F6" s="206" t="s">
        <v>70</v>
      </c>
      <c r="G6" s="206" t="s">
        <v>5</v>
      </c>
      <c r="H6" s="206" t="s">
        <v>6</v>
      </c>
      <c r="I6" s="207" t="s">
        <v>67</v>
      </c>
      <c r="J6" s="207" t="s">
        <v>68</v>
      </c>
      <c r="K6" s="207" t="s">
        <v>7</v>
      </c>
      <c r="L6" s="89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2"/>
      <c r="H7" s="29"/>
      <c r="I7" s="2" t="s">
        <v>133</v>
      </c>
      <c r="J7" s="48"/>
      <c r="K7" s="2" t="s">
        <v>135</v>
      </c>
      <c r="L7" s="55" t="s">
        <v>9</v>
      </c>
      <c r="M7" s="55" t="s">
        <v>9</v>
      </c>
      <c r="N7" s="54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9" customFormat="1" ht="12.75" customHeight="1" thickBot="1" x14ac:dyDescent="0.3">
      <c r="A9" s="100" t="s">
        <v>54</v>
      </c>
      <c r="B9" s="67"/>
      <c r="C9" s="67"/>
      <c r="D9" s="67"/>
      <c r="E9" s="67"/>
      <c r="F9" s="101"/>
      <c r="G9" s="101"/>
      <c r="H9" s="101"/>
      <c r="I9" s="104"/>
      <c r="J9" s="101"/>
      <c r="K9" s="103">
        <v>9696.0997607999961</v>
      </c>
      <c r="L9" s="67"/>
      <c r="M9" s="67">
        <v>1</v>
      </c>
      <c r="N9" s="81">
        <v>3.9939986156339764E-2</v>
      </c>
    </row>
    <row r="10" spans="1:19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37" t="s">
        <v>249</v>
      </c>
      <c r="F10" s="122" t="s">
        <v>249</v>
      </c>
      <c r="G10" s="122" t="s">
        <v>249</v>
      </c>
      <c r="H10" s="122" t="s">
        <v>249</v>
      </c>
      <c r="I10" s="133" t="s">
        <v>249</v>
      </c>
      <c r="J10" s="122" t="s">
        <v>249</v>
      </c>
      <c r="K10" s="123">
        <v>0</v>
      </c>
      <c r="L10" s="121" t="s">
        <v>249</v>
      </c>
      <c r="M10" s="121">
        <v>0</v>
      </c>
      <c r="N10" s="121">
        <v>0</v>
      </c>
    </row>
    <row r="11" spans="1:19" s="119" customFormat="1" x14ac:dyDescent="0.25">
      <c r="A11" s="92" t="s">
        <v>58</v>
      </c>
      <c r="B11" s="121" t="s">
        <v>249</v>
      </c>
      <c r="C11" s="121" t="s">
        <v>249</v>
      </c>
      <c r="D11" s="121" t="s">
        <v>249</v>
      </c>
      <c r="E11" s="137" t="s">
        <v>249</v>
      </c>
      <c r="F11" s="122" t="s">
        <v>249</v>
      </c>
      <c r="G11" s="122" t="s">
        <v>249</v>
      </c>
      <c r="H11" s="122" t="s">
        <v>249</v>
      </c>
      <c r="I11" s="135" t="s">
        <v>249</v>
      </c>
      <c r="J11" s="136" t="s">
        <v>249</v>
      </c>
      <c r="K11" s="124">
        <v>0</v>
      </c>
      <c r="L11" s="137"/>
      <c r="M11" s="137">
        <v>0</v>
      </c>
      <c r="N11" s="121">
        <v>0</v>
      </c>
    </row>
    <row r="12" spans="1:19" s="119" customFormat="1" x14ac:dyDescent="0.25">
      <c r="A12" s="92" t="s">
        <v>2546</v>
      </c>
      <c r="B12" s="121" t="s">
        <v>249</v>
      </c>
      <c r="C12" s="121" t="s">
        <v>249</v>
      </c>
      <c r="D12" s="121" t="s">
        <v>249</v>
      </c>
      <c r="E12" s="137" t="s">
        <v>249</v>
      </c>
      <c r="F12" s="122" t="s">
        <v>249</v>
      </c>
      <c r="G12" s="122" t="s">
        <v>249</v>
      </c>
      <c r="H12" s="122" t="s">
        <v>249</v>
      </c>
      <c r="I12" s="135" t="s">
        <v>249</v>
      </c>
      <c r="J12" s="136" t="s">
        <v>249</v>
      </c>
      <c r="K12" s="124">
        <v>0</v>
      </c>
      <c r="L12" s="137"/>
      <c r="M12" s="137">
        <v>0</v>
      </c>
      <c r="N12" s="121">
        <v>0</v>
      </c>
    </row>
    <row r="13" spans="1:19" s="119" customFormat="1" x14ac:dyDescent="0.25">
      <c r="A13" s="92" t="s">
        <v>59</v>
      </c>
      <c r="B13" s="121" t="s">
        <v>249</v>
      </c>
      <c r="C13" s="121" t="s">
        <v>249</v>
      </c>
      <c r="D13" s="121" t="s">
        <v>249</v>
      </c>
      <c r="E13" s="137" t="s">
        <v>249</v>
      </c>
      <c r="F13" s="122" t="s">
        <v>249</v>
      </c>
      <c r="G13" s="122" t="s">
        <v>249</v>
      </c>
      <c r="H13" s="122" t="s">
        <v>249</v>
      </c>
      <c r="I13" s="135" t="s">
        <v>249</v>
      </c>
      <c r="J13" s="136" t="s">
        <v>249</v>
      </c>
      <c r="K13" s="124">
        <v>0</v>
      </c>
      <c r="L13" s="137"/>
      <c r="M13" s="137">
        <v>0</v>
      </c>
      <c r="N13" s="121">
        <v>0</v>
      </c>
    </row>
    <row r="14" spans="1:19" s="119" customFormat="1" x14ac:dyDescent="0.25">
      <c r="A14" s="92" t="s">
        <v>141</v>
      </c>
      <c r="B14" s="121" t="s">
        <v>249</v>
      </c>
      <c r="C14" s="121" t="s">
        <v>249</v>
      </c>
      <c r="D14" s="121" t="s">
        <v>249</v>
      </c>
      <c r="E14" s="137" t="s">
        <v>249</v>
      </c>
      <c r="F14" s="122" t="s">
        <v>249</v>
      </c>
      <c r="G14" s="122" t="s">
        <v>249</v>
      </c>
      <c r="H14" s="122" t="s">
        <v>249</v>
      </c>
      <c r="I14" s="135" t="s">
        <v>249</v>
      </c>
      <c r="J14" s="136" t="s">
        <v>249</v>
      </c>
      <c r="K14" s="124">
        <v>0</v>
      </c>
      <c r="L14" s="137"/>
      <c r="M14" s="137">
        <v>0</v>
      </c>
      <c r="N14" s="121">
        <v>0</v>
      </c>
    </row>
    <row r="15" spans="1:19" s="119" customFormat="1" x14ac:dyDescent="0.25">
      <c r="A15" s="92" t="s">
        <v>544</v>
      </c>
      <c r="B15" s="121" t="s">
        <v>249</v>
      </c>
      <c r="C15" s="121" t="s">
        <v>249</v>
      </c>
      <c r="D15" s="121" t="s">
        <v>249</v>
      </c>
      <c r="E15" s="137" t="s">
        <v>249</v>
      </c>
      <c r="F15" s="122" t="s">
        <v>249</v>
      </c>
      <c r="G15" s="122" t="s">
        <v>249</v>
      </c>
      <c r="H15" s="122" t="s">
        <v>249</v>
      </c>
      <c r="I15" s="135" t="s">
        <v>249</v>
      </c>
      <c r="J15" s="136" t="s">
        <v>249</v>
      </c>
      <c r="K15" s="124">
        <v>9696.0997603999967</v>
      </c>
      <c r="L15" s="137"/>
      <c r="M15" s="137">
        <v>0.99999999995874633</v>
      </c>
      <c r="N15" s="121">
        <v>0</v>
      </c>
    </row>
    <row r="16" spans="1:19" s="119" customFormat="1" x14ac:dyDescent="0.25">
      <c r="A16" s="92" t="s">
        <v>58</v>
      </c>
      <c r="B16" s="121" t="s">
        <v>249</v>
      </c>
      <c r="C16" s="121" t="s">
        <v>249</v>
      </c>
      <c r="D16" s="121" t="s">
        <v>249</v>
      </c>
      <c r="E16" s="137" t="s">
        <v>249</v>
      </c>
      <c r="F16" s="122" t="s">
        <v>249</v>
      </c>
      <c r="G16" s="122" t="s">
        <v>249</v>
      </c>
      <c r="H16" s="122" t="s">
        <v>249</v>
      </c>
      <c r="I16" s="135" t="s">
        <v>249</v>
      </c>
      <c r="J16" s="136" t="s">
        <v>249</v>
      </c>
      <c r="K16" s="124">
        <v>7765.3388801000001</v>
      </c>
      <c r="L16" s="137"/>
      <c r="M16" s="137">
        <v>0.80087242001100289</v>
      </c>
      <c r="N16" s="121">
        <v>3.198683336823379E-2</v>
      </c>
    </row>
    <row r="17" spans="1:16" x14ac:dyDescent="0.25">
      <c r="A17" s="16" t="s">
        <v>2563</v>
      </c>
      <c r="B17" s="32" t="s">
        <v>2564</v>
      </c>
      <c r="C17" s="32" t="s">
        <v>218</v>
      </c>
      <c r="D17" s="219" t="s">
        <v>3934</v>
      </c>
      <c r="E17" s="24" t="s">
        <v>2499</v>
      </c>
      <c r="F17" s="66" t="s">
        <v>573</v>
      </c>
      <c r="G17" s="66" t="s">
        <v>573</v>
      </c>
      <c r="H17" s="66" t="s">
        <v>125</v>
      </c>
      <c r="I17" s="69">
        <v>120.61988106968116</v>
      </c>
      <c r="J17" s="60">
        <v>151187.88400000002</v>
      </c>
      <c r="K17" s="84">
        <v>697.35476000000006</v>
      </c>
      <c r="L17" s="24">
        <v>9.0751168438005638E-8</v>
      </c>
      <c r="M17" s="24">
        <v>7.192116182831676E-2</v>
      </c>
      <c r="N17" s="32">
        <v>2.8725302077708438E-3</v>
      </c>
      <c r="O17" s="14"/>
      <c r="P17" s="14"/>
    </row>
    <row r="18" spans="1:16" x14ac:dyDescent="0.25">
      <c r="A18" s="16" t="s">
        <v>2561</v>
      </c>
      <c r="B18" s="32" t="s">
        <v>2562</v>
      </c>
      <c r="C18" s="32" t="s">
        <v>218</v>
      </c>
      <c r="D18" s="219" t="s">
        <v>3935</v>
      </c>
      <c r="E18" s="24" t="s">
        <v>2499</v>
      </c>
      <c r="F18" s="66" t="s">
        <v>1590</v>
      </c>
      <c r="G18" s="66" t="s">
        <v>262</v>
      </c>
      <c r="H18" s="66" t="s">
        <v>125</v>
      </c>
      <c r="I18" s="69">
        <v>171.54827529910207</v>
      </c>
      <c r="J18" s="60">
        <v>161214</v>
      </c>
      <c r="K18" s="84">
        <v>1057.5648100000001</v>
      </c>
      <c r="L18" s="24">
        <v>9.9365096869114829E-5</v>
      </c>
      <c r="M18" s="24">
        <v>0.10907115604107022</v>
      </c>
      <c r="N18" s="32">
        <v>4.356300462336319E-3</v>
      </c>
      <c r="O18" s="14"/>
      <c r="P18" s="14"/>
    </row>
    <row r="19" spans="1:16" x14ac:dyDescent="0.25">
      <c r="A19" s="16" t="s">
        <v>2551</v>
      </c>
      <c r="B19" s="32" t="s">
        <v>2552</v>
      </c>
      <c r="C19" s="32" t="s">
        <v>218</v>
      </c>
      <c r="D19" s="219" t="s">
        <v>3936</v>
      </c>
      <c r="E19" s="24" t="s">
        <v>2499</v>
      </c>
      <c r="F19" s="66" t="s">
        <v>573</v>
      </c>
      <c r="G19" s="66" t="s">
        <v>573</v>
      </c>
      <c r="H19" s="66" t="s">
        <v>125</v>
      </c>
      <c r="I19" s="69">
        <v>16042.444182267593</v>
      </c>
      <c r="J19" s="60">
        <v>1523</v>
      </c>
      <c r="K19" s="84">
        <v>934.30425000000002</v>
      </c>
      <c r="L19" s="24">
        <v>9.0652024931247563E-5</v>
      </c>
      <c r="M19" s="24">
        <v>9.6358770335394459E-2</v>
      </c>
      <c r="N19" s="32">
        <v>3.8485679532375781E-3</v>
      </c>
      <c r="O19" s="14"/>
      <c r="P19" s="14"/>
    </row>
    <row r="20" spans="1:16" x14ac:dyDescent="0.25">
      <c r="A20" s="16" t="s">
        <v>2557</v>
      </c>
      <c r="B20" s="32" t="s">
        <v>2558</v>
      </c>
      <c r="C20" s="32" t="s">
        <v>218</v>
      </c>
      <c r="D20" s="219" t="s">
        <v>3937</v>
      </c>
      <c r="E20" s="24" t="s">
        <v>2499</v>
      </c>
      <c r="F20" s="66" t="s">
        <v>573</v>
      </c>
      <c r="G20" s="66" t="s">
        <v>573</v>
      </c>
      <c r="H20" s="66" t="s">
        <v>126</v>
      </c>
      <c r="I20" s="69">
        <v>4953.4564492615727</v>
      </c>
      <c r="J20" s="60">
        <v>2212</v>
      </c>
      <c r="K20" s="84">
        <v>444.10002000000003</v>
      </c>
      <c r="L20" s="24">
        <v>3.6681116218080154E-4</v>
      </c>
      <c r="M20" s="24">
        <v>4.5801923552337566E-2</v>
      </c>
      <c r="N20" s="32">
        <v>1.8293281926140949E-3</v>
      </c>
      <c r="O20" s="14"/>
      <c r="P20" s="14"/>
    </row>
    <row r="21" spans="1:16" x14ac:dyDescent="0.25">
      <c r="A21" s="16" t="s">
        <v>2565</v>
      </c>
      <c r="B21" s="32" t="s">
        <v>2566</v>
      </c>
      <c r="C21" s="32" t="s">
        <v>218</v>
      </c>
      <c r="D21" s="219" t="s">
        <v>3938</v>
      </c>
      <c r="E21" s="24" t="s">
        <v>2499</v>
      </c>
      <c r="F21" s="66" t="s">
        <v>573</v>
      </c>
      <c r="G21" s="66" t="s">
        <v>573</v>
      </c>
      <c r="H21" s="66" t="s">
        <v>126</v>
      </c>
      <c r="I21" s="69">
        <v>1407.2319458129468</v>
      </c>
      <c r="J21" s="60">
        <v>11984</v>
      </c>
      <c r="K21" s="84">
        <v>683.52562999999998</v>
      </c>
      <c r="L21" s="24">
        <v>1.8977474818033678E-4</v>
      </c>
      <c r="M21" s="24">
        <v>7.0494904844461331E-2</v>
      </c>
      <c r="N21" s="32">
        <v>2.8155655235802745E-3</v>
      </c>
      <c r="O21" s="14"/>
      <c r="P21" s="14"/>
    </row>
    <row r="22" spans="1:16" x14ac:dyDescent="0.25">
      <c r="A22" s="16" t="s">
        <v>2559</v>
      </c>
      <c r="B22" s="32" t="s">
        <v>2560</v>
      </c>
      <c r="C22" s="32" t="s">
        <v>218</v>
      </c>
      <c r="D22" s="219" t="s">
        <v>3939</v>
      </c>
      <c r="E22" s="24" t="s">
        <v>2499</v>
      </c>
      <c r="F22" s="66" t="s">
        <v>573</v>
      </c>
      <c r="G22" s="66" t="s">
        <v>573</v>
      </c>
      <c r="H22" s="66" t="s">
        <v>125</v>
      </c>
      <c r="I22" s="69">
        <v>973.00037396209461</v>
      </c>
      <c r="J22" s="60">
        <v>16871</v>
      </c>
      <c r="K22" s="84">
        <v>627.72831000000008</v>
      </c>
      <c r="L22" s="24">
        <v>4.2618042140252487E-5</v>
      </c>
      <c r="M22" s="24">
        <v>6.474028996048696E-2</v>
      </c>
      <c r="N22" s="32">
        <v>2.5857262847792718E-3</v>
      </c>
      <c r="O22" s="14"/>
      <c r="P22" s="14"/>
    </row>
    <row r="23" spans="1:16" x14ac:dyDescent="0.25">
      <c r="A23" s="16" t="s">
        <v>2547</v>
      </c>
      <c r="B23" s="32" t="s">
        <v>2548</v>
      </c>
      <c r="C23" s="32" t="s">
        <v>218</v>
      </c>
      <c r="D23" s="219" t="s">
        <v>3940</v>
      </c>
      <c r="E23" s="24" t="s">
        <v>2499</v>
      </c>
      <c r="F23" s="66" t="s">
        <v>573</v>
      </c>
      <c r="G23" s="66" t="s">
        <v>573</v>
      </c>
      <c r="H23" s="66" t="s">
        <v>125</v>
      </c>
      <c r="I23" s="69">
        <v>2157.691024794683</v>
      </c>
      <c r="J23" s="60">
        <v>6275</v>
      </c>
      <c r="K23" s="84">
        <v>517.75090999999998</v>
      </c>
      <c r="L23" s="24">
        <v>3.3511912974629495E-5</v>
      </c>
      <c r="M23" s="24">
        <v>5.3397853030885262E-2</v>
      </c>
      <c r="N23" s="32">
        <v>2.132709510831823E-3</v>
      </c>
      <c r="O23" s="14"/>
      <c r="P23" s="14"/>
    </row>
    <row r="24" spans="1:16" x14ac:dyDescent="0.25">
      <c r="A24" s="16" t="s">
        <v>2569</v>
      </c>
      <c r="B24" s="32" t="s">
        <v>2570</v>
      </c>
      <c r="C24" s="32" t="s">
        <v>218</v>
      </c>
      <c r="D24" s="219" t="s">
        <v>3941</v>
      </c>
      <c r="E24" s="24" t="s">
        <v>2499</v>
      </c>
      <c r="F24" s="66" t="s">
        <v>573</v>
      </c>
      <c r="G24" s="66" t="s">
        <v>573</v>
      </c>
      <c r="H24" s="66" t="s">
        <v>125</v>
      </c>
      <c r="I24" s="69">
        <v>163.50694989445668</v>
      </c>
      <c r="J24" s="60">
        <v>9727</v>
      </c>
      <c r="K24" s="84">
        <v>60.81812</v>
      </c>
      <c r="L24" s="24">
        <v>1.387673652502728E-4</v>
      </c>
      <c r="M24" s="24">
        <v>6.2724313384108664E-3</v>
      </c>
      <c r="N24" s="32">
        <v>2.505208208227217E-4</v>
      </c>
      <c r="O24" s="14"/>
      <c r="P24" s="14"/>
    </row>
    <row r="25" spans="1:16" x14ac:dyDescent="0.25">
      <c r="A25" s="16" t="s">
        <v>2553</v>
      </c>
      <c r="B25" s="32" t="s">
        <v>2554</v>
      </c>
      <c r="C25" s="32" t="s">
        <v>218</v>
      </c>
      <c r="D25" s="219" t="s">
        <v>3942</v>
      </c>
      <c r="E25" s="24" t="s">
        <v>2499</v>
      </c>
      <c r="F25" s="66" t="s">
        <v>573</v>
      </c>
      <c r="G25" s="66" t="s">
        <v>573</v>
      </c>
      <c r="H25" s="66" t="s">
        <v>125</v>
      </c>
      <c r="I25" s="69">
        <v>913.22652178756368</v>
      </c>
      <c r="J25" s="60">
        <v>34912.990000000005</v>
      </c>
      <c r="K25" s="84">
        <v>1219.2238300000001</v>
      </c>
      <c r="L25" s="24">
        <v>1.094442702863677E-4</v>
      </c>
      <c r="M25" s="24">
        <v>0.12574373821205462</v>
      </c>
      <c r="N25" s="32">
        <v>5.0222031634358736E-3</v>
      </c>
      <c r="O25" s="14"/>
      <c r="P25" s="14"/>
    </row>
    <row r="26" spans="1:16" x14ac:dyDescent="0.25">
      <c r="A26" s="16" t="s">
        <v>2549</v>
      </c>
      <c r="B26" s="32" t="s">
        <v>2550</v>
      </c>
      <c r="C26" s="32" t="s">
        <v>218</v>
      </c>
      <c r="D26" s="219" t="s">
        <v>3943</v>
      </c>
      <c r="E26" s="24" t="s">
        <v>2499</v>
      </c>
      <c r="F26" s="66" t="s">
        <v>573</v>
      </c>
      <c r="G26" s="66" t="s">
        <v>573</v>
      </c>
      <c r="H26" s="66" t="s">
        <v>125</v>
      </c>
      <c r="I26" s="69">
        <v>975.68081576364307</v>
      </c>
      <c r="J26" s="60">
        <v>13296.8</v>
      </c>
      <c r="K26" s="84">
        <v>496.10406999999998</v>
      </c>
      <c r="L26" s="24">
        <v>1.1332325507718875E-4</v>
      </c>
      <c r="M26" s="24">
        <v>5.1165322370720731E-2</v>
      </c>
      <c r="N26" s="32">
        <v>2.0435422671712476E-3</v>
      </c>
      <c r="O26" s="14"/>
      <c r="P26" s="14"/>
    </row>
    <row r="27" spans="1:16" x14ac:dyDescent="0.25">
      <c r="A27" s="16" t="s">
        <v>2567</v>
      </c>
      <c r="B27" s="32" t="s">
        <v>2568</v>
      </c>
      <c r="C27" s="32" t="s">
        <v>218</v>
      </c>
      <c r="D27" s="219" t="s">
        <v>3944</v>
      </c>
      <c r="E27" s="24" t="s">
        <v>2499</v>
      </c>
      <c r="F27" s="66" t="s">
        <v>573</v>
      </c>
      <c r="G27" s="66" t="s">
        <v>573</v>
      </c>
      <c r="H27" s="66" t="s">
        <v>125</v>
      </c>
      <c r="I27" s="69">
        <v>3926.8472392685085</v>
      </c>
      <c r="J27" s="60">
        <v>4575</v>
      </c>
      <c r="K27" s="84">
        <v>686.99406999999997</v>
      </c>
      <c r="L27" s="24">
        <v>5.0338524546837374E-5</v>
      </c>
      <c r="M27" s="24">
        <v>7.0852619810846298E-2</v>
      </c>
      <c r="N27" s="32">
        <v>2.8298526543856064E-3</v>
      </c>
      <c r="O27" s="14"/>
      <c r="P27" s="14"/>
    </row>
    <row r="28" spans="1:16" x14ac:dyDescent="0.25">
      <c r="A28" s="16" t="s">
        <v>2555</v>
      </c>
      <c r="B28" s="32" t="s">
        <v>2556</v>
      </c>
      <c r="C28" s="32" t="s">
        <v>218</v>
      </c>
      <c r="D28" s="219" t="s">
        <v>3945</v>
      </c>
      <c r="E28" s="24" t="s">
        <v>2499</v>
      </c>
      <c r="F28" s="66" t="s">
        <v>573</v>
      </c>
      <c r="G28" s="66" t="s">
        <v>573</v>
      </c>
      <c r="H28" s="66" t="s">
        <v>126</v>
      </c>
      <c r="I28" s="69">
        <v>530.72747670659703</v>
      </c>
      <c r="J28" s="60">
        <v>15799.89</v>
      </c>
      <c r="K28" s="84">
        <v>339.87009999999998</v>
      </c>
      <c r="L28" s="24">
        <v>7.2994903646983873E-5</v>
      </c>
      <c r="M28" s="24">
        <v>3.5052248675704459E-2</v>
      </c>
      <c r="N28" s="32">
        <v>1.399986326856215E-3</v>
      </c>
      <c r="O28" s="14"/>
      <c r="P28" s="14"/>
    </row>
    <row r="29" spans="1:16" s="119" customFormat="1" x14ac:dyDescent="0.25">
      <c r="A29" s="92" t="s">
        <v>2546</v>
      </c>
      <c r="B29" s="121" t="s">
        <v>249</v>
      </c>
      <c r="C29" s="121" t="s">
        <v>249</v>
      </c>
      <c r="D29" s="121" t="s">
        <v>249</v>
      </c>
      <c r="E29" s="137" t="s">
        <v>249</v>
      </c>
      <c r="F29" s="122" t="s">
        <v>249</v>
      </c>
      <c r="G29" s="122" t="s">
        <v>249</v>
      </c>
      <c r="H29" s="122" t="s">
        <v>249</v>
      </c>
      <c r="I29" s="135" t="s">
        <v>249</v>
      </c>
      <c r="J29" s="136" t="s">
        <v>249</v>
      </c>
      <c r="K29" s="124">
        <v>0</v>
      </c>
      <c r="L29" s="137"/>
      <c r="M29" s="137">
        <v>0</v>
      </c>
      <c r="N29" s="121">
        <v>0</v>
      </c>
    </row>
    <row r="30" spans="1:16" s="119" customFormat="1" x14ac:dyDescent="0.25">
      <c r="A30" s="92" t="s">
        <v>59</v>
      </c>
      <c r="B30" s="121" t="s">
        <v>249</v>
      </c>
      <c r="C30" s="121" t="s">
        <v>249</v>
      </c>
      <c r="D30" s="121" t="s">
        <v>249</v>
      </c>
      <c r="E30" s="137" t="s">
        <v>249</v>
      </c>
      <c r="F30" s="122" t="s">
        <v>249</v>
      </c>
      <c r="G30" s="122" t="s">
        <v>249</v>
      </c>
      <c r="H30" s="122" t="s">
        <v>249</v>
      </c>
      <c r="I30" s="135" t="s">
        <v>249</v>
      </c>
      <c r="J30" s="136" t="s">
        <v>249</v>
      </c>
      <c r="K30" s="124">
        <v>360.4657201</v>
      </c>
      <c r="L30" s="137"/>
      <c r="M30" s="137">
        <v>3.7176362557377302E-2</v>
      </c>
      <c r="N30" s="121">
        <v>0</v>
      </c>
    </row>
    <row r="31" spans="1:16" x14ac:dyDescent="0.25">
      <c r="A31" s="16" t="s">
        <v>2583</v>
      </c>
      <c r="B31" s="32" t="s">
        <v>2584</v>
      </c>
      <c r="C31" s="32" t="s">
        <v>218</v>
      </c>
      <c r="D31" s="219" t="s">
        <v>218</v>
      </c>
      <c r="E31" s="24" t="s">
        <v>2463</v>
      </c>
      <c r="F31" s="66" t="s">
        <v>573</v>
      </c>
      <c r="G31" s="66" t="s">
        <v>573</v>
      </c>
      <c r="H31" s="66" t="s">
        <v>125</v>
      </c>
      <c r="I31" s="69">
        <v>7.582451450746353</v>
      </c>
      <c r="J31" s="60">
        <v>106745</v>
      </c>
      <c r="K31" s="84">
        <v>30.951029999999999</v>
      </c>
      <c r="L31" s="24">
        <v>2.2765338970025379E-6</v>
      </c>
      <c r="M31" s="24">
        <v>3.1921113399772118E-3</v>
      </c>
      <c r="N31" s="32">
        <v>1.2749288272818503E-4</v>
      </c>
      <c r="O31" s="14"/>
      <c r="P31" s="14"/>
    </row>
    <row r="32" spans="1:16" x14ac:dyDescent="0.25">
      <c r="A32" s="16" t="s">
        <v>2581</v>
      </c>
      <c r="B32" s="32" t="s">
        <v>2582</v>
      </c>
      <c r="C32" s="32" t="s">
        <v>218</v>
      </c>
      <c r="D32" s="219" t="s">
        <v>3946</v>
      </c>
      <c r="E32" s="24" t="s">
        <v>2463</v>
      </c>
      <c r="F32" s="66" t="s">
        <v>573</v>
      </c>
      <c r="G32" s="66" t="s">
        <v>573</v>
      </c>
      <c r="H32" s="66" t="s">
        <v>125</v>
      </c>
      <c r="I32" s="69">
        <v>13.35663360504212</v>
      </c>
      <c r="J32" s="60">
        <v>111021</v>
      </c>
      <c r="K32" s="84">
        <v>56.704830000000001</v>
      </c>
      <c r="L32" s="24">
        <v>7.298316049218195E-6</v>
      </c>
      <c r="M32" s="24">
        <v>5.8482102493674689E-3</v>
      </c>
      <c r="N32" s="32">
        <v>2.3357743639910105E-4</v>
      </c>
      <c r="O32" s="14"/>
      <c r="P32" s="14"/>
    </row>
    <row r="33" spans="1:16" x14ac:dyDescent="0.25">
      <c r="A33" s="16" t="s">
        <v>2575</v>
      </c>
      <c r="B33" s="32" t="s">
        <v>2576</v>
      </c>
      <c r="C33" s="32" t="s">
        <v>218</v>
      </c>
      <c r="D33" s="219" t="s">
        <v>3947</v>
      </c>
      <c r="E33" s="24" t="s">
        <v>2463</v>
      </c>
      <c r="F33" s="66" t="s">
        <v>573</v>
      </c>
      <c r="G33" s="66" t="s">
        <v>573</v>
      </c>
      <c r="H33" s="66" t="s">
        <v>2</v>
      </c>
      <c r="I33" s="69">
        <v>1451.7253328722343</v>
      </c>
      <c r="J33" s="60">
        <v>815.5100000000001</v>
      </c>
      <c r="K33" s="84">
        <v>55.381500000000003</v>
      </c>
      <c r="L33" s="24">
        <v>8.8519466560053759E-6</v>
      </c>
      <c r="M33" s="24">
        <v>5.7117295991425147E-3</v>
      </c>
      <c r="N33" s="32">
        <v>2.2812640111850816E-4</v>
      </c>
      <c r="O33" s="14"/>
      <c r="P33" s="14"/>
    </row>
    <row r="34" spans="1:16" x14ac:dyDescent="0.25">
      <c r="A34" s="16" t="s">
        <v>2587</v>
      </c>
      <c r="B34" s="32" t="s">
        <v>2588</v>
      </c>
      <c r="C34" s="32" t="s">
        <v>218</v>
      </c>
      <c r="D34" s="219" t="s">
        <v>3948</v>
      </c>
      <c r="E34" s="24" t="s">
        <v>2463</v>
      </c>
      <c r="F34" s="66" t="s">
        <v>573</v>
      </c>
      <c r="G34" s="66" t="s">
        <v>573</v>
      </c>
      <c r="H34" s="66" t="s">
        <v>125</v>
      </c>
      <c r="I34" s="69">
        <v>37.106557418248634</v>
      </c>
      <c r="J34" s="60">
        <v>20511</v>
      </c>
      <c r="K34" s="84">
        <v>29.104179999999999</v>
      </c>
      <c r="L34" s="24">
        <v>4.8702009000862092E-6</v>
      </c>
      <c r="M34" s="24">
        <v>3.0016378459372102E-3</v>
      </c>
      <c r="N34" s="32">
        <v>1.1988537401307769E-4</v>
      </c>
      <c r="O34" s="14"/>
      <c r="P34" s="14"/>
    </row>
    <row r="35" spans="1:16" x14ac:dyDescent="0.25">
      <c r="A35" s="16" t="s">
        <v>2571</v>
      </c>
      <c r="B35" s="32" t="s">
        <v>2572</v>
      </c>
      <c r="C35" s="32" t="s">
        <v>218</v>
      </c>
      <c r="D35" s="219" t="s">
        <v>3949</v>
      </c>
      <c r="E35" s="24" t="s">
        <v>2463</v>
      </c>
      <c r="F35" s="66" t="s">
        <v>573</v>
      </c>
      <c r="G35" s="66" t="s">
        <v>573</v>
      </c>
      <c r="H35" s="66" t="s">
        <v>125</v>
      </c>
      <c r="I35" s="69">
        <v>1.4587326239684471</v>
      </c>
      <c r="J35" s="60">
        <v>116420</v>
      </c>
      <c r="K35" s="84">
        <v>6.4941300000000002</v>
      </c>
      <c r="L35" s="24">
        <v>9.0570757728079414E-5</v>
      </c>
      <c r="M35" s="24">
        <v>6.6976724252104734E-4</v>
      </c>
      <c r="N35" s="32">
        <v>2.6750494394260489E-5</v>
      </c>
      <c r="O35" s="14"/>
      <c r="P35" s="14"/>
    </row>
    <row r="36" spans="1:16" x14ac:dyDescent="0.25">
      <c r="A36" s="16" t="s">
        <v>2579</v>
      </c>
      <c r="B36" s="32" t="s">
        <v>2580</v>
      </c>
      <c r="C36" s="32" t="s">
        <v>218</v>
      </c>
      <c r="D36" s="219" t="s">
        <v>3950</v>
      </c>
      <c r="E36" s="24" t="s">
        <v>2463</v>
      </c>
      <c r="F36" s="66" t="s">
        <v>573</v>
      </c>
      <c r="G36" s="66" t="s">
        <v>573</v>
      </c>
      <c r="H36" s="66" t="s">
        <v>422</v>
      </c>
      <c r="I36" s="69">
        <v>127.23311942177982</v>
      </c>
      <c r="J36" s="60">
        <v>1465200</v>
      </c>
      <c r="K36" s="84">
        <v>47.835879999999996</v>
      </c>
      <c r="L36" s="24">
        <v>1.2189963260638921E-5</v>
      </c>
      <c r="M36" s="24">
        <v>4.9335177215682029E-3</v>
      </c>
      <c r="N36" s="32">
        <v>1.9704462950149095E-4</v>
      </c>
      <c r="O36" s="14"/>
      <c r="P36" s="14"/>
    </row>
    <row r="37" spans="1:16" x14ac:dyDescent="0.25">
      <c r="A37" s="16" t="s">
        <v>2577</v>
      </c>
      <c r="B37" s="32" t="s">
        <v>2578</v>
      </c>
      <c r="C37" s="32" t="s">
        <v>218</v>
      </c>
      <c r="D37" s="219" t="s">
        <v>3951</v>
      </c>
      <c r="E37" s="24" t="s">
        <v>2463</v>
      </c>
      <c r="F37" s="66" t="s">
        <v>573</v>
      </c>
      <c r="G37" s="66" t="s">
        <v>573</v>
      </c>
      <c r="H37" s="66" t="s">
        <v>125</v>
      </c>
      <c r="I37" s="69">
        <v>80.331628699736214</v>
      </c>
      <c r="J37" s="60">
        <v>18120.53</v>
      </c>
      <c r="K37" s="84">
        <v>55.664120000000004</v>
      </c>
      <c r="L37" s="24">
        <v>8.1310526123739917E-5</v>
      </c>
      <c r="M37" s="24">
        <v>5.7408774015550472E-3</v>
      </c>
      <c r="N37" s="32">
        <v>2.2929056394335243E-4</v>
      </c>
      <c r="O37" s="14"/>
      <c r="P37" s="14"/>
    </row>
    <row r="38" spans="1:16" x14ac:dyDescent="0.25">
      <c r="A38" s="16" t="s">
        <v>2573</v>
      </c>
      <c r="B38" s="32" t="s">
        <v>2574</v>
      </c>
      <c r="C38" s="32" t="s">
        <v>218</v>
      </c>
      <c r="D38" s="219" t="s">
        <v>3952</v>
      </c>
      <c r="E38" s="24" t="s">
        <v>2463</v>
      </c>
      <c r="F38" s="66" t="s">
        <v>573</v>
      </c>
      <c r="G38" s="66" t="s">
        <v>573</v>
      </c>
      <c r="H38" s="66" t="s">
        <v>126</v>
      </c>
      <c r="I38" s="69">
        <v>59.95650580066966</v>
      </c>
      <c r="J38" s="60">
        <v>14681</v>
      </c>
      <c r="K38" s="84">
        <v>35.676259999999999</v>
      </c>
      <c r="L38" s="24">
        <v>3.5913045233948348E-5</v>
      </c>
      <c r="M38" s="24">
        <v>3.6794444034326293E-3</v>
      </c>
      <c r="N38" s="32">
        <v>1.4695695853612103E-4</v>
      </c>
      <c r="O38" s="14"/>
      <c r="P38" s="14"/>
    </row>
    <row r="39" spans="1:16" x14ac:dyDescent="0.25">
      <c r="A39" s="16" t="s">
        <v>2585</v>
      </c>
      <c r="B39" s="32" t="s">
        <v>2586</v>
      </c>
      <c r="C39" s="32" t="s">
        <v>218</v>
      </c>
      <c r="D39" s="219" t="s">
        <v>3953</v>
      </c>
      <c r="E39" s="24" t="s">
        <v>2463</v>
      </c>
      <c r="F39" s="66" t="s">
        <v>573</v>
      </c>
      <c r="G39" s="66" t="s">
        <v>573</v>
      </c>
      <c r="H39" s="66" t="s">
        <v>125</v>
      </c>
      <c r="I39" s="69">
        <v>21.374812597101869</v>
      </c>
      <c r="J39" s="60">
        <v>52184.01</v>
      </c>
      <c r="K39" s="84">
        <v>42.653790000000001</v>
      </c>
      <c r="L39" s="24">
        <v>3.8273254266993819E-6</v>
      </c>
      <c r="M39" s="24">
        <v>4.3990667435625441E-3</v>
      </c>
      <c r="N39" s="32">
        <v>1.7569866483870266E-4</v>
      </c>
      <c r="O39" s="14"/>
      <c r="P39" s="14"/>
    </row>
    <row r="40" spans="1:16" s="119" customFormat="1" x14ac:dyDescent="0.25">
      <c r="A40" s="92" t="s">
        <v>141</v>
      </c>
      <c r="B40" s="121" t="s">
        <v>249</v>
      </c>
      <c r="C40" s="121" t="s">
        <v>249</v>
      </c>
      <c r="D40" s="121" t="s">
        <v>249</v>
      </c>
      <c r="E40" s="137" t="s">
        <v>249</v>
      </c>
      <c r="F40" s="122" t="s">
        <v>249</v>
      </c>
      <c r="G40" s="122" t="s">
        <v>249</v>
      </c>
      <c r="H40" s="122" t="s">
        <v>249</v>
      </c>
      <c r="I40" s="135" t="s">
        <v>249</v>
      </c>
      <c r="J40" s="136" t="s">
        <v>249</v>
      </c>
      <c r="K40" s="124">
        <v>1570.2951601</v>
      </c>
      <c r="L40" s="137"/>
      <c r="M40" s="137">
        <v>0.16195121738005297</v>
      </c>
      <c r="N40" s="121">
        <v>6.4683293801616887E-3</v>
      </c>
    </row>
    <row r="41" spans="1:16" x14ac:dyDescent="0.25">
      <c r="A41" s="16" t="s">
        <v>2589</v>
      </c>
      <c r="B41" s="32" t="s">
        <v>2590</v>
      </c>
      <c r="C41" s="32" t="s">
        <v>218</v>
      </c>
      <c r="D41" s="32" t="s">
        <v>1694</v>
      </c>
      <c r="E41" s="24" t="s">
        <v>188</v>
      </c>
      <c r="F41" s="66" t="s">
        <v>549</v>
      </c>
      <c r="G41" s="66" t="s">
        <v>262</v>
      </c>
      <c r="H41" s="66" t="s">
        <v>125</v>
      </c>
      <c r="I41" s="69">
        <v>159814.39911988613</v>
      </c>
      <c r="J41" s="60">
        <v>100</v>
      </c>
      <c r="K41" s="84">
        <v>611.13026000000002</v>
      </c>
      <c r="L41" s="24">
        <v>0</v>
      </c>
      <c r="M41" s="24">
        <v>6.3028462482483519E-2</v>
      </c>
      <c r="N41" s="32">
        <v>2.5173559190057723E-3</v>
      </c>
      <c r="O41" s="14"/>
      <c r="P41" s="14"/>
    </row>
    <row r="42" spans="1:16" x14ac:dyDescent="0.25">
      <c r="A42" s="16" t="s">
        <v>2591</v>
      </c>
      <c r="B42" s="32" t="s">
        <v>2592</v>
      </c>
      <c r="C42" s="32" t="s">
        <v>218</v>
      </c>
      <c r="D42" s="32" t="s">
        <v>1694</v>
      </c>
      <c r="E42" s="24" t="s">
        <v>188</v>
      </c>
      <c r="F42" s="66" t="s">
        <v>549</v>
      </c>
      <c r="G42" s="66" t="s">
        <v>262</v>
      </c>
      <c r="H42" s="66" t="s">
        <v>125</v>
      </c>
      <c r="I42" s="69">
        <v>119860.79936823776</v>
      </c>
      <c r="J42" s="60">
        <v>100</v>
      </c>
      <c r="K42" s="84">
        <v>458.34770000000003</v>
      </c>
      <c r="L42" s="24">
        <v>0</v>
      </c>
      <c r="M42" s="24">
        <v>4.7271347377533905E-2</v>
      </c>
      <c r="N42" s="32">
        <v>1.8880169598502325E-3</v>
      </c>
      <c r="O42" s="14"/>
      <c r="P42" s="14"/>
    </row>
    <row r="43" spans="1:16" x14ac:dyDescent="0.25">
      <c r="A43" s="16" t="s">
        <v>2593</v>
      </c>
      <c r="B43" s="32" t="s">
        <v>2594</v>
      </c>
      <c r="C43" s="32" t="s">
        <v>218</v>
      </c>
      <c r="D43" s="219" t="s">
        <v>3954</v>
      </c>
      <c r="E43" s="24" t="s">
        <v>188</v>
      </c>
      <c r="F43" s="66" t="s">
        <v>549</v>
      </c>
      <c r="G43" s="66" t="s">
        <v>262</v>
      </c>
      <c r="H43" s="66" t="s">
        <v>125</v>
      </c>
      <c r="I43" s="69">
        <v>119860.80025344089</v>
      </c>
      <c r="J43" s="60">
        <v>100</v>
      </c>
      <c r="K43" s="84">
        <v>458.34770000000003</v>
      </c>
      <c r="L43" s="24">
        <v>0</v>
      </c>
      <c r="M43" s="24">
        <v>4.7271347377533905E-2</v>
      </c>
      <c r="N43" s="32">
        <v>1.8880169598502325E-3</v>
      </c>
      <c r="O43" s="14"/>
      <c r="P43" s="14"/>
    </row>
    <row r="44" spans="1:16" x14ac:dyDescent="0.25">
      <c r="A44" s="16" t="s">
        <v>2595</v>
      </c>
      <c r="B44" s="32" t="s">
        <v>2596</v>
      </c>
      <c r="C44" s="32" t="s">
        <v>218</v>
      </c>
      <c r="D44" s="219" t="s">
        <v>3954</v>
      </c>
      <c r="E44" s="24" t="s">
        <v>188</v>
      </c>
      <c r="F44" s="66" t="s">
        <v>431</v>
      </c>
      <c r="G44" s="66" t="s">
        <v>262</v>
      </c>
      <c r="H44" s="66" t="s">
        <v>126</v>
      </c>
      <c r="I44" s="69">
        <v>0.87827061800559802</v>
      </c>
      <c r="J44" s="60">
        <v>988410</v>
      </c>
      <c r="K44" s="84">
        <v>35.184620000000002</v>
      </c>
      <c r="L44" s="24">
        <v>4.8482336614668065E-7</v>
      </c>
      <c r="M44" s="24">
        <v>3.6287394795840077E-3</v>
      </c>
      <c r="N44" s="32">
        <v>1.4493180457954884E-4</v>
      </c>
      <c r="O44" s="14"/>
      <c r="P44" s="14"/>
    </row>
    <row r="45" spans="1:16" x14ac:dyDescent="0.25">
      <c r="A45" s="16" t="s">
        <v>2597</v>
      </c>
      <c r="B45" s="32" t="s">
        <v>2598</v>
      </c>
      <c r="C45" s="32" t="s">
        <v>218</v>
      </c>
      <c r="D45" s="32" t="s">
        <v>1694</v>
      </c>
      <c r="E45" s="24" t="s">
        <v>188</v>
      </c>
      <c r="F45" s="66" t="s">
        <v>1737</v>
      </c>
      <c r="G45" s="66" t="s">
        <v>412</v>
      </c>
      <c r="H45" s="66" t="s">
        <v>2</v>
      </c>
      <c r="I45" s="69">
        <v>1557.2962998466555</v>
      </c>
      <c r="J45" s="60">
        <v>100</v>
      </c>
      <c r="K45" s="84">
        <v>7.2848800000000002</v>
      </c>
      <c r="L45" s="24">
        <v>0</v>
      </c>
      <c r="M45" s="24">
        <v>7.513206526042329E-4</v>
      </c>
      <c r="N45" s="32">
        <v>3.0007736463985224E-5</v>
      </c>
      <c r="O45" s="14"/>
      <c r="P45" s="14"/>
    </row>
    <row r="46" spans="1:16" s="119" customFormat="1" x14ac:dyDescent="0.25">
      <c r="A46" s="78" t="s">
        <v>241</v>
      </c>
      <c r="B46" s="125"/>
      <c r="C46" s="125"/>
      <c r="D46" s="125"/>
      <c r="E46" s="125"/>
      <c r="F46" s="126"/>
      <c r="G46" s="126"/>
      <c r="H46" s="126"/>
      <c r="I46" s="127"/>
      <c r="J46" s="128"/>
      <c r="K46" s="129"/>
      <c r="L46" s="129"/>
      <c r="M46" s="129"/>
      <c r="N46" s="129"/>
      <c r="O46" s="130"/>
      <c r="P46" s="130"/>
    </row>
    <row r="47" spans="1:16" s="119" customFormat="1" x14ac:dyDescent="0.25">
      <c r="A47" s="78" t="s">
        <v>242</v>
      </c>
      <c r="B47" s="125"/>
      <c r="C47" s="125"/>
      <c r="D47" s="125"/>
      <c r="E47" s="125"/>
      <c r="F47" s="126"/>
      <c r="G47" s="126"/>
      <c r="H47" s="126"/>
      <c r="I47" s="127"/>
      <c r="J47" s="128"/>
      <c r="K47" s="129"/>
      <c r="L47" s="129"/>
      <c r="M47" s="129"/>
      <c r="N47" s="129"/>
      <c r="O47" s="130"/>
      <c r="P47" s="130"/>
    </row>
    <row r="48" spans="1:16" s="119" customFormat="1" x14ac:dyDescent="0.25">
      <c r="A48" s="78" t="s">
        <v>243</v>
      </c>
      <c r="B48" s="125"/>
      <c r="C48" s="125"/>
      <c r="D48" s="125"/>
      <c r="E48" s="125"/>
      <c r="F48" s="126"/>
      <c r="G48" s="126"/>
      <c r="H48" s="126"/>
      <c r="I48" s="127"/>
      <c r="J48" s="128"/>
      <c r="K48" s="129"/>
      <c r="L48" s="129"/>
      <c r="M48" s="129"/>
      <c r="N48" s="129"/>
      <c r="O48" s="130"/>
      <c r="P48" s="130"/>
    </row>
    <row r="49" spans="1:16" s="119" customFormat="1" x14ac:dyDescent="0.25">
      <c r="A49" s="78" t="s">
        <v>244</v>
      </c>
      <c r="B49" s="125"/>
      <c r="C49" s="125"/>
      <c r="D49" s="125"/>
      <c r="E49" s="125"/>
      <c r="F49" s="126"/>
      <c r="G49" s="126"/>
      <c r="H49" s="126"/>
      <c r="I49" s="127"/>
      <c r="J49" s="128"/>
      <c r="K49" s="129"/>
      <c r="L49" s="129"/>
      <c r="M49" s="129"/>
      <c r="N49" s="129"/>
      <c r="O49" s="130"/>
      <c r="P49" s="130"/>
    </row>
    <row r="50" spans="1:16" s="119" customFormat="1" x14ac:dyDescent="0.25">
      <c r="A50" s="78" t="s">
        <v>245</v>
      </c>
      <c r="B50" s="125"/>
      <c r="C50" s="125"/>
      <c r="D50" s="125"/>
      <c r="E50" s="125"/>
      <c r="F50" s="126"/>
      <c r="G50" s="126"/>
      <c r="H50" s="126"/>
      <c r="I50" s="127"/>
      <c r="J50" s="128"/>
      <c r="K50" s="129"/>
      <c r="L50" s="129"/>
      <c r="M50" s="129"/>
      <c r="N50" s="129"/>
      <c r="O50" s="130"/>
      <c r="P50" s="130"/>
    </row>
  </sheetData>
  <mergeCells count="2">
    <mergeCell ref="A5:N5"/>
    <mergeCell ref="A4:N4"/>
  </mergeCells>
  <phoneticPr fontId="3" type="noConversion"/>
  <conditionalFormatting sqref="A9:A45 K9:K45">
    <cfRule type="expression" dxfId="99" priority="165" stopIfTrue="1">
      <formula>#REF!&gt;0</formula>
    </cfRule>
    <cfRule type="expression" dxfId="98" priority="166" stopIfTrue="1">
      <formula>LEFT(#REF!,3)="TIR"</formula>
    </cfRule>
  </conditionalFormatting>
  <conditionalFormatting sqref="B9:H45 M9:N45">
    <cfRule type="expression" dxfId="97" priority="163" stopIfTrue="1">
      <formula>OR(LEFT(#REF!,3)="TIR",LEFT(#REF!,2)="IR")</formula>
    </cfRule>
  </conditionalFormatting>
  <conditionalFormatting sqref="C9:D45">
    <cfRule type="expression" dxfId="96" priority="9" stopIfTrue="1">
      <formula>LEFT($IB9,3)="TIR"</formula>
    </cfRule>
    <cfRule type="expression" dxfId="95" priority="169" stopIfTrue="1">
      <formula>LEFT(#REF!,3)="TIR"</formula>
    </cfRule>
  </conditionalFormatting>
  <conditionalFormatting sqref="J1:J3 I9:J45 L9:L45 J46:J55580">
    <cfRule type="expression" dxfId="94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35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5.44140625" style="8" bestFit="1" customWidth="1"/>
    <col min="3" max="3" width="11.6640625" style="8" customWidth="1"/>
    <col min="4" max="4" width="30.33203125" style="8" bestFit="1" customWidth="1"/>
    <col min="5" max="5" width="11.88671875" style="59" bestFit="1" customWidth="1"/>
    <col min="6" max="6" width="10.109375" style="59" customWidth="1"/>
    <col min="7" max="7" width="8.5546875" style="59" bestFit="1" customWidth="1"/>
    <col min="8" max="8" width="9.88671875" style="36" customWidth="1"/>
    <col min="9" max="9" width="20.88671875" style="61" customWidth="1"/>
    <col min="10" max="10" width="24" style="61" customWidth="1"/>
    <col min="11" max="11" width="19.664062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30" t="s">
        <v>11</v>
      </c>
      <c r="B4" s="231"/>
      <c r="C4" s="231"/>
      <c r="D4" s="231"/>
      <c r="E4" s="231"/>
      <c r="F4" s="231"/>
      <c r="G4" s="231"/>
      <c r="H4" s="231"/>
      <c r="I4" s="231"/>
      <c r="J4" s="232"/>
      <c r="K4" s="233"/>
      <c r="L4" s="13"/>
      <c r="M4" s="13"/>
      <c r="N4" s="12"/>
      <c r="O4" s="12"/>
      <c r="P4" s="14"/>
    </row>
    <row r="5" spans="1:16" s="7" customFormat="1" x14ac:dyDescent="0.25">
      <c r="A5" s="227" t="s">
        <v>23</v>
      </c>
      <c r="B5" s="228"/>
      <c r="C5" s="228"/>
      <c r="D5" s="228"/>
      <c r="E5" s="228"/>
      <c r="F5" s="228"/>
      <c r="G5" s="228"/>
      <c r="H5" s="228"/>
      <c r="I5" s="228"/>
      <c r="J5" s="228"/>
      <c r="K5" s="229"/>
    </row>
    <row r="6" spans="1:16" s="7" customFormat="1" x14ac:dyDescent="0.25">
      <c r="A6" s="86" t="s">
        <v>157</v>
      </c>
      <c r="B6" s="206" t="s">
        <v>69</v>
      </c>
      <c r="C6" s="206" t="s">
        <v>76</v>
      </c>
      <c r="D6" s="206" t="s">
        <v>19</v>
      </c>
      <c r="E6" s="206" t="s">
        <v>6</v>
      </c>
      <c r="F6" s="207" t="s">
        <v>67</v>
      </c>
      <c r="G6" s="207" t="s">
        <v>68</v>
      </c>
      <c r="H6" s="207" t="s">
        <v>7</v>
      </c>
      <c r="I6" s="207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48" t="s">
        <v>9</v>
      </c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55</v>
      </c>
      <c r="B9" s="70"/>
      <c r="C9" s="70"/>
      <c r="D9" s="70"/>
      <c r="E9" s="150"/>
      <c r="F9" s="155"/>
      <c r="G9" s="150"/>
      <c r="H9" s="153">
        <v>10.9942902</v>
      </c>
      <c r="I9" s="70"/>
      <c r="J9" s="83">
        <v>1</v>
      </c>
      <c r="K9" s="82">
        <v>4.5287467045466139E-5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10.328550100000001</v>
      </c>
      <c r="I10" s="121" t="s">
        <v>249</v>
      </c>
      <c r="J10" s="121">
        <v>0.93944674118207294</v>
      </c>
      <c r="K10" s="121">
        <v>4.2545163332253687E-5</v>
      </c>
    </row>
    <row r="11" spans="1:16" s="119" customFormat="1" x14ac:dyDescent="0.25">
      <c r="A11" s="92" t="s">
        <v>2599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22" t="s">
        <v>249</v>
      </c>
      <c r="H11" s="124">
        <v>10.328550100000001</v>
      </c>
      <c r="I11" s="137"/>
      <c r="J11" s="121">
        <v>0.93944674118207294</v>
      </c>
      <c r="K11" s="121">
        <v>4.2545163332253687E-5</v>
      </c>
    </row>
    <row r="12" spans="1:16" x14ac:dyDescent="0.25">
      <c r="A12" s="16" t="s">
        <v>2602</v>
      </c>
      <c r="B12" s="117" t="s">
        <v>2603</v>
      </c>
      <c r="C12" s="117" t="s">
        <v>456</v>
      </c>
      <c r="D12" s="117" t="s">
        <v>223</v>
      </c>
      <c r="E12" s="117" t="s">
        <v>255</v>
      </c>
      <c r="F12" s="69">
        <v>973.65122050096272</v>
      </c>
      <c r="G12" s="66">
        <v>23.6</v>
      </c>
      <c r="H12" s="84">
        <v>0.22978000000000001</v>
      </c>
      <c r="I12" s="24">
        <v>9.3470442391738501E-5</v>
      </c>
      <c r="J12" s="32">
        <v>2.0899939497685809E-2</v>
      </c>
      <c r="K12" s="32">
        <v>9.4650532125368223E-7</v>
      </c>
      <c r="L12" s="14"/>
      <c r="M12" s="14"/>
      <c r="N12" s="14"/>
      <c r="O12" s="14"/>
    </row>
    <row r="13" spans="1:16" x14ac:dyDescent="0.25">
      <c r="A13" s="16" t="s">
        <v>2608</v>
      </c>
      <c r="B13" s="117" t="s">
        <v>2609</v>
      </c>
      <c r="C13" s="117" t="s">
        <v>456</v>
      </c>
      <c r="D13" s="117" t="s">
        <v>231</v>
      </c>
      <c r="E13" s="117" t="s">
        <v>255</v>
      </c>
      <c r="F13" s="69">
        <v>577.807275108976</v>
      </c>
      <c r="G13" s="66">
        <v>430</v>
      </c>
      <c r="H13" s="84">
        <v>2.4845700000000002</v>
      </c>
      <c r="I13" s="24">
        <v>1.284332969041199E-4</v>
      </c>
      <c r="J13" s="32">
        <v>0.22598730384613644</v>
      </c>
      <c r="K13" s="32">
        <v>1.0234392575625649E-5</v>
      </c>
      <c r="L13" s="14"/>
      <c r="M13" s="14"/>
      <c r="N13" s="14"/>
      <c r="O13" s="14"/>
    </row>
    <row r="14" spans="1:16" x14ac:dyDescent="0.25">
      <c r="A14" s="16" t="s">
        <v>2604</v>
      </c>
      <c r="B14" s="117" t="s">
        <v>2605</v>
      </c>
      <c r="C14" s="117" t="s">
        <v>456</v>
      </c>
      <c r="D14" s="117" t="s">
        <v>225</v>
      </c>
      <c r="E14" s="117" t="s">
        <v>255</v>
      </c>
      <c r="F14" s="69">
        <v>2763.3956336846572</v>
      </c>
      <c r="G14" s="66">
        <v>263.39999999999998</v>
      </c>
      <c r="H14" s="84">
        <v>7.2787799999999994</v>
      </c>
      <c r="I14" s="24">
        <v>2.5563326861097663E-4</v>
      </c>
      <c r="J14" s="32">
        <v>0.66205092530666509</v>
      </c>
      <c r="K14" s="32">
        <v>2.9982609462245959E-5</v>
      </c>
      <c r="L14" s="14"/>
      <c r="M14" s="14"/>
      <c r="N14" s="14"/>
      <c r="O14" s="14"/>
    </row>
    <row r="15" spans="1:16" x14ac:dyDescent="0.25">
      <c r="A15" s="16" t="s">
        <v>2606</v>
      </c>
      <c r="B15" s="117" t="s">
        <v>2607</v>
      </c>
      <c r="C15" s="117" t="s">
        <v>456</v>
      </c>
      <c r="D15" s="117" t="s">
        <v>225</v>
      </c>
      <c r="E15" s="117" t="s">
        <v>255</v>
      </c>
      <c r="F15" s="69">
        <v>306.72808919376695</v>
      </c>
      <c r="G15" s="66">
        <v>109.1</v>
      </c>
      <c r="H15" s="84">
        <v>0.33463999999999999</v>
      </c>
      <c r="I15" s="24">
        <v>3.129878461160887E-5</v>
      </c>
      <c r="J15" s="32">
        <v>3.0437617518955431E-2</v>
      </c>
      <c r="K15" s="32">
        <v>1.378442600332197E-6</v>
      </c>
      <c r="L15" s="14"/>
      <c r="M15" s="14"/>
      <c r="N15" s="14"/>
      <c r="O15" s="14"/>
    </row>
    <row r="16" spans="1:16" x14ac:dyDescent="0.25">
      <c r="A16" s="16" t="s">
        <v>2600</v>
      </c>
      <c r="B16" s="117" t="s">
        <v>2601</v>
      </c>
      <c r="C16" s="117" t="s">
        <v>456</v>
      </c>
      <c r="D16" s="117" t="s">
        <v>198</v>
      </c>
      <c r="E16" s="117" t="s">
        <v>255</v>
      </c>
      <c r="F16" s="69">
        <v>77.754999732073898</v>
      </c>
      <c r="G16" s="66">
        <v>1</v>
      </c>
      <c r="H16" s="84">
        <v>7.7999999999999999E-4</v>
      </c>
      <c r="I16" s="24">
        <v>9.0918019707273207E-5</v>
      </c>
      <c r="J16" s="32">
        <v>7.0945916999716821E-5</v>
      </c>
      <c r="K16" s="32">
        <v>3.2129608781350512E-9</v>
      </c>
      <c r="L16" s="14"/>
      <c r="M16" s="14"/>
      <c r="N16" s="14"/>
      <c r="O16" s="14"/>
    </row>
    <row r="17" spans="1:15" s="119" customFormat="1" x14ac:dyDescent="0.25">
      <c r="A17" s="92" t="s">
        <v>544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5" t="s">
        <v>249</v>
      </c>
      <c r="G17" s="122" t="s">
        <v>249</v>
      </c>
      <c r="H17" s="124">
        <v>0.66574009999999995</v>
      </c>
      <c r="I17" s="137"/>
      <c r="J17" s="121">
        <v>6.0553258817927148E-2</v>
      </c>
      <c r="K17" s="121">
        <v>2.7423037132124573E-6</v>
      </c>
    </row>
    <row r="18" spans="1:15" s="119" customFormat="1" x14ac:dyDescent="0.25">
      <c r="A18" s="92" t="s">
        <v>2610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5" t="s">
        <v>249</v>
      </c>
      <c r="G18" s="122" t="s">
        <v>249</v>
      </c>
      <c r="H18" s="124">
        <v>0.66574009999999995</v>
      </c>
      <c r="I18" s="137"/>
      <c r="J18" s="121">
        <v>6.0553258817927148E-2</v>
      </c>
      <c r="K18" s="121">
        <v>2.7423037132124573E-6</v>
      </c>
    </row>
    <row r="19" spans="1:15" x14ac:dyDescent="0.25">
      <c r="A19" s="16" t="s">
        <v>2611</v>
      </c>
      <c r="B19" s="117" t="s">
        <v>2612</v>
      </c>
      <c r="C19" s="117" t="s">
        <v>2201</v>
      </c>
      <c r="D19" s="117" t="s">
        <v>188</v>
      </c>
      <c r="E19" s="117" t="s">
        <v>125</v>
      </c>
      <c r="F19" s="69">
        <v>30.565494791241292</v>
      </c>
      <c r="G19" s="66">
        <v>4.83</v>
      </c>
      <c r="H19" s="84">
        <v>5.6500000000000005E-3</v>
      </c>
      <c r="I19" s="24">
        <v>0</v>
      </c>
      <c r="J19" s="32">
        <v>5.1390311672871807E-4</v>
      </c>
      <c r="K19" s="32">
        <v>2.3273370463414156E-8</v>
      </c>
      <c r="L19" s="14"/>
      <c r="M19" s="14"/>
      <c r="N19" s="14"/>
      <c r="O19" s="14"/>
    </row>
    <row r="20" spans="1:15" x14ac:dyDescent="0.25">
      <c r="A20" s="16" t="s">
        <v>2613</v>
      </c>
      <c r="B20" s="117" t="s">
        <v>2614</v>
      </c>
      <c r="C20" s="117" t="s">
        <v>2180</v>
      </c>
      <c r="D20" s="117" t="s">
        <v>188</v>
      </c>
      <c r="E20" s="117" t="s">
        <v>125</v>
      </c>
      <c r="F20" s="69">
        <v>231.38994188690469</v>
      </c>
      <c r="G20" s="66">
        <v>23</v>
      </c>
      <c r="H20" s="84">
        <v>0.20351</v>
      </c>
      <c r="I20" s="24">
        <v>2.0138376143333741E-5</v>
      </c>
      <c r="J20" s="32">
        <v>1.8510517395656883E-2</v>
      </c>
      <c r="K20" s="32">
        <v>8.3829444655033886E-7</v>
      </c>
      <c r="L20" s="14"/>
      <c r="M20" s="14"/>
      <c r="N20" s="14"/>
      <c r="O20" s="14"/>
    </row>
    <row r="21" spans="1:15" x14ac:dyDescent="0.25">
      <c r="A21" s="16" t="s">
        <v>2615</v>
      </c>
      <c r="B21" s="117" t="s">
        <v>2616</v>
      </c>
      <c r="C21" s="117" t="s">
        <v>2180</v>
      </c>
      <c r="D21" s="117" t="s">
        <v>188</v>
      </c>
      <c r="E21" s="117" t="s">
        <v>125</v>
      </c>
      <c r="F21" s="69">
        <v>119.98153966010952</v>
      </c>
      <c r="G21" s="66">
        <v>14.000000000000002</v>
      </c>
      <c r="H21" s="84">
        <v>6.4230000000000009E-2</v>
      </c>
      <c r="I21" s="24">
        <v>0</v>
      </c>
      <c r="J21" s="32">
        <v>5.8421233960151428E-3</v>
      </c>
      <c r="K21" s="32">
        <v>2.6457497077258253E-7</v>
      </c>
      <c r="L21" s="14"/>
      <c r="M21" s="14"/>
      <c r="N21" s="14"/>
      <c r="O21" s="14"/>
    </row>
    <row r="22" spans="1:15" x14ac:dyDescent="0.25">
      <c r="A22" s="16" t="s">
        <v>2617</v>
      </c>
      <c r="B22" s="117" t="s">
        <v>2618</v>
      </c>
      <c r="C22" s="117" t="s">
        <v>2180</v>
      </c>
      <c r="D22" s="117" t="s">
        <v>172</v>
      </c>
      <c r="E22" s="117" t="s">
        <v>125</v>
      </c>
      <c r="F22" s="69">
        <v>63.032995641638195</v>
      </c>
      <c r="G22" s="66">
        <v>42.99</v>
      </c>
      <c r="H22" s="84">
        <v>0.10362</v>
      </c>
      <c r="I22" s="24">
        <v>0</v>
      </c>
      <c r="J22" s="32">
        <v>9.4248922045008423E-3</v>
      </c>
      <c r="K22" s="32">
        <v>4.2682949511840265E-7</v>
      </c>
      <c r="L22" s="14"/>
      <c r="M22" s="14"/>
      <c r="N22" s="14"/>
      <c r="O22" s="14"/>
    </row>
    <row r="23" spans="1:15" x14ac:dyDescent="0.25">
      <c r="A23" s="16" t="s">
        <v>2619</v>
      </c>
      <c r="B23" s="117" t="s">
        <v>2620</v>
      </c>
      <c r="C23" s="117" t="s">
        <v>2201</v>
      </c>
      <c r="D23" s="117" t="s">
        <v>188</v>
      </c>
      <c r="E23" s="117" t="s">
        <v>125</v>
      </c>
      <c r="F23" s="69">
        <v>57.723600209411842</v>
      </c>
      <c r="G23" s="66">
        <v>3.02</v>
      </c>
      <c r="H23" s="84">
        <v>6.6699999999999997E-3</v>
      </c>
      <c r="I23" s="24">
        <v>0</v>
      </c>
      <c r="J23" s="32">
        <v>6.0667854665142457E-4</v>
      </c>
      <c r="K23" s="32">
        <v>2.7474934688667682E-8</v>
      </c>
      <c r="L23" s="14"/>
      <c r="M23" s="14"/>
      <c r="N23" s="14"/>
      <c r="O23" s="14"/>
    </row>
    <row r="24" spans="1:15" x14ac:dyDescent="0.25">
      <c r="A24" s="16" t="s">
        <v>2621</v>
      </c>
      <c r="B24" s="117" t="s">
        <v>2622</v>
      </c>
      <c r="C24" s="117" t="s">
        <v>2258</v>
      </c>
      <c r="D24" s="117" t="s">
        <v>172</v>
      </c>
      <c r="E24" s="117" t="s">
        <v>126</v>
      </c>
      <c r="F24" s="69">
        <v>232.89518248416914</v>
      </c>
      <c r="G24" s="66">
        <v>0.4</v>
      </c>
      <c r="H24" s="84">
        <v>3.7799999999999999E-3</v>
      </c>
      <c r="I24" s="24">
        <v>0</v>
      </c>
      <c r="J24" s="32">
        <v>3.4381482853708921E-4</v>
      </c>
      <c r="K24" s="32">
        <v>1.5570502717116017E-8</v>
      </c>
      <c r="L24" s="14"/>
      <c r="M24" s="14"/>
      <c r="N24" s="14"/>
      <c r="O24" s="14"/>
    </row>
    <row r="25" spans="1:15" x14ac:dyDescent="0.25">
      <c r="A25" s="16" t="s">
        <v>2623</v>
      </c>
      <c r="B25" s="117" t="s">
        <v>2624</v>
      </c>
      <c r="C25" s="117" t="s">
        <v>218</v>
      </c>
      <c r="D25" s="117" t="s">
        <v>166</v>
      </c>
      <c r="E25" s="117" t="s">
        <v>2</v>
      </c>
      <c r="F25" s="69">
        <v>41.005922797056861</v>
      </c>
      <c r="G25" s="66">
        <v>20</v>
      </c>
      <c r="H25" s="84">
        <v>3.8359999999999998E-2</v>
      </c>
      <c r="I25" s="24">
        <v>0</v>
      </c>
      <c r="J25" s="32">
        <v>3.4890838155245346E-3</v>
      </c>
      <c r="K25" s="32">
        <v>1.5801176831443663E-7</v>
      </c>
      <c r="L25" s="14"/>
      <c r="M25" s="14"/>
      <c r="N25" s="14"/>
      <c r="O25" s="14"/>
    </row>
    <row r="26" spans="1:15" x14ac:dyDescent="0.25">
      <c r="A26" s="16" t="s">
        <v>2625</v>
      </c>
      <c r="B26" s="117" t="s">
        <v>2626</v>
      </c>
      <c r="C26" s="117" t="s">
        <v>2180</v>
      </c>
      <c r="D26" s="117" t="s">
        <v>188</v>
      </c>
      <c r="E26" s="117" t="s">
        <v>125</v>
      </c>
      <c r="F26" s="69">
        <v>75.628040997925851</v>
      </c>
      <c r="G26" s="66">
        <v>16.989999999999998</v>
      </c>
      <c r="H26" s="84">
        <v>4.9140000000000003E-2</v>
      </c>
      <c r="I26" s="24">
        <v>0</v>
      </c>
      <c r="J26" s="32">
        <v>4.4695927709821597E-3</v>
      </c>
      <c r="K26" s="32">
        <v>2.0241653532250826E-7</v>
      </c>
      <c r="L26" s="14"/>
      <c r="M26" s="14"/>
      <c r="N26" s="14"/>
      <c r="O26" s="14"/>
    </row>
    <row r="27" spans="1:15" x14ac:dyDescent="0.25">
      <c r="A27" s="16" t="s">
        <v>2627</v>
      </c>
      <c r="B27" s="117" t="s">
        <v>2628</v>
      </c>
      <c r="C27" s="117" t="s">
        <v>2201</v>
      </c>
      <c r="D27" s="117" t="s">
        <v>172</v>
      </c>
      <c r="E27" s="117" t="s">
        <v>125</v>
      </c>
      <c r="F27" s="69">
        <v>22.980971169107001</v>
      </c>
      <c r="G27" s="66">
        <v>7.0000000000000009</v>
      </c>
      <c r="H27" s="84">
        <v>6.1500000000000001E-3</v>
      </c>
      <c r="I27" s="24">
        <v>0</v>
      </c>
      <c r="J27" s="32">
        <v>5.593812686516134E-4</v>
      </c>
      <c r="K27" s="32">
        <v>2.5332960769910984E-8</v>
      </c>
      <c r="L27" s="14"/>
      <c r="M27" s="14"/>
      <c r="N27" s="14"/>
      <c r="O27" s="14"/>
    </row>
    <row r="28" spans="1:15" x14ac:dyDescent="0.25">
      <c r="A28" s="16" t="s">
        <v>2629</v>
      </c>
      <c r="B28" s="117" t="s">
        <v>2630</v>
      </c>
      <c r="C28" s="117" t="s">
        <v>2180</v>
      </c>
      <c r="D28" s="117" t="s">
        <v>177</v>
      </c>
      <c r="E28" s="117" t="s">
        <v>125</v>
      </c>
      <c r="F28" s="69">
        <v>137.59919250324998</v>
      </c>
      <c r="G28" s="66">
        <v>26.529999999999998</v>
      </c>
      <c r="H28" s="84">
        <v>0.1396</v>
      </c>
      <c r="I28" s="24">
        <v>0</v>
      </c>
      <c r="J28" s="32">
        <v>1.2697500016872395E-2</v>
      </c>
      <c r="K28" s="32">
        <v>5.7503761357391434E-7</v>
      </c>
      <c r="L28" s="14"/>
      <c r="M28" s="14"/>
      <c r="N28" s="14"/>
      <c r="O28" s="14"/>
    </row>
    <row r="29" spans="1:15" x14ac:dyDescent="0.25">
      <c r="A29" s="16" t="s">
        <v>2631</v>
      </c>
      <c r="B29" s="117" t="s">
        <v>2632</v>
      </c>
      <c r="C29" s="117" t="s">
        <v>2201</v>
      </c>
      <c r="D29" s="117" t="s">
        <v>166</v>
      </c>
      <c r="E29" s="117" t="s">
        <v>125</v>
      </c>
      <c r="F29" s="69">
        <v>73.874435702112763</v>
      </c>
      <c r="G29" s="66">
        <v>15</v>
      </c>
      <c r="H29" s="84">
        <v>4.2369999999999998E-2</v>
      </c>
      <c r="I29" s="24">
        <v>0</v>
      </c>
      <c r="J29" s="32">
        <v>3.8538185939461559E-3</v>
      </c>
      <c r="K29" s="32">
        <v>1.7452968257254117E-7</v>
      </c>
      <c r="L29" s="14"/>
      <c r="M29" s="14"/>
      <c r="N29" s="14"/>
      <c r="O29" s="14"/>
    </row>
    <row r="30" spans="1:15" x14ac:dyDescent="0.25">
      <c r="A30" s="16" t="s">
        <v>2633</v>
      </c>
      <c r="B30" s="117" t="s">
        <v>2634</v>
      </c>
      <c r="C30" s="117" t="s">
        <v>2180</v>
      </c>
      <c r="D30" s="117" t="s">
        <v>170</v>
      </c>
      <c r="E30" s="117" t="s">
        <v>125</v>
      </c>
      <c r="F30" s="69">
        <v>34.901776059202859</v>
      </c>
      <c r="G30" s="66">
        <v>1.9900000000000002</v>
      </c>
      <c r="H30" s="84">
        <v>2.66E-3</v>
      </c>
      <c r="I30" s="24">
        <v>0</v>
      </c>
      <c r="J30" s="32">
        <v>2.4194376822980353E-4</v>
      </c>
      <c r="K30" s="32">
        <v>1.0957020430563124E-8</v>
      </c>
      <c r="L30" s="14"/>
      <c r="M30" s="14"/>
      <c r="N30" s="14"/>
      <c r="O30" s="14"/>
    </row>
    <row r="31" spans="1:15" s="119" customFormat="1" x14ac:dyDescent="0.25">
      <c r="A31" s="78" t="s">
        <v>241</v>
      </c>
      <c r="B31" s="125"/>
      <c r="C31" s="125"/>
      <c r="D31" s="125"/>
      <c r="E31" s="126"/>
      <c r="F31" s="126"/>
      <c r="G31" s="126"/>
      <c r="H31" s="127"/>
      <c r="I31" s="128"/>
      <c r="J31" s="128"/>
      <c r="K31" s="129"/>
      <c r="L31" s="148"/>
      <c r="M31" s="148"/>
      <c r="N31" s="130"/>
      <c r="O31" s="130"/>
    </row>
    <row r="32" spans="1:15" s="119" customFormat="1" x14ac:dyDescent="0.25">
      <c r="A32" s="78" t="s">
        <v>242</v>
      </c>
      <c r="B32" s="125"/>
      <c r="C32" s="125"/>
      <c r="D32" s="125"/>
      <c r="E32" s="126"/>
      <c r="F32" s="126"/>
      <c r="G32" s="126"/>
      <c r="H32" s="127"/>
      <c r="I32" s="128"/>
      <c r="J32" s="128"/>
      <c r="K32" s="129"/>
      <c r="L32" s="148"/>
      <c r="M32" s="148"/>
      <c r="N32" s="130"/>
      <c r="O32" s="130"/>
    </row>
    <row r="33" spans="1:15" s="119" customFormat="1" x14ac:dyDescent="0.25">
      <c r="A33" s="78" t="s">
        <v>243</v>
      </c>
      <c r="B33" s="125"/>
      <c r="C33" s="125"/>
      <c r="D33" s="125"/>
      <c r="E33" s="126"/>
      <c r="F33" s="126"/>
      <c r="G33" s="126"/>
      <c r="H33" s="127"/>
      <c r="I33" s="128"/>
      <c r="J33" s="128"/>
      <c r="K33" s="129"/>
      <c r="L33" s="148"/>
      <c r="M33" s="148"/>
      <c r="N33" s="130"/>
      <c r="O33" s="130"/>
    </row>
    <row r="34" spans="1:15" s="119" customFormat="1" x14ac:dyDescent="0.25">
      <c r="A34" s="78" t="s">
        <v>244</v>
      </c>
      <c r="B34" s="125"/>
      <c r="C34" s="125"/>
      <c r="D34" s="125"/>
      <c r="E34" s="126"/>
      <c r="F34" s="126"/>
      <c r="G34" s="126"/>
      <c r="H34" s="127"/>
      <c r="I34" s="128"/>
      <c r="J34" s="128"/>
      <c r="K34" s="129"/>
      <c r="L34" s="148"/>
      <c r="M34" s="148"/>
      <c r="N34" s="130"/>
      <c r="O34" s="130"/>
    </row>
    <row r="35" spans="1:15" s="119" customFormat="1" x14ac:dyDescent="0.25">
      <c r="A35" s="78" t="s">
        <v>245</v>
      </c>
      <c r="B35" s="125"/>
      <c r="C35" s="125"/>
      <c r="D35" s="125"/>
      <c r="E35" s="126"/>
      <c r="F35" s="126"/>
      <c r="G35" s="126"/>
      <c r="H35" s="127"/>
      <c r="I35" s="128"/>
      <c r="J35" s="128"/>
      <c r="K35" s="129"/>
      <c r="L35" s="148"/>
      <c r="M35" s="148"/>
      <c r="N35" s="130"/>
      <c r="O35" s="130"/>
    </row>
  </sheetData>
  <mergeCells count="2">
    <mergeCell ref="A5:K5"/>
    <mergeCell ref="A4:K4"/>
  </mergeCells>
  <phoneticPr fontId="3" type="noConversion"/>
  <conditionalFormatting sqref="A9:A30 H9:H30">
    <cfRule type="expression" dxfId="93" priority="176" stopIfTrue="1">
      <formula>#REF!&gt;0</formula>
    </cfRule>
  </conditionalFormatting>
  <conditionalFormatting sqref="B10:E30">
    <cfRule type="expression" dxfId="92" priority="179" stopIfTrue="1">
      <formula>LEFT(#REF!,3)="TIR"</formula>
    </cfRule>
  </conditionalFormatting>
  <conditionalFormatting sqref="G10:G30">
    <cfRule type="expression" dxfId="91" priority="178" stopIfTrue="1">
      <formula>LEFT(#REF!,3)="TIR"</formula>
    </cfRule>
  </conditionalFormatting>
  <conditionalFormatting sqref="J10:K30">
    <cfRule type="expression" dxfId="90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1"/>
  <sheetViews>
    <sheetView rightToLeft="1" zoomScale="90" workbookViewId="0"/>
  </sheetViews>
  <sheetFormatPr defaultColWidth="9.109375" defaultRowHeight="13.2" x14ac:dyDescent="0.25"/>
  <cols>
    <col min="1" max="1" width="29.6640625" style="9" bestFit="1" customWidth="1"/>
    <col min="2" max="2" width="12.6640625" style="8" bestFit="1" customWidth="1"/>
    <col min="3" max="3" width="11.5546875" style="8" customWidth="1"/>
    <col min="4" max="4" width="11.109375" style="8" customWidth="1"/>
    <col min="5" max="5" width="11.33203125" style="8" bestFit="1" customWidth="1"/>
    <col min="6" max="6" width="10.109375" style="59" customWidth="1"/>
    <col min="7" max="7" width="10.44140625" style="59" bestFit="1" customWidth="1"/>
    <col min="8" max="8" width="9.5546875" style="59" customWidth="1"/>
    <col min="9" max="9" width="21.109375" style="36" customWidth="1"/>
    <col min="10" max="10" width="24" style="61" customWidth="1"/>
    <col min="11" max="11" width="19.554687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30" t="s">
        <v>11</v>
      </c>
      <c r="B4" s="231"/>
      <c r="C4" s="231"/>
      <c r="D4" s="231"/>
      <c r="E4" s="231"/>
      <c r="F4" s="231"/>
      <c r="G4" s="231"/>
      <c r="H4" s="231"/>
      <c r="I4" s="231"/>
      <c r="J4" s="231"/>
      <c r="K4" s="233"/>
      <c r="L4" s="13"/>
      <c r="M4" s="13"/>
      <c r="N4" s="12"/>
      <c r="O4" s="12"/>
      <c r="P4" s="14"/>
    </row>
    <row r="5" spans="1:16" s="7" customFormat="1" x14ac:dyDescent="0.25">
      <c r="A5" s="227" t="s">
        <v>24</v>
      </c>
      <c r="B5" s="228"/>
      <c r="C5" s="228"/>
      <c r="D5" s="228"/>
      <c r="E5" s="228"/>
      <c r="F5" s="228"/>
      <c r="G5" s="228"/>
      <c r="H5" s="228"/>
      <c r="I5" s="228"/>
      <c r="J5" s="228"/>
      <c r="K5" s="229"/>
    </row>
    <row r="6" spans="1:16" s="7" customFormat="1" x14ac:dyDescent="0.25">
      <c r="A6" s="86" t="s">
        <v>157</v>
      </c>
      <c r="B6" s="206" t="s">
        <v>69</v>
      </c>
      <c r="C6" s="206" t="s">
        <v>76</v>
      </c>
      <c r="D6" s="206" t="s">
        <v>19</v>
      </c>
      <c r="E6" s="206" t="s">
        <v>6</v>
      </c>
      <c r="F6" s="207" t="s">
        <v>67</v>
      </c>
      <c r="G6" s="207" t="s">
        <v>68</v>
      </c>
      <c r="H6" s="207" t="s">
        <v>7</v>
      </c>
      <c r="I6" s="207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55"/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56</v>
      </c>
      <c r="B9" s="70"/>
      <c r="C9" s="70"/>
      <c r="D9" s="70"/>
      <c r="E9" s="150"/>
      <c r="F9" s="151"/>
      <c r="G9" s="155"/>
      <c r="H9" s="107">
        <v>159.61453089999998</v>
      </c>
      <c r="I9" s="70"/>
      <c r="J9" s="70">
        <v>1</v>
      </c>
      <c r="K9" s="82">
        <v>6.5748108123535667E-4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-0.54365959999999991</v>
      </c>
      <c r="I10" s="121" t="s">
        <v>249</v>
      </c>
      <c r="J10" s="121">
        <v>-3.406078362255175E-3</v>
      </c>
      <c r="K10" s="121">
        <v>-2.2394320843878852E-6</v>
      </c>
    </row>
    <row r="11" spans="1:16" s="119" customFormat="1" x14ac:dyDescent="0.25">
      <c r="A11" s="92" t="s">
        <v>2635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22" t="s">
        <v>249</v>
      </c>
      <c r="H11" s="124">
        <v>-0.54365989999999964</v>
      </c>
      <c r="I11" s="137"/>
      <c r="J11" s="121">
        <v>-3.4060802417832979E-3</v>
      </c>
      <c r="K11" s="137">
        <v>-2.239433320142068E-6</v>
      </c>
    </row>
    <row r="12" spans="1:16" x14ac:dyDescent="0.25">
      <c r="A12" s="16" t="s">
        <v>2636</v>
      </c>
      <c r="B12" s="117" t="s">
        <v>2637</v>
      </c>
      <c r="C12" s="117" t="s">
        <v>456</v>
      </c>
      <c r="D12" s="117" t="s">
        <v>218</v>
      </c>
      <c r="E12" s="117" t="s">
        <v>255</v>
      </c>
      <c r="F12" s="69">
        <v>2.7183205897172278</v>
      </c>
      <c r="G12" s="66">
        <v>282500</v>
      </c>
      <c r="H12" s="93">
        <v>7.6792600000000002</v>
      </c>
      <c r="I12" s="24">
        <v>0</v>
      </c>
      <c r="J12" s="32">
        <v>4.8111283832993436E-2</v>
      </c>
      <c r="K12" s="24">
        <v>3.1632258914137659E-5</v>
      </c>
      <c r="L12" s="14"/>
      <c r="M12" s="14"/>
      <c r="N12" s="14"/>
      <c r="O12" s="14"/>
    </row>
    <row r="13" spans="1:16" x14ac:dyDescent="0.25">
      <c r="A13" s="16" t="s">
        <v>2638</v>
      </c>
      <c r="B13" s="117" t="s">
        <v>2639</v>
      </c>
      <c r="C13" s="117" t="s">
        <v>456</v>
      </c>
      <c r="D13" s="117" t="s">
        <v>218</v>
      </c>
      <c r="E13" s="117" t="s">
        <v>255</v>
      </c>
      <c r="F13" s="69">
        <v>-2.7183205897172278</v>
      </c>
      <c r="G13" s="66">
        <v>302500</v>
      </c>
      <c r="H13" s="93">
        <v>-8.2229200000000002</v>
      </c>
      <c r="I13" s="24">
        <v>0</v>
      </c>
      <c r="J13" s="32">
        <v>-5.1517364701286109E-2</v>
      </c>
      <c r="K13" s="24">
        <v>-3.3871692646197791E-5</v>
      </c>
      <c r="L13" s="14"/>
      <c r="M13" s="14"/>
      <c r="N13" s="14"/>
      <c r="O13" s="14"/>
    </row>
    <row r="14" spans="1:16" s="119" customFormat="1" x14ac:dyDescent="0.25">
      <c r="A14" s="92" t="s">
        <v>2640</v>
      </c>
      <c r="B14" s="131" t="s">
        <v>249</v>
      </c>
      <c r="C14" s="131" t="s">
        <v>249</v>
      </c>
      <c r="D14" s="131" t="s">
        <v>249</v>
      </c>
      <c r="E14" s="131" t="s">
        <v>249</v>
      </c>
      <c r="F14" s="135" t="s">
        <v>249</v>
      </c>
      <c r="G14" s="122" t="s">
        <v>249</v>
      </c>
      <c r="H14" s="124">
        <v>0</v>
      </c>
      <c r="I14" s="137"/>
      <c r="J14" s="121">
        <v>0</v>
      </c>
      <c r="K14" s="137">
        <v>0</v>
      </c>
    </row>
    <row r="15" spans="1:16" s="119" customFormat="1" x14ac:dyDescent="0.25">
      <c r="A15" s="92" t="s">
        <v>2641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5" t="s">
        <v>249</v>
      </c>
      <c r="G15" s="122" t="s">
        <v>249</v>
      </c>
      <c r="H15" s="124">
        <v>0</v>
      </c>
      <c r="I15" s="137"/>
      <c r="J15" s="121">
        <v>0</v>
      </c>
      <c r="K15" s="137">
        <v>0</v>
      </c>
    </row>
    <row r="16" spans="1:16" s="119" customFormat="1" x14ac:dyDescent="0.25">
      <c r="A16" s="92" t="s">
        <v>141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5" t="s">
        <v>249</v>
      </c>
      <c r="G16" s="122" t="s">
        <v>249</v>
      </c>
      <c r="H16" s="124">
        <v>0</v>
      </c>
      <c r="I16" s="137"/>
      <c r="J16" s="121">
        <v>0</v>
      </c>
      <c r="K16" s="137">
        <v>0</v>
      </c>
    </row>
    <row r="17" spans="1:15" s="119" customFormat="1" x14ac:dyDescent="0.25">
      <c r="A17" s="92" t="s">
        <v>544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5" t="s">
        <v>249</v>
      </c>
      <c r="G17" s="122" t="s">
        <v>249</v>
      </c>
      <c r="H17" s="124">
        <v>160.15819049999999</v>
      </c>
      <c r="I17" s="137"/>
      <c r="J17" s="121">
        <v>1.0034060783622554</v>
      </c>
      <c r="K17" s="137">
        <v>6.597205133197446E-4</v>
      </c>
    </row>
    <row r="18" spans="1:15" s="119" customFormat="1" x14ac:dyDescent="0.25">
      <c r="A18" s="92" t="s">
        <v>2635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5" t="s">
        <v>249</v>
      </c>
      <c r="G18" s="122" t="s">
        <v>249</v>
      </c>
      <c r="H18" s="124">
        <v>160.15819009999998</v>
      </c>
      <c r="I18" s="137"/>
      <c r="J18" s="121">
        <v>1.0034060758562175</v>
      </c>
      <c r="K18" s="137">
        <v>6.5972051167207237E-4</v>
      </c>
    </row>
    <row r="19" spans="1:15" x14ac:dyDescent="0.25">
      <c r="A19" s="16" t="s">
        <v>2642</v>
      </c>
      <c r="B19" s="117" t="s">
        <v>2643</v>
      </c>
      <c r="C19" s="117" t="s">
        <v>218</v>
      </c>
      <c r="D19" s="117" t="s">
        <v>188</v>
      </c>
      <c r="E19" s="117" t="s">
        <v>125</v>
      </c>
      <c r="F19" s="69">
        <v>-2.3081676211210431</v>
      </c>
      <c r="G19" s="66">
        <v>4682</v>
      </c>
      <c r="H19" s="93">
        <v>-41.325360000000003</v>
      </c>
      <c r="I19" s="24">
        <v>0</v>
      </c>
      <c r="J19" s="32">
        <v>-0.25890725466524556</v>
      </c>
      <c r="K19" s="24">
        <v>-1.702266217369835E-4</v>
      </c>
      <c r="L19" s="14"/>
      <c r="M19" s="14"/>
      <c r="N19" s="14"/>
      <c r="O19" s="14"/>
    </row>
    <row r="20" spans="1:15" x14ac:dyDescent="0.25">
      <c r="A20" s="16" t="s">
        <v>2644</v>
      </c>
      <c r="B20" s="117" t="s">
        <v>2645</v>
      </c>
      <c r="C20" s="117" t="s">
        <v>218</v>
      </c>
      <c r="D20" s="117" t="s">
        <v>188</v>
      </c>
      <c r="E20" s="117" t="s">
        <v>125</v>
      </c>
      <c r="F20" s="69">
        <v>2.3081676211210431</v>
      </c>
      <c r="G20" s="66">
        <v>19642</v>
      </c>
      <c r="H20" s="93">
        <v>173.36879999999999</v>
      </c>
      <c r="I20" s="24">
        <v>0</v>
      </c>
      <c r="J20" s="32">
        <v>1.0861717853784703</v>
      </c>
      <c r="K20" s="24">
        <v>7.1413739985797453E-4</v>
      </c>
      <c r="L20" s="14"/>
      <c r="M20" s="14"/>
      <c r="N20" s="14"/>
      <c r="O20" s="14"/>
    </row>
    <row r="21" spans="1:15" x14ac:dyDescent="0.25">
      <c r="A21" s="16" t="s">
        <v>2646</v>
      </c>
      <c r="B21" s="117" t="s">
        <v>2647</v>
      </c>
      <c r="C21" s="117" t="s">
        <v>218</v>
      </c>
      <c r="D21" s="117" t="s">
        <v>188</v>
      </c>
      <c r="E21" s="117" t="s">
        <v>125</v>
      </c>
      <c r="F21" s="69">
        <v>0.20162301684410699</v>
      </c>
      <c r="G21" s="66">
        <v>50535</v>
      </c>
      <c r="H21" s="93">
        <v>38.962809999999998</v>
      </c>
      <c r="I21" s="24">
        <v>0</v>
      </c>
      <c r="J21" s="32">
        <v>0.24410565742545437</v>
      </c>
      <c r="K21" s="24">
        <v>1.6049485157975532E-4</v>
      </c>
      <c r="L21" s="14"/>
      <c r="M21" s="14"/>
      <c r="N21" s="14"/>
      <c r="O21" s="14"/>
    </row>
    <row r="22" spans="1:15" x14ac:dyDescent="0.25">
      <c r="A22" s="16" t="s">
        <v>2648</v>
      </c>
      <c r="B22" s="117" t="s">
        <v>2649</v>
      </c>
      <c r="C22" s="117" t="s">
        <v>218</v>
      </c>
      <c r="D22" s="117" t="s">
        <v>188</v>
      </c>
      <c r="E22" s="117" t="s">
        <v>125</v>
      </c>
      <c r="F22" s="69">
        <v>-0.20162301684410699</v>
      </c>
      <c r="G22" s="66">
        <v>14069.999999999998</v>
      </c>
      <c r="H22" s="93">
        <v>-10.84806</v>
      </c>
      <c r="I22" s="24">
        <v>0</v>
      </c>
      <c r="J22" s="32">
        <v>-6.7964112908970753E-2</v>
      </c>
      <c r="K22" s="24">
        <v>-4.4685118440591959E-5</v>
      </c>
      <c r="L22" s="14"/>
      <c r="M22" s="14"/>
      <c r="N22" s="14"/>
      <c r="O22" s="14"/>
    </row>
    <row r="23" spans="1:15" s="119" customFormat="1" x14ac:dyDescent="0.25">
      <c r="A23" s="92" t="s">
        <v>2650</v>
      </c>
      <c r="B23" s="131" t="s">
        <v>249</v>
      </c>
      <c r="C23" s="131" t="s">
        <v>249</v>
      </c>
      <c r="D23" s="131" t="s">
        <v>249</v>
      </c>
      <c r="E23" s="131" t="s">
        <v>249</v>
      </c>
      <c r="F23" s="135" t="s">
        <v>249</v>
      </c>
      <c r="G23" s="122" t="s">
        <v>249</v>
      </c>
      <c r="H23" s="124">
        <v>0</v>
      </c>
      <c r="I23" s="137"/>
      <c r="J23" s="121">
        <v>0</v>
      </c>
      <c r="K23" s="137">
        <v>0</v>
      </c>
    </row>
    <row r="24" spans="1:15" s="119" customFormat="1" x14ac:dyDescent="0.25">
      <c r="A24" s="92" t="s">
        <v>2641</v>
      </c>
      <c r="B24" s="131" t="s">
        <v>249</v>
      </c>
      <c r="C24" s="131" t="s">
        <v>249</v>
      </c>
      <c r="D24" s="131" t="s">
        <v>249</v>
      </c>
      <c r="E24" s="131" t="s">
        <v>249</v>
      </c>
      <c r="F24" s="135" t="s">
        <v>249</v>
      </c>
      <c r="G24" s="122" t="s">
        <v>249</v>
      </c>
      <c r="H24" s="124">
        <v>0</v>
      </c>
      <c r="I24" s="137"/>
      <c r="J24" s="121">
        <v>0</v>
      </c>
      <c r="K24" s="137">
        <v>0</v>
      </c>
    </row>
    <row r="25" spans="1:15" s="119" customFormat="1" x14ac:dyDescent="0.25">
      <c r="A25" s="92" t="s">
        <v>2651</v>
      </c>
      <c r="B25" s="131" t="s">
        <v>249</v>
      </c>
      <c r="C25" s="131" t="s">
        <v>249</v>
      </c>
      <c r="D25" s="131" t="s">
        <v>249</v>
      </c>
      <c r="E25" s="131" t="s">
        <v>249</v>
      </c>
      <c r="F25" s="135" t="s">
        <v>249</v>
      </c>
      <c r="G25" s="122" t="s">
        <v>249</v>
      </c>
      <c r="H25" s="124">
        <v>0</v>
      </c>
      <c r="I25" s="137"/>
      <c r="J25" s="121">
        <v>0</v>
      </c>
      <c r="K25" s="137">
        <v>0</v>
      </c>
    </row>
    <row r="26" spans="1:15" s="119" customFormat="1" x14ac:dyDescent="0.25">
      <c r="A26" s="92" t="s">
        <v>141</v>
      </c>
      <c r="B26" s="131" t="s">
        <v>249</v>
      </c>
      <c r="C26" s="131" t="s">
        <v>249</v>
      </c>
      <c r="D26" s="131" t="s">
        <v>249</v>
      </c>
      <c r="E26" s="131" t="s">
        <v>249</v>
      </c>
      <c r="F26" s="135" t="s">
        <v>249</v>
      </c>
      <c r="G26" s="122" t="s">
        <v>249</v>
      </c>
      <c r="H26" s="124">
        <v>0</v>
      </c>
      <c r="I26" s="137"/>
      <c r="J26" s="121">
        <v>0</v>
      </c>
      <c r="K26" s="137">
        <v>0</v>
      </c>
    </row>
    <row r="27" spans="1:15" s="119" customFormat="1" x14ac:dyDescent="0.25">
      <c r="A27" s="78" t="s">
        <v>241</v>
      </c>
      <c r="B27" s="125"/>
      <c r="C27" s="125"/>
      <c r="D27" s="125"/>
      <c r="E27" s="125"/>
      <c r="F27" s="126"/>
      <c r="G27" s="126"/>
      <c r="H27" s="126"/>
      <c r="I27" s="127"/>
      <c r="J27" s="128"/>
      <c r="K27" s="129"/>
      <c r="L27" s="148"/>
      <c r="M27" s="148"/>
      <c r="N27" s="130"/>
      <c r="O27" s="130"/>
    </row>
    <row r="28" spans="1:15" s="119" customFormat="1" x14ac:dyDescent="0.25">
      <c r="A28" s="78" t="s">
        <v>242</v>
      </c>
      <c r="B28" s="125"/>
      <c r="C28" s="125"/>
      <c r="D28" s="125"/>
      <c r="E28" s="125"/>
      <c r="F28" s="126"/>
      <c r="G28" s="126"/>
      <c r="H28" s="126"/>
      <c r="I28" s="127"/>
      <c r="J28" s="128"/>
      <c r="K28" s="129"/>
      <c r="L28" s="148"/>
      <c r="M28" s="148"/>
      <c r="N28" s="130"/>
      <c r="O28" s="130"/>
    </row>
    <row r="29" spans="1:15" s="119" customFormat="1" x14ac:dyDescent="0.25">
      <c r="A29" s="78" t="s">
        <v>243</v>
      </c>
      <c r="B29" s="125"/>
      <c r="C29" s="125"/>
      <c r="D29" s="125"/>
      <c r="E29" s="125"/>
      <c r="F29" s="126"/>
      <c r="G29" s="126"/>
      <c r="H29" s="126"/>
      <c r="I29" s="127"/>
      <c r="J29" s="128"/>
      <c r="K29" s="129"/>
      <c r="L29" s="148"/>
      <c r="M29" s="148"/>
      <c r="N29" s="130"/>
      <c r="O29" s="130"/>
    </row>
    <row r="30" spans="1:15" s="119" customFormat="1" x14ac:dyDescent="0.25">
      <c r="A30" s="78" t="s">
        <v>244</v>
      </c>
      <c r="B30" s="125"/>
      <c r="C30" s="125"/>
      <c r="D30" s="125"/>
      <c r="E30" s="125"/>
      <c r="F30" s="126"/>
      <c r="G30" s="126"/>
      <c r="H30" s="126"/>
      <c r="I30" s="127"/>
      <c r="J30" s="128"/>
      <c r="K30" s="129"/>
      <c r="L30" s="148"/>
      <c r="M30" s="148"/>
      <c r="N30" s="130"/>
      <c r="O30" s="130"/>
    </row>
    <row r="31" spans="1:15" s="119" customFormat="1" x14ac:dyDescent="0.25">
      <c r="A31" s="78" t="s">
        <v>245</v>
      </c>
      <c r="B31" s="125"/>
      <c r="C31" s="125"/>
      <c r="D31" s="125"/>
      <c r="E31" s="125"/>
      <c r="F31" s="126"/>
      <c r="G31" s="126"/>
      <c r="H31" s="126"/>
      <c r="I31" s="127"/>
      <c r="J31" s="128"/>
      <c r="K31" s="129"/>
      <c r="L31" s="148"/>
      <c r="M31" s="148"/>
      <c r="N31" s="130"/>
      <c r="O31" s="130"/>
    </row>
  </sheetData>
  <mergeCells count="2">
    <mergeCell ref="A5:K5"/>
    <mergeCell ref="A4:K4"/>
  </mergeCells>
  <phoneticPr fontId="3" type="noConversion"/>
  <conditionalFormatting sqref="A9:A26 I9:I26">
    <cfRule type="expression" dxfId="89" priority="196" stopIfTrue="1">
      <formula>LEFT(#REF!,3)="TIR"</formula>
    </cfRule>
  </conditionalFormatting>
  <conditionalFormatting sqref="B9:F26 J9:K26">
    <cfRule type="expression" dxfId="88" priority="193" stopIfTrue="1">
      <formula>LEFT(#REF!,3)="TIR"</formula>
    </cfRule>
  </conditionalFormatting>
  <conditionalFormatting sqref="I9:I26 A9:A26">
    <cfRule type="expression" dxfId="87" priority="195" stopIfTrue="1">
      <formula>#REF!&gt;0</formula>
    </cfRule>
  </conditionalFormatting>
  <conditionalFormatting sqref="J1:J3 F9:I26 I27:I55561">
    <cfRule type="expression" dxfId="86" priority="190" stopIfTrue="1">
      <formula>LEFT(#REF!,3)="TIR"</formula>
    </cfRule>
  </conditionalFormatting>
  <conditionalFormatting sqref="J10:K26 H10:H26">
    <cfRule type="expression" dxfId="85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27"/>
  <sheetViews>
    <sheetView rightToLeft="1" workbookViewId="0"/>
  </sheetViews>
  <sheetFormatPr defaultColWidth="9.109375" defaultRowHeight="13.2" x14ac:dyDescent="0.25"/>
  <cols>
    <col min="1" max="1" width="31.109375" style="9" bestFit="1" customWidth="1"/>
    <col min="2" max="2" width="14.88671875" style="8" bestFit="1" customWidth="1"/>
    <col min="3" max="3" width="11.6640625" style="9" customWidth="1"/>
    <col min="4" max="4" width="11" style="9" customWidth="1"/>
    <col min="5" max="5" width="10.88671875" style="59" bestFit="1" customWidth="1"/>
    <col min="6" max="6" width="13.44140625" style="10" bestFit="1" customWidth="1"/>
    <col min="7" max="7" width="8.5546875" style="10" bestFit="1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9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9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9"/>
      <c r="D3" s="9"/>
      <c r="E3" s="59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24" t="s">
        <v>11</v>
      </c>
      <c r="B4" s="225"/>
      <c r="C4" s="225"/>
      <c r="D4" s="225"/>
      <c r="E4" s="225"/>
      <c r="F4" s="225"/>
      <c r="G4" s="225"/>
      <c r="H4" s="225"/>
      <c r="I4" s="225"/>
      <c r="J4" s="226"/>
      <c r="K4" s="11"/>
      <c r="L4" s="11"/>
      <c r="M4" s="13"/>
      <c r="N4" s="12"/>
      <c r="O4" s="12"/>
      <c r="P4" s="14"/>
    </row>
    <row r="5" spans="1:16" s="7" customFormat="1" x14ac:dyDescent="0.25">
      <c r="A5" s="227" t="s">
        <v>25</v>
      </c>
      <c r="B5" s="228"/>
      <c r="C5" s="228"/>
      <c r="D5" s="228"/>
      <c r="E5" s="228"/>
      <c r="F5" s="228"/>
      <c r="G5" s="228"/>
      <c r="H5" s="228"/>
      <c r="I5" s="228"/>
      <c r="J5" s="229"/>
      <c r="K5" s="11"/>
      <c r="L5" s="11"/>
    </row>
    <row r="6" spans="1:16" s="7" customFormat="1" x14ac:dyDescent="0.25">
      <c r="A6" s="86" t="s">
        <v>157</v>
      </c>
      <c r="B6" s="206" t="s">
        <v>69</v>
      </c>
      <c r="C6" s="206" t="s">
        <v>76</v>
      </c>
      <c r="D6" s="206" t="s">
        <v>19</v>
      </c>
      <c r="E6" s="206" t="s">
        <v>6</v>
      </c>
      <c r="F6" s="207" t="s">
        <v>67</v>
      </c>
      <c r="G6" s="207" t="s">
        <v>68</v>
      </c>
      <c r="H6" s="207" t="s">
        <v>7</v>
      </c>
      <c r="I6" s="89" t="s">
        <v>75</v>
      </c>
      <c r="J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7">
        <v>8</v>
      </c>
      <c r="J8" s="44">
        <v>9</v>
      </c>
    </row>
    <row r="9" spans="1:16" s="119" customFormat="1" ht="12.75" customHeight="1" thickBot="1" x14ac:dyDescent="0.3">
      <c r="A9" s="149" t="s">
        <v>62</v>
      </c>
      <c r="B9" s="70"/>
      <c r="C9" s="70"/>
      <c r="D9" s="70"/>
      <c r="E9" s="150"/>
      <c r="F9" s="151"/>
      <c r="G9" s="150"/>
      <c r="H9" s="153">
        <v>-240.6323098000004</v>
      </c>
      <c r="I9" s="70">
        <v>1</v>
      </c>
      <c r="J9" s="82">
        <v>-9.91207945388045E-4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0</v>
      </c>
      <c r="I10" s="121">
        <v>0</v>
      </c>
      <c r="J10" s="121">
        <v>0</v>
      </c>
    </row>
    <row r="11" spans="1:16" s="119" customFormat="1" x14ac:dyDescent="0.25">
      <c r="A11" s="92" t="s">
        <v>544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36" t="s">
        <v>249</v>
      </c>
      <c r="H11" s="124">
        <v>-240.63230990000022</v>
      </c>
      <c r="I11" s="121">
        <v>1.0000000004155711</v>
      </c>
      <c r="J11" s="121">
        <v>-9.9120794579996225E-4</v>
      </c>
    </row>
    <row r="12" spans="1:16" x14ac:dyDescent="0.25">
      <c r="A12" s="16" t="s">
        <v>2652</v>
      </c>
      <c r="B12" s="117" t="s">
        <v>2653</v>
      </c>
      <c r="C12" s="117" t="s">
        <v>2654</v>
      </c>
      <c r="D12" s="117" t="s">
        <v>188</v>
      </c>
      <c r="E12" s="117" t="s">
        <v>422</v>
      </c>
      <c r="F12" s="69">
        <v>1.2517263914093859</v>
      </c>
      <c r="G12" s="60">
        <v>2323.5</v>
      </c>
      <c r="H12" s="84">
        <v>746.29192</v>
      </c>
      <c r="I12" s="32">
        <v>-3.1013786993952497</v>
      </c>
      <c r="J12" s="32">
        <v>3.0741112084978124E-3</v>
      </c>
      <c r="K12" s="14"/>
      <c r="L12" s="14"/>
      <c r="M12" s="14"/>
      <c r="N12" s="14"/>
      <c r="O12" s="14"/>
    </row>
    <row r="13" spans="1:16" x14ac:dyDescent="0.25">
      <c r="A13" s="16" t="s">
        <v>2655</v>
      </c>
      <c r="B13" s="117" t="s">
        <v>2656</v>
      </c>
      <c r="C13" s="117" t="s">
        <v>2654</v>
      </c>
      <c r="D13" s="117" t="s">
        <v>188</v>
      </c>
      <c r="E13" s="117" t="s">
        <v>422</v>
      </c>
      <c r="F13" s="69">
        <v>-29526574.363809917</v>
      </c>
      <c r="G13" s="60">
        <v>1</v>
      </c>
      <c r="H13" s="84">
        <v>-757.65190000000007</v>
      </c>
      <c r="I13" s="32">
        <v>3.1485875717592382</v>
      </c>
      <c r="J13" s="32">
        <v>-3.1209050178778084E-3</v>
      </c>
      <c r="K13" s="14"/>
      <c r="L13" s="14"/>
      <c r="M13" s="14"/>
      <c r="N13" s="14"/>
      <c r="O13" s="14"/>
    </row>
    <row r="14" spans="1:16" x14ac:dyDescent="0.25">
      <c r="A14" s="16" t="s">
        <v>2657</v>
      </c>
      <c r="B14" s="117" t="s">
        <v>2658</v>
      </c>
      <c r="C14" s="117" t="s">
        <v>2659</v>
      </c>
      <c r="D14" s="117" t="s">
        <v>188</v>
      </c>
      <c r="E14" s="117" t="s">
        <v>125</v>
      </c>
      <c r="F14" s="69">
        <v>0.49672939709726899</v>
      </c>
      <c r="G14" s="60">
        <v>14866.5</v>
      </c>
      <c r="H14" s="84">
        <v>564.77631999999994</v>
      </c>
      <c r="I14" s="32">
        <v>-2.3470510691993494</v>
      </c>
      <c r="J14" s="32">
        <v>2.3264156680219009E-3</v>
      </c>
      <c r="K14" s="14"/>
      <c r="L14" s="14"/>
      <c r="M14" s="14"/>
      <c r="N14" s="14"/>
      <c r="O14" s="14"/>
    </row>
    <row r="15" spans="1:16" x14ac:dyDescent="0.25">
      <c r="A15" s="16" t="s">
        <v>2660</v>
      </c>
      <c r="B15" s="117" t="s">
        <v>2661</v>
      </c>
      <c r="C15" s="117" t="s">
        <v>2659</v>
      </c>
      <c r="D15" s="117" t="s">
        <v>188</v>
      </c>
      <c r="E15" s="117" t="s">
        <v>125</v>
      </c>
      <c r="F15" s="69">
        <v>-154021.62788148472</v>
      </c>
      <c r="G15" s="60">
        <v>1</v>
      </c>
      <c r="H15" s="84">
        <v>-588.97870999999998</v>
      </c>
      <c r="I15" s="32">
        <v>2.4476293748313553</v>
      </c>
      <c r="J15" s="32">
        <v>-2.4261096836980123E-3</v>
      </c>
      <c r="K15" s="14"/>
      <c r="L15" s="14"/>
      <c r="M15" s="14"/>
      <c r="N15" s="14"/>
      <c r="O15" s="14"/>
    </row>
    <row r="16" spans="1:16" x14ac:dyDescent="0.25">
      <c r="A16" s="16" t="s">
        <v>2662</v>
      </c>
      <c r="B16" s="117" t="s">
        <v>2663</v>
      </c>
      <c r="C16" s="117" t="s">
        <v>2664</v>
      </c>
      <c r="D16" s="117" t="s">
        <v>188</v>
      </c>
      <c r="E16" s="117" t="s">
        <v>126</v>
      </c>
      <c r="F16" s="69">
        <v>3.8573770884634828</v>
      </c>
      <c r="G16" s="60">
        <v>4204</v>
      </c>
      <c r="H16" s="84">
        <v>657.26744999999994</v>
      </c>
      <c r="I16" s="32">
        <v>-2.7314181148254053</v>
      </c>
      <c r="J16" s="32">
        <v>2.7074033375917767E-3</v>
      </c>
      <c r="K16" s="14"/>
      <c r="L16" s="14"/>
      <c r="M16" s="14"/>
      <c r="N16" s="14"/>
      <c r="O16" s="14"/>
    </row>
    <row r="17" spans="1:15" x14ac:dyDescent="0.25">
      <c r="A17" s="16" t="s">
        <v>2665</v>
      </c>
      <c r="B17" s="117" t="s">
        <v>2666</v>
      </c>
      <c r="C17" s="117" t="s">
        <v>2664</v>
      </c>
      <c r="D17" s="117" t="s">
        <v>188</v>
      </c>
      <c r="E17" s="117" t="s">
        <v>126</v>
      </c>
      <c r="F17" s="69">
        <v>-164823.62832495756</v>
      </c>
      <c r="G17" s="60">
        <v>1</v>
      </c>
      <c r="H17" s="84">
        <v>-668.04665</v>
      </c>
      <c r="I17" s="32">
        <v>2.7762134293405638</v>
      </c>
      <c r="J17" s="32">
        <v>-2.7518048092553581E-3</v>
      </c>
      <c r="K17" s="14"/>
      <c r="L17" s="14"/>
      <c r="M17" s="14"/>
      <c r="N17" s="14"/>
      <c r="O17" s="14"/>
    </row>
    <row r="18" spans="1:15" x14ac:dyDescent="0.25">
      <c r="A18" s="16" t="s">
        <v>2667</v>
      </c>
      <c r="B18" s="117" t="s">
        <v>2668</v>
      </c>
      <c r="C18" s="117" t="s">
        <v>2659</v>
      </c>
      <c r="D18" s="117" t="s">
        <v>188</v>
      </c>
      <c r="E18" s="117" t="s">
        <v>125</v>
      </c>
      <c r="F18" s="69">
        <v>0.37512180147616703</v>
      </c>
      <c r="G18" s="60">
        <v>383.22</v>
      </c>
      <c r="H18" s="84">
        <v>274.85798999999997</v>
      </c>
      <c r="I18" s="32">
        <v>-1.1422322722515774</v>
      </c>
      <c r="J18" s="32">
        <v>1.1321897037344039E-3</v>
      </c>
      <c r="K18" s="14"/>
      <c r="L18" s="14"/>
      <c r="M18" s="14"/>
      <c r="N18" s="14"/>
      <c r="O18" s="14"/>
    </row>
    <row r="19" spans="1:15" x14ac:dyDescent="0.25">
      <c r="A19" s="16" t="s">
        <v>2669</v>
      </c>
      <c r="B19" s="117" t="s">
        <v>2670</v>
      </c>
      <c r="C19" s="117" t="s">
        <v>2659</v>
      </c>
      <c r="D19" s="117" t="s">
        <v>188</v>
      </c>
      <c r="E19" s="117" t="s">
        <v>125</v>
      </c>
      <c r="F19" s="69">
        <v>-75568.286907373913</v>
      </c>
      <c r="G19" s="60">
        <v>1</v>
      </c>
      <c r="H19" s="84">
        <v>-288.97313000000003</v>
      </c>
      <c r="I19" s="32">
        <v>1.2008908123775137</v>
      </c>
      <c r="J19" s="32">
        <v>-1.1903325147720955E-3</v>
      </c>
      <c r="K19" s="14"/>
      <c r="L19" s="14"/>
      <c r="M19" s="14"/>
      <c r="N19" s="14"/>
      <c r="O19" s="14"/>
    </row>
    <row r="20" spans="1:15" x14ac:dyDescent="0.25">
      <c r="A20" s="16" t="s">
        <v>2671</v>
      </c>
      <c r="B20" s="117" t="s">
        <v>2672</v>
      </c>
      <c r="C20" s="117" t="s">
        <v>2659</v>
      </c>
      <c r="D20" s="117" t="s">
        <v>188</v>
      </c>
      <c r="E20" s="117" t="s">
        <v>125</v>
      </c>
      <c r="F20" s="69">
        <v>3.4715601564278051</v>
      </c>
      <c r="G20" s="60">
        <v>4325.5</v>
      </c>
      <c r="H20" s="84">
        <v>2871.1038399999998</v>
      </c>
      <c r="I20" s="32">
        <v>-11.931497654601307</v>
      </c>
      <c r="J20" s="32">
        <v>1.1826595275619639E-2</v>
      </c>
      <c r="K20" s="14"/>
      <c r="L20" s="14"/>
      <c r="M20" s="14"/>
      <c r="N20" s="14"/>
      <c r="O20" s="14"/>
    </row>
    <row r="21" spans="1:15" x14ac:dyDescent="0.25">
      <c r="A21" s="16" t="s">
        <v>2673</v>
      </c>
      <c r="B21" s="117" t="s">
        <v>2674</v>
      </c>
      <c r="C21" s="117" t="s">
        <v>2659</v>
      </c>
      <c r="D21" s="117" t="s">
        <v>188</v>
      </c>
      <c r="E21" s="117" t="s">
        <v>125</v>
      </c>
      <c r="F21" s="69">
        <v>-783475.41293238453</v>
      </c>
      <c r="G21" s="60">
        <v>1</v>
      </c>
      <c r="H21" s="84">
        <v>-2996.0099799999998</v>
      </c>
      <c r="I21" s="32">
        <v>12.450572337896393</v>
      </c>
      <c r="J21" s="32">
        <v>-1.234110622595151E-2</v>
      </c>
      <c r="K21" s="14"/>
      <c r="L21" s="14"/>
      <c r="M21" s="14"/>
      <c r="N21" s="14"/>
      <c r="O21" s="14"/>
    </row>
    <row r="22" spans="1:15" x14ac:dyDescent="0.25">
      <c r="A22" s="16" t="s">
        <v>2675</v>
      </c>
      <c r="B22" s="117" t="s">
        <v>2676</v>
      </c>
      <c r="C22" s="117" t="s">
        <v>2677</v>
      </c>
      <c r="D22" s="117" t="s">
        <v>188</v>
      </c>
      <c r="E22" s="117" t="s">
        <v>125</v>
      </c>
      <c r="F22" s="69">
        <v>7.5665250454110291</v>
      </c>
      <c r="G22" s="60">
        <v>111.5625</v>
      </c>
      <c r="H22" s="84">
        <v>-55.269460000000002</v>
      </c>
      <c r="I22" s="32">
        <v>0.22968428489896792</v>
      </c>
      <c r="J22" s="32">
        <v>-2.2766488812262834E-4</v>
      </c>
      <c r="K22" s="14"/>
      <c r="L22" s="14"/>
      <c r="M22" s="14"/>
      <c r="N22" s="14"/>
      <c r="O22" s="14"/>
    </row>
    <row r="23" spans="1:15" s="119" customFormat="1" x14ac:dyDescent="0.25">
      <c r="A23" s="78" t="s">
        <v>241</v>
      </c>
      <c r="B23" s="125"/>
      <c r="C23" s="78"/>
      <c r="D23" s="78"/>
      <c r="E23" s="126"/>
      <c r="F23" s="146"/>
      <c r="G23" s="146"/>
      <c r="H23" s="147"/>
      <c r="I23" s="147"/>
      <c r="J23" s="130"/>
      <c r="K23" s="148"/>
      <c r="L23" s="148"/>
      <c r="M23" s="148"/>
      <c r="N23" s="130"/>
      <c r="O23" s="130"/>
    </row>
    <row r="24" spans="1:15" s="119" customFormat="1" x14ac:dyDescent="0.25">
      <c r="A24" s="78" t="s">
        <v>242</v>
      </c>
      <c r="B24" s="125"/>
      <c r="C24" s="78"/>
      <c r="D24" s="78"/>
      <c r="E24" s="126"/>
      <c r="F24" s="146"/>
      <c r="G24" s="146"/>
      <c r="H24" s="147"/>
      <c r="I24" s="147"/>
      <c r="J24" s="130"/>
      <c r="K24" s="148"/>
      <c r="L24" s="148"/>
      <c r="M24" s="148"/>
      <c r="N24" s="130"/>
      <c r="O24" s="130"/>
    </row>
    <row r="25" spans="1:15" s="119" customFormat="1" x14ac:dyDescent="0.25">
      <c r="A25" s="78" t="s">
        <v>243</v>
      </c>
      <c r="B25" s="125"/>
      <c r="C25" s="78"/>
      <c r="D25" s="78"/>
      <c r="E25" s="126"/>
      <c r="F25" s="146"/>
      <c r="G25" s="146"/>
      <c r="H25" s="147"/>
      <c r="I25" s="147"/>
      <c r="J25" s="130"/>
      <c r="K25" s="148"/>
      <c r="L25" s="148"/>
      <c r="M25" s="148"/>
      <c r="N25" s="130"/>
      <c r="O25" s="130"/>
    </row>
    <row r="26" spans="1:15" s="119" customFormat="1" x14ac:dyDescent="0.25">
      <c r="A26" s="78" t="s">
        <v>244</v>
      </c>
      <c r="B26" s="125"/>
      <c r="C26" s="78"/>
      <c r="D26" s="78"/>
      <c r="E26" s="126"/>
      <c r="F26" s="146"/>
      <c r="G26" s="146"/>
      <c r="H26" s="147"/>
      <c r="I26" s="147"/>
      <c r="J26" s="130"/>
      <c r="K26" s="148"/>
      <c r="L26" s="148"/>
      <c r="M26" s="148"/>
      <c r="N26" s="130"/>
      <c r="O26" s="130"/>
    </row>
    <row r="27" spans="1:15" s="119" customFormat="1" x14ac:dyDescent="0.25">
      <c r="A27" s="78" t="s">
        <v>245</v>
      </c>
      <c r="B27" s="125"/>
      <c r="C27" s="78"/>
      <c r="D27" s="78"/>
      <c r="E27" s="126"/>
      <c r="F27" s="146"/>
      <c r="G27" s="146"/>
      <c r="H27" s="147"/>
      <c r="I27" s="147"/>
      <c r="J27" s="130"/>
      <c r="K27" s="148"/>
      <c r="L27" s="148"/>
      <c r="M27" s="148"/>
      <c r="N27" s="130"/>
      <c r="O27" s="130"/>
    </row>
  </sheetData>
  <mergeCells count="2">
    <mergeCell ref="A5:J5"/>
    <mergeCell ref="A4:J4"/>
  </mergeCells>
  <phoneticPr fontId="3" type="noConversion"/>
  <conditionalFormatting sqref="B9:E22 I9:J22">
    <cfRule type="expression" dxfId="84" priority="219" stopIfTrue="1">
      <formula>LEFT(#REF!,3)="TIR"</formula>
    </cfRule>
  </conditionalFormatting>
  <conditionalFormatting sqref="H9:I9 A9:A22 I10:I22">
    <cfRule type="expression" dxfId="83" priority="222" stopIfTrue="1">
      <formula>LEFT(#REF!,3)="TIR"</formula>
    </cfRule>
  </conditionalFormatting>
  <conditionalFormatting sqref="H9:I9 I10:I22 A9:A22">
    <cfRule type="expression" dxfId="82" priority="221" stopIfTrue="1">
      <formula>#REF!&gt;0</formula>
    </cfRule>
  </conditionalFormatting>
  <conditionalFormatting sqref="H10:I22">
    <cfRule type="expression" dxfId="81" priority="228" stopIfTrue="1">
      <formula>#REF!&gt;0</formula>
    </cfRule>
    <cfRule type="expression" dxfId="80" priority="229" stopIfTrue="1">
      <formula>OR(LEFT(#REF!,3)="TIR",LEFT(#REF!,2)="IR")</formula>
    </cfRule>
  </conditionalFormatting>
  <conditionalFormatting sqref="J1:J3 F9:G22 J23:J55557">
    <cfRule type="expression" dxfId="79" priority="216" stopIfTrue="1">
      <formula>LEFT(#REF!,3)="TIR"</formula>
    </cfRule>
  </conditionalFormatting>
  <conditionalFormatting sqref="J10:J22">
    <cfRule type="expression" dxfId="78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4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4" t="s">
        <v>11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6"/>
    </row>
    <row r="5" spans="1:16" s="7" customFormat="1" x14ac:dyDescent="0.25">
      <c r="A5" s="227" t="s">
        <v>26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9"/>
    </row>
    <row r="6" spans="1:16" s="7" customFormat="1" ht="31.5" customHeight="1" x14ac:dyDescent="0.25">
      <c r="A6" s="86" t="s">
        <v>157</v>
      </c>
      <c r="B6" s="206" t="s">
        <v>69</v>
      </c>
      <c r="C6" s="206" t="s">
        <v>27</v>
      </c>
      <c r="D6" s="206" t="s">
        <v>70</v>
      </c>
      <c r="E6" s="206" t="s">
        <v>5</v>
      </c>
      <c r="F6" s="206" t="s">
        <v>13</v>
      </c>
      <c r="G6" s="206" t="s">
        <v>14</v>
      </c>
      <c r="H6" s="206" t="s">
        <v>6</v>
      </c>
      <c r="I6" s="207" t="s">
        <v>66</v>
      </c>
      <c r="J6" s="207" t="s">
        <v>71</v>
      </c>
      <c r="K6" s="207" t="s">
        <v>67</v>
      </c>
      <c r="L6" s="207" t="s">
        <v>68</v>
      </c>
      <c r="M6" s="207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52"/>
      <c r="F7" s="52" t="s">
        <v>40</v>
      </c>
      <c r="G7" s="52" t="s">
        <v>16</v>
      </c>
      <c r="H7" s="29"/>
      <c r="I7" s="48" t="s">
        <v>9</v>
      </c>
      <c r="J7" s="48" t="s">
        <v>9</v>
      </c>
      <c r="K7" s="2" t="s">
        <v>133</v>
      </c>
      <c r="L7" s="48"/>
      <c r="M7" s="2" t="s">
        <v>135</v>
      </c>
      <c r="N7" s="55" t="s">
        <v>9</v>
      </c>
      <c r="O7" s="55" t="s">
        <v>9</v>
      </c>
      <c r="P7" s="54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/>
      <c r="C9" s="67"/>
      <c r="D9" s="101"/>
      <c r="E9" s="101"/>
      <c r="F9" s="101"/>
      <c r="G9" s="101"/>
      <c r="H9" s="101"/>
      <c r="I9" s="67"/>
      <c r="J9" s="67"/>
      <c r="K9" s="102"/>
      <c r="L9" s="101"/>
      <c r="M9" s="105">
        <v>114.8869712</v>
      </c>
      <c r="N9" s="67"/>
      <c r="O9" s="67">
        <v>1</v>
      </c>
      <c r="P9" s="81">
        <v>4.7324018445260048E-4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2" t="s">
        <v>249</v>
      </c>
      <c r="I10" s="131" t="s">
        <v>249</v>
      </c>
      <c r="J10" s="131" t="s">
        <v>249</v>
      </c>
      <c r="K10" s="133" t="s">
        <v>249</v>
      </c>
      <c r="L10" s="122" t="s">
        <v>249</v>
      </c>
      <c r="M10" s="123">
        <v>0</v>
      </c>
      <c r="N10" s="121" t="s">
        <v>249</v>
      </c>
      <c r="O10" s="121">
        <v>0</v>
      </c>
      <c r="P10" s="121">
        <v>0</v>
      </c>
    </row>
    <row r="11" spans="1:16" s="119" customFormat="1" x14ac:dyDescent="0.25">
      <c r="A11" s="92" t="s">
        <v>2678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2" t="s">
        <v>249</v>
      </c>
      <c r="I11" s="131" t="s">
        <v>249</v>
      </c>
      <c r="J11" s="131" t="s">
        <v>249</v>
      </c>
      <c r="K11" s="135" t="s">
        <v>249</v>
      </c>
      <c r="L11" s="136" t="s">
        <v>249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2679</v>
      </c>
      <c r="B12" s="131" t="s">
        <v>249</v>
      </c>
      <c r="C12" s="131" t="s">
        <v>249</v>
      </c>
      <c r="D12" s="131" t="s">
        <v>249</v>
      </c>
      <c r="E12" s="131" t="s">
        <v>249</v>
      </c>
      <c r="F12" s="131" t="s">
        <v>249</v>
      </c>
      <c r="G12" s="132" t="s">
        <v>249</v>
      </c>
      <c r="H12" s="132" t="s">
        <v>249</v>
      </c>
      <c r="I12" s="131" t="s">
        <v>249</v>
      </c>
      <c r="J12" s="131" t="s">
        <v>249</v>
      </c>
      <c r="K12" s="135" t="s">
        <v>249</v>
      </c>
      <c r="L12" s="136" t="s">
        <v>249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2680</v>
      </c>
      <c r="B13" s="131" t="s">
        <v>249</v>
      </c>
      <c r="C13" s="131" t="s">
        <v>249</v>
      </c>
      <c r="D13" s="131" t="s">
        <v>249</v>
      </c>
      <c r="E13" s="131" t="s">
        <v>249</v>
      </c>
      <c r="F13" s="131" t="s">
        <v>249</v>
      </c>
      <c r="G13" s="132" t="s">
        <v>249</v>
      </c>
      <c r="H13" s="132" t="s">
        <v>249</v>
      </c>
      <c r="I13" s="131" t="s">
        <v>249</v>
      </c>
      <c r="J13" s="131" t="s">
        <v>249</v>
      </c>
      <c r="K13" s="135" t="s">
        <v>249</v>
      </c>
      <c r="L13" s="136" t="s">
        <v>249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2681</v>
      </c>
      <c r="B14" s="131" t="s">
        <v>249</v>
      </c>
      <c r="C14" s="131" t="s">
        <v>249</v>
      </c>
      <c r="D14" s="131" t="s">
        <v>249</v>
      </c>
      <c r="E14" s="131" t="s">
        <v>249</v>
      </c>
      <c r="F14" s="131" t="s">
        <v>249</v>
      </c>
      <c r="G14" s="132" t="s">
        <v>249</v>
      </c>
      <c r="H14" s="132" t="s">
        <v>249</v>
      </c>
      <c r="I14" s="131" t="s">
        <v>249</v>
      </c>
      <c r="J14" s="131" t="s">
        <v>249</v>
      </c>
      <c r="K14" s="135" t="s">
        <v>249</v>
      </c>
      <c r="L14" s="136" t="s">
        <v>249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2682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1" t="s">
        <v>249</v>
      </c>
      <c r="G15" s="132" t="s">
        <v>249</v>
      </c>
      <c r="H15" s="132" t="s">
        <v>249</v>
      </c>
      <c r="I15" s="131" t="s">
        <v>249</v>
      </c>
      <c r="J15" s="131" t="s">
        <v>249</v>
      </c>
      <c r="K15" s="135" t="s">
        <v>249</v>
      </c>
      <c r="L15" s="136" t="s">
        <v>249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2683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1" t="s">
        <v>249</v>
      </c>
      <c r="G16" s="132" t="s">
        <v>249</v>
      </c>
      <c r="H16" s="132" t="s">
        <v>249</v>
      </c>
      <c r="I16" s="131" t="s">
        <v>249</v>
      </c>
      <c r="J16" s="131" t="s">
        <v>249</v>
      </c>
      <c r="K16" s="135" t="s">
        <v>249</v>
      </c>
      <c r="L16" s="136" t="s">
        <v>249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2684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1" t="s">
        <v>249</v>
      </c>
      <c r="G17" s="132" t="s">
        <v>249</v>
      </c>
      <c r="H17" s="132" t="s">
        <v>249</v>
      </c>
      <c r="I17" s="131" t="s">
        <v>249</v>
      </c>
      <c r="J17" s="131" t="s">
        <v>249</v>
      </c>
      <c r="K17" s="135" t="s">
        <v>249</v>
      </c>
      <c r="L17" s="136" t="s">
        <v>249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544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1" t="s">
        <v>249</v>
      </c>
      <c r="G18" s="132" t="s">
        <v>249</v>
      </c>
      <c r="H18" s="132" t="s">
        <v>249</v>
      </c>
      <c r="I18" s="131" t="s">
        <v>249</v>
      </c>
      <c r="J18" s="131" t="s">
        <v>249</v>
      </c>
      <c r="K18" s="135" t="s">
        <v>249</v>
      </c>
      <c r="L18" s="136" t="s">
        <v>249</v>
      </c>
      <c r="M18" s="124">
        <v>114.8869706</v>
      </c>
      <c r="N18" s="137"/>
      <c r="O18" s="137">
        <v>0.9999999947774757</v>
      </c>
      <c r="P18" s="137">
        <v>4.7324018198109208E-4</v>
      </c>
    </row>
    <row r="19" spans="1:16" s="119" customFormat="1" x14ac:dyDescent="0.25">
      <c r="A19" s="92" t="s">
        <v>2685</v>
      </c>
      <c r="B19" s="131" t="s">
        <v>249</v>
      </c>
      <c r="C19" s="131" t="s">
        <v>249</v>
      </c>
      <c r="D19" s="131" t="s">
        <v>249</v>
      </c>
      <c r="E19" s="131" t="s">
        <v>249</v>
      </c>
      <c r="F19" s="131" t="s">
        <v>249</v>
      </c>
      <c r="G19" s="132" t="s">
        <v>249</v>
      </c>
      <c r="H19" s="132" t="s">
        <v>249</v>
      </c>
      <c r="I19" s="131" t="s">
        <v>249</v>
      </c>
      <c r="J19" s="131" t="s">
        <v>249</v>
      </c>
      <c r="K19" s="135" t="s">
        <v>249</v>
      </c>
      <c r="L19" s="136" t="s">
        <v>249</v>
      </c>
      <c r="M19" s="124">
        <v>114.8869701</v>
      </c>
      <c r="N19" s="137"/>
      <c r="O19" s="137">
        <v>0.99999999042537213</v>
      </c>
      <c r="P19" s="137">
        <v>4.7324017992150179E-4</v>
      </c>
    </row>
    <row r="20" spans="1:16" x14ac:dyDescent="0.25">
      <c r="A20" s="16" t="s">
        <v>2686</v>
      </c>
      <c r="B20" s="117" t="s">
        <v>2687</v>
      </c>
      <c r="C20" s="117" t="s">
        <v>2384</v>
      </c>
      <c r="D20" s="117" t="s">
        <v>2688</v>
      </c>
      <c r="E20" s="117" t="s">
        <v>412</v>
      </c>
      <c r="F20" s="117" t="s">
        <v>2689</v>
      </c>
      <c r="G20" s="118">
        <v>0</v>
      </c>
      <c r="H20" s="118" t="s">
        <v>126</v>
      </c>
      <c r="I20" s="117">
        <v>0</v>
      </c>
      <c r="J20" s="117">
        <v>0</v>
      </c>
      <c r="K20" s="69">
        <v>25331.060225848825</v>
      </c>
      <c r="L20" s="60">
        <v>111.9</v>
      </c>
      <c r="M20" s="84">
        <v>114.88697000000001</v>
      </c>
      <c r="N20" s="24">
        <v>0</v>
      </c>
      <c r="O20" s="24">
        <v>0.9999999895549514</v>
      </c>
      <c r="P20" s="24">
        <v>4.7324017950958378E-4</v>
      </c>
    </row>
    <row r="21" spans="1:16" s="119" customFormat="1" x14ac:dyDescent="0.25">
      <c r="A21" s="92" t="s">
        <v>2690</v>
      </c>
      <c r="B21" s="131" t="s">
        <v>249</v>
      </c>
      <c r="C21" s="131" t="s">
        <v>249</v>
      </c>
      <c r="D21" s="131" t="s">
        <v>249</v>
      </c>
      <c r="E21" s="131" t="s">
        <v>249</v>
      </c>
      <c r="F21" s="131" t="s">
        <v>249</v>
      </c>
      <c r="G21" s="132" t="s">
        <v>249</v>
      </c>
      <c r="H21" s="132" t="s">
        <v>249</v>
      </c>
      <c r="I21" s="131" t="s">
        <v>249</v>
      </c>
      <c r="J21" s="131" t="s">
        <v>249</v>
      </c>
      <c r="K21" s="135" t="s">
        <v>249</v>
      </c>
      <c r="L21" s="136" t="s">
        <v>249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2691</v>
      </c>
      <c r="B22" s="131" t="s">
        <v>249</v>
      </c>
      <c r="C22" s="131" t="s">
        <v>249</v>
      </c>
      <c r="D22" s="131" t="s">
        <v>249</v>
      </c>
      <c r="E22" s="131" t="s">
        <v>249</v>
      </c>
      <c r="F22" s="131" t="s">
        <v>249</v>
      </c>
      <c r="G22" s="132" t="s">
        <v>249</v>
      </c>
      <c r="H22" s="132" t="s">
        <v>249</v>
      </c>
      <c r="I22" s="131" t="s">
        <v>249</v>
      </c>
      <c r="J22" s="131" t="s">
        <v>249</v>
      </c>
      <c r="K22" s="135" t="s">
        <v>249</v>
      </c>
      <c r="L22" s="136" t="s">
        <v>249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2681</v>
      </c>
      <c r="B23" s="131" t="s">
        <v>249</v>
      </c>
      <c r="C23" s="131" t="s">
        <v>249</v>
      </c>
      <c r="D23" s="131" t="s">
        <v>249</v>
      </c>
      <c r="E23" s="131" t="s">
        <v>249</v>
      </c>
      <c r="F23" s="131" t="s">
        <v>249</v>
      </c>
      <c r="G23" s="132" t="s">
        <v>249</v>
      </c>
      <c r="H23" s="132" t="s">
        <v>249</v>
      </c>
      <c r="I23" s="131" t="s">
        <v>249</v>
      </c>
      <c r="J23" s="131" t="s">
        <v>249</v>
      </c>
      <c r="K23" s="135" t="s">
        <v>249</v>
      </c>
      <c r="L23" s="136" t="s">
        <v>249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2682</v>
      </c>
      <c r="B24" s="131" t="s">
        <v>249</v>
      </c>
      <c r="C24" s="131" t="s">
        <v>249</v>
      </c>
      <c r="D24" s="131" t="s">
        <v>249</v>
      </c>
      <c r="E24" s="131" t="s">
        <v>249</v>
      </c>
      <c r="F24" s="131" t="s">
        <v>249</v>
      </c>
      <c r="G24" s="132" t="s">
        <v>249</v>
      </c>
      <c r="H24" s="132" t="s">
        <v>249</v>
      </c>
      <c r="I24" s="131" t="s">
        <v>249</v>
      </c>
      <c r="J24" s="131" t="s">
        <v>249</v>
      </c>
      <c r="K24" s="135" t="s">
        <v>249</v>
      </c>
      <c r="L24" s="136" t="s">
        <v>249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2683</v>
      </c>
      <c r="B25" s="131" t="s">
        <v>249</v>
      </c>
      <c r="C25" s="131" t="s">
        <v>249</v>
      </c>
      <c r="D25" s="131" t="s">
        <v>249</v>
      </c>
      <c r="E25" s="131" t="s">
        <v>249</v>
      </c>
      <c r="F25" s="131" t="s">
        <v>249</v>
      </c>
      <c r="G25" s="132" t="s">
        <v>249</v>
      </c>
      <c r="H25" s="132" t="s">
        <v>249</v>
      </c>
      <c r="I25" s="131" t="s">
        <v>249</v>
      </c>
      <c r="J25" s="131" t="s">
        <v>249</v>
      </c>
      <c r="K25" s="135" t="s">
        <v>249</v>
      </c>
      <c r="L25" s="136" t="s">
        <v>249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2" t="s">
        <v>2684</v>
      </c>
      <c r="B26" s="131" t="s">
        <v>249</v>
      </c>
      <c r="C26" s="131" t="s">
        <v>249</v>
      </c>
      <c r="D26" s="131" t="s">
        <v>249</v>
      </c>
      <c r="E26" s="131" t="s">
        <v>249</v>
      </c>
      <c r="F26" s="131" t="s">
        <v>249</v>
      </c>
      <c r="G26" s="132" t="s">
        <v>249</v>
      </c>
      <c r="H26" s="132" t="s">
        <v>249</v>
      </c>
      <c r="I26" s="131" t="s">
        <v>249</v>
      </c>
      <c r="J26" s="131" t="s">
        <v>249</v>
      </c>
      <c r="K26" s="135" t="s">
        <v>249</v>
      </c>
      <c r="L26" s="136" t="s">
        <v>249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8" t="s">
        <v>241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242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243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244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8" t="s">
        <v>245</v>
      </c>
      <c r="B31" s="125"/>
      <c r="C31" s="78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5:P5"/>
    <mergeCell ref="A4:P4"/>
  </mergeCells>
  <phoneticPr fontId="3" type="noConversion"/>
  <conditionalFormatting sqref="A10:A26 M10:M26">
    <cfRule type="expression" dxfId="77" priority="235" stopIfTrue="1">
      <formula>#REF!&gt;0</formula>
    </cfRule>
  </conditionalFormatting>
  <conditionalFormatting sqref="B10:J26">
    <cfRule type="expression" dxfId="76" priority="237" stopIfTrue="1">
      <formula>LEFT(#REF!,3)="TIR"</formula>
    </cfRule>
  </conditionalFormatting>
  <conditionalFormatting sqref="O10:P26">
    <cfRule type="expression" dxfId="75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24" t="s">
        <v>28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6"/>
    </row>
    <row r="5" spans="1:15" s="7" customFormat="1" x14ac:dyDescent="0.25">
      <c r="A5" s="227" t="s">
        <v>12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9"/>
    </row>
    <row r="6" spans="1:15" s="7" customFormat="1" ht="31.5" customHeight="1" x14ac:dyDescent="0.25">
      <c r="A6" s="86" t="s">
        <v>157</v>
      </c>
      <c r="B6" s="206" t="s">
        <v>69</v>
      </c>
      <c r="C6" s="206" t="s">
        <v>70</v>
      </c>
      <c r="D6" s="206" t="s">
        <v>5</v>
      </c>
      <c r="E6" s="206" t="s">
        <v>13</v>
      </c>
      <c r="F6" s="206" t="s">
        <v>14</v>
      </c>
      <c r="G6" s="206" t="s">
        <v>6</v>
      </c>
      <c r="H6" s="207" t="s">
        <v>66</v>
      </c>
      <c r="I6" s="207" t="s">
        <v>71</v>
      </c>
      <c r="J6" s="207" t="s">
        <v>67</v>
      </c>
      <c r="K6" s="207" t="s">
        <v>68</v>
      </c>
      <c r="L6" s="207" t="s">
        <v>29</v>
      </c>
      <c r="M6" s="89" t="s">
        <v>17</v>
      </c>
      <c r="N6" s="89" t="s">
        <v>75</v>
      </c>
      <c r="O6" s="90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9" customFormat="1" ht="12.75" customHeight="1" thickBot="1" x14ac:dyDescent="0.3">
      <c r="A9" s="72" t="s">
        <v>52</v>
      </c>
      <c r="B9" s="120" t="s">
        <v>249</v>
      </c>
      <c r="C9" s="120"/>
      <c r="D9" s="120"/>
      <c r="E9" s="120" t="s">
        <v>249</v>
      </c>
      <c r="F9" s="120" t="s">
        <v>249</v>
      </c>
      <c r="G9" s="120" t="s">
        <v>249</v>
      </c>
      <c r="H9" s="120" t="s">
        <v>249</v>
      </c>
      <c r="I9" s="120" t="s">
        <v>249</v>
      </c>
      <c r="J9" s="156" t="s">
        <v>249</v>
      </c>
      <c r="K9" s="120" t="s">
        <v>249</v>
      </c>
      <c r="L9" s="80">
        <v>6.9999999999999997E-7</v>
      </c>
      <c r="M9" s="120" t="s">
        <v>249</v>
      </c>
      <c r="N9" s="106">
        <v>1</v>
      </c>
      <c r="O9" s="58">
        <v>0</v>
      </c>
    </row>
    <row r="10" spans="1:15" s="119" customFormat="1" x14ac:dyDescent="0.25">
      <c r="A10" s="91" t="s">
        <v>137</v>
      </c>
      <c r="B10" s="121" t="s">
        <v>249</v>
      </c>
      <c r="C10" s="143" t="s">
        <v>249</v>
      </c>
      <c r="D10" s="143" t="s">
        <v>249</v>
      </c>
      <c r="E10" s="143" t="s">
        <v>249</v>
      </c>
      <c r="F10" s="143" t="s">
        <v>249</v>
      </c>
      <c r="G10" s="143" t="s">
        <v>249</v>
      </c>
      <c r="H10" s="157" t="s">
        <v>249</v>
      </c>
      <c r="I10" s="157" t="s">
        <v>249</v>
      </c>
      <c r="J10" s="142" t="s">
        <v>249</v>
      </c>
      <c r="K10" s="143" t="s">
        <v>249</v>
      </c>
      <c r="L10" s="123">
        <v>0</v>
      </c>
      <c r="M10" s="157" t="s">
        <v>249</v>
      </c>
      <c r="N10" s="121">
        <v>0</v>
      </c>
      <c r="O10" s="121">
        <v>0</v>
      </c>
    </row>
    <row r="11" spans="1:15" s="119" customFormat="1" x14ac:dyDescent="0.25">
      <c r="A11" s="92" t="s">
        <v>2692</v>
      </c>
      <c r="B11" s="121" t="s">
        <v>249</v>
      </c>
      <c r="C11" s="145" t="s">
        <v>249</v>
      </c>
      <c r="D11" s="145" t="s">
        <v>249</v>
      </c>
      <c r="E11" s="145" t="s">
        <v>249</v>
      </c>
      <c r="F11" s="145" t="s">
        <v>249</v>
      </c>
      <c r="G11" s="145" t="s">
        <v>249</v>
      </c>
      <c r="H11" s="158" t="s">
        <v>249</v>
      </c>
      <c r="I11" s="158" t="s">
        <v>249</v>
      </c>
      <c r="J11" s="144" t="s">
        <v>249</v>
      </c>
      <c r="K11" s="145" t="s">
        <v>249</v>
      </c>
      <c r="L11" s="124">
        <v>0</v>
      </c>
      <c r="M11" s="158"/>
      <c r="N11" s="137">
        <v>0</v>
      </c>
      <c r="O11" s="137">
        <v>0</v>
      </c>
    </row>
    <row r="12" spans="1:15" s="119" customFormat="1" x14ac:dyDescent="0.25">
      <c r="A12" s="92" t="s">
        <v>1951</v>
      </c>
      <c r="B12" s="121" t="s">
        <v>249</v>
      </c>
      <c r="C12" s="145" t="s">
        <v>249</v>
      </c>
      <c r="D12" s="145" t="s">
        <v>249</v>
      </c>
      <c r="E12" s="145" t="s">
        <v>249</v>
      </c>
      <c r="F12" s="145" t="s">
        <v>249</v>
      </c>
      <c r="G12" s="145" t="s">
        <v>249</v>
      </c>
      <c r="H12" s="158" t="s">
        <v>249</v>
      </c>
      <c r="I12" s="158" t="s">
        <v>249</v>
      </c>
      <c r="J12" s="144" t="s">
        <v>249</v>
      </c>
      <c r="K12" s="145" t="s">
        <v>249</v>
      </c>
      <c r="L12" s="124">
        <v>0</v>
      </c>
      <c r="M12" s="158"/>
      <c r="N12" s="137">
        <v>0</v>
      </c>
      <c r="O12" s="137">
        <v>0</v>
      </c>
    </row>
    <row r="13" spans="1:15" s="119" customFormat="1" x14ac:dyDescent="0.25">
      <c r="A13" s="92" t="s">
        <v>2693</v>
      </c>
      <c r="B13" s="121" t="s">
        <v>249</v>
      </c>
      <c r="C13" s="145" t="s">
        <v>249</v>
      </c>
      <c r="D13" s="145" t="s">
        <v>249</v>
      </c>
      <c r="E13" s="145" t="s">
        <v>249</v>
      </c>
      <c r="F13" s="145" t="s">
        <v>249</v>
      </c>
      <c r="G13" s="145" t="s">
        <v>249</v>
      </c>
      <c r="H13" s="158" t="s">
        <v>249</v>
      </c>
      <c r="I13" s="158" t="s">
        <v>249</v>
      </c>
      <c r="J13" s="144" t="s">
        <v>249</v>
      </c>
      <c r="K13" s="145" t="s">
        <v>249</v>
      </c>
      <c r="L13" s="124">
        <v>0</v>
      </c>
      <c r="M13" s="158"/>
      <c r="N13" s="137">
        <v>0</v>
      </c>
      <c r="O13" s="137">
        <v>0</v>
      </c>
    </row>
    <row r="14" spans="1:15" s="119" customFormat="1" x14ac:dyDescent="0.25">
      <c r="A14" s="92" t="s">
        <v>2694</v>
      </c>
      <c r="B14" s="121" t="s">
        <v>249</v>
      </c>
      <c r="C14" s="145" t="s">
        <v>249</v>
      </c>
      <c r="D14" s="145" t="s">
        <v>249</v>
      </c>
      <c r="E14" s="145" t="s">
        <v>249</v>
      </c>
      <c r="F14" s="145" t="s">
        <v>249</v>
      </c>
      <c r="G14" s="145" t="s">
        <v>249</v>
      </c>
      <c r="H14" s="158" t="s">
        <v>249</v>
      </c>
      <c r="I14" s="158" t="s">
        <v>249</v>
      </c>
      <c r="J14" s="144" t="s">
        <v>249</v>
      </c>
      <c r="K14" s="145" t="s">
        <v>249</v>
      </c>
      <c r="L14" s="124">
        <v>0</v>
      </c>
      <c r="M14" s="158"/>
      <c r="N14" s="137">
        <v>0</v>
      </c>
      <c r="O14" s="137">
        <v>0</v>
      </c>
    </row>
    <row r="15" spans="1:15" s="119" customFormat="1" x14ac:dyDescent="0.25">
      <c r="A15" s="92" t="s">
        <v>218</v>
      </c>
      <c r="B15" s="121" t="s">
        <v>249</v>
      </c>
      <c r="C15" s="145" t="s">
        <v>249</v>
      </c>
      <c r="D15" s="145" t="s">
        <v>249</v>
      </c>
      <c r="E15" s="145" t="s">
        <v>249</v>
      </c>
      <c r="F15" s="145" t="s">
        <v>249</v>
      </c>
      <c r="G15" s="145" t="s">
        <v>249</v>
      </c>
      <c r="H15" s="158" t="s">
        <v>249</v>
      </c>
      <c r="I15" s="158" t="s">
        <v>249</v>
      </c>
      <c r="J15" s="144" t="s">
        <v>249</v>
      </c>
      <c r="K15" s="145" t="s">
        <v>249</v>
      </c>
      <c r="L15" s="124">
        <v>0</v>
      </c>
      <c r="M15" s="158"/>
      <c r="N15" s="137">
        <v>0</v>
      </c>
      <c r="O15" s="137">
        <v>0</v>
      </c>
    </row>
    <row r="16" spans="1:15" s="119" customFormat="1" x14ac:dyDescent="0.25">
      <c r="A16" s="92" t="s">
        <v>544</v>
      </c>
      <c r="B16" s="121" t="s">
        <v>249</v>
      </c>
      <c r="C16" s="145" t="s">
        <v>249</v>
      </c>
      <c r="D16" s="145" t="s">
        <v>249</v>
      </c>
      <c r="E16" s="145" t="s">
        <v>249</v>
      </c>
      <c r="F16" s="145" t="s">
        <v>249</v>
      </c>
      <c r="G16" s="145" t="s">
        <v>249</v>
      </c>
      <c r="H16" s="158" t="s">
        <v>249</v>
      </c>
      <c r="I16" s="158" t="s">
        <v>249</v>
      </c>
      <c r="J16" s="144" t="s">
        <v>249</v>
      </c>
      <c r="K16" s="145" t="s">
        <v>249</v>
      </c>
      <c r="L16" s="124">
        <v>0</v>
      </c>
      <c r="M16" s="158"/>
      <c r="N16" s="137">
        <v>0</v>
      </c>
      <c r="O16" s="137">
        <v>0</v>
      </c>
    </row>
    <row r="17" spans="1:15" s="119" customFormat="1" x14ac:dyDescent="0.25">
      <c r="A17" s="92" t="s">
        <v>2695</v>
      </c>
      <c r="B17" s="121" t="s">
        <v>249</v>
      </c>
      <c r="C17" s="145" t="s">
        <v>249</v>
      </c>
      <c r="D17" s="145" t="s">
        <v>249</v>
      </c>
      <c r="E17" s="145" t="s">
        <v>249</v>
      </c>
      <c r="F17" s="145" t="s">
        <v>249</v>
      </c>
      <c r="G17" s="145" t="s">
        <v>249</v>
      </c>
      <c r="H17" s="158" t="s">
        <v>249</v>
      </c>
      <c r="I17" s="158" t="s">
        <v>249</v>
      </c>
      <c r="J17" s="144" t="s">
        <v>249</v>
      </c>
      <c r="K17" s="145" t="s">
        <v>249</v>
      </c>
      <c r="L17" s="124">
        <v>0</v>
      </c>
      <c r="M17" s="158"/>
      <c r="N17" s="137">
        <v>0</v>
      </c>
      <c r="O17" s="137">
        <v>0</v>
      </c>
    </row>
    <row r="18" spans="1:15" s="119" customFormat="1" x14ac:dyDescent="0.25">
      <c r="A18" s="92" t="s">
        <v>2696</v>
      </c>
      <c r="B18" s="121" t="s">
        <v>249</v>
      </c>
      <c r="C18" s="145" t="s">
        <v>249</v>
      </c>
      <c r="D18" s="145" t="s">
        <v>249</v>
      </c>
      <c r="E18" s="145" t="s">
        <v>249</v>
      </c>
      <c r="F18" s="145" t="s">
        <v>249</v>
      </c>
      <c r="G18" s="145" t="s">
        <v>249</v>
      </c>
      <c r="H18" s="158" t="s">
        <v>249</v>
      </c>
      <c r="I18" s="158" t="s">
        <v>249</v>
      </c>
      <c r="J18" s="144" t="s">
        <v>249</v>
      </c>
      <c r="K18" s="145" t="s">
        <v>249</v>
      </c>
      <c r="L18" s="124">
        <v>0</v>
      </c>
      <c r="M18" s="158"/>
      <c r="N18" s="137">
        <v>0</v>
      </c>
      <c r="O18" s="137">
        <v>0</v>
      </c>
    </row>
    <row r="19" spans="1:15" s="119" customFormat="1" x14ac:dyDescent="0.25">
      <c r="A19" s="78" t="s">
        <v>241</v>
      </c>
      <c r="B19" s="125"/>
      <c r="C19" s="78"/>
      <c r="D19" s="146"/>
      <c r="E19" s="146"/>
      <c r="F19" s="146"/>
      <c r="G19" s="147"/>
      <c r="H19" s="130"/>
      <c r="I19" s="148"/>
      <c r="J19" s="148"/>
      <c r="K19" s="148"/>
      <c r="L19" s="130"/>
      <c r="M19" s="130"/>
      <c r="N19" s="130"/>
    </row>
    <row r="20" spans="1:15" s="119" customFormat="1" x14ac:dyDescent="0.25">
      <c r="A20" s="78" t="s">
        <v>242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30"/>
      <c r="M20" s="130"/>
      <c r="N20" s="130"/>
    </row>
    <row r="21" spans="1:15" s="119" customFormat="1" x14ac:dyDescent="0.25">
      <c r="A21" s="78" t="s">
        <v>243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30"/>
      <c r="M21" s="130"/>
      <c r="N21" s="130"/>
    </row>
    <row r="22" spans="1:15" s="119" customFormat="1" x14ac:dyDescent="0.25">
      <c r="A22" s="78" t="s">
        <v>244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30"/>
      <c r="M22" s="130"/>
      <c r="N22" s="130"/>
    </row>
    <row r="23" spans="1:15" s="119" customFormat="1" x14ac:dyDescent="0.25">
      <c r="A23" s="78" t="s">
        <v>245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30"/>
      <c r="M23" s="130"/>
      <c r="N23" s="130"/>
    </row>
  </sheetData>
  <mergeCells count="2">
    <mergeCell ref="A5:O5"/>
    <mergeCell ref="A4:O4"/>
  </mergeCells>
  <phoneticPr fontId="3" type="noConversion"/>
  <conditionalFormatting sqref="A10:A18 L10:L18">
    <cfRule type="expression" dxfId="74" priority="258" stopIfTrue="1">
      <formula>#REF!&gt;0</formula>
    </cfRule>
    <cfRule type="expression" dxfId="73" priority="259" stopIfTrue="1">
      <formula>LEFT(#REF!,3)="TIR"</formula>
    </cfRule>
  </conditionalFormatting>
  <conditionalFormatting sqref="H1:H3 F10:F18 H10:K18 M10:N18 H19:H55553">
    <cfRule type="expression" dxfId="72" priority="249" stopIfTrue="1">
      <formula>LEFT(#REF!,3)="TIR"</formula>
    </cfRule>
  </conditionalFormatting>
  <conditionalFormatting sqref="H6">
    <cfRule type="expression" dxfId="71" priority="254" stopIfTrue="1">
      <formula>LEFT(#REF!,3)="TIR"</formula>
    </cfRule>
  </conditionalFormatting>
  <conditionalFormatting sqref="N10:O18 B10:E18 G10:G18">
    <cfRule type="expression" dxfId="70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34" t="s">
        <v>28</v>
      </c>
      <c r="B4" s="235"/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6"/>
    </row>
    <row r="5" spans="1:18" s="7" customFormat="1" x14ac:dyDescent="0.25">
      <c r="A5" s="227" t="s">
        <v>18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9"/>
    </row>
    <row r="6" spans="1:18" s="7" customFormat="1" ht="30" customHeight="1" x14ac:dyDescent="0.25">
      <c r="A6" s="86" t="s">
        <v>157</v>
      </c>
      <c r="B6" s="206" t="s">
        <v>69</v>
      </c>
      <c r="C6" s="206" t="s">
        <v>79</v>
      </c>
      <c r="D6" s="206" t="s">
        <v>74</v>
      </c>
      <c r="E6" s="206" t="s">
        <v>19</v>
      </c>
      <c r="F6" s="206" t="s">
        <v>70</v>
      </c>
      <c r="G6" s="206" t="s">
        <v>5</v>
      </c>
      <c r="H6" s="206" t="s">
        <v>13</v>
      </c>
      <c r="I6" s="206" t="s">
        <v>14</v>
      </c>
      <c r="J6" s="206" t="s">
        <v>6</v>
      </c>
      <c r="K6" s="207" t="s">
        <v>66</v>
      </c>
      <c r="L6" s="207" t="s">
        <v>71</v>
      </c>
      <c r="M6" s="207" t="s">
        <v>67</v>
      </c>
      <c r="N6" s="207" t="s">
        <v>68</v>
      </c>
      <c r="O6" s="207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61</v>
      </c>
      <c r="B9" s="67" t="s">
        <v>249</v>
      </c>
      <c r="C9" s="67" t="s">
        <v>249</v>
      </c>
      <c r="D9" s="67" t="s">
        <v>249</v>
      </c>
      <c r="E9" s="67" t="s">
        <v>249</v>
      </c>
      <c r="F9" s="101"/>
      <c r="G9" s="139" t="s">
        <v>249</v>
      </c>
      <c r="H9" s="139" t="s">
        <v>249</v>
      </c>
      <c r="I9" s="139" t="s">
        <v>249</v>
      </c>
      <c r="J9" s="139" t="s">
        <v>249</v>
      </c>
      <c r="K9" s="140" t="s">
        <v>249</v>
      </c>
      <c r="L9" s="140" t="s">
        <v>249</v>
      </c>
      <c r="M9" s="102" t="s">
        <v>249</v>
      </c>
      <c r="N9" s="139" t="s">
        <v>249</v>
      </c>
      <c r="O9" s="103">
        <v>6.0000000000000008E-7</v>
      </c>
      <c r="P9" s="120" t="s">
        <v>249</v>
      </c>
      <c r="Q9" s="106">
        <v>1</v>
      </c>
      <c r="R9" s="58">
        <v>0</v>
      </c>
    </row>
    <row r="10" spans="1:18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43" t="s">
        <v>249</v>
      </c>
      <c r="H10" s="143" t="s">
        <v>249</v>
      </c>
      <c r="I10" s="143" t="s">
        <v>249</v>
      </c>
      <c r="J10" s="143" t="s">
        <v>249</v>
      </c>
      <c r="K10" s="157" t="s">
        <v>249</v>
      </c>
      <c r="L10" s="157" t="s">
        <v>249</v>
      </c>
      <c r="M10" s="133" t="s">
        <v>249</v>
      </c>
      <c r="N10" s="143" t="s">
        <v>249</v>
      </c>
      <c r="O10" s="123">
        <v>0</v>
      </c>
      <c r="P10" s="157" t="s">
        <v>249</v>
      </c>
      <c r="Q10" s="121">
        <v>0</v>
      </c>
      <c r="R10" s="121">
        <v>0</v>
      </c>
    </row>
    <row r="11" spans="1:18" s="119" customFormat="1" x14ac:dyDescent="0.25">
      <c r="A11" s="92" t="s">
        <v>2697</v>
      </c>
      <c r="B11" s="121" t="s">
        <v>249</v>
      </c>
      <c r="C11" s="137" t="s">
        <v>249</v>
      </c>
      <c r="D11" s="137" t="s">
        <v>249</v>
      </c>
      <c r="E11" s="137" t="s">
        <v>249</v>
      </c>
      <c r="F11" s="136" t="s">
        <v>249</v>
      </c>
      <c r="G11" s="145" t="s">
        <v>249</v>
      </c>
      <c r="H11" s="145" t="s">
        <v>249</v>
      </c>
      <c r="I11" s="145" t="s">
        <v>249</v>
      </c>
      <c r="J11" s="145" t="s">
        <v>249</v>
      </c>
      <c r="K11" s="158" t="s">
        <v>249</v>
      </c>
      <c r="L11" s="158" t="s">
        <v>249</v>
      </c>
      <c r="M11" s="135" t="s">
        <v>249</v>
      </c>
      <c r="N11" s="145" t="s">
        <v>249</v>
      </c>
      <c r="O11" s="124">
        <v>0</v>
      </c>
      <c r="P11" s="158"/>
      <c r="Q11" s="137">
        <v>0</v>
      </c>
      <c r="R11" s="137">
        <v>0</v>
      </c>
    </row>
    <row r="12" spans="1:18" s="119" customFormat="1" x14ac:dyDescent="0.25">
      <c r="A12" s="92" t="s">
        <v>2698</v>
      </c>
      <c r="B12" s="121" t="s">
        <v>249</v>
      </c>
      <c r="C12" s="137" t="s">
        <v>249</v>
      </c>
      <c r="D12" s="137" t="s">
        <v>249</v>
      </c>
      <c r="E12" s="137" t="s">
        <v>249</v>
      </c>
      <c r="F12" s="136" t="s">
        <v>249</v>
      </c>
      <c r="G12" s="145" t="s">
        <v>249</v>
      </c>
      <c r="H12" s="145" t="s">
        <v>249</v>
      </c>
      <c r="I12" s="145" t="s">
        <v>249</v>
      </c>
      <c r="J12" s="145" t="s">
        <v>249</v>
      </c>
      <c r="K12" s="158" t="s">
        <v>249</v>
      </c>
      <c r="L12" s="158" t="s">
        <v>249</v>
      </c>
      <c r="M12" s="135" t="s">
        <v>249</v>
      </c>
      <c r="N12" s="145" t="s">
        <v>249</v>
      </c>
      <c r="O12" s="124">
        <v>0</v>
      </c>
      <c r="P12" s="158"/>
      <c r="Q12" s="137">
        <v>0</v>
      </c>
      <c r="R12" s="137">
        <v>0</v>
      </c>
    </row>
    <row r="13" spans="1:18" s="119" customFormat="1" x14ac:dyDescent="0.25">
      <c r="A13" s="92" t="s">
        <v>556</v>
      </c>
      <c r="B13" s="121" t="s">
        <v>249</v>
      </c>
      <c r="C13" s="137" t="s">
        <v>249</v>
      </c>
      <c r="D13" s="137" t="s">
        <v>249</v>
      </c>
      <c r="E13" s="137" t="s">
        <v>249</v>
      </c>
      <c r="F13" s="136" t="s">
        <v>249</v>
      </c>
      <c r="G13" s="145" t="s">
        <v>249</v>
      </c>
      <c r="H13" s="145" t="s">
        <v>249</v>
      </c>
      <c r="I13" s="145" t="s">
        <v>249</v>
      </c>
      <c r="J13" s="145" t="s">
        <v>249</v>
      </c>
      <c r="K13" s="158" t="s">
        <v>249</v>
      </c>
      <c r="L13" s="158" t="s">
        <v>249</v>
      </c>
      <c r="M13" s="135" t="s">
        <v>249</v>
      </c>
      <c r="N13" s="136" t="s">
        <v>249</v>
      </c>
      <c r="O13" s="124">
        <v>0</v>
      </c>
      <c r="P13" s="158"/>
      <c r="Q13" s="137">
        <v>0</v>
      </c>
      <c r="R13" s="137">
        <v>0</v>
      </c>
    </row>
    <row r="14" spans="1:18" s="119" customFormat="1" x14ac:dyDescent="0.25">
      <c r="A14" s="92" t="s">
        <v>141</v>
      </c>
      <c r="B14" s="121" t="s">
        <v>249</v>
      </c>
      <c r="C14" s="137" t="s">
        <v>249</v>
      </c>
      <c r="D14" s="137" t="s">
        <v>249</v>
      </c>
      <c r="E14" s="137" t="s">
        <v>249</v>
      </c>
      <c r="F14" s="136" t="s">
        <v>249</v>
      </c>
      <c r="G14" s="145" t="s">
        <v>249</v>
      </c>
      <c r="H14" s="145" t="s">
        <v>249</v>
      </c>
      <c r="I14" s="145" t="s">
        <v>249</v>
      </c>
      <c r="J14" s="145" t="s">
        <v>249</v>
      </c>
      <c r="K14" s="158" t="s">
        <v>249</v>
      </c>
      <c r="L14" s="158" t="s">
        <v>249</v>
      </c>
      <c r="M14" s="135" t="s">
        <v>249</v>
      </c>
      <c r="N14" s="145" t="s">
        <v>249</v>
      </c>
      <c r="O14" s="124">
        <v>0</v>
      </c>
      <c r="P14" s="158"/>
      <c r="Q14" s="137">
        <v>0</v>
      </c>
      <c r="R14" s="137">
        <v>0</v>
      </c>
    </row>
    <row r="15" spans="1:18" s="119" customFormat="1" x14ac:dyDescent="0.25">
      <c r="A15" s="92" t="s">
        <v>544</v>
      </c>
      <c r="B15" s="121" t="s">
        <v>249</v>
      </c>
      <c r="C15" s="137" t="s">
        <v>249</v>
      </c>
      <c r="D15" s="137" t="s">
        <v>249</v>
      </c>
      <c r="E15" s="137" t="s">
        <v>249</v>
      </c>
      <c r="F15" s="136" t="s">
        <v>249</v>
      </c>
      <c r="G15" s="145" t="s">
        <v>249</v>
      </c>
      <c r="H15" s="145" t="s">
        <v>249</v>
      </c>
      <c r="I15" s="145" t="s">
        <v>249</v>
      </c>
      <c r="J15" s="145" t="s">
        <v>249</v>
      </c>
      <c r="K15" s="158" t="s">
        <v>249</v>
      </c>
      <c r="L15" s="158" t="s">
        <v>249</v>
      </c>
      <c r="M15" s="135" t="s">
        <v>249</v>
      </c>
      <c r="N15" s="145" t="s">
        <v>249</v>
      </c>
      <c r="O15" s="124">
        <v>0</v>
      </c>
      <c r="P15" s="158"/>
      <c r="Q15" s="137">
        <v>0</v>
      </c>
      <c r="R15" s="137">
        <v>0</v>
      </c>
    </row>
    <row r="16" spans="1:18" s="119" customFormat="1" x14ac:dyDescent="0.25">
      <c r="A16" s="92" t="s">
        <v>2699</v>
      </c>
      <c r="B16" s="121" t="s">
        <v>249</v>
      </c>
      <c r="C16" s="137" t="s">
        <v>249</v>
      </c>
      <c r="D16" s="137" t="s">
        <v>249</v>
      </c>
      <c r="E16" s="137" t="s">
        <v>249</v>
      </c>
      <c r="F16" s="136" t="s">
        <v>249</v>
      </c>
      <c r="G16" s="145" t="s">
        <v>249</v>
      </c>
      <c r="H16" s="145" t="s">
        <v>249</v>
      </c>
      <c r="I16" s="145" t="s">
        <v>249</v>
      </c>
      <c r="J16" s="145" t="s">
        <v>249</v>
      </c>
      <c r="K16" s="158" t="s">
        <v>249</v>
      </c>
      <c r="L16" s="158" t="s">
        <v>249</v>
      </c>
      <c r="M16" s="135" t="s">
        <v>249</v>
      </c>
      <c r="N16" s="145" t="s">
        <v>249</v>
      </c>
      <c r="O16" s="124">
        <v>0</v>
      </c>
      <c r="P16" s="158"/>
      <c r="Q16" s="137">
        <v>0</v>
      </c>
      <c r="R16" s="137">
        <v>0</v>
      </c>
    </row>
    <row r="17" spans="1:18" s="119" customFormat="1" x14ac:dyDescent="0.25">
      <c r="A17" s="92" t="s">
        <v>2700</v>
      </c>
      <c r="B17" s="121" t="s">
        <v>249</v>
      </c>
      <c r="C17" s="137" t="s">
        <v>249</v>
      </c>
      <c r="D17" s="137" t="s">
        <v>249</v>
      </c>
      <c r="E17" s="137" t="s">
        <v>249</v>
      </c>
      <c r="F17" s="136" t="s">
        <v>249</v>
      </c>
      <c r="G17" s="145" t="s">
        <v>249</v>
      </c>
      <c r="H17" s="145" t="s">
        <v>249</v>
      </c>
      <c r="I17" s="145" t="s">
        <v>249</v>
      </c>
      <c r="J17" s="145" t="s">
        <v>249</v>
      </c>
      <c r="K17" s="158" t="s">
        <v>249</v>
      </c>
      <c r="L17" s="158" t="s">
        <v>249</v>
      </c>
      <c r="M17" s="135" t="s">
        <v>249</v>
      </c>
      <c r="N17" s="145" t="s">
        <v>249</v>
      </c>
      <c r="O17" s="124">
        <v>0</v>
      </c>
      <c r="P17" s="158"/>
      <c r="Q17" s="137">
        <v>0</v>
      </c>
      <c r="R17" s="137">
        <v>0</v>
      </c>
    </row>
    <row r="18" spans="1:18" s="119" customFormat="1" x14ac:dyDescent="0.25">
      <c r="A18" s="78" t="s">
        <v>241</v>
      </c>
      <c r="B18" s="125"/>
      <c r="C18" s="125"/>
      <c r="D18" s="125"/>
      <c r="E18" s="78"/>
      <c r="F18" s="146"/>
      <c r="G18" s="146"/>
      <c r="H18" s="146"/>
      <c r="I18" s="147"/>
      <c r="J18" s="130"/>
      <c r="K18" s="148"/>
      <c r="L18" s="148"/>
      <c r="M18" s="148"/>
      <c r="N18" s="130"/>
      <c r="O18" s="130"/>
    </row>
    <row r="19" spans="1:18" s="119" customFormat="1" x14ac:dyDescent="0.25">
      <c r="A19" s="78" t="s">
        <v>242</v>
      </c>
      <c r="B19" s="125"/>
      <c r="C19" s="125"/>
      <c r="D19" s="125"/>
      <c r="E19" s="78"/>
      <c r="F19" s="146"/>
      <c r="G19" s="146"/>
      <c r="H19" s="146"/>
      <c r="I19" s="147"/>
      <c r="J19" s="130"/>
      <c r="K19" s="148"/>
      <c r="L19" s="148"/>
      <c r="M19" s="148"/>
      <c r="N19" s="130"/>
      <c r="O19" s="130"/>
    </row>
    <row r="20" spans="1:18" s="119" customFormat="1" x14ac:dyDescent="0.25">
      <c r="A20" s="78" t="s">
        <v>243</v>
      </c>
      <c r="B20" s="125"/>
      <c r="C20" s="125"/>
      <c r="D20" s="125"/>
      <c r="E20" s="78"/>
      <c r="F20" s="146"/>
      <c r="G20" s="146"/>
      <c r="H20" s="146"/>
      <c r="I20" s="147"/>
      <c r="J20" s="130"/>
      <c r="K20" s="148"/>
      <c r="L20" s="148"/>
      <c r="M20" s="148"/>
      <c r="N20" s="130"/>
      <c r="O20" s="130"/>
    </row>
    <row r="21" spans="1:18" s="119" customFormat="1" x14ac:dyDescent="0.25">
      <c r="A21" s="78" t="s">
        <v>244</v>
      </c>
      <c r="B21" s="125"/>
      <c r="C21" s="125"/>
      <c r="D21" s="125"/>
      <c r="E21" s="78"/>
      <c r="F21" s="146"/>
      <c r="G21" s="146"/>
      <c r="H21" s="146"/>
      <c r="I21" s="147"/>
      <c r="J21" s="130"/>
      <c r="K21" s="148"/>
      <c r="L21" s="148"/>
      <c r="M21" s="148"/>
      <c r="N21" s="130"/>
      <c r="O21" s="130"/>
    </row>
    <row r="22" spans="1:18" s="119" customFormat="1" x14ac:dyDescent="0.25">
      <c r="A22" s="78" t="s">
        <v>245</v>
      </c>
      <c r="B22" s="125"/>
      <c r="C22" s="125"/>
      <c r="D22" s="125"/>
      <c r="E22" s="78"/>
      <c r="F22" s="146"/>
      <c r="G22" s="146"/>
      <c r="H22" s="146"/>
      <c r="I22" s="147"/>
      <c r="J22" s="130"/>
      <c r="K22" s="148"/>
      <c r="L22" s="148"/>
      <c r="M22" s="148"/>
      <c r="N22" s="130"/>
      <c r="O22" s="130"/>
    </row>
  </sheetData>
  <mergeCells count="2">
    <mergeCell ref="A5:R5"/>
    <mergeCell ref="A4:R4"/>
  </mergeCells>
  <phoneticPr fontId="3" type="noConversion"/>
  <conditionalFormatting sqref="A9:A17 O10:O17">
    <cfRule type="expression" dxfId="69" priority="281" stopIfTrue="1">
      <formula>#REF!&gt;0</formula>
    </cfRule>
    <cfRule type="expression" dxfId="68" priority="282" stopIfTrue="1">
      <formula>LEFT(#REF!,3)="TIR"</formula>
    </cfRule>
  </conditionalFormatting>
  <conditionalFormatting sqref="B9:H17 J9:J17">
    <cfRule type="expression" dxfId="67" priority="279" stopIfTrue="1">
      <formula>LEFT(#REF!,3)="TIR"</formula>
    </cfRule>
  </conditionalFormatting>
  <conditionalFormatting sqref="J1:J3 I9:I17 K9:N17 P10:Q17 J18:J55552">
    <cfRule type="expression" dxfId="66" priority="273" stopIfTrue="1">
      <formula>LEFT(#REF!,3)="TIR"</formula>
    </cfRule>
  </conditionalFormatting>
  <conditionalFormatting sqref="K6">
    <cfRule type="expression" dxfId="65" priority="278" stopIfTrue="1">
      <formula>LEFT(#REF!,3)="TIR"</formula>
    </cfRule>
  </conditionalFormatting>
  <conditionalFormatting sqref="Q10:R17">
    <cfRule type="expression" dxfId="64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0"/>
  <sheetViews>
    <sheetView rightToLeft="1" zoomScale="80" workbookViewId="0"/>
  </sheetViews>
  <sheetFormatPr defaultColWidth="9.109375" defaultRowHeight="13.2" x14ac:dyDescent="0.25"/>
  <cols>
    <col min="1" max="1" width="3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6.5546875" style="9" bestFit="1" customWidth="1"/>
    <col min="6" max="6" width="7.5546875" style="59" customWidth="1"/>
    <col min="7" max="7" width="11.109375" style="59" customWidth="1"/>
    <col min="8" max="8" width="14.109375" style="59" customWidth="1"/>
    <col min="9" max="9" width="7.88671875" style="36" customWidth="1"/>
    <col min="10" max="10" width="12" style="61" bestFit="1" customWidth="1"/>
    <col min="11" max="11" width="12.5546875" style="63" customWidth="1"/>
    <col min="12" max="12" width="14.109375" style="63" customWidth="1"/>
    <col min="13" max="13" width="10.88671875" style="63" bestFit="1" customWidth="1"/>
    <col min="14" max="14" width="8.88671875" style="61" bestFit="1" customWidth="1"/>
    <col min="15" max="15" width="10.44140625" style="61" customWidth="1"/>
    <col min="16" max="16" width="22" style="65" customWidth="1"/>
    <col min="17" max="17" width="25.44140625" style="65" customWidth="1"/>
    <col min="18" max="18" width="20.6640625" style="65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2"/>
      <c r="L1" s="62"/>
      <c r="M1" s="62"/>
      <c r="N1" s="61"/>
      <c r="O1" s="61"/>
      <c r="P1" s="65"/>
      <c r="Q1" s="65"/>
      <c r="R1" s="43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2"/>
      <c r="L2" s="62"/>
      <c r="M2" s="62"/>
      <c r="N2" s="61"/>
      <c r="O2" s="61"/>
      <c r="P2" s="65"/>
      <c r="Q2" s="65"/>
      <c r="R2" s="43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2"/>
      <c r="L3" s="62"/>
      <c r="M3" s="62"/>
      <c r="N3" s="61"/>
      <c r="O3" s="61"/>
      <c r="P3" s="65"/>
      <c r="Q3" s="65"/>
      <c r="R3" s="43"/>
    </row>
    <row r="4" spans="1:18" s="7" customFormat="1" ht="13.8" thickBot="1" x14ac:dyDescent="0.3">
      <c r="A4" s="234" t="s">
        <v>28</v>
      </c>
      <c r="B4" s="235"/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6"/>
    </row>
    <row r="5" spans="1:18" s="7" customFormat="1" x14ac:dyDescent="0.25">
      <c r="A5" s="227" t="s">
        <v>20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9"/>
    </row>
    <row r="6" spans="1:18" s="7" customFormat="1" ht="30" customHeight="1" x14ac:dyDescent="0.25">
      <c r="A6" s="86" t="s">
        <v>157</v>
      </c>
      <c r="B6" s="206" t="s">
        <v>69</v>
      </c>
      <c r="C6" s="206" t="s">
        <v>79</v>
      </c>
      <c r="D6" s="206" t="s">
        <v>74</v>
      </c>
      <c r="E6" s="206" t="s">
        <v>19</v>
      </c>
      <c r="F6" s="206" t="s">
        <v>70</v>
      </c>
      <c r="G6" s="206" t="s">
        <v>5</v>
      </c>
      <c r="H6" s="206" t="s">
        <v>13</v>
      </c>
      <c r="I6" s="206" t="s">
        <v>14</v>
      </c>
      <c r="J6" s="206" t="s">
        <v>6</v>
      </c>
      <c r="K6" s="207" t="s">
        <v>66</v>
      </c>
      <c r="L6" s="207" t="s">
        <v>71</v>
      </c>
      <c r="M6" s="207" t="s">
        <v>67</v>
      </c>
      <c r="N6" s="207" t="s">
        <v>68</v>
      </c>
      <c r="O6" s="207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58</v>
      </c>
      <c r="B9" s="67"/>
      <c r="C9" s="67"/>
      <c r="D9" s="67"/>
      <c r="E9" s="67"/>
      <c r="F9" s="101"/>
      <c r="G9" s="101"/>
      <c r="H9" s="101"/>
      <c r="I9" s="101"/>
      <c r="J9" s="101"/>
      <c r="K9" s="67"/>
      <c r="L9" s="67"/>
      <c r="M9" s="102"/>
      <c r="N9" s="101"/>
      <c r="O9" s="105">
        <v>2508.6119805999997</v>
      </c>
      <c r="P9" s="67"/>
      <c r="Q9" s="67">
        <v>1</v>
      </c>
      <c r="R9" s="81">
        <v>1.0333425836011136E-2</v>
      </c>
    </row>
    <row r="10" spans="1:18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22" t="s">
        <v>249</v>
      </c>
      <c r="H10" s="122" t="s">
        <v>249</v>
      </c>
      <c r="I10" s="133" t="s">
        <v>249</v>
      </c>
      <c r="J10" s="122" t="s">
        <v>249</v>
      </c>
      <c r="K10" s="121" t="s">
        <v>249</v>
      </c>
      <c r="L10" s="121" t="s">
        <v>249</v>
      </c>
      <c r="M10" s="133" t="s">
        <v>249</v>
      </c>
      <c r="N10" s="122" t="s">
        <v>249</v>
      </c>
      <c r="O10" s="134">
        <v>2508.6119804000004</v>
      </c>
      <c r="P10" s="121" t="s">
        <v>249</v>
      </c>
      <c r="Q10" s="121">
        <v>0.99999999992027477</v>
      </c>
      <c r="R10" s="121">
        <v>1.0333425835187303E-2</v>
      </c>
    </row>
    <row r="11" spans="1:18" s="119" customFormat="1" x14ac:dyDescent="0.25">
      <c r="A11" s="92" t="s">
        <v>2697</v>
      </c>
      <c r="B11" s="137" t="s">
        <v>249</v>
      </c>
      <c r="C11" s="137" t="s">
        <v>249</v>
      </c>
      <c r="D11" s="137" t="s">
        <v>249</v>
      </c>
      <c r="E11" s="137" t="s">
        <v>249</v>
      </c>
      <c r="F11" s="122" t="s">
        <v>249</v>
      </c>
      <c r="G11" s="136" t="s">
        <v>249</v>
      </c>
      <c r="H11" s="136" t="s">
        <v>249</v>
      </c>
      <c r="I11" s="133" t="s">
        <v>249</v>
      </c>
      <c r="J11" s="136" t="s">
        <v>249</v>
      </c>
      <c r="K11" s="137" t="s">
        <v>249</v>
      </c>
      <c r="L11" s="137" t="s">
        <v>249</v>
      </c>
      <c r="M11" s="135" t="s">
        <v>249</v>
      </c>
      <c r="N11" s="122" t="s">
        <v>249</v>
      </c>
      <c r="O11" s="124">
        <v>1786.7827701000001</v>
      </c>
      <c r="P11" s="137"/>
      <c r="Q11" s="121">
        <v>0.71225952196586595</v>
      </c>
      <c r="R11" s="121">
        <v>7.360080946227021E-3</v>
      </c>
    </row>
    <row r="12" spans="1:18" x14ac:dyDescent="0.25">
      <c r="A12" s="16" t="s">
        <v>2710</v>
      </c>
      <c r="B12" s="24" t="s">
        <v>2711</v>
      </c>
      <c r="C12" s="24" t="s">
        <v>249</v>
      </c>
      <c r="D12" s="24" t="s">
        <v>794</v>
      </c>
      <c r="E12" s="24" t="s">
        <v>204</v>
      </c>
      <c r="F12" s="66" t="s">
        <v>253</v>
      </c>
      <c r="G12" s="60" t="s">
        <v>254</v>
      </c>
      <c r="H12" s="60" t="s">
        <v>2712</v>
      </c>
      <c r="I12" s="99">
        <v>5.7257999999999996</v>
      </c>
      <c r="J12" s="60" t="s">
        <v>255</v>
      </c>
      <c r="K12" s="24">
        <v>4.9000000000000002E-2</v>
      </c>
      <c r="L12" s="24">
        <v>2.7900000000000001E-2</v>
      </c>
      <c r="M12" s="69">
        <v>335057.16563591023</v>
      </c>
      <c r="N12" s="66">
        <v>156.19</v>
      </c>
      <c r="O12" s="84">
        <v>523.32578999999998</v>
      </c>
      <c r="P12" s="24">
        <v>2.0725164102917783E-4</v>
      </c>
      <c r="Q12" s="32">
        <v>0.20861169206201152</v>
      </c>
      <c r="R12" s="32">
        <v>2.1556734484475893E-3</v>
      </c>
    </row>
    <row r="13" spans="1:18" x14ac:dyDescent="0.25">
      <c r="A13" s="16" t="s">
        <v>2716</v>
      </c>
      <c r="B13" s="24" t="s">
        <v>2717</v>
      </c>
      <c r="C13" s="24" t="s">
        <v>249</v>
      </c>
      <c r="D13" s="24" t="s">
        <v>794</v>
      </c>
      <c r="E13" s="24" t="s">
        <v>204</v>
      </c>
      <c r="F13" s="66" t="s">
        <v>253</v>
      </c>
      <c r="G13" s="60" t="s">
        <v>254</v>
      </c>
      <c r="H13" s="60" t="s">
        <v>2718</v>
      </c>
      <c r="I13" s="99">
        <v>10.0426</v>
      </c>
      <c r="J13" s="60" t="s">
        <v>255</v>
      </c>
      <c r="K13" s="24">
        <v>4.0999999999999995E-2</v>
      </c>
      <c r="L13" s="24">
        <v>2.8399999999999998E-2</v>
      </c>
      <c r="M13" s="69">
        <v>386285.86681195302</v>
      </c>
      <c r="N13" s="66">
        <v>131.04</v>
      </c>
      <c r="O13" s="84">
        <v>506.18900000000002</v>
      </c>
      <c r="P13" s="24">
        <v>1.0637724023331279E-4</v>
      </c>
      <c r="Q13" s="32">
        <v>0.20178050807161166</v>
      </c>
      <c r="R13" s="32">
        <v>2.0850839153106456E-3</v>
      </c>
    </row>
    <row r="14" spans="1:18" x14ac:dyDescent="0.25">
      <c r="A14" s="16" t="s">
        <v>2726</v>
      </c>
      <c r="B14" s="24" t="s">
        <v>2727</v>
      </c>
      <c r="C14" s="24" t="s">
        <v>249</v>
      </c>
      <c r="D14" s="24" t="s">
        <v>2728</v>
      </c>
      <c r="E14" s="24" t="s">
        <v>204</v>
      </c>
      <c r="F14" s="66" t="s">
        <v>709</v>
      </c>
      <c r="G14" s="60" t="s">
        <v>569</v>
      </c>
      <c r="H14" s="60" t="s">
        <v>2729</v>
      </c>
      <c r="I14" s="99">
        <v>4.5557999999999996</v>
      </c>
      <c r="J14" s="60" t="s">
        <v>255</v>
      </c>
      <c r="K14" s="24">
        <v>1.55E-2</v>
      </c>
      <c r="L14" s="24">
        <v>2.9600000000000001E-2</v>
      </c>
      <c r="M14" s="69">
        <v>112082.046125743</v>
      </c>
      <c r="N14" s="66">
        <v>99.32</v>
      </c>
      <c r="O14" s="84">
        <v>111.31989</v>
      </c>
      <c r="P14" s="24">
        <v>1.8680341020957167E-4</v>
      </c>
      <c r="Q14" s="32">
        <v>4.4375093023901989E-2</v>
      </c>
      <c r="R14" s="32">
        <v>4.5854673272858635E-4</v>
      </c>
    </row>
    <row r="15" spans="1:18" x14ac:dyDescent="0.25">
      <c r="A15" s="16" t="s">
        <v>2730</v>
      </c>
      <c r="B15" s="24" t="s">
        <v>2731</v>
      </c>
      <c r="C15" s="24" t="s">
        <v>249</v>
      </c>
      <c r="D15" s="24" t="s">
        <v>2728</v>
      </c>
      <c r="E15" s="24" t="s">
        <v>204</v>
      </c>
      <c r="F15" s="66" t="s">
        <v>709</v>
      </c>
      <c r="G15" s="60" t="s">
        <v>569</v>
      </c>
      <c r="H15" s="60" t="s">
        <v>2729</v>
      </c>
      <c r="I15" s="99">
        <v>7.1204999999999998</v>
      </c>
      <c r="J15" s="60" t="s">
        <v>255</v>
      </c>
      <c r="K15" s="24">
        <v>1.7500000000000002E-2</v>
      </c>
      <c r="L15" s="24">
        <v>2.9500000000000002E-2</v>
      </c>
      <c r="M15" s="69">
        <v>108233.6448308268</v>
      </c>
      <c r="N15" s="66">
        <v>97.29</v>
      </c>
      <c r="O15" s="84">
        <v>105.30050999999999</v>
      </c>
      <c r="P15" s="24">
        <v>2.7058411207706701E-4</v>
      </c>
      <c r="Q15" s="32">
        <v>4.1975606755579091E-2</v>
      </c>
      <c r="R15" s="32">
        <v>4.3375181933034453E-4</v>
      </c>
    </row>
    <row r="16" spans="1:18" x14ac:dyDescent="0.25">
      <c r="A16" s="16" t="s">
        <v>2722</v>
      </c>
      <c r="B16" s="24" t="s">
        <v>2723</v>
      </c>
      <c r="C16" s="24" t="s">
        <v>249</v>
      </c>
      <c r="D16" s="24" t="s">
        <v>2724</v>
      </c>
      <c r="E16" s="24" t="s">
        <v>225</v>
      </c>
      <c r="F16" s="66" t="s">
        <v>709</v>
      </c>
      <c r="G16" s="60" t="s">
        <v>569</v>
      </c>
      <c r="H16" s="60" t="s">
        <v>2725</v>
      </c>
      <c r="I16" s="99">
        <v>7.8703000000000003</v>
      </c>
      <c r="J16" s="60" t="s">
        <v>255</v>
      </c>
      <c r="K16" s="24">
        <v>8.3000000000000001E-3</v>
      </c>
      <c r="L16" s="24">
        <v>2.7400000000000001E-2</v>
      </c>
      <c r="M16" s="69">
        <v>190631.29546166101</v>
      </c>
      <c r="N16" s="66">
        <v>96.01</v>
      </c>
      <c r="O16" s="84">
        <v>183.02510999999998</v>
      </c>
      <c r="P16" s="24">
        <v>5.6023538796150414E-4</v>
      </c>
      <c r="Q16" s="32">
        <v>7.2958716379973906E-2</v>
      </c>
      <c r="R16" s="32">
        <v>7.5391348480303121E-4</v>
      </c>
    </row>
    <row r="17" spans="1:18" x14ac:dyDescent="0.25">
      <c r="A17" s="16" t="s">
        <v>2713</v>
      </c>
      <c r="B17" s="24" t="s">
        <v>2714</v>
      </c>
      <c r="C17" s="24" t="s">
        <v>249</v>
      </c>
      <c r="D17" s="24" t="s">
        <v>745</v>
      </c>
      <c r="E17" s="24" t="s">
        <v>204</v>
      </c>
      <c r="F17" s="66" t="s">
        <v>646</v>
      </c>
      <c r="G17" s="60" t="s">
        <v>569</v>
      </c>
      <c r="H17" s="60" t="s">
        <v>2715</v>
      </c>
      <c r="I17" s="99">
        <v>1.6707000000000001</v>
      </c>
      <c r="J17" s="60" t="s">
        <v>255</v>
      </c>
      <c r="K17" s="24">
        <v>5.5999999999999994E-2</v>
      </c>
      <c r="L17" s="24">
        <v>2.7699999999999999E-2</v>
      </c>
      <c r="M17" s="69">
        <v>78612.425649741388</v>
      </c>
      <c r="N17" s="66">
        <v>142.81</v>
      </c>
      <c r="O17" s="84">
        <v>112.26641000000001</v>
      </c>
      <c r="P17" s="24">
        <v>1.8238756970466574E-4</v>
      </c>
      <c r="Q17" s="32">
        <v>4.4752401275365256E-2</v>
      </c>
      <c r="R17" s="32">
        <v>4.6244561956239712E-4</v>
      </c>
    </row>
    <row r="18" spans="1:18" x14ac:dyDescent="0.25">
      <c r="A18" s="16" t="s">
        <v>2719</v>
      </c>
      <c r="B18" s="24" t="s">
        <v>2720</v>
      </c>
      <c r="C18" s="24" t="s">
        <v>249</v>
      </c>
      <c r="D18" s="24" t="s">
        <v>745</v>
      </c>
      <c r="E18" s="24" t="s">
        <v>204</v>
      </c>
      <c r="F18" s="66" t="s">
        <v>646</v>
      </c>
      <c r="G18" s="60" t="s">
        <v>569</v>
      </c>
      <c r="H18" s="60" t="s">
        <v>2721</v>
      </c>
      <c r="I18" s="99">
        <v>4.4307999999999996</v>
      </c>
      <c r="J18" s="60" t="s">
        <v>255</v>
      </c>
      <c r="K18" s="24">
        <v>4.9299999999999997E-2</v>
      </c>
      <c r="L18" s="24">
        <v>2.53E-2</v>
      </c>
      <c r="M18" s="69">
        <v>108698.27710306607</v>
      </c>
      <c r="N18" s="66">
        <v>128.32</v>
      </c>
      <c r="O18" s="84">
        <v>139.48163</v>
      </c>
      <c r="P18" s="24">
        <v>1.5764653216811226E-4</v>
      </c>
      <c r="Q18" s="32">
        <v>5.5601117701207556E-2</v>
      </c>
      <c r="R18" s="32">
        <v>5.7455002616475423E-4</v>
      </c>
    </row>
    <row r="19" spans="1:18" x14ac:dyDescent="0.25">
      <c r="A19" s="16" t="s">
        <v>2706</v>
      </c>
      <c r="B19" s="24" t="s">
        <v>2707</v>
      </c>
      <c r="C19" s="24" t="s">
        <v>249</v>
      </c>
      <c r="D19" s="24" t="s">
        <v>2708</v>
      </c>
      <c r="E19" s="24" t="s">
        <v>202</v>
      </c>
      <c r="F19" s="66" t="s">
        <v>585</v>
      </c>
      <c r="G19" s="60" t="s">
        <v>254</v>
      </c>
      <c r="H19" s="60" t="s">
        <v>2709</v>
      </c>
      <c r="I19" s="99">
        <v>1.0203</v>
      </c>
      <c r="J19" s="60" t="s">
        <v>255</v>
      </c>
      <c r="K19" s="24">
        <v>7.7499999999999999E-2</v>
      </c>
      <c r="L19" s="24">
        <v>3.1699999999999999E-2</v>
      </c>
      <c r="M19" s="69">
        <v>5844.8675694558542</v>
      </c>
      <c r="N19" s="66">
        <v>146.07</v>
      </c>
      <c r="O19" s="84">
        <v>8.5376000000000012</v>
      </c>
      <c r="P19" s="24">
        <v>3.8651359623994321E-5</v>
      </c>
      <c r="Q19" s="32">
        <v>3.4033162824798481E-3</v>
      </c>
      <c r="R19" s="32">
        <v>3.5167916401494643E-5</v>
      </c>
    </row>
    <row r="20" spans="1:18" x14ac:dyDescent="0.25">
      <c r="A20" s="16" t="s">
        <v>2701</v>
      </c>
      <c r="B20" s="24" t="s">
        <v>2702</v>
      </c>
      <c r="C20" s="24" t="s">
        <v>249</v>
      </c>
      <c r="D20" s="24" t="s">
        <v>1189</v>
      </c>
      <c r="E20" s="24" t="s">
        <v>201</v>
      </c>
      <c r="F20" s="66" t="s">
        <v>568</v>
      </c>
      <c r="G20" s="60" t="s">
        <v>569</v>
      </c>
      <c r="H20" s="60" t="s">
        <v>2703</v>
      </c>
      <c r="I20" s="99">
        <v>3.7343999999999999</v>
      </c>
      <c r="J20" s="60" t="s">
        <v>255</v>
      </c>
      <c r="K20" s="24">
        <v>3.3000000000000002E-2</v>
      </c>
      <c r="L20" s="24">
        <v>1.83E-2</v>
      </c>
      <c r="M20" s="69">
        <v>80525.740029183144</v>
      </c>
      <c r="N20" s="66">
        <v>120.17</v>
      </c>
      <c r="O20" s="84">
        <v>96.767780000000002</v>
      </c>
      <c r="P20" s="24">
        <v>3.9667852231124701E-4</v>
      </c>
      <c r="Q20" s="32">
        <v>3.8574231785680729E-2</v>
      </c>
      <c r="R20" s="32">
        <v>3.9860396333843521E-4</v>
      </c>
    </row>
    <row r="21" spans="1:18" x14ac:dyDescent="0.25">
      <c r="A21" s="16" t="s">
        <v>2704</v>
      </c>
      <c r="B21" s="24" t="s">
        <v>2705</v>
      </c>
      <c r="C21" s="24" t="s">
        <v>249</v>
      </c>
      <c r="D21" s="24" t="s">
        <v>1391</v>
      </c>
      <c r="E21" s="24" t="s">
        <v>200</v>
      </c>
      <c r="F21" s="66" t="s">
        <v>573</v>
      </c>
      <c r="G21" s="60" t="s">
        <v>573</v>
      </c>
      <c r="H21" s="60" t="s">
        <v>1397</v>
      </c>
      <c r="I21" s="99">
        <v>3.2574999999999998</v>
      </c>
      <c r="J21" s="60" t="s">
        <v>255</v>
      </c>
      <c r="K21" s="24">
        <v>0.01</v>
      </c>
      <c r="L21" s="24">
        <v>4.7800000000000002E-2</v>
      </c>
      <c r="M21" s="69">
        <v>630.18096512356897</v>
      </c>
      <c r="N21" s="66">
        <v>90.3</v>
      </c>
      <c r="O21" s="84">
        <v>0.56904999999999994</v>
      </c>
      <c r="P21" s="24">
        <v>1.2401231209138243E-5</v>
      </c>
      <c r="Q21" s="32">
        <v>2.2683858819166479E-4</v>
      </c>
      <c r="R21" s="32">
        <v>2.3440197278240394E-6</v>
      </c>
    </row>
    <row r="22" spans="1:18" s="119" customFormat="1" x14ac:dyDescent="0.25">
      <c r="A22" s="92" t="s">
        <v>2698</v>
      </c>
      <c r="B22" s="137" t="s">
        <v>249</v>
      </c>
      <c r="C22" s="137" t="s">
        <v>249</v>
      </c>
      <c r="D22" s="137" t="s">
        <v>249</v>
      </c>
      <c r="E22" s="137" t="s">
        <v>249</v>
      </c>
      <c r="F22" s="122" t="s">
        <v>249</v>
      </c>
      <c r="G22" s="136" t="s">
        <v>249</v>
      </c>
      <c r="H22" s="136" t="s">
        <v>249</v>
      </c>
      <c r="I22" s="133" t="s">
        <v>249</v>
      </c>
      <c r="J22" s="136" t="s">
        <v>249</v>
      </c>
      <c r="K22" s="137" t="s">
        <v>249</v>
      </c>
      <c r="L22" s="137" t="s">
        <v>249</v>
      </c>
      <c r="M22" s="135" t="s">
        <v>249</v>
      </c>
      <c r="N22" s="122" t="s">
        <v>249</v>
      </c>
      <c r="O22" s="124">
        <v>717.34088009999994</v>
      </c>
      <c r="P22" s="137"/>
      <c r="Q22" s="121">
        <v>0.28595130918908757</v>
      </c>
      <c r="R22" s="121">
        <v>2.9548566462157264E-3</v>
      </c>
    </row>
    <row r="23" spans="1:18" x14ac:dyDescent="0.25">
      <c r="A23" s="16" t="s">
        <v>2736</v>
      </c>
      <c r="B23" s="24" t="s">
        <v>2737</v>
      </c>
      <c r="C23" s="24" t="s">
        <v>249</v>
      </c>
      <c r="D23" s="24" t="s">
        <v>2738</v>
      </c>
      <c r="E23" s="24" t="s">
        <v>195</v>
      </c>
      <c r="F23" s="66" t="s">
        <v>709</v>
      </c>
      <c r="G23" s="60" t="s">
        <v>569</v>
      </c>
      <c r="H23" s="60" t="s">
        <v>2739</v>
      </c>
      <c r="I23" s="99">
        <v>5.0961999999999996</v>
      </c>
      <c r="J23" s="60" t="s">
        <v>255</v>
      </c>
      <c r="K23" s="24">
        <v>3.7400000000000003E-2</v>
      </c>
      <c r="L23" s="24">
        <v>5.3899999999999997E-2</v>
      </c>
      <c r="M23" s="69">
        <v>225347.50311095431</v>
      </c>
      <c r="N23" s="66">
        <v>92.43</v>
      </c>
      <c r="O23" s="84">
        <v>208.28870000000001</v>
      </c>
      <c r="P23" s="24">
        <v>3.6216047671485042E-4</v>
      </c>
      <c r="Q23" s="32">
        <v>8.3029460757889847E-2</v>
      </c>
      <c r="R23" s="32">
        <v>8.5797877494565172E-4</v>
      </c>
    </row>
    <row r="24" spans="1:18" x14ac:dyDescent="0.25">
      <c r="A24" s="16" t="s">
        <v>2740</v>
      </c>
      <c r="B24" s="24" t="s">
        <v>2741</v>
      </c>
      <c r="C24" s="24" t="s">
        <v>249</v>
      </c>
      <c r="D24" s="24" t="s">
        <v>2738</v>
      </c>
      <c r="E24" s="24" t="s">
        <v>195</v>
      </c>
      <c r="F24" s="66" t="s">
        <v>709</v>
      </c>
      <c r="G24" s="60" t="s">
        <v>569</v>
      </c>
      <c r="H24" s="60" t="s">
        <v>2739</v>
      </c>
      <c r="I24" s="99">
        <v>1.4134</v>
      </c>
      <c r="J24" s="60" t="s">
        <v>255</v>
      </c>
      <c r="K24" s="24">
        <v>2.5000000000000001E-2</v>
      </c>
      <c r="L24" s="24">
        <v>5.1900000000000002E-2</v>
      </c>
      <c r="M24" s="69">
        <v>34294.491571158076</v>
      </c>
      <c r="N24" s="66">
        <v>96.5</v>
      </c>
      <c r="O24" s="84">
        <v>33.094180000000001</v>
      </c>
      <c r="P24" s="24">
        <v>8.4045744793634656E-5</v>
      </c>
      <c r="Q24" s="32">
        <v>1.3192227517021052E-2</v>
      </c>
      <c r="R24" s="32">
        <v>1.363209046589224E-4</v>
      </c>
    </row>
    <row r="25" spans="1:18" x14ac:dyDescent="0.25">
      <c r="A25" s="16" t="s">
        <v>2742</v>
      </c>
      <c r="B25" s="24" t="s">
        <v>2743</v>
      </c>
      <c r="C25" s="24" t="s">
        <v>249</v>
      </c>
      <c r="D25" s="24" t="s">
        <v>2744</v>
      </c>
      <c r="E25" s="24" t="s">
        <v>223</v>
      </c>
      <c r="F25" s="66" t="s">
        <v>666</v>
      </c>
      <c r="G25" s="60" t="s">
        <v>569</v>
      </c>
      <c r="H25" s="60" t="s">
        <v>2745</v>
      </c>
      <c r="I25" s="99">
        <v>2.4695</v>
      </c>
      <c r="J25" s="60" t="s">
        <v>255</v>
      </c>
      <c r="K25" s="24">
        <v>3.1E-2</v>
      </c>
      <c r="L25" s="24">
        <v>5.5599999999999997E-2</v>
      </c>
      <c r="M25" s="69">
        <v>77928.160925029923</v>
      </c>
      <c r="N25" s="66">
        <v>94.4</v>
      </c>
      <c r="O25" s="84">
        <v>73.564179999999993</v>
      </c>
      <c r="P25" s="24">
        <v>9.578041490578316E-5</v>
      </c>
      <c r="Q25" s="32">
        <v>2.9324654657196209E-2</v>
      </c>
      <c r="R25" s="32">
        <v>3.0302414406677559E-4</v>
      </c>
    </row>
    <row r="26" spans="1:18" x14ac:dyDescent="0.25">
      <c r="A26" s="16" t="s">
        <v>2746</v>
      </c>
      <c r="B26" s="24" t="s">
        <v>2747</v>
      </c>
      <c r="C26" s="24" t="s">
        <v>249</v>
      </c>
      <c r="D26" s="24" t="s">
        <v>1838</v>
      </c>
      <c r="E26" s="24" t="s">
        <v>198</v>
      </c>
      <c r="F26" s="66" t="s">
        <v>577</v>
      </c>
      <c r="G26" s="60" t="s">
        <v>254</v>
      </c>
      <c r="H26" s="60" t="s">
        <v>1300</v>
      </c>
      <c r="I26" s="99">
        <v>3.6775000000000002</v>
      </c>
      <c r="J26" s="60" t="s">
        <v>255</v>
      </c>
      <c r="K26" s="24">
        <v>3.3500000000000002E-2</v>
      </c>
      <c r="L26" s="24">
        <v>6.8400000000000002E-2</v>
      </c>
      <c r="M26" s="69">
        <v>157508.56798543193</v>
      </c>
      <c r="N26" s="66">
        <v>89.2</v>
      </c>
      <c r="O26" s="84">
        <v>140.49764000000002</v>
      </c>
      <c r="P26" s="24">
        <v>1.9688570998178991E-4</v>
      </c>
      <c r="Q26" s="32">
        <v>5.6006126529937222E-2</v>
      </c>
      <c r="R26" s="32">
        <v>5.7873515485936202E-4</v>
      </c>
    </row>
    <row r="27" spans="1:18" x14ac:dyDescent="0.25">
      <c r="A27" s="16" t="s">
        <v>2748</v>
      </c>
      <c r="B27" s="24" t="s">
        <v>2749</v>
      </c>
      <c r="C27" s="24" t="s">
        <v>249</v>
      </c>
      <c r="D27" s="24" t="s">
        <v>2750</v>
      </c>
      <c r="E27" s="24" t="s">
        <v>200</v>
      </c>
      <c r="F27" s="66" t="s">
        <v>718</v>
      </c>
      <c r="G27" s="60" t="s">
        <v>569</v>
      </c>
      <c r="H27" s="60" t="s">
        <v>2751</v>
      </c>
      <c r="I27" s="99">
        <v>2.8948999999999994</v>
      </c>
      <c r="J27" s="60" t="s">
        <v>255</v>
      </c>
      <c r="K27" s="24">
        <v>7.049999952316284E-2</v>
      </c>
      <c r="L27" s="24">
        <v>6.8099999999999994E-2</v>
      </c>
      <c r="M27" s="69">
        <v>129792.7629788692</v>
      </c>
      <c r="N27" s="66">
        <v>100.13000000000001</v>
      </c>
      <c r="O27" s="84">
        <v>129.96149</v>
      </c>
      <c r="P27" s="24">
        <v>2.6977927058648398E-4</v>
      </c>
      <c r="Q27" s="32">
        <v>5.1806134629444091E-2</v>
      </c>
      <c r="R27" s="32">
        <v>5.3533485004376882E-4</v>
      </c>
    </row>
    <row r="28" spans="1:18" x14ac:dyDescent="0.25">
      <c r="A28" s="16" t="s">
        <v>2752</v>
      </c>
      <c r="B28" s="24" t="s">
        <v>2753</v>
      </c>
      <c r="C28" s="24" t="s">
        <v>249</v>
      </c>
      <c r="D28" s="24" t="s">
        <v>2750</v>
      </c>
      <c r="E28" s="24" t="s">
        <v>200</v>
      </c>
      <c r="F28" s="66" t="s">
        <v>718</v>
      </c>
      <c r="G28" s="60" t="s">
        <v>569</v>
      </c>
      <c r="H28" s="60" t="s">
        <v>2754</v>
      </c>
      <c r="I28" s="99">
        <v>0.252</v>
      </c>
      <c r="J28" s="60" t="s">
        <v>255</v>
      </c>
      <c r="K28" s="24">
        <v>5.1799999999999999E-2</v>
      </c>
      <c r="L28" s="24">
        <v>8.0600000000000005E-2</v>
      </c>
      <c r="M28" s="69">
        <v>61105.857964781855</v>
      </c>
      <c r="N28" s="66">
        <v>91.840000000000018</v>
      </c>
      <c r="O28" s="84">
        <v>56.119620000000005</v>
      </c>
      <c r="P28" s="24">
        <v>4.3983198707825421E-4</v>
      </c>
      <c r="Q28" s="32">
        <v>2.2370785292421962E-2</v>
      </c>
      <c r="R28" s="32">
        <v>2.3116685071257104E-4</v>
      </c>
    </row>
    <row r="29" spans="1:18" x14ac:dyDescent="0.25">
      <c r="A29" s="16" t="s">
        <v>2732</v>
      </c>
      <c r="B29" s="24" t="s">
        <v>2733</v>
      </c>
      <c r="C29" s="24" t="s">
        <v>249</v>
      </c>
      <c r="D29" s="24" t="s">
        <v>2734</v>
      </c>
      <c r="E29" s="24" t="s">
        <v>228</v>
      </c>
      <c r="F29" s="66" t="s">
        <v>730</v>
      </c>
      <c r="G29" s="60" t="s">
        <v>569</v>
      </c>
      <c r="H29" s="60" t="s">
        <v>2735</v>
      </c>
      <c r="I29" s="99">
        <v>2.9405999999999999</v>
      </c>
      <c r="J29" s="60" t="s">
        <v>255</v>
      </c>
      <c r="K29" s="24">
        <v>4.5999999999999999E-2</v>
      </c>
      <c r="L29" s="24">
        <v>7.0599999999999996E-2</v>
      </c>
      <c r="M29" s="69">
        <v>80193.639633820232</v>
      </c>
      <c r="N29" s="66">
        <v>94.54</v>
      </c>
      <c r="O29" s="84">
        <v>75.815070000000006</v>
      </c>
      <c r="P29" s="24">
        <v>1.8214800321965141E-4</v>
      </c>
      <c r="Q29" s="32">
        <v>3.0221919765314544E-2</v>
      </c>
      <c r="R29" s="32">
        <v>3.1229596651675696E-4</v>
      </c>
    </row>
    <row r="30" spans="1:18" s="119" customFormat="1" x14ac:dyDescent="0.25">
      <c r="A30" s="92" t="s">
        <v>556</v>
      </c>
      <c r="B30" s="137" t="s">
        <v>249</v>
      </c>
      <c r="C30" s="137" t="s">
        <v>249</v>
      </c>
      <c r="D30" s="137" t="s">
        <v>249</v>
      </c>
      <c r="E30" s="137" t="s">
        <v>249</v>
      </c>
      <c r="F30" s="122" t="s">
        <v>249</v>
      </c>
      <c r="G30" s="136" t="s">
        <v>249</v>
      </c>
      <c r="H30" s="136" t="s">
        <v>249</v>
      </c>
      <c r="I30" s="133" t="s">
        <v>249</v>
      </c>
      <c r="J30" s="136" t="s">
        <v>249</v>
      </c>
      <c r="K30" s="137" t="s">
        <v>249</v>
      </c>
      <c r="L30" s="137" t="s">
        <v>249</v>
      </c>
      <c r="M30" s="135" t="s">
        <v>249</v>
      </c>
      <c r="N30" s="122" t="s">
        <v>249</v>
      </c>
      <c r="O30" s="124">
        <v>4.4883300999999998</v>
      </c>
      <c r="P30" s="137"/>
      <c r="Q30" s="121">
        <v>1.78916872545849E-3</v>
      </c>
      <c r="R30" s="121">
        <v>1.8488242332635875E-5</v>
      </c>
    </row>
    <row r="31" spans="1:18" x14ac:dyDescent="0.25">
      <c r="A31" s="16" t="s">
        <v>2755</v>
      </c>
      <c r="B31" s="24" t="s">
        <v>2756</v>
      </c>
      <c r="C31" s="24" t="s">
        <v>249</v>
      </c>
      <c r="D31" s="24" t="s">
        <v>2757</v>
      </c>
      <c r="E31" s="24" t="s">
        <v>228</v>
      </c>
      <c r="F31" s="66" t="s">
        <v>585</v>
      </c>
      <c r="G31" s="60" t="s">
        <v>254</v>
      </c>
      <c r="H31" s="60" t="s">
        <v>2758</v>
      </c>
      <c r="I31" s="99">
        <v>1.9322999999999999</v>
      </c>
      <c r="J31" s="60" t="s">
        <v>125</v>
      </c>
      <c r="K31" s="24">
        <v>7.9699999999999993E-2</v>
      </c>
      <c r="L31" s="24">
        <v>6.1500000000000006E-2</v>
      </c>
      <c r="M31" s="69">
        <v>1111.9035706755674</v>
      </c>
      <c r="N31" s="66">
        <v>105.56</v>
      </c>
      <c r="O31" s="84">
        <v>4.4883299999999995</v>
      </c>
      <c r="P31" s="24">
        <v>2.451033268840954E-5</v>
      </c>
      <c r="Q31" s="32">
        <v>1.7891686855958087E-3</v>
      </c>
      <c r="R31" s="32">
        <v>1.8488241920717813E-5</v>
      </c>
    </row>
    <row r="32" spans="1:18" s="119" customFormat="1" x14ac:dyDescent="0.25">
      <c r="A32" s="92" t="s">
        <v>141</v>
      </c>
      <c r="B32" s="137" t="s">
        <v>249</v>
      </c>
      <c r="C32" s="137" t="s">
        <v>249</v>
      </c>
      <c r="D32" s="137" t="s">
        <v>249</v>
      </c>
      <c r="E32" s="137" t="s">
        <v>249</v>
      </c>
      <c r="F32" s="122" t="s">
        <v>249</v>
      </c>
      <c r="G32" s="136" t="s">
        <v>249</v>
      </c>
      <c r="H32" s="136" t="s">
        <v>249</v>
      </c>
      <c r="I32" s="133" t="s">
        <v>249</v>
      </c>
      <c r="J32" s="136" t="s">
        <v>249</v>
      </c>
      <c r="K32" s="137" t="s">
        <v>249</v>
      </c>
      <c r="L32" s="137" t="s">
        <v>249</v>
      </c>
      <c r="M32" s="135" t="s">
        <v>249</v>
      </c>
      <c r="N32" s="122" t="s">
        <v>249</v>
      </c>
      <c r="O32" s="124">
        <v>0</v>
      </c>
      <c r="P32" s="137"/>
      <c r="Q32" s="121">
        <v>0</v>
      </c>
      <c r="R32" s="121">
        <v>0</v>
      </c>
    </row>
    <row r="33" spans="1:18" s="119" customFormat="1" x14ac:dyDescent="0.25">
      <c r="A33" s="92" t="s">
        <v>544</v>
      </c>
      <c r="B33" s="137" t="s">
        <v>249</v>
      </c>
      <c r="C33" s="137" t="s">
        <v>249</v>
      </c>
      <c r="D33" s="137" t="s">
        <v>249</v>
      </c>
      <c r="E33" s="137" t="s">
        <v>249</v>
      </c>
      <c r="F33" s="122" t="s">
        <v>249</v>
      </c>
      <c r="G33" s="136" t="s">
        <v>249</v>
      </c>
      <c r="H33" s="136" t="s">
        <v>249</v>
      </c>
      <c r="I33" s="133" t="s">
        <v>249</v>
      </c>
      <c r="J33" s="136" t="s">
        <v>249</v>
      </c>
      <c r="K33" s="137" t="s">
        <v>249</v>
      </c>
      <c r="L33" s="137" t="s">
        <v>249</v>
      </c>
      <c r="M33" s="135" t="s">
        <v>249</v>
      </c>
      <c r="N33" s="122" t="s">
        <v>249</v>
      </c>
      <c r="O33" s="124">
        <v>0</v>
      </c>
      <c r="P33" s="137"/>
      <c r="Q33" s="121">
        <v>0</v>
      </c>
      <c r="R33" s="121">
        <v>0</v>
      </c>
    </row>
    <row r="34" spans="1:18" s="119" customFormat="1" x14ac:dyDescent="0.25">
      <c r="A34" s="92" t="s">
        <v>2759</v>
      </c>
      <c r="B34" s="137" t="s">
        <v>249</v>
      </c>
      <c r="C34" s="137" t="s">
        <v>249</v>
      </c>
      <c r="D34" s="137" t="s">
        <v>249</v>
      </c>
      <c r="E34" s="137" t="s">
        <v>249</v>
      </c>
      <c r="F34" s="122" t="s">
        <v>249</v>
      </c>
      <c r="G34" s="136" t="s">
        <v>249</v>
      </c>
      <c r="H34" s="136" t="s">
        <v>249</v>
      </c>
      <c r="I34" s="133" t="s">
        <v>249</v>
      </c>
      <c r="J34" s="136" t="s">
        <v>249</v>
      </c>
      <c r="K34" s="137" t="s">
        <v>249</v>
      </c>
      <c r="L34" s="137" t="s">
        <v>249</v>
      </c>
      <c r="M34" s="135" t="s">
        <v>249</v>
      </c>
      <c r="N34" s="122" t="s">
        <v>249</v>
      </c>
      <c r="O34" s="124">
        <v>0</v>
      </c>
      <c r="P34" s="137"/>
      <c r="Q34" s="121">
        <v>0</v>
      </c>
      <c r="R34" s="121">
        <v>0</v>
      </c>
    </row>
    <row r="35" spans="1:18" s="119" customFormat="1" x14ac:dyDescent="0.25">
      <c r="A35" s="92" t="s">
        <v>2760</v>
      </c>
      <c r="B35" s="137" t="s">
        <v>249</v>
      </c>
      <c r="C35" s="137" t="s">
        <v>249</v>
      </c>
      <c r="D35" s="137" t="s">
        <v>249</v>
      </c>
      <c r="E35" s="137" t="s">
        <v>249</v>
      </c>
      <c r="F35" s="122" t="s">
        <v>249</v>
      </c>
      <c r="G35" s="136" t="s">
        <v>249</v>
      </c>
      <c r="H35" s="136" t="s">
        <v>249</v>
      </c>
      <c r="I35" s="133" t="s">
        <v>249</v>
      </c>
      <c r="J35" s="136" t="s">
        <v>249</v>
      </c>
      <c r="K35" s="137" t="s">
        <v>249</v>
      </c>
      <c r="L35" s="137" t="s">
        <v>249</v>
      </c>
      <c r="M35" s="135" t="s">
        <v>249</v>
      </c>
      <c r="N35" s="122" t="s">
        <v>249</v>
      </c>
      <c r="O35" s="124">
        <v>0</v>
      </c>
      <c r="P35" s="137"/>
      <c r="Q35" s="121">
        <v>0</v>
      </c>
      <c r="R35" s="121">
        <v>0</v>
      </c>
    </row>
    <row r="36" spans="1:18" s="119" customFormat="1" x14ac:dyDescent="0.25">
      <c r="A36" s="78" t="s">
        <v>241</v>
      </c>
      <c r="B36" s="125"/>
      <c r="C36" s="125"/>
      <c r="D36" s="125"/>
      <c r="E36" s="78"/>
      <c r="F36" s="126"/>
      <c r="G36" s="126"/>
      <c r="H36" s="126"/>
      <c r="I36" s="127"/>
      <c r="J36" s="128"/>
      <c r="K36" s="129"/>
      <c r="L36" s="129"/>
      <c r="M36" s="129"/>
      <c r="N36" s="128"/>
      <c r="O36" s="128"/>
      <c r="P36" s="138"/>
      <c r="Q36" s="138"/>
      <c r="R36" s="138"/>
    </row>
    <row r="37" spans="1:18" s="119" customFormat="1" x14ac:dyDescent="0.25">
      <c r="A37" s="78" t="s">
        <v>242</v>
      </c>
      <c r="B37" s="125"/>
      <c r="C37" s="125"/>
      <c r="D37" s="125"/>
      <c r="E37" s="78"/>
      <c r="F37" s="126"/>
      <c r="G37" s="126"/>
      <c r="H37" s="126"/>
      <c r="I37" s="127"/>
      <c r="J37" s="128"/>
      <c r="K37" s="129"/>
      <c r="L37" s="129"/>
      <c r="M37" s="129"/>
      <c r="N37" s="128"/>
      <c r="O37" s="128"/>
      <c r="P37" s="138"/>
      <c r="Q37" s="138"/>
      <c r="R37" s="138"/>
    </row>
    <row r="38" spans="1:18" s="119" customFormat="1" x14ac:dyDescent="0.25">
      <c r="A38" s="78" t="s">
        <v>243</v>
      </c>
      <c r="B38" s="125"/>
      <c r="C38" s="125"/>
      <c r="D38" s="125"/>
      <c r="E38" s="78"/>
      <c r="F38" s="126"/>
      <c r="G38" s="126"/>
      <c r="H38" s="126"/>
      <c r="I38" s="127"/>
      <c r="J38" s="128"/>
      <c r="K38" s="129"/>
      <c r="L38" s="129"/>
      <c r="M38" s="129"/>
      <c r="N38" s="128"/>
      <c r="O38" s="128"/>
      <c r="P38" s="138"/>
      <c r="Q38" s="138"/>
      <c r="R38" s="138"/>
    </row>
    <row r="39" spans="1:18" s="119" customFormat="1" x14ac:dyDescent="0.25">
      <c r="A39" s="78" t="s">
        <v>244</v>
      </c>
      <c r="B39" s="125"/>
      <c r="C39" s="125"/>
      <c r="D39" s="125"/>
      <c r="E39" s="78"/>
      <c r="F39" s="126"/>
      <c r="G39" s="126"/>
      <c r="H39" s="126"/>
      <c r="I39" s="127"/>
      <c r="J39" s="128"/>
      <c r="K39" s="129"/>
      <c r="L39" s="129"/>
      <c r="M39" s="129"/>
      <c r="N39" s="128"/>
      <c r="O39" s="128"/>
      <c r="P39" s="138"/>
      <c r="Q39" s="138"/>
      <c r="R39" s="138"/>
    </row>
    <row r="40" spans="1:18" s="119" customFormat="1" x14ac:dyDescent="0.25">
      <c r="A40" s="78" t="s">
        <v>245</v>
      </c>
      <c r="B40" s="125"/>
      <c r="C40" s="125"/>
      <c r="D40" s="125"/>
      <c r="E40" s="78"/>
      <c r="F40" s="126"/>
      <c r="G40" s="126"/>
      <c r="H40" s="126"/>
      <c r="I40" s="127"/>
      <c r="J40" s="128"/>
      <c r="K40" s="129"/>
      <c r="L40" s="129"/>
      <c r="M40" s="129"/>
      <c r="N40" s="128"/>
      <c r="O40" s="128"/>
      <c r="P40" s="138"/>
      <c r="Q40" s="138"/>
      <c r="R40" s="138"/>
    </row>
  </sheetData>
  <sortState xmlns:xlrd2="http://schemas.microsoft.com/office/spreadsheetml/2017/richdata2" ref="A23:Z29">
    <sortCondition ref="A23:A29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35 O9:O35">
    <cfRule type="expression" dxfId="63" priority="306" stopIfTrue="1">
      <formula>#REF!&gt;0</formula>
    </cfRule>
    <cfRule type="expression" dxfId="62" priority="307" stopIfTrue="1">
      <formula>LEFT(#REF!,3)="TIR"</formula>
    </cfRule>
  </conditionalFormatting>
  <conditionalFormatting sqref="B9:H35 J9:J35 Q9:R35">
    <cfRule type="expression" dxfId="61" priority="297" stopIfTrue="1">
      <formula>OR(LEFT(#REF!,3)="TIR",LEFT(#REF!,2)="IR")</formula>
    </cfRule>
  </conditionalFormatting>
  <conditionalFormatting sqref="J1:J3 K6">
    <cfRule type="expression" dxfId="60" priority="305" stopIfTrue="1">
      <formula>LEFT(#REF!,3)="TIR"</formula>
    </cfRule>
  </conditionalFormatting>
  <conditionalFormatting sqref="P9:Q35 I9:I35 K9:N35 J36:J55570">
    <cfRule type="expression" dxfId="59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29"/>
  <sheetViews>
    <sheetView rightToLeft="1" zoomScale="80" workbookViewId="0"/>
  </sheetViews>
  <sheetFormatPr defaultColWidth="9.109375" defaultRowHeight="13.2" x14ac:dyDescent="0.25"/>
  <cols>
    <col min="1" max="1" width="4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31.33203125" style="9" bestFit="1" customWidth="1"/>
    <col min="6" max="6" width="12" style="59" bestFit="1" customWidth="1"/>
    <col min="7" max="7" width="10.5546875" style="59" customWidth="1"/>
    <col min="8" max="8" width="9.33203125" style="59" bestFit="1" customWidth="1"/>
    <col min="9" max="9" width="10.44140625" style="36" customWidth="1"/>
    <col min="10" max="10" width="22" style="61" customWidth="1"/>
    <col min="11" max="11" width="25.44140625" style="61" customWidth="1"/>
    <col min="12" max="12" width="20.6640625" style="63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1"/>
      <c r="L1" s="62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1"/>
      <c r="L2" s="62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1"/>
      <c r="L3" s="62"/>
      <c r="M3" s="13"/>
      <c r="N3" s="13"/>
      <c r="O3" s="12"/>
      <c r="P3" s="12"/>
      <c r="Q3" s="14"/>
    </row>
    <row r="4" spans="1:17" s="7" customFormat="1" ht="13.8" thickBot="1" x14ac:dyDescent="0.3">
      <c r="A4" s="230" t="s">
        <v>28</v>
      </c>
      <c r="B4" s="231"/>
      <c r="C4" s="231"/>
      <c r="D4" s="231"/>
      <c r="E4" s="231"/>
      <c r="F4" s="231"/>
      <c r="G4" s="231"/>
      <c r="H4" s="231"/>
      <c r="I4" s="231"/>
      <c r="J4" s="231"/>
      <c r="K4" s="232"/>
      <c r="L4" s="233"/>
      <c r="M4" s="13"/>
      <c r="N4" s="13"/>
      <c r="O4" s="12"/>
      <c r="P4" s="12"/>
      <c r="Q4" s="14"/>
    </row>
    <row r="5" spans="1:17" s="7" customFormat="1" x14ac:dyDescent="0.25">
      <c r="A5" s="227" t="s">
        <v>21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9"/>
    </row>
    <row r="6" spans="1:17" s="7" customFormat="1" ht="33.75" customHeight="1" x14ac:dyDescent="0.25">
      <c r="A6" s="86" t="s">
        <v>157</v>
      </c>
      <c r="B6" s="206" t="s">
        <v>69</v>
      </c>
      <c r="C6" s="206" t="s">
        <v>79</v>
      </c>
      <c r="D6" s="206" t="s">
        <v>74</v>
      </c>
      <c r="E6" s="206" t="s">
        <v>19</v>
      </c>
      <c r="F6" s="206" t="s">
        <v>6</v>
      </c>
      <c r="G6" s="207" t="s">
        <v>67</v>
      </c>
      <c r="H6" s="207" t="s">
        <v>68</v>
      </c>
      <c r="I6" s="207" t="s">
        <v>7</v>
      </c>
      <c r="J6" s="207" t="s">
        <v>17</v>
      </c>
      <c r="K6" s="89" t="s">
        <v>75</v>
      </c>
      <c r="L6" s="90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7">
        <v>10</v>
      </c>
      <c r="L8" s="44">
        <v>11</v>
      </c>
    </row>
    <row r="9" spans="1:17" s="119" customFormat="1" ht="12.75" customHeight="1" thickBot="1" x14ac:dyDescent="0.3">
      <c r="A9" s="100" t="s">
        <v>59</v>
      </c>
      <c r="B9" s="67"/>
      <c r="C9" s="67"/>
      <c r="D9" s="67"/>
      <c r="E9" s="67"/>
      <c r="F9" s="101"/>
      <c r="G9" s="102"/>
      <c r="H9" s="101"/>
      <c r="I9" s="105">
        <v>740.70593029999986</v>
      </c>
      <c r="J9" s="67"/>
      <c r="K9" s="67">
        <v>1</v>
      </c>
      <c r="L9" s="58">
        <v>3.0511015080211894E-3</v>
      </c>
    </row>
    <row r="10" spans="1:17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33" t="s">
        <v>249</v>
      </c>
      <c r="H10" s="122" t="s">
        <v>249</v>
      </c>
      <c r="I10" s="134">
        <v>465.85650009999995</v>
      </c>
      <c r="J10" s="121" t="s">
        <v>249</v>
      </c>
      <c r="K10" s="121">
        <v>0.62893583140521003</v>
      </c>
      <c r="L10" s="121">
        <v>1.9189470636489969E-3</v>
      </c>
    </row>
    <row r="11" spans="1:17" x14ac:dyDescent="0.25">
      <c r="A11" s="16" t="s">
        <v>2782</v>
      </c>
      <c r="B11" s="24" t="s">
        <v>2783</v>
      </c>
      <c r="C11" s="24" t="s">
        <v>249</v>
      </c>
      <c r="D11" s="24" t="s">
        <v>2784</v>
      </c>
      <c r="E11" s="24" t="s">
        <v>188</v>
      </c>
      <c r="F11" s="60" t="s">
        <v>125</v>
      </c>
      <c r="G11" s="69">
        <v>8057.86</v>
      </c>
      <c r="H11" s="66">
        <v>203.45509999999999</v>
      </c>
      <c r="I11" s="85">
        <v>62.691139999999997</v>
      </c>
      <c r="J11" s="32">
        <v>5.1850107421930671E-5</v>
      </c>
      <c r="K11" s="32">
        <v>8.4637016439991108E-2</v>
      </c>
      <c r="L11" s="32">
        <v>2.582361284944711E-4</v>
      </c>
      <c r="M11" s="14"/>
      <c r="N11" s="14"/>
      <c r="O11" s="14"/>
      <c r="P11" s="14"/>
    </row>
    <row r="12" spans="1:17" x14ac:dyDescent="0.25">
      <c r="A12" s="16" t="s">
        <v>2764</v>
      </c>
      <c r="B12" s="24" t="s">
        <v>2765</v>
      </c>
      <c r="C12" s="24" t="s">
        <v>249</v>
      </c>
      <c r="D12" s="24" t="s">
        <v>2766</v>
      </c>
      <c r="E12" s="24" t="s">
        <v>179</v>
      </c>
      <c r="F12" s="60" t="s">
        <v>255</v>
      </c>
      <c r="G12" s="69">
        <v>155.46</v>
      </c>
      <c r="H12" s="66">
        <v>6888.8077999999996</v>
      </c>
      <c r="I12" s="85">
        <v>10.709340000000001</v>
      </c>
      <c r="J12" s="32">
        <v>5.9496336302409478E-5</v>
      </c>
      <c r="K12" s="32">
        <v>1.4458288454181156E-2</v>
      </c>
      <c r="L12" s="32">
        <v>4.411370570595748E-5</v>
      </c>
      <c r="M12" s="14"/>
      <c r="N12" s="14"/>
      <c r="O12" s="14"/>
      <c r="P12" s="14"/>
    </row>
    <row r="13" spans="1:17" x14ac:dyDescent="0.25">
      <c r="A13" s="16" t="s">
        <v>2767</v>
      </c>
      <c r="B13" s="24" t="s">
        <v>2768</v>
      </c>
      <c r="C13" s="24" t="s">
        <v>249</v>
      </c>
      <c r="D13" s="24" t="s">
        <v>2769</v>
      </c>
      <c r="E13" s="24" t="s">
        <v>188</v>
      </c>
      <c r="F13" s="60" t="s">
        <v>255</v>
      </c>
      <c r="G13" s="69">
        <v>456.27</v>
      </c>
      <c r="H13" s="66">
        <v>46957.906999999999</v>
      </c>
      <c r="I13" s="85">
        <v>214.25484</v>
      </c>
      <c r="J13" s="32">
        <v>5.2257278017377631E-5</v>
      </c>
      <c r="K13" s="32">
        <v>0.28925762740042155</v>
      </c>
      <c r="L13" s="32">
        <v>8.8255438316805763E-4</v>
      </c>
      <c r="M13" s="14"/>
      <c r="N13" s="14"/>
      <c r="O13" s="14"/>
      <c r="P13" s="14"/>
    </row>
    <row r="14" spans="1:17" x14ac:dyDescent="0.25">
      <c r="A14" s="16" t="s">
        <v>2779</v>
      </c>
      <c r="B14" s="24" t="s">
        <v>2780</v>
      </c>
      <c r="C14" s="24" t="s">
        <v>249</v>
      </c>
      <c r="D14" s="24" t="s">
        <v>2781</v>
      </c>
      <c r="E14" s="24" t="s">
        <v>177</v>
      </c>
      <c r="F14" s="60" t="s">
        <v>125</v>
      </c>
      <c r="G14" s="69">
        <v>16820</v>
      </c>
      <c r="H14" s="66">
        <v>100</v>
      </c>
      <c r="I14" s="85">
        <v>64.319680000000005</v>
      </c>
      <c r="J14" s="32">
        <v>0</v>
      </c>
      <c r="K14" s="32">
        <v>8.6835648762727369E-2</v>
      </c>
      <c r="L14" s="32">
        <v>2.6494437888995579E-4</v>
      </c>
      <c r="M14" s="14"/>
      <c r="N14" s="14"/>
      <c r="O14" s="14"/>
      <c r="P14" s="14"/>
    </row>
    <row r="15" spans="1:17" x14ac:dyDescent="0.25">
      <c r="A15" s="16" t="s">
        <v>2761</v>
      </c>
      <c r="B15" s="24" t="s">
        <v>2762</v>
      </c>
      <c r="C15" s="24" t="s">
        <v>249</v>
      </c>
      <c r="D15" s="24" t="s">
        <v>2763</v>
      </c>
      <c r="E15" s="24" t="s">
        <v>179</v>
      </c>
      <c r="F15" s="60" t="s">
        <v>255</v>
      </c>
      <c r="G15" s="69">
        <v>62.76</v>
      </c>
      <c r="H15" s="66">
        <v>38391.9735</v>
      </c>
      <c r="I15" s="85">
        <v>24.094799999999999</v>
      </c>
      <c r="J15" s="32">
        <v>5.3543183481808454E-5</v>
      </c>
      <c r="K15" s="32">
        <v>3.2529508694821914E-2</v>
      </c>
      <c r="L15" s="32">
        <v>9.9250833033959535E-5</v>
      </c>
      <c r="M15" s="14"/>
      <c r="N15" s="14"/>
      <c r="O15" s="14"/>
      <c r="P15" s="14"/>
    </row>
    <row r="16" spans="1:17" x14ac:dyDescent="0.25">
      <c r="A16" s="16" t="s">
        <v>2770</v>
      </c>
      <c r="B16" s="24" t="s">
        <v>2771</v>
      </c>
      <c r="C16" s="24" t="s">
        <v>249</v>
      </c>
      <c r="D16" s="24" t="s">
        <v>2772</v>
      </c>
      <c r="E16" s="24" t="s">
        <v>193</v>
      </c>
      <c r="F16" s="60" t="s">
        <v>125</v>
      </c>
      <c r="G16" s="69">
        <v>7457.14</v>
      </c>
      <c r="H16" s="66">
        <v>100.9819</v>
      </c>
      <c r="I16" s="85">
        <v>28.796110000000002</v>
      </c>
      <c r="J16" s="32">
        <v>0</v>
      </c>
      <c r="K16" s="32">
        <v>3.8876575469480895E-2</v>
      </c>
      <c r="L16" s="32">
        <v>1.1861637804163275E-4</v>
      </c>
      <c r="M16" s="14"/>
      <c r="N16" s="14"/>
      <c r="O16" s="14"/>
      <c r="P16" s="14"/>
    </row>
    <row r="17" spans="1:16" x14ac:dyDescent="0.25">
      <c r="A17" s="16" t="s">
        <v>2773</v>
      </c>
      <c r="B17" s="24" t="s">
        <v>2774</v>
      </c>
      <c r="C17" s="24" t="s">
        <v>249</v>
      </c>
      <c r="D17" s="24" t="s">
        <v>2775</v>
      </c>
      <c r="E17" s="24" t="s">
        <v>193</v>
      </c>
      <c r="F17" s="60" t="s">
        <v>125</v>
      </c>
      <c r="G17" s="69">
        <v>6958</v>
      </c>
      <c r="H17" s="66">
        <v>100.87630000000001</v>
      </c>
      <c r="I17" s="85">
        <v>26.84057</v>
      </c>
      <c r="J17" s="32">
        <v>0</v>
      </c>
      <c r="K17" s="32">
        <v>3.6236472400226448E-2</v>
      </c>
      <c r="L17" s="32">
        <v>1.1056115558569912E-4</v>
      </c>
      <c r="M17" s="14"/>
      <c r="N17" s="14"/>
      <c r="O17" s="14"/>
      <c r="P17" s="14"/>
    </row>
    <row r="18" spans="1:16" x14ac:dyDescent="0.25">
      <c r="A18" s="16" t="s">
        <v>2776</v>
      </c>
      <c r="B18" s="24" t="s">
        <v>2777</v>
      </c>
      <c r="C18" s="24" t="s">
        <v>249</v>
      </c>
      <c r="D18" s="24" t="s">
        <v>2778</v>
      </c>
      <c r="E18" s="24" t="s">
        <v>193</v>
      </c>
      <c r="F18" s="60" t="s">
        <v>125</v>
      </c>
      <c r="G18" s="69">
        <v>8904</v>
      </c>
      <c r="H18" s="66">
        <v>100.297</v>
      </c>
      <c r="I18" s="85">
        <v>34.150019999999998</v>
      </c>
      <c r="J18" s="32">
        <v>0</v>
      </c>
      <c r="K18" s="32">
        <v>4.6104693648353262E-2</v>
      </c>
      <c r="L18" s="32">
        <v>1.406701003173456E-4</v>
      </c>
      <c r="M18" s="14"/>
      <c r="N18" s="14"/>
      <c r="O18" s="14"/>
      <c r="P18" s="14"/>
    </row>
    <row r="19" spans="1:16" s="119" customFormat="1" x14ac:dyDescent="0.25">
      <c r="A19" s="92" t="s">
        <v>544</v>
      </c>
      <c r="B19" s="137" t="s">
        <v>249</v>
      </c>
      <c r="C19" s="137" t="s">
        <v>249</v>
      </c>
      <c r="D19" s="137" t="s">
        <v>249</v>
      </c>
      <c r="E19" s="137" t="s">
        <v>249</v>
      </c>
      <c r="F19" s="136" t="s">
        <v>249</v>
      </c>
      <c r="G19" s="135" t="s">
        <v>249</v>
      </c>
      <c r="H19" s="122" t="s">
        <v>249</v>
      </c>
      <c r="I19" s="123">
        <v>274.84943020000003</v>
      </c>
      <c r="J19" s="121"/>
      <c r="K19" s="121">
        <v>0.37106416859479008</v>
      </c>
      <c r="L19" s="121">
        <v>1.1321544443721931E-3</v>
      </c>
    </row>
    <row r="20" spans="1:16" s="119" customFormat="1" x14ac:dyDescent="0.25">
      <c r="A20" s="92" t="s">
        <v>143</v>
      </c>
      <c r="B20" s="137" t="s">
        <v>249</v>
      </c>
      <c r="C20" s="137" t="s">
        <v>249</v>
      </c>
      <c r="D20" s="137" t="s">
        <v>249</v>
      </c>
      <c r="E20" s="137" t="s">
        <v>249</v>
      </c>
      <c r="F20" s="136" t="s">
        <v>249</v>
      </c>
      <c r="G20" s="135" t="s">
        <v>249</v>
      </c>
      <c r="H20" s="122" t="s">
        <v>249</v>
      </c>
      <c r="I20" s="123">
        <v>0</v>
      </c>
      <c r="J20" s="121"/>
      <c r="K20" s="121">
        <v>0</v>
      </c>
      <c r="L20" s="121">
        <v>0</v>
      </c>
    </row>
    <row r="21" spans="1:16" s="119" customFormat="1" x14ac:dyDescent="0.25">
      <c r="A21" s="92" t="s">
        <v>144</v>
      </c>
      <c r="B21" s="137" t="s">
        <v>249</v>
      </c>
      <c r="C21" s="137" t="s">
        <v>249</v>
      </c>
      <c r="D21" s="137" t="s">
        <v>249</v>
      </c>
      <c r="E21" s="137" t="s">
        <v>249</v>
      </c>
      <c r="F21" s="136" t="s">
        <v>249</v>
      </c>
      <c r="G21" s="135" t="s">
        <v>249</v>
      </c>
      <c r="H21" s="122" t="s">
        <v>249</v>
      </c>
      <c r="I21" s="123">
        <v>274.84943010000001</v>
      </c>
      <c r="J21" s="121"/>
      <c r="K21" s="121">
        <v>0.37106416845978374</v>
      </c>
      <c r="L21" s="121">
        <v>1.132154443960275E-3</v>
      </c>
    </row>
    <row r="22" spans="1:16" x14ac:dyDescent="0.25">
      <c r="A22" s="16" t="s">
        <v>2785</v>
      </c>
      <c r="B22" s="24" t="s">
        <v>2786</v>
      </c>
      <c r="C22" s="24" t="s">
        <v>249</v>
      </c>
      <c r="D22" s="24" t="s">
        <v>2787</v>
      </c>
      <c r="E22" s="24" t="s">
        <v>183</v>
      </c>
      <c r="F22" s="60" t="s">
        <v>125</v>
      </c>
      <c r="G22" s="69">
        <v>2754.01</v>
      </c>
      <c r="H22" s="66">
        <v>433.22300000000001</v>
      </c>
      <c r="I22" s="85">
        <v>45.624160000000003</v>
      </c>
      <c r="J22" s="32">
        <v>5.128004412674601E-5</v>
      </c>
      <c r="K22" s="32">
        <v>6.1595510625277912E-2</v>
      </c>
      <c r="L22" s="32">
        <v>1.8793415535612063E-4</v>
      </c>
      <c r="M22" s="14"/>
      <c r="N22" s="14"/>
      <c r="O22" s="14"/>
      <c r="P22" s="14"/>
    </row>
    <row r="23" spans="1:16" x14ac:dyDescent="0.25">
      <c r="A23" s="16" t="s">
        <v>2788</v>
      </c>
      <c r="B23" s="24" t="s">
        <v>2789</v>
      </c>
      <c r="C23" s="24" t="s">
        <v>249</v>
      </c>
      <c r="D23" s="24" t="s">
        <v>2383</v>
      </c>
      <c r="E23" s="24" t="s">
        <v>224</v>
      </c>
      <c r="F23" s="60" t="s">
        <v>126</v>
      </c>
      <c r="G23" s="69">
        <v>16819.400000000001</v>
      </c>
      <c r="H23" s="66">
        <v>100</v>
      </c>
      <c r="I23" s="85">
        <v>68.17071</v>
      </c>
      <c r="J23" s="32">
        <v>0</v>
      </c>
      <c r="K23" s="32">
        <v>9.2034783591363425E-2</v>
      </c>
      <c r="L23" s="32">
        <v>2.8080746700601274E-4</v>
      </c>
      <c r="M23" s="14"/>
      <c r="N23" s="14"/>
      <c r="O23" s="14"/>
      <c r="P23" s="14"/>
    </row>
    <row r="24" spans="1:16" x14ac:dyDescent="0.25">
      <c r="A24" s="16" t="s">
        <v>2790</v>
      </c>
      <c r="B24" s="24" t="s">
        <v>2791</v>
      </c>
      <c r="C24" s="24" t="s">
        <v>249</v>
      </c>
      <c r="D24" s="220">
        <v>20205805959</v>
      </c>
      <c r="E24" s="24" t="s">
        <v>188</v>
      </c>
      <c r="F24" s="60" t="s">
        <v>125</v>
      </c>
      <c r="G24" s="69">
        <v>42116.78</v>
      </c>
      <c r="H24" s="66">
        <v>100</v>
      </c>
      <c r="I24" s="85">
        <v>161.05456000000001</v>
      </c>
      <c r="J24" s="32">
        <v>0</v>
      </c>
      <c r="K24" s="32">
        <v>0.21743387410813608</v>
      </c>
      <c r="L24" s="32">
        <v>6.6341282118622356E-4</v>
      </c>
      <c r="M24" s="14"/>
      <c r="N24" s="14"/>
      <c r="O24" s="14"/>
      <c r="P24" s="14"/>
    </row>
    <row r="25" spans="1:16" s="119" customFormat="1" x14ac:dyDescent="0.25">
      <c r="A25" s="78" t="s">
        <v>241</v>
      </c>
      <c r="B25" s="125"/>
      <c r="C25" s="125"/>
      <c r="D25" s="125"/>
      <c r="E25" s="78"/>
      <c r="F25" s="126"/>
      <c r="G25" s="126"/>
      <c r="H25" s="126"/>
      <c r="I25" s="127"/>
      <c r="J25" s="128"/>
      <c r="K25" s="128"/>
      <c r="L25" s="129"/>
      <c r="M25" s="148"/>
      <c r="N25" s="148"/>
      <c r="O25" s="130"/>
      <c r="P25" s="130"/>
    </row>
    <row r="26" spans="1:16" s="119" customFormat="1" x14ac:dyDescent="0.25">
      <c r="A26" s="78" t="s">
        <v>242</v>
      </c>
      <c r="B26" s="125"/>
      <c r="C26" s="125"/>
      <c r="D26" s="125"/>
      <c r="E26" s="78"/>
      <c r="F26" s="126"/>
      <c r="G26" s="126"/>
      <c r="H26" s="126"/>
      <c r="I26" s="127"/>
      <c r="J26" s="128"/>
      <c r="K26" s="128"/>
      <c r="L26" s="129"/>
      <c r="M26" s="148"/>
      <c r="N26" s="148"/>
      <c r="O26" s="130"/>
      <c r="P26" s="130"/>
    </row>
    <row r="27" spans="1:16" s="119" customFormat="1" x14ac:dyDescent="0.25">
      <c r="A27" s="78" t="s">
        <v>243</v>
      </c>
      <c r="B27" s="125"/>
      <c r="C27" s="125"/>
      <c r="D27" s="125"/>
      <c r="E27" s="78"/>
      <c r="F27" s="126"/>
      <c r="G27" s="126"/>
      <c r="H27" s="126"/>
      <c r="I27" s="127"/>
      <c r="J27" s="128"/>
      <c r="K27" s="128"/>
      <c r="L27" s="129"/>
      <c r="M27" s="148"/>
      <c r="N27" s="148"/>
      <c r="O27" s="130"/>
      <c r="P27" s="130"/>
    </row>
    <row r="28" spans="1:16" s="119" customFormat="1" x14ac:dyDescent="0.25">
      <c r="A28" s="78" t="s">
        <v>244</v>
      </c>
      <c r="B28" s="125"/>
      <c r="C28" s="125"/>
      <c r="D28" s="125"/>
      <c r="E28" s="78"/>
      <c r="F28" s="126"/>
      <c r="G28" s="126"/>
      <c r="H28" s="126"/>
      <c r="I28" s="127"/>
      <c r="J28" s="128"/>
      <c r="K28" s="128"/>
      <c r="L28" s="129"/>
      <c r="M28" s="148"/>
      <c r="N28" s="148"/>
      <c r="O28" s="130"/>
      <c r="P28" s="130"/>
    </row>
    <row r="29" spans="1:16" s="119" customFormat="1" x14ac:dyDescent="0.25">
      <c r="A29" s="78" t="s">
        <v>245</v>
      </c>
      <c r="B29" s="125"/>
      <c r="C29" s="125"/>
      <c r="D29" s="125"/>
      <c r="E29" s="78"/>
      <c r="F29" s="126"/>
      <c r="G29" s="126"/>
      <c r="H29" s="126"/>
      <c r="I29" s="127"/>
      <c r="J29" s="128"/>
      <c r="K29" s="128"/>
      <c r="L29" s="129"/>
      <c r="M29" s="148"/>
      <c r="N29" s="148"/>
      <c r="O29" s="130"/>
      <c r="P29" s="130"/>
    </row>
  </sheetData>
  <mergeCells count="2">
    <mergeCell ref="A5:L5"/>
    <mergeCell ref="A4:L4"/>
  </mergeCells>
  <phoneticPr fontId="3" type="noConversion"/>
  <conditionalFormatting sqref="A9:A24 I9:I24">
    <cfRule type="expression" dxfId="58" priority="325" stopIfTrue="1">
      <formula>#REF!&gt;0</formula>
    </cfRule>
    <cfRule type="expression" dxfId="57" priority="326" stopIfTrue="1">
      <formula>LEFT(#REF!,3)="TIR"</formula>
    </cfRule>
  </conditionalFormatting>
  <conditionalFormatting sqref="B9:F24 K9:K24 L10:L24">
    <cfRule type="expression" dxfId="56" priority="322" stopIfTrue="1">
      <formula>OR(LEFT(#REF!,3)="TIR",LEFT(#REF!,2)="IR")</formula>
    </cfRule>
  </conditionalFormatting>
  <conditionalFormatting sqref="C9:D24">
    <cfRule type="expression" dxfId="55" priority="329" stopIfTrue="1">
      <formula>LEFT(#REF!,3)="TIR"</formula>
    </cfRule>
  </conditionalFormatting>
  <conditionalFormatting sqref="J1:K3 G9:H24 J9:J55559">
    <cfRule type="expression" dxfId="54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56"/>
  <sheetViews>
    <sheetView rightToLeft="1" zoomScale="80" zoomScaleNormal="80" workbookViewId="0"/>
  </sheetViews>
  <sheetFormatPr defaultColWidth="9.109375" defaultRowHeight="13.2" x14ac:dyDescent="0.25"/>
  <cols>
    <col min="1" max="1" width="48.109375" style="9" bestFit="1" customWidth="1"/>
    <col min="2" max="2" width="15.88671875" style="8" bestFit="1" customWidth="1"/>
    <col min="3" max="3" width="12.6640625" style="59" bestFit="1" customWidth="1"/>
    <col min="4" max="4" width="14.109375" style="59" customWidth="1"/>
    <col min="5" max="5" width="10.88671875" style="59" bestFit="1" customWidth="1"/>
    <col min="6" max="6" width="10.33203125" style="36" bestFit="1" customWidth="1"/>
    <col min="7" max="7" width="10.44140625" style="61" customWidth="1"/>
    <col min="8" max="8" width="22" style="63" customWidth="1"/>
    <col min="9" max="9" width="25.44140625" style="63" customWidth="1"/>
    <col min="10" max="10" width="20.6640625" style="63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9"/>
      <c r="D1" s="59"/>
      <c r="E1" s="59"/>
      <c r="F1" s="36"/>
      <c r="G1" s="61"/>
      <c r="H1" s="62"/>
      <c r="I1" s="62"/>
      <c r="J1" s="62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9"/>
      <c r="D2" s="59"/>
      <c r="E2" s="59"/>
      <c r="F2" s="36"/>
      <c r="G2" s="61"/>
      <c r="H2" s="62"/>
      <c r="I2" s="62"/>
      <c r="J2" s="62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247</v>
      </c>
      <c r="C3" s="59"/>
      <c r="D3" s="59"/>
      <c r="E3" s="59"/>
      <c r="F3" s="36"/>
      <c r="G3" s="61"/>
      <c r="H3" s="62"/>
      <c r="I3" s="62"/>
      <c r="J3" s="62"/>
      <c r="K3" s="13"/>
      <c r="L3" s="12"/>
      <c r="M3" s="12"/>
      <c r="N3" s="14"/>
    </row>
    <row r="4" spans="1:17" s="7" customFormat="1" ht="13.8" thickBot="1" x14ac:dyDescent="0.3">
      <c r="A4" s="224" t="s">
        <v>28</v>
      </c>
      <c r="B4" s="225"/>
      <c r="C4" s="225"/>
      <c r="D4" s="225"/>
      <c r="E4" s="225"/>
      <c r="F4" s="225"/>
      <c r="G4" s="225"/>
      <c r="H4" s="225"/>
      <c r="I4" s="225"/>
      <c r="J4" s="226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27" t="s">
        <v>30</v>
      </c>
      <c r="B5" s="228"/>
      <c r="C5" s="228"/>
      <c r="D5" s="228"/>
      <c r="E5" s="228"/>
      <c r="F5" s="228"/>
      <c r="G5" s="228"/>
      <c r="H5" s="228"/>
      <c r="I5" s="228"/>
      <c r="J5" s="229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6" t="s">
        <v>157</v>
      </c>
      <c r="B6" s="206" t="s">
        <v>69</v>
      </c>
      <c r="C6" s="206" t="s">
        <v>6</v>
      </c>
      <c r="D6" s="206" t="s">
        <v>13</v>
      </c>
      <c r="E6" s="207" t="s">
        <v>67</v>
      </c>
      <c r="F6" s="207" t="s">
        <v>68</v>
      </c>
      <c r="G6" s="207" t="s">
        <v>29</v>
      </c>
      <c r="H6" s="89" t="s">
        <v>17</v>
      </c>
      <c r="I6" s="89" t="s">
        <v>75</v>
      </c>
      <c r="J6" s="90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9" customFormat="1" ht="12.75" customHeight="1" thickBot="1" x14ac:dyDescent="0.3">
      <c r="A9" s="100" t="s">
        <v>60</v>
      </c>
      <c r="B9" s="67" t="s">
        <v>249</v>
      </c>
      <c r="C9" s="101" t="s">
        <v>249</v>
      </c>
      <c r="D9" s="101" t="s">
        <v>249</v>
      </c>
      <c r="E9" s="102" t="s">
        <v>249</v>
      </c>
      <c r="F9" s="101" t="s">
        <v>249</v>
      </c>
      <c r="G9" s="105">
        <v>9970.3810007999982</v>
      </c>
      <c r="H9" s="67" t="s">
        <v>249</v>
      </c>
      <c r="I9" s="67">
        <v>1</v>
      </c>
      <c r="J9" s="81">
        <v>4.1069800122655632E-2</v>
      </c>
    </row>
    <row r="10" spans="1:17" s="119" customFormat="1" x14ac:dyDescent="0.25">
      <c r="A10" s="91" t="s">
        <v>2792</v>
      </c>
      <c r="B10" s="121" t="s">
        <v>249</v>
      </c>
      <c r="C10" s="122" t="s">
        <v>249</v>
      </c>
      <c r="D10" s="122" t="s">
        <v>249</v>
      </c>
      <c r="E10" s="133" t="s">
        <v>249</v>
      </c>
      <c r="F10" s="122" t="s">
        <v>249</v>
      </c>
      <c r="G10" s="134">
        <v>284.0048304</v>
      </c>
      <c r="H10" s="121" t="s">
        <v>249</v>
      </c>
      <c r="I10" s="121">
        <v>2.8484852321813192E-2</v>
      </c>
      <c r="J10" s="121">
        <v>1.1698671913802313E-3</v>
      </c>
    </row>
    <row r="11" spans="1:17" s="119" customFormat="1" x14ac:dyDescent="0.25">
      <c r="A11" s="92" t="s">
        <v>2793</v>
      </c>
      <c r="B11" s="137" t="s">
        <v>249</v>
      </c>
      <c r="C11" s="136" t="s">
        <v>249</v>
      </c>
      <c r="D11" s="136" t="s">
        <v>249</v>
      </c>
      <c r="E11" s="135" t="s">
        <v>249</v>
      </c>
      <c r="F11" s="122" t="s">
        <v>249</v>
      </c>
      <c r="G11" s="124">
        <v>0</v>
      </c>
      <c r="H11" s="121"/>
      <c r="I11" s="137">
        <v>0</v>
      </c>
      <c r="J11" s="137">
        <v>0</v>
      </c>
    </row>
    <row r="12" spans="1:17" s="119" customFormat="1" x14ac:dyDescent="0.25">
      <c r="A12" s="92" t="s">
        <v>2794</v>
      </c>
      <c r="B12" s="137" t="s">
        <v>249</v>
      </c>
      <c r="C12" s="136" t="s">
        <v>249</v>
      </c>
      <c r="D12" s="136" t="s">
        <v>249</v>
      </c>
      <c r="E12" s="135" t="s">
        <v>249</v>
      </c>
      <c r="F12" s="122" t="s">
        <v>249</v>
      </c>
      <c r="G12" s="124">
        <v>19.725200100000002</v>
      </c>
      <c r="H12" s="121"/>
      <c r="I12" s="137">
        <v>1.978379772891056E-3</v>
      </c>
      <c r="J12" s="137">
        <v>8.1251661839340533E-5</v>
      </c>
    </row>
    <row r="13" spans="1:17" x14ac:dyDescent="0.25">
      <c r="A13" s="16" t="s">
        <v>2795</v>
      </c>
      <c r="B13" s="24" t="s">
        <v>2796</v>
      </c>
      <c r="C13" s="60" t="s">
        <v>255</v>
      </c>
      <c r="D13" s="60" t="s">
        <v>2797</v>
      </c>
      <c r="E13" s="69">
        <v>11</v>
      </c>
      <c r="F13" s="66">
        <v>179320</v>
      </c>
      <c r="G13" s="84">
        <v>19.725200000000001</v>
      </c>
      <c r="H13" s="32">
        <v>0</v>
      </c>
      <c r="I13" s="24">
        <v>1.9783797628613489E-3</v>
      </c>
      <c r="J13" s="24">
        <v>8.1251661427422461E-5</v>
      </c>
      <c r="K13" s="14"/>
      <c r="L13" s="14"/>
      <c r="M13" s="14"/>
    </row>
    <row r="14" spans="1:17" s="119" customFormat="1" x14ac:dyDescent="0.25">
      <c r="A14" s="92" t="s">
        <v>2798</v>
      </c>
      <c r="B14" s="137" t="s">
        <v>249</v>
      </c>
      <c r="C14" s="136" t="s">
        <v>249</v>
      </c>
      <c r="D14" s="136" t="s">
        <v>249</v>
      </c>
      <c r="E14" s="135" t="s">
        <v>249</v>
      </c>
      <c r="F14" s="122" t="s">
        <v>249</v>
      </c>
      <c r="G14" s="124">
        <v>216.5840201</v>
      </c>
      <c r="H14" s="121"/>
      <c r="I14" s="137">
        <v>2.1722742599567843E-2</v>
      </c>
      <c r="J14" s="137">
        <v>8.921486966801483E-4</v>
      </c>
    </row>
    <row r="15" spans="1:17" x14ac:dyDescent="0.25">
      <c r="A15" s="16" t="s">
        <v>2799</v>
      </c>
      <c r="B15" s="24" t="s">
        <v>2800</v>
      </c>
      <c r="C15" s="60" t="s">
        <v>255</v>
      </c>
      <c r="D15" s="60" t="s">
        <v>2801</v>
      </c>
      <c r="E15" s="69">
        <v>198404.99</v>
      </c>
      <c r="F15" s="66">
        <v>94.529499999999999</v>
      </c>
      <c r="G15" s="84">
        <v>187.5513</v>
      </c>
      <c r="H15" s="32">
        <v>1.9972278043296489E-4</v>
      </c>
      <c r="I15" s="24">
        <v>1.8810845842796915E-2</v>
      </c>
      <c r="J15" s="24">
        <v>7.7255767890175697E-4</v>
      </c>
      <c r="K15" s="14"/>
      <c r="L15" s="14"/>
      <c r="M15" s="14"/>
    </row>
    <row r="16" spans="1:17" x14ac:dyDescent="0.25">
      <c r="A16" s="16" t="s">
        <v>2802</v>
      </c>
      <c r="B16" s="24" t="s">
        <v>2803</v>
      </c>
      <c r="C16" s="60" t="s">
        <v>255</v>
      </c>
      <c r="D16" s="60" t="s">
        <v>2804</v>
      </c>
      <c r="E16" s="69">
        <v>29324.35</v>
      </c>
      <c r="F16" s="66">
        <v>99.005499999999998</v>
      </c>
      <c r="G16" s="84">
        <v>29.032720000000001</v>
      </c>
      <c r="H16" s="32">
        <v>1.8788666666666668E-4</v>
      </c>
      <c r="I16" s="24">
        <v>2.9118967467412216E-3</v>
      </c>
      <c r="J16" s="24">
        <v>1.1959101736647317E-4</v>
      </c>
      <c r="K16" s="14"/>
      <c r="L16" s="14"/>
      <c r="M16" s="14"/>
    </row>
    <row r="17" spans="1:13" s="119" customFormat="1" x14ac:dyDescent="0.25">
      <c r="A17" s="92" t="s">
        <v>2805</v>
      </c>
      <c r="B17" s="137" t="s">
        <v>249</v>
      </c>
      <c r="C17" s="136" t="s">
        <v>249</v>
      </c>
      <c r="D17" s="136" t="s">
        <v>249</v>
      </c>
      <c r="E17" s="135" t="s">
        <v>249</v>
      </c>
      <c r="F17" s="122" t="s">
        <v>249</v>
      </c>
      <c r="G17" s="124">
        <v>47.695610099999996</v>
      </c>
      <c r="H17" s="121"/>
      <c r="I17" s="137">
        <v>4.7837299393245873E-3</v>
      </c>
      <c r="J17" s="137">
        <v>1.9646683244882438E-4</v>
      </c>
    </row>
    <row r="18" spans="1:13" x14ac:dyDescent="0.25">
      <c r="A18" s="16" t="s">
        <v>2806</v>
      </c>
      <c r="B18" s="24" t="s">
        <v>2807</v>
      </c>
      <c r="C18" s="60" t="s">
        <v>255</v>
      </c>
      <c r="D18" s="60" t="s">
        <v>2808</v>
      </c>
      <c r="E18" s="69">
        <v>47695.61</v>
      </c>
      <c r="F18" s="66">
        <v>100</v>
      </c>
      <c r="G18" s="84">
        <v>47.695610000000002</v>
      </c>
      <c r="H18" s="32">
        <v>9.1650636363636363E-4</v>
      </c>
      <c r="I18" s="24">
        <v>4.7837299292948811E-3</v>
      </c>
      <c r="J18" s="24">
        <v>1.9646683203690635E-4</v>
      </c>
      <c r="K18" s="14"/>
      <c r="L18" s="14"/>
      <c r="M18" s="14"/>
    </row>
    <row r="19" spans="1:13" s="119" customFormat="1" x14ac:dyDescent="0.25">
      <c r="A19" s="92" t="s">
        <v>2809</v>
      </c>
      <c r="B19" s="137" t="s">
        <v>249</v>
      </c>
      <c r="C19" s="136" t="s">
        <v>249</v>
      </c>
      <c r="D19" s="136" t="s">
        <v>249</v>
      </c>
      <c r="E19" s="135" t="s">
        <v>249</v>
      </c>
      <c r="F19" s="122" t="s">
        <v>249</v>
      </c>
      <c r="G19" s="124">
        <v>9686.3761703999971</v>
      </c>
      <c r="H19" s="121"/>
      <c r="I19" s="137">
        <v>0.9715151476781867</v>
      </c>
      <c r="J19" s="137">
        <v>3.9899932931275403E-2</v>
      </c>
    </row>
    <row r="20" spans="1:13" s="119" customFormat="1" x14ac:dyDescent="0.25">
      <c r="A20" s="92" t="s">
        <v>2793</v>
      </c>
      <c r="B20" s="137" t="s">
        <v>249</v>
      </c>
      <c r="C20" s="136" t="s">
        <v>249</v>
      </c>
      <c r="D20" s="136" t="s">
        <v>249</v>
      </c>
      <c r="E20" s="135" t="s">
        <v>249</v>
      </c>
      <c r="F20" s="122" t="s">
        <v>249</v>
      </c>
      <c r="G20" s="124">
        <v>0</v>
      </c>
      <c r="H20" s="121"/>
      <c r="I20" s="137">
        <v>0</v>
      </c>
      <c r="J20" s="137">
        <v>0</v>
      </c>
    </row>
    <row r="21" spans="1:13" s="119" customFormat="1" x14ac:dyDescent="0.25">
      <c r="A21" s="92" t="s">
        <v>2794</v>
      </c>
      <c r="B21" s="137" t="s">
        <v>249</v>
      </c>
      <c r="C21" s="136" t="s">
        <v>249</v>
      </c>
      <c r="D21" s="136" t="s">
        <v>249</v>
      </c>
      <c r="E21" s="135" t="s">
        <v>249</v>
      </c>
      <c r="F21" s="122" t="s">
        <v>249</v>
      </c>
      <c r="G21" s="124">
        <v>944.7167101</v>
      </c>
      <c r="H21" s="121"/>
      <c r="I21" s="137">
        <v>9.4752317892786472E-2</v>
      </c>
      <c r="J21" s="137">
        <v>3.8914587570150678E-3</v>
      </c>
    </row>
    <row r="22" spans="1:13" x14ac:dyDescent="0.25">
      <c r="A22" s="16" t="s">
        <v>2817</v>
      </c>
      <c r="B22" s="24" t="s">
        <v>2818</v>
      </c>
      <c r="C22" s="60" t="s">
        <v>125</v>
      </c>
      <c r="D22" s="60" t="s">
        <v>1118</v>
      </c>
      <c r="E22" s="69">
        <v>189.31</v>
      </c>
      <c r="F22" s="66">
        <v>100000</v>
      </c>
      <c r="G22" s="84">
        <v>723.92143999999996</v>
      </c>
      <c r="H22" s="32">
        <v>0</v>
      </c>
      <c r="I22" s="24">
        <v>7.2607199257672728E-2</v>
      </c>
      <c r="J22" s="24">
        <v>2.98196316097845E-3</v>
      </c>
      <c r="K22" s="14"/>
      <c r="L22" s="14"/>
      <c r="M22" s="14"/>
    </row>
    <row r="23" spans="1:13" x14ac:dyDescent="0.25">
      <c r="A23" s="16" t="s">
        <v>2815</v>
      </c>
      <c r="B23" s="24" t="s">
        <v>2816</v>
      </c>
      <c r="C23" s="60" t="s">
        <v>125</v>
      </c>
      <c r="D23" s="60" t="s">
        <v>1490</v>
      </c>
      <c r="E23" s="69">
        <v>37018.25</v>
      </c>
      <c r="F23" s="66">
        <v>112387.43999999999</v>
      </c>
      <c r="G23" s="84">
        <v>159.09317000000001</v>
      </c>
      <c r="H23" s="32">
        <v>0</v>
      </c>
      <c r="I23" s="24">
        <v>1.5956578789439919E-2</v>
      </c>
      <c r="J23" s="24">
        <v>6.5533350152370399E-4</v>
      </c>
      <c r="K23" s="14"/>
      <c r="L23" s="14"/>
      <c r="M23" s="14"/>
    </row>
    <row r="24" spans="1:13" x14ac:dyDescent="0.25">
      <c r="A24" s="16" t="s">
        <v>2810</v>
      </c>
      <c r="B24" s="24" t="s">
        <v>2811</v>
      </c>
      <c r="C24" s="60" t="s">
        <v>125</v>
      </c>
      <c r="D24" s="60" t="s">
        <v>2812</v>
      </c>
      <c r="E24" s="69">
        <v>3.95</v>
      </c>
      <c r="F24" s="66">
        <v>154901</v>
      </c>
      <c r="G24" s="84">
        <v>23.397479999999998</v>
      </c>
      <c r="H24" s="32">
        <v>0</v>
      </c>
      <c r="I24" s="24">
        <v>2.3466986866522597E-3</v>
      </c>
      <c r="J24" s="24">
        <v>9.6378446008906786E-5</v>
      </c>
      <c r="K24" s="14"/>
      <c r="L24" s="14"/>
      <c r="M24" s="14"/>
    </row>
    <row r="25" spans="1:13" x14ac:dyDescent="0.25">
      <c r="A25" s="16" t="s">
        <v>2813</v>
      </c>
      <c r="B25" s="24" t="s">
        <v>2814</v>
      </c>
      <c r="C25" s="60" t="s">
        <v>125</v>
      </c>
      <c r="D25" s="60" t="s">
        <v>532</v>
      </c>
      <c r="E25" s="69">
        <v>7.09</v>
      </c>
      <c r="F25" s="66">
        <v>141282.09999999998</v>
      </c>
      <c r="G25" s="84">
        <v>38.30462</v>
      </c>
      <c r="H25" s="32">
        <v>0</v>
      </c>
      <c r="I25" s="24">
        <v>3.8418411489918526E-3</v>
      </c>
      <c r="J25" s="24">
        <v>1.5778364809208905E-4</v>
      </c>
      <c r="K25" s="14"/>
      <c r="L25" s="14"/>
      <c r="M25" s="14"/>
    </row>
    <row r="26" spans="1:13" s="119" customFormat="1" x14ac:dyDescent="0.25">
      <c r="A26" s="92" t="s">
        <v>2798</v>
      </c>
      <c r="B26" s="137" t="s">
        <v>249</v>
      </c>
      <c r="C26" s="136" t="s">
        <v>249</v>
      </c>
      <c r="D26" s="136" t="s">
        <v>249</v>
      </c>
      <c r="E26" s="135" t="s">
        <v>249</v>
      </c>
      <c r="F26" s="122" t="s">
        <v>249</v>
      </c>
      <c r="G26" s="124">
        <v>3362.3964801000002</v>
      </c>
      <c r="H26" s="121"/>
      <c r="I26" s="137">
        <v>0.33723851473982891</v>
      </c>
      <c r="J26" s="137">
        <v>1.3850318394026029E-2</v>
      </c>
    </row>
    <row r="27" spans="1:13" x14ac:dyDescent="0.25">
      <c r="A27" s="16" t="s">
        <v>2842</v>
      </c>
      <c r="B27" s="24" t="s">
        <v>2843</v>
      </c>
      <c r="C27" s="60" t="s">
        <v>125</v>
      </c>
      <c r="D27" s="60" t="s">
        <v>1067</v>
      </c>
      <c r="E27" s="69">
        <v>108286.81</v>
      </c>
      <c r="F27" s="66">
        <v>3.6207000000000003</v>
      </c>
      <c r="G27" s="84">
        <v>14.99291</v>
      </c>
      <c r="H27" s="32">
        <v>4.2289999999999997E-6</v>
      </c>
      <c r="I27" s="24">
        <v>1.5037449420234798E-3</v>
      </c>
      <c r="J27" s="24">
        <v>6.1758504204358712E-5</v>
      </c>
      <c r="K27" s="14"/>
      <c r="L27" s="14"/>
      <c r="M27" s="14"/>
    </row>
    <row r="28" spans="1:13" x14ac:dyDescent="0.25">
      <c r="A28" s="16" t="s">
        <v>2822</v>
      </c>
      <c r="B28" s="24" t="s">
        <v>2823</v>
      </c>
      <c r="C28" s="60" t="s">
        <v>125</v>
      </c>
      <c r="D28" s="60" t="s">
        <v>1014</v>
      </c>
      <c r="E28" s="69">
        <v>42435.86</v>
      </c>
      <c r="F28" s="66">
        <v>102.8981</v>
      </c>
      <c r="G28" s="84">
        <v>166.97763</v>
      </c>
      <c r="H28" s="32">
        <v>7.0497333333333334E-5</v>
      </c>
      <c r="I28" s="24">
        <v>1.6747367025051713E-2</v>
      </c>
      <c r="J28" s="24">
        <v>6.8781101629962786E-4</v>
      </c>
      <c r="K28" s="14"/>
      <c r="L28" s="14"/>
      <c r="M28" s="14"/>
    </row>
    <row r="29" spans="1:13" x14ac:dyDescent="0.25">
      <c r="A29" s="16" t="s">
        <v>2819</v>
      </c>
      <c r="B29" s="24" t="s">
        <v>2820</v>
      </c>
      <c r="C29" s="60" t="s">
        <v>125</v>
      </c>
      <c r="D29" s="60" t="s">
        <v>2821</v>
      </c>
      <c r="E29" s="69">
        <v>49664.57</v>
      </c>
      <c r="F29" s="66">
        <v>107.81570000000001</v>
      </c>
      <c r="G29" s="84">
        <v>204.76067999999998</v>
      </c>
      <c r="H29" s="32">
        <v>1.5545428571428572E-4</v>
      </c>
      <c r="I29" s="24">
        <v>2.0536896231304551E-2</v>
      </c>
      <c r="J29" s="24">
        <v>8.4344622335939768E-4</v>
      </c>
      <c r="K29" s="14"/>
      <c r="L29" s="14"/>
      <c r="M29" s="14"/>
    </row>
    <row r="30" spans="1:13" x14ac:dyDescent="0.25">
      <c r="A30" s="16" t="s">
        <v>2839</v>
      </c>
      <c r="B30" s="24" t="s">
        <v>2840</v>
      </c>
      <c r="C30" s="60" t="s">
        <v>125</v>
      </c>
      <c r="D30" s="60" t="s">
        <v>2841</v>
      </c>
      <c r="E30" s="69">
        <v>134661.68</v>
      </c>
      <c r="F30" s="66">
        <v>109.94370000000001</v>
      </c>
      <c r="G30" s="84">
        <v>566.15147000000002</v>
      </c>
      <c r="H30" s="32">
        <v>9.0441982507288626E-4</v>
      </c>
      <c r="I30" s="24">
        <v>5.678333355110235E-2</v>
      </c>
      <c r="J30" s="24">
        <v>2.3320801592418595E-3</v>
      </c>
      <c r="K30" s="14"/>
      <c r="L30" s="14"/>
      <c r="M30" s="14"/>
    </row>
    <row r="31" spans="1:13" x14ac:dyDescent="0.25">
      <c r="A31" s="16" t="s">
        <v>2830</v>
      </c>
      <c r="B31" s="24" t="s">
        <v>2831</v>
      </c>
      <c r="C31" s="60" t="s">
        <v>125</v>
      </c>
      <c r="D31" s="60" t="s">
        <v>2832</v>
      </c>
      <c r="E31" s="69">
        <v>35310.79</v>
      </c>
      <c r="F31" s="66">
        <v>103.84690000000001</v>
      </c>
      <c r="G31" s="84">
        <v>140.22287</v>
      </c>
      <c r="H31" s="32">
        <v>0</v>
      </c>
      <c r="I31" s="24">
        <v>1.406394299162177E-2</v>
      </c>
      <c r="J31" s="24">
        <v>5.776033276023297E-4</v>
      </c>
      <c r="K31" s="14"/>
      <c r="L31" s="14"/>
      <c r="M31" s="14"/>
    </row>
    <row r="32" spans="1:13" x14ac:dyDescent="0.25">
      <c r="A32" s="16" t="s">
        <v>2827</v>
      </c>
      <c r="B32" s="24" t="s">
        <v>2828</v>
      </c>
      <c r="C32" s="60" t="s">
        <v>125</v>
      </c>
      <c r="D32" s="60" t="s">
        <v>2829</v>
      </c>
      <c r="E32" s="69">
        <v>271506.71999999997</v>
      </c>
      <c r="F32" s="66">
        <v>110.61669999999999</v>
      </c>
      <c r="G32" s="84">
        <v>1148.4686999999999</v>
      </c>
      <c r="H32" s="32">
        <v>2.6992150000000001E-4</v>
      </c>
      <c r="I32" s="24">
        <v>0.11518804546264076</v>
      </c>
      <c r="J32" s="24">
        <v>4.7307500036700267E-3</v>
      </c>
      <c r="K32" s="14"/>
      <c r="L32" s="14"/>
      <c r="M32" s="14"/>
    </row>
    <row r="33" spans="1:13" x14ac:dyDescent="0.25">
      <c r="A33" s="16" t="s">
        <v>2844</v>
      </c>
      <c r="B33" s="24" t="s">
        <v>2845</v>
      </c>
      <c r="C33" s="60" t="s">
        <v>125</v>
      </c>
      <c r="D33" s="60" t="s">
        <v>1526</v>
      </c>
      <c r="E33" s="69">
        <v>7226.39</v>
      </c>
      <c r="F33" s="66">
        <v>100</v>
      </c>
      <c r="G33" s="84">
        <v>27.633710000000001</v>
      </c>
      <c r="H33" s="32">
        <v>3.3581111111111113E-4</v>
      </c>
      <c r="I33" s="24">
        <v>2.7715801430038371E-3</v>
      </c>
      <c r="J33" s="24">
        <v>1.1382824249708892E-4</v>
      </c>
      <c r="K33" s="14"/>
      <c r="L33" s="14"/>
      <c r="M33" s="14"/>
    </row>
    <row r="34" spans="1:13" x14ac:dyDescent="0.25">
      <c r="A34" s="16" t="s">
        <v>2833</v>
      </c>
      <c r="B34" s="24" t="s">
        <v>2834</v>
      </c>
      <c r="C34" s="60" t="s">
        <v>125</v>
      </c>
      <c r="D34" s="60" t="s">
        <v>2835</v>
      </c>
      <c r="E34" s="69">
        <v>220140.31</v>
      </c>
      <c r="F34" s="66">
        <v>102.5236</v>
      </c>
      <c r="G34" s="84">
        <v>863.06061999999997</v>
      </c>
      <c r="H34" s="32">
        <v>8.0144366451986393E-4</v>
      </c>
      <c r="I34" s="24">
        <v>8.656245131763271E-2</v>
      </c>
      <c r="J34" s="24">
        <v>3.5551025737422842E-3</v>
      </c>
      <c r="K34" s="14"/>
      <c r="L34" s="14"/>
      <c r="M34" s="14"/>
    </row>
    <row r="35" spans="1:13" x14ac:dyDescent="0.25">
      <c r="A35" s="16" t="s">
        <v>2836</v>
      </c>
      <c r="B35" s="24" t="s">
        <v>2837</v>
      </c>
      <c r="C35" s="60" t="s">
        <v>2</v>
      </c>
      <c r="D35" s="60" t="s">
        <v>2838</v>
      </c>
      <c r="E35" s="69">
        <v>10106</v>
      </c>
      <c r="F35" s="66">
        <v>97.022599999999997</v>
      </c>
      <c r="G35" s="84">
        <v>45.867290000000004</v>
      </c>
      <c r="H35" s="32">
        <v>3.2600000000000001E-4</v>
      </c>
      <c r="I35" s="24">
        <v>4.6003547904859129E-3</v>
      </c>
      <c r="J35" s="24">
        <v>1.8893565173855778E-4</v>
      </c>
      <c r="K35" s="14"/>
      <c r="L35" s="14"/>
      <c r="M35" s="14"/>
    </row>
    <row r="36" spans="1:13" x14ac:dyDescent="0.25">
      <c r="A36" s="16" t="s">
        <v>2824</v>
      </c>
      <c r="B36" s="24" t="s">
        <v>2825</v>
      </c>
      <c r="C36" s="60" t="s">
        <v>131</v>
      </c>
      <c r="D36" s="60" t="s">
        <v>2826</v>
      </c>
      <c r="E36" s="69">
        <v>52503.59</v>
      </c>
      <c r="F36" s="66">
        <v>123.46470000000001</v>
      </c>
      <c r="G36" s="84">
        <v>184.26060000000001</v>
      </c>
      <c r="H36" s="32">
        <v>8.812166666666666E-5</v>
      </c>
      <c r="I36" s="24">
        <v>1.8480798274932059E-2</v>
      </c>
      <c r="J36" s="24">
        <v>7.5900269125857886E-4</v>
      </c>
      <c r="K36" s="14"/>
      <c r="L36" s="14"/>
      <c r="M36" s="14"/>
    </row>
    <row r="37" spans="1:13" s="119" customFormat="1" x14ac:dyDescent="0.25">
      <c r="A37" s="92" t="s">
        <v>2805</v>
      </c>
      <c r="B37" s="137" t="s">
        <v>249</v>
      </c>
      <c r="C37" s="136" t="s">
        <v>249</v>
      </c>
      <c r="D37" s="136" t="s">
        <v>249</v>
      </c>
      <c r="E37" s="135" t="s">
        <v>249</v>
      </c>
      <c r="F37" s="122" t="s">
        <v>249</v>
      </c>
      <c r="G37" s="124">
        <v>5379.2629801000003</v>
      </c>
      <c r="H37" s="121"/>
      <c r="I37" s="137">
        <v>0.53952431503554188</v>
      </c>
      <c r="J37" s="137">
        <v>2.21581557798224E-2</v>
      </c>
    </row>
    <row r="38" spans="1:13" x14ac:dyDescent="0.25">
      <c r="A38" s="16" t="s">
        <v>2846</v>
      </c>
      <c r="B38" s="24" t="s">
        <v>2847</v>
      </c>
      <c r="C38" s="60" t="s">
        <v>125</v>
      </c>
      <c r="D38" s="60" t="s">
        <v>1798</v>
      </c>
      <c r="E38" s="69">
        <v>152879.56</v>
      </c>
      <c r="F38" s="66">
        <v>110.95269999999999</v>
      </c>
      <c r="G38" s="84">
        <v>648.64217000000008</v>
      </c>
      <c r="H38" s="32">
        <v>0</v>
      </c>
      <c r="I38" s="24">
        <v>6.5056909053721676E-2</v>
      </c>
      <c r="J38" s="24">
        <v>2.6718742514341355E-3</v>
      </c>
      <c r="K38" s="14"/>
      <c r="L38" s="14"/>
      <c r="M38" s="14"/>
    </row>
    <row r="39" spans="1:13" x14ac:dyDescent="0.25">
      <c r="A39" s="16" t="s">
        <v>2848</v>
      </c>
      <c r="B39" s="24" t="s">
        <v>2849</v>
      </c>
      <c r="C39" s="60" t="s">
        <v>125</v>
      </c>
      <c r="D39" s="60" t="s">
        <v>2850</v>
      </c>
      <c r="E39" s="69">
        <v>52827.05</v>
      </c>
      <c r="F39" s="66">
        <v>115.25030000000001</v>
      </c>
      <c r="G39" s="84">
        <v>232.81786</v>
      </c>
      <c r="H39" s="32">
        <v>1.022E-4</v>
      </c>
      <c r="I39" s="24">
        <v>2.3350949174491854E-2</v>
      </c>
      <c r="J39" s="24">
        <v>9.5901881527067113E-4</v>
      </c>
      <c r="K39" s="14"/>
      <c r="L39" s="14"/>
      <c r="M39" s="14"/>
    </row>
    <row r="40" spans="1:13" x14ac:dyDescent="0.25">
      <c r="A40" s="16" t="s">
        <v>2851</v>
      </c>
      <c r="B40" s="24" t="s">
        <v>2852</v>
      </c>
      <c r="C40" s="60" t="s">
        <v>126</v>
      </c>
      <c r="D40" s="60" t="s">
        <v>1161</v>
      </c>
      <c r="E40" s="69">
        <v>185582.36</v>
      </c>
      <c r="F40" s="66">
        <v>108.8663</v>
      </c>
      <c r="G40" s="84">
        <v>818.87473999999997</v>
      </c>
      <c r="H40" s="32">
        <v>3.0489010989010991E-4</v>
      </c>
      <c r="I40" s="24">
        <v>8.213073702341922E-2</v>
      </c>
      <c r="J40" s="24">
        <v>3.3730929534782203E-3</v>
      </c>
      <c r="K40" s="14"/>
      <c r="L40" s="14"/>
      <c r="M40" s="14"/>
    </row>
    <row r="41" spans="1:13" x14ac:dyDescent="0.25">
      <c r="A41" s="16" t="s">
        <v>2853</v>
      </c>
      <c r="B41" s="24" t="s">
        <v>2854</v>
      </c>
      <c r="C41" s="60" t="s">
        <v>125</v>
      </c>
      <c r="D41" s="60" t="s">
        <v>2855</v>
      </c>
      <c r="E41" s="69">
        <v>5973.74</v>
      </c>
      <c r="F41" s="66">
        <v>91.924899999999994</v>
      </c>
      <c r="G41" s="84">
        <v>20.998939999999997</v>
      </c>
      <c r="H41" s="32">
        <v>1.5654444444444443E-4</v>
      </c>
      <c r="I41" s="24">
        <v>2.1061321526544569E-3</v>
      </c>
      <c r="J41" s="24">
        <v>8.6498426541416985E-5</v>
      </c>
      <c r="K41" s="14"/>
      <c r="L41" s="14"/>
      <c r="M41" s="14"/>
    </row>
    <row r="42" spans="1:13" x14ac:dyDescent="0.25">
      <c r="A42" s="16" t="s">
        <v>2856</v>
      </c>
      <c r="B42" s="24" t="s">
        <v>2857</v>
      </c>
      <c r="C42" s="60" t="s">
        <v>125</v>
      </c>
      <c r="D42" s="60" t="s">
        <v>2858</v>
      </c>
      <c r="E42" s="69">
        <v>75267.27</v>
      </c>
      <c r="F42" s="66">
        <v>110.2897</v>
      </c>
      <c r="G42" s="84">
        <v>317.43806000000001</v>
      </c>
      <c r="H42" s="32">
        <v>1.0907244444444444E-4</v>
      </c>
      <c r="I42" s="24">
        <v>3.1838107287427586E-2</v>
      </c>
      <c r="J42" s="24">
        <v>1.3075847025783168E-3</v>
      </c>
      <c r="K42" s="14"/>
      <c r="L42" s="14"/>
      <c r="M42" s="14"/>
    </row>
    <row r="43" spans="1:13" x14ac:dyDescent="0.25">
      <c r="A43" s="16" t="s">
        <v>2859</v>
      </c>
      <c r="B43" s="24" t="s">
        <v>2860</v>
      </c>
      <c r="C43" s="60" t="s">
        <v>125</v>
      </c>
      <c r="D43" s="60" t="s">
        <v>2861</v>
      </c>
      <c r="E43" s="69">
        <v>41654.5</v>
      </c>
      <c r="F43" s="66">
        <v>104.37739999999999</v>
      </c>
      <c r="G43" s="84">
        <v>166.25942000000001</v>
      </c>
      <c r="H43" s="32">
        <v>9.3272493911506445E-5</v>
      </c>
      <c r="I43" s="24">
        <v>1.6675332666490857E-2</v>
      </c>
      <c r="J43" s="24">
        <v>6.8485257959156973E-4</v>
      </c>
      <c r="K43" s="14"/>
      <c r="L43" s="14"/>
      <c r="M43" s="14"/>
    </row>
    <row r="44" spans="1:13" x14ac:dyDescent="0.25">
      <c r="A44" s="16" t="s">
        <v>2862</v>
      </c>
      <c r="B44" s="24" t="s">
        <v>2863</v>
      </c>
      <c r="C44" s="60" t="s">
        <v>125</v>
      </c>
      <c r="D44" s="60" t="s">
        <v>2864</v>
      </c>
      <c r="E44" s="69">
        <v>130096.86</v>
      </c>
      <c r="F44" s="66">
        <v>100</v>
      </c>
      <c r="G44" s="84">
        <v>497.49038999999999</v>
      </c>
      <c r="H44" s="32">
        <v>2.6159685999999999E-4</v>
      </c>
      <c r="I44" s="24">
        <v>4.9896828412082005E-2</v>
      </c>
      <c r="J44" s="24">
        <v>2.0492527696386528E-3</v>
      </c>
      <c r="K44" s="14"/>
      <c r="L44" s="14"/>
      <c r="M44" s="14"/>
    </row>
    <row r="45" spans="1:13" x14ac:dyDescent="0.25">
      <c r="A45" s="16" t="s">
        <v>2865</v>
      </c>
      <c r="B45" s="24" t="s">
        <v>2866</v>
      </c>
      <c r="C45" s="60" t="s">
        <v>125</v>
      </c>
      <c r="D45" s="60" t="s">
        <v>2867</v>
      </c>
      <c r="E45" s="69">
        <v>250451.38</v>
      </c>
      <c r="F45" s="66">
        <v>100</v>
      </c>
      <c r="G45" s="84">
        <v>957.72606999999994</v>
      </c>
      <c r="H45" s="32">
        <v>0</v>
      </c>
      <c r="I45" s="24">
        <v>9.6057118571813288E-2</v>
      </c>
      <c r="J45" s="24">
        <v>3.9450466601026043E-3</v>
      </c>
      <c r="K45" s="14"/>
      <c r="L45" s="14"/>
      <c r="M45" s="14"/>
    </row>
    <row r="46" spans="1:13" x14ac:dyDescent="0.25">
      <c r="A46" s="16" t="s">
        <v>2868</v>
      </c>
      <c r="B46" s="24" t="s">
        <v>2869</v>
      </c>
      <c r="C46" s="60" t="s">
        <v>125</v>
      </c>
      <c r="D46" s="60" t="s">
        <v>1591</v>
      </c>
      <c r="E46" s="69">
        <v>137224.5</v>
      </c>
      <c r="F46" s="66">
        <v>100</v>
      </c>
      <c r="G46" s="84">
        <v>524.74648000000002</v>
      </c>
      <c r="H46" s="32">
        <v>0</v>
      </c>
      <c r="I46" s="24">
        <v>5.2630534375556523E-2</v>
      </c>
      <c r="J46" s="24">
        <v>2.1615255271526632E-3</v>
      </c>
      <c r="K46" s="14"/>
      <c r="L46" s="14"/>
      <c r="M46" s="14"/>
    </row>
    <row r="47" spans="1:13" x14ac:dyDescent="0.25">
      <c r="A47" s="16" t="s">
        <v>2870</v>
      </c>
      <c r="B47" s="24" t="s">
        <v>2871</v>
      </c>
      <c r="C47" s="60" t="s">
        <v>125</v>
      </c>
      <c r="D47" s="60" t="s">
        <v>2872</v>
      </c>
      <c r="E47" s="69">
        <v>135896.47</v>
      </c>
      <c r="F47" s="66">
        <v>104.54470000000001</v>
      </c>
      <c r="G47" s="84">
        <v>543.28544999999997</v>
      </c>
      <c r="H47" s="32">
        <v>9.5231250000000001E-5</v>
      </c>
      <c r="I47" s="24">
        <v>5.4489938745210249E-2</v>
      </c>
      <c r="J47" s="24">
        <v>2.2378908929615339E-3</v>
      </c>
      <c r="K47" s="14"/>
      <c r="L47" s="14"/>
      <c r="M47" s="14"/>
    </row>
    <row r="48" spans="1:13" x14ac:dyDescent="0.25">
      <c r="A48" s="16" t="s">
        <v>2873</v>
      </c>
      <c r="B48" s="24" t="s">
        <v>2874</v>
      </c>
      <c r="C48" s="60" t="s">
        <v>125</v>
      </c>
      <c r="D48" s="60" t="s">
        <v>1176</v>
      </c>
      <c r="E48" s="69">
        <v>24087.54</v>
      </c>
      <c r="F48" s="66">
        <v>100</v>
      </c>
      <c r="G48" s="84">
        <v>92.110749999999996</v>
      </c>
      <c r="H48" s="32">
        <v>9.189333333333333E-4</v>
      </c>
      <c r="I48" s="24">
        <v>9.2384383297498124E-3</v>
      </c>
      <c r="J48" s="24">
        <v>3.7942081564830535E-4</v>
      </c>
      <c r="K48" s="14"/>
      <c r="L48" s="14"/>
      <c r="M48" s="14"/>
    </row>
    <row r="49" spans="1:13" x14ac:dyDescent="0.25">
      <c r="A49" s="16" t="s">
        <v>2875</v>
      </c>
      <c r="B49" s="24" t="s">
        <v>2876</v>
      </c>
      <c r="C49" s="60" t="s">
        <v>125</v>
      </c>
      <c r="D49" s="60" t="s">
        <v>1490</v>
      </c>
      <c r="E49" s="69">
        <v>40563.39</v>
      </c>
      <c r="F49" s="66">
        <v>96.474400000000003</v>
      </c>
      <c r="G49" s="84">
        <v>149.64578</v>
      </c>
      <c r="H49" s="32">
        <v>5.0790000000000002E-3</v>
      </c>
      <c r="I49" s="24">
        <v>1.5009033254395473E-2</v>
      </c>
      <c r="J49" s="24">
        <v>6.164179957923138E-4</v>
      </c>
      <c r="K49" s="14"/>
      <c r="L49" s="14"/>
      <c r="M49" s="14"/>
    </row>
    <row r="50" spans="1:13" x14ac:dyDescent="0.25">
      <c r="A50" s="16" t="s">
        <v>2877</v>
      </c>
      <c r="B50" s="24" t="s">
        <v>2878</v>
      </c>
      <c r="C50" s="60" t="s">
        <v>126</v>
      </c>
      <c r="D50" s="60" t="s">
        <v>2879</v>
      </c>
      <c r="E50" s="69">
        <v>496.76</v>
      </c>
      <c r="F50" s="66">
        <v>-1414.298</v>
      </c>
      <c r="G50" s="84">
        <v>-28.475720000000003</v>
      </c>
      <c r="H50" s="32">
        <v>1.2092857142857143E-5</v>
      </c>
      <c r="I50" s="24">
        <v>-2.8560312788162437E-3</v>
      </c>
      <c r="J50" s="24">
        <v>-1.1729663376503571E-4</v>
      </c>
      <c r="K50" s="14"/>
      <c r="L50" s="14"/>
      <c r="M50" s="14"/>
    </row>
    <row r="51" spans="1:13" x14ac:dyDescent="0.25">
      <c r="A51" s="16" t="s">
        <v>2880</v>
      </c>
      <c r="B51" s="24" t="s">
        <v>2881</v>
      </c>
      <c r="C51" s="60" t="s">
        <v>125</v>
      </c>
      <c r="D51" s="60" t="s">
        <v>2882</v>
      </c>
      <c r="E51" s="69">
        <v>110506.4</v>
      </c>
      <c r="F51" s="66">
        <v>103.5795</v>
      </c>
      <c r="G51" s="84">
        <v>437.70259000000004</v>
      </c>
      <c r="H51" s="32">
        <v>4.1236940298507461E-4</v>
      </c>
      <c r="I51" s="24">
        <v>4.3900287257315429E-2</v>
      </c>
      <c r="J51" s="24">
        <v>1.802976022985111E-3</v>
      </c>
      <c r="K51" s="14"/>
      <c r="L51" s="14"/>
      <c r="M51" s="14"/>
    </row>
    <row r="52" spans="1:13" s="119" customFormat="1" x14ac:dyDescent="0.25">
      <c r="A52" s="78" t="s">
        <v>241</v>
      </c>
      <c r="B52" s="125"/>
      <c r="C52" s="126"/>
      <c r="D52" s="126"/>
      <c r="E52" s="126"/>
      <c r="F52" s="127"/>
      <c r="G52" s="128"/>
      <c r="H52" s="129"/>
      <c r="I52" s="129"/>
      <c r="J52" s="129"/>
      <c r="K52" s="148"/>
      <c r="L52" s="130"/>
      <c r="M52" s="130"/>
    </row>
    <row r="53" spans="1:13" s="119" customFormat="1" x14ac:dyDescent="0.25">
      <c r="A53" s="78" t="s">
        <v>242</v>
      </c>
      <c r="B53" s="125"/>
      <c r="C53" s="126"/>
      <c r="D53" s="126"/>
      <c r="E53" s="126"/>
      <c r="F53" s="127"/>
      <c r="G53" s="128"/>
      <c r="H53" s="129"/>
      <c r="I53" s="129"/>
      <c r="J53" s="129"/>
      <c r="K53" s="148"/>
      <c r="L53" s="130"/>
      <c r="M53" s="130"/>
    </row>
    <row r="54" spans="1:13" s="119" customFormat="1" x14ac:dyDescent="0.25">
      <c r="A54" s="78" t="s">
        <v>243</v>
      </c>
      <c r="B54" s="125"/>
      <c r="C54" s="126"/>
      <c r="D54" s="126"/>
      <c r="E54" s="126"/>
      <c r="F54" s="127"/>
      <c r="G54" s="128"/>
      <c r="H54" s="129"/>
      <c r="I54" s="129"/>
      <c r="J54" s="129"/>
      <c r="K54" s="148"/>
      <c r="L54" s="130"/>
      <c r="M54" s="130"/>
    </row>
    <row r="55" spans="1:13" s="119" customFormat="1" x14ac:dyDescent="0.25">
      <c r="A55" s="78" t="s">
        <v>244</v>
      </c>
      <c r="B55" s="125"/>
      <c r="C55" s="126"/>
      <c r="D55" s="126"/>
      <c r="E55" s="126"/>
      <c r="F55" s="127"/>
      <c r="G55" s="128"/>
      <c r="H55" s="129"/>
      <c r="I55" s="129"/>
      <c r="J55" s="129"/>
      <c r="K55" s="148"/>
      <c r="L55" s="130"/>
      <c r="M55" s="130"/>
    </row>
    <row r="56" spans="1:13" s="119" customFormat="1" x14ac:dyDescent="0.25">
      <c r="A56" s="78" t="s">
        <v>245</v>
      </c>
      <c r="B56" s="125"/>
      <c r="C56" s="126"/>
      <c r="D56" s="126"/>
      <c r="E56" s="126"/>
      <c r="F56" s="127"/>
      <c r="G56" s="128"/>
      <c r="H56" s="129"/>
      <c r="I56" s="129"/>
      <c r="J56" s="129"/>
      <c r="K56" s="148"/>
      <c r="L56" s="130"/>
      <c r="M56" s="130"/>
    </row>
  </sheetData>
  <mergeCells count="2">
    <mergeCell ref="A5:J5"/>
    <mergeCell ref="A4:J4"/>
  </mergeCells>
  <phoneticPr fontId="3" type="noConversion"/>
  <conditionalFormatting sqref="A10:A51 G10:G51">
    <cfRule type="expression" dxfId="53" priority="337" stopIfTrue="1">
      <formula>#REF!&gt;0</formula>
    </cfRule>
  </conditionalFormatting>
  <conditionalFormatting sqref="B10:D51 I10:J51">
    <cfRule type="expression" dxfId="52" priority="335" stopIfTrue="1">
      <formula>OR(LEFT(#REF!,3)="TIR",LEFT(#REF!,2)="IR")</formula>
    </cfRule>
  </conditionalFormatting>
  <conditionalFormatting sqref="F11:F51">
    <cfRule type="expression" dxfId="51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3"/>
  <sheetViews>
    <sheetView rightToLeft="1" zoomScale="80" workbookViewId="0"/>
  </sheetViews>
  <sheetFormatPr defaultColWidth="9.109375" defaultRowHeight="13.2" x14ac:dyDescent="0.25"/>
  <cols>
    <col min="1" max="1" width="28.88671875" style="9" bestFit="1" customWidth="1"/>
    <col min="2" max="2" width="13.5546875" style="8" bestFit="1" customWidth="1"/>
    <col min="3" max="3" width="32.44140625" style="9" bestFit="1" customWidth="1"/>
    <col min="4" max="4" width="11.33203125" style="10" customWidth="1"/>
    <col min="5" max="5" width="14.109375" style="10" customWidth="1"/>
    <col min="6" max="6" width="10.5546875" style="10" customWidth="1"/>
    <col min="7" max="7" width="8.109375" style="11" bestFit="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24" t="s">
        <v>28</v>
      </c>
      <c r="B4" s="225"/>
      <c r="C4" s="225"/>
      <c r="D4" s="225"/>
      <c r="E4" s="225"/>
      <c r="F4" s="225"/>
      <c r="G4" s="225"/>
      <c r="H4" s="225"/>
      <c r="I4" s="225"/>
      <c r="J4" s="225"/>
      <c r="K4" s="226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7" t="s">
        <v>31</v>
      </c>
      <c r="B5" s="228"/>
      <c r="C5" s="228"/>
      <c r="D5" s="228"/>
      <c r="E5" s="228"/>
      <c r="F5" s="228"/>
      <c r="G5" s="228"/>
      <c r="H5" s="228"/>
      <c r="I5" s="228"/>
      <c r="J5" s="228"/>
      <c r="K5" s="229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6" t="s">
        <v>157</v>
      </c>
      <c r="B6" s="206" t="s">
        <v>69</v>
      </c>
      <c r="C6" s="206" t="s">
        <v>19</v>
      </c>
      <c r="D6" s="206" t="s">
        <v>6</v>
      </c>
      <c r="E6" s="206" t="s">
        <v>13</v>
      </c>
      <c r="F6" s="207" t="s">
        <v>67</v>
      </c>
      <c r="G6" s="207" t="s">
        <v>68</v>
      </c>
      <c r="H6" s="207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4">
        <v>10</v>
      </c>
    </row>
    <row r="9" spans="1:18" s="119" customFormat="1" ht="12.75" customHeight="1" thickBot="1" x14ac:dyDescent="0.3">
      <c r="A9" s="100" t="s">
        <v>55</v>
      </c>
      <c r="B9" s="67" t="s">
        <v>249</v>
      </c>
      <c r="C9" s="67" t="s">
        <v>249</v>
      </c>
      <c r="D9" s="139" t="s">
        <v>249</v>
      </c>
      <c r="E9" s="139" t="s">
        <v>249</v>
      </c>
      <c r="F9" s="141" t="s">
        <v>249</v>
      </c>
      <c r="G9" s="139" t="s">
        <v>249</v>
      </c>
      <c r="H9" s="153">
        <v>52.814260200000007</v>
      </c>
      <c r="I9" s="70"/>
      <c r="J9" s="83">
        <v>1</v>
      </c>
      <c r="K9" s="82">
        <v>2.1755147670544247E-4</v>
      </c>
    </row>
    <row r="10" spans="1:18" s="119" customFormat="1" x14ac:dyDescent="0.25">
      <c r="A10" s="91" t="s">
        <v>2883</v>
      </c>
      <c r="B10" s="121" t="s">
        <v>249</v>
      </c>
      <c r="C10" s="121" t="s">
        <v>249</v>
      </c>
      <c r="D10" s="143" t="s">
        <v>249</v>
      </c>
      <c r="E10" s="143" t="s">
        <v>249</v>
      </c>
      <c r="F10" s="142" t="s">
        <v>249</v>
      </c>
      <c r="G10" s="143" t="s">
        <v>249</v>
      </c>
      <c r="H10" s="123">
        <v>52.362620100000001</v>
      </c>
      <c r="I10" s="121" t="s">
        <v>249</v>
      </c>
      <c r="J10" s="121">
        <v>0.99144851980715609</v>
      </c>
      <c r="K10" s="121">
        <v>2.1569108956147193E-4</v>
      </c>
    </row>
    <row r="11" spans="1:18" x14ac:dyDescent="0.25">
      <c r="A11" s="16" t="s">
        <v>2894</v>
      </c>
      <c r="B11" s="24" t="s">
        <v>2895</v>
      </c>
      <c r="C11" s="24" t="s">
        <v>226</v>
      </c>
      <c r="D11" s="25" t="s">
        <v>255</v>
      </c>
      <c r="E11" s="25" t="s">
        <v>1101</v>
      </c>
      <c r="F11" s="110">
        <v>18304.241858181122</v>
      </c>
      <c r="G11" s="25">
        <v>258.51</v>
      </c>
      <c r="H11" s="84">
        <v>47.318289999999998</v>
      </c>
      <c r="I11" s="24">
        <v>2.6729325143371964E-3</v>
      </c>
      <c r="J11" s="32">
        <v>0.89593776038540429</v>
      </c>
      <c r="K11" s="32">
        <v>1.9491258280801156E-4</v>
      </c>
      <c r="L11" s="14"/>
      <c r="M11" s="14"/>
      <c r="N11" s="14"/>
    </row>
    <row r="12" spans="1:18" x14ac:dyDescent="0.25">
      <c r="A12" s="16" t="s">
        <v>2896</v>
      </c>
      <c r="B12" s="24" t="s">
        <v>2897</v>
      </c>
      <c r="C12" s="24" t="s">
        <v>226</v>
      </c>
      <c r="D12" s="25" t="s">
        <v>255</v>
      </c>
      <c r="E12" s="25" t="s">
        <v>2751</v>
      </c>
      <c r="F12" s="110">
        <v>814.83957773890825</v>
      </c>
      <c r="G12" s="25">
        <v>239.08</v>
      </c>
      <c r="H12" s="84">
        <v>1.9481199999999999</v>
      </c>
      <c r="I12" s="24">
        <v>2.5188240424695772E-4</v>
      </c>
      <c r="J12" s="32">
        <v>3.6886249899605705E-2</v>
      </c>
      <c r="K12" s="32">
        <v>8.0246581357852003E-6</v>
      </c>
      <c r="L12" s="14"/>
      <c r="M12" s="14"/>
      <c r="N12" s="14"/>
    </row>
    <row r="13" spans="1:18" x14ac:dyDescent="0.25">
      <c r="A13" s="16" t="s">
        <v>2889</v>
      </c>
      <c r="B13" s="24" t="s">
        <v>2890</v>
      </c>
      <c r="C13" s="24" t="s">
        <v>204</v>
      </c>
      <c r="D13" s="25" t="s">
        <v>255</v>
      </c>
      <c r="E13" s="25" t="s">
        <v>1594</v>
      </c>
      <c r="F13" s="110">
        <v>3206.5624843909027</v>
      </c>
      <c r="G13" s="25">
        <v>2.8</v>
      </c>
      <c r="H13" s="84">
        <v>8.9779999999999999E-2</v>
      </c>
      <c r="I13" s="24">
        <v>3.6028791959448345E-4</v>
      </c>
      <c r="J13" s="32">
        <v>1.6999196743458312E-3</v>
      </c>
      <c r="K13" s="32">
        <v>3.6982003543457039E-7</v>
      </c>
      <c r="L13" s="14"/>
      <c r="M13" s="14"/>
      <c r="N13" s="14"/>
    </row>
    <row r="14" spans="1:18" x14ac:dyDescent="0.25">
      <c r="A14" s="16" t="s">
        <v>2884</v>
      </c>
      <c r="B14" s="24" t="s">
        <v>2885</v>
      </c>
      <c r="C14" s="24" t="s">
        <v>198</v>
      </c>
      <c r="D14" s="25" t="s">
        <v>255</v>
      </c>
      <c r="E14" s="25" t="s">
        <v>1490</v>
      </c>
      <c r="F14" s="110">
        <v>137.3768313332051</v>
      </c>
      <c r="G14" s="25">
        <v>1286.25</v>
      </c>
      <c r="H14" s="84">
        <v>1.76701</v>
      </c>
      <c r="I14" s="24">
        <v>2.5512818236608174E-4</v>
      </c>
      <c r="J14" s="32">
        <v>3.3457062416638754E-2</v>
      </c>
      <c r="K14" s="32">
        <v>7.2786333349659192E-6</v>
      </c>
      <c r="L14" s="14"/>
      <c r="M14" s="14"/>
      <c r="N14" s="14"/>
    </row>
    <row r="15" spans="1:18" x14ac:dyDescent="0.25">
      <c r="A15" s="16" t="s">
        <v>2886</v>
      </c>
      <c r="B15" s="24" t="s">
        <v>2887</v>
      </c>
      <c r="C15" s="24" t="s">
        <v>204</v>
      </c>
      <c r="D15" s="25" t="s">
        <v>255</v>
      </c>
      <c r="E15" s="25" t="s">
        <v>2888</v>
      </c>
      <c r="F15" s="110">
        <v>2704.1380475100077</v>
      </c>
      <c r="G15" s="25">
        <v>10.66</v>
      </c>
      <c r="H15" s="84">
        <v>0.28826000000000002</v>
      </c>
      <c r="I15" s="24">
        <v>2.3637570345367201E-4</v>
      </c>
      <c r="J15" s="32">
        <v>5.4579956039978754E-3</v>
      </c>
      <c r="K15" s="32">
        <v>1.1873950035015513E-6</v>
      </c>
      <c r="L15" s="14"/>
      <c r="M15" s="14"/>
      <c r="N15" s="14"/>
    </row>
    <row r="16" spans="1:18" x14ac:dyDescent="0.25">
      <c r="A16" s="16" t="s">
        <v>2891</v>
      </c>
      <c r="B16" s="24" t="s">
        <v>2892</v>
      </c>
      <c r="C16" s="24" t="s">
        <v>231</v>
      </c>
      <c r="D16" s="25" t="s">
        <v>255</v>
      </c>
      <c r="E16" s="25" t="s">
        <v>2893</v>
      </c>
      <c r="F16" s="110">
        <v>2048.5894299318238</v>
      </c>
      <c r="G16" s="25">
        <v>46.43</v>
      </c>
      <c r="H16" s="84">
        <v>0.95116000000000001</v>
      </c>
      <c r="I16" s="24">
        <v>2.5607367874147795E-4</v>
      </c>
      <c r="J16" s="32">
        <v>1.8009529933735585E-2</v>
      </c>
      <c r="K16" s="32">
        <v>3.9179998318550454E-6</v>
      </c>
      <c r="L16" s="14"/>
      <c r="M16" s="14"/>
      <c r="N16" s="14"/>
    </row>
    <row r="17" spans="1:14" s="119" customFormat="1" x14ac:dyDescent="0.25">
      <c r="A17" s="92" t="s">
        <v>2898</v>
      </c>
      <c r="B17" s="137" t="s">
        <v>249</v>
      </c>
      <c r="C17" s="137" t="s">
        <v>249</v>
      </c>
      <c r="D17" s="145" t="s">
        <v>249</v>
      </c>
      <c r="E17" s="145" t="s">
        <v>249</v>
      </c>
      <c r="F17" s="144" t="s">
        <v>249</v>
      </c>
      <c r="G17" s="145" t="s">
        <v>249</v>
      </c>
      <c r="H17" s="124">
        <v>0.45164009999999999</v>
      </c>
      <c r="I17" s="137"/>
      <c r="J17" s="121">
        <v>8.5514801928438244E-3</v>
      </c>
      <c r="K17" s="121">
        <v>1.860387143970516E-6</v>
      </c>
    </row>
    <row r="18" spans="1:14" x14ac:dyDescent="0.25">
      <c r="A18" s="16" t="s">
        <v>2899</v>
      </c>
      <c r="B18" s="24" t="s">
        <v>2900</v>
      </c>
      <c r="C18" s="24" t="s">
        <v>184</v>
      </c>
      <c r="D18" s="25" t="s">
        <v>131</v>
      </c>
      <c r="E18" s="25" t="s">
        <v>476</v>
      </c>
      <c r="F18" s="110">
        <v>1077.2166085724841</v>
      </c>
      <c r="G18" s="25">
        <v>14.75</v>
      </c>
      <c r="H18" s="84">
        <v>0.45163999999999999</v>
      </c>
      <c r="I18" s="24">
        <v>0</v>
      </c>
      <c r="J18" s="32">
        <v>8.5514782994158076E-3</v>
      </c>
      <c r="K18" s="32">
        <v>1.8603867320524546E-6</v>
      </c>
      <c r="L18" s="14"/>
      <c r="M18" s="14"/>
      <c r="N18" s="14"/>
    </row>
    <row r="19" spans="1:14" s="119" customFormat="1" x14ac:dyDescent="0.25">
      <c r="A19" s="78" t="s">
        <v>241</v>
      </c>
      <c r="B19" s="125"/>
      <c r="C19" s="78"/>
      <c r="D19" s="146"/>
      <c r="E19" s="146"/>
      <c r="F19" s="146"/>
      <c r="G19" s="147"/>
      <c r="H19" s="130"/>
      <c r="I19" s="148"/>
      <c r="J19" s="148"/>
      <c r="K19" s="148"/>
      <c r="L19" s="148"/>
      <c r="M19" s="130"/>
      <c r="N19" s="130"/>
    </row>
    <row r="20" spans="1:14" s="119" customFormat="1" x14ac:dyDescent="0.25">
      <c r="A20" s="78" t="s">
        <v>242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48"/>
      <c r="M20" s="130"/>
      <c r="N20" s="130"/>
    </row>
    <row r="21" spans="1:14" s="119" customFormat="1" x14ac:dyDescent="0.25">
      <c r="A21" s="78" t="s">
        <v>243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48"/>
      <c r="M21" s="130"/>
      <c r="N21" s="130"/>
    </row>
    <row r="22" spans="1:14" s="119" customFormat="1" x14ac:dyDescent="0.25">
      <c r="A22" s="78" t="s">
        <v>244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48"/>
      <c r="M22" s="130"/>
      <c r="N22" s="130"/>
    </row>
    <row r="23" spans="1:14" s="119" customFormat="1" x14ac:dyDescent="0.25">
      <c r="A23" s="78" t="s">
        <v>245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48"/>
      <c r="M23" s="130"/>
      <c r="N23" s="130"/>
    </row>
  </sheetData>
  <mergeCells count="2">
    <mergeCell ref="A5:K5"/>
    <mergeCell ref="A4:K4"/>
  </mergeCells>
  <phoneticPr fontId="3" type="noConversion"/>
  <conditionalFormatting sqref="A9:A18 H9:H18">
    <cfRule type="expression" dxfId="50" priority="343" stopIfTrue="1">
      <formula>#REF!&gt;0</formula>
    </cfRule>
  </conditionalFormatting>
  <conditionalFormatting sqref="J9:K18">
    <cfRule type="expression" dxfId="49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1.5546875" style="8" customWidth="1"/>
    <col min="4" max="4" width="11.33203125" style="59" customWidth="1"/>
    <col min="5" max="5" width="14.109375" style="59" customWidth="1"/>
    <col min="6" max="6" width="10.5546875" style="59" customWidth="1"/>
    <col min="7" max="7" width="7" style="36" customWidth="1"/>
    <col min="8" max="8" width="10.44140625" style="61" customWidth="1"/>
    <col min="9" max="9" width="22" style="63" customWidth="1"/>
    <col min="10" max="10" width="25.44140625" style="63" customWidth="1"/>
    <col min="11" max="11" width="20.6640625" style="63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9"/>
      <c r="E1" s="59"/>
      <c r="F1" s="59"/>
      <c r="G1" s="36"/>
      <c r="H1" s="61"/>
      <c r="I1" s="62"/>
      <c r="J1" s="62"/>
      <c r="K1" s="62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9"/>
      <c r="E2" s="59"/>
      <c r="F2" s="59"/>
      <c r="G2" s="36"/>
      <c r="H2" s="61"/>
      <c r="I2" s="62"/>
      <c r="J2" s="62"/>
      <c r="K2" s="62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59"/>
      <c r="E3" s="59"/>
      <c r="F3" s="59"/>
      <c r="G3" s="36"/>
      <c r="H3" s="61"/>
      <c r="I3" s="62"/>
      <c r="J3" s="62"/>
      <c r="K3" s="62"/>
      <c r="L3" s="13"/>
      <c r="M3" s="12"/>
      <c r="N3" s="12"/>
      <c r="O3" s="14"/>
    </row>
    <row r="4" spans="1:18" s="7" customFormat="1" ht="13.8" thickBot="1" x14ac:dyDescent="0.3">
      <c r="A4" s="224" t="s">
        <v>28</v>
      </c>
      <c r="B4" s="225"/>
      <c r="C4" s="225"/>
      <c r="D4" s="225"/>
      <c r="E4" s="225"/>
      <c r="F4" s="225"/>
      <c r="G4" s="225"/>
      <c r="H4" s="225"/>
      <c r="I4" s="225"/>
      <c r="J4" s="225"/>
      <c r="K4" s="226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7" t="s">
        <v>32</v>
      </c>
      <c r="B5" s="228"/>
      <c r="C5" s="228"/>
      <c r="D5" s="228"/>
      <c r="E5" s="228"/>
      <c r="F5" s="228"/>
      <c r="G5" s="228"/>
      <c r="H5" s="228"/>
      <c r="I5" s="228"/>
      <c r="J5" s="228"/>
      <c r="K5" s="229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6" t="s">
        <v>157</v>
      </c>
      <c r="B6" s="206" t="s">
        <v>69</v>
      </c>
      <c r="C6" s="206" t="s">
        <v>19</v>
      </c>
      <c r="D6" s="206" t="s">
        <v>6</v>
      </c>
      <c r="E6" s="206" t="s">
        <v>13</v>
      </c>
      <c r="F6" s="207" t="s">
        <v>67</v>
      </c>
      <c r="G6" s="207" t="s">
        <v>68</v>
      </c>
      <c r="H6" s="207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9" customFormat="1" ht="12.75" customHeight="1" thickBot="1" x14ac:dyDescent="0.3">
      <c r="A9" s="100" t="s">
        <v>56</v>
      </c>
      <c r="B9" s="67" t="s">
        <v>249</v>
      </c>
      <c r="C9" s="67" t="s">
        <v>249</v>
      </c>
      <c r="D9" s="101" t="s">
        <v>249</v>
      </c>
      <c r="E9" s="101" t="s">
        <v>249</v>
      </c>
      <c r="F9" s="102" t="s">
        <v>249</v>
      </c>
      <c r="G9" s="101" t="s">
        <v>249</v>
      </c>
      <c r="H9" s="108">
        <v>9.9999999999999995E-7</v>
      </c>
      <c r="I9" s="67" t="s">
        <v>249</v>
      </c>
      <c r="J9" s="67">
        <v>1</v>
      </c>
      <c r="K9" s="81">
        <v>0</v>
      </c>
    </row>
    <row r="10" spans="1:18" s="119" customFormat="1" x14ac:dyDescent="0.25">
      <c r="A10" s="91" t="s">
        <v>2901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33" t="s">
        <v>249</v>
      </c>
      <c r="G10" s="122" t="s">
        <v>249</v>
      </c>
      <c r="H10" s="123">
        <v>0</v>
      </c>
      <c r="I10" s="121" t="s">
        <v>249</v>
      </c>
      <c r="J10" s="121">
        <v>0</v>
      </c>
      <c r="K10" s="121">
        <v>0</v>
      </c>
    </row>
    <row r="11" spans="1:18" s="119" customFormat="1" x14ac:dyDescent="0.25">
      <c r="A11" s="92" t="s">
        <v>2635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5" t="s">
        <v>249</v>
      </c>
      <c r="G11" s="136" t="s">
        <v>249</v>
      </c>
      <c r="H11" s="124">
        <v>0</v>
      </c>
      <c r="I11" s="137"/>
      <c r="J11" s="137">
        <v>0</v>
      </c>
      <c r="K11" s="137">
        <v>0</v>
      </c>
    </row>
    <row r="12" spans="1:18" s="119" customFormat="1" x14ac:dyDescent="0.25">
      <c r="A12" s="92" t="s">
        <v>2902</v>
      </c>
      <c r="B12" s="137" t="s">
        <v>249</v>
      </c>
      <c r="C12" s="137" t="s">
        <v>249</v>
      </c>
      <c r="D12" s="136" t="s">
        <v>249</v>
      </c>
      <c r="E12" s="136" t="s">
        <v>249</v>
      </c>
      <c r="F12" s="135" t="s">
        <v>249</v>
      </c>
      <c r="G12" s="136" t="s">
        <v>249</v>
      </c>
      <c r="H12" s="124">
        <v>0</v>
      </c>
      <c r="I12" s="137"/>
      <c r="J12" s="137">
        <v>0</v>
      </c>
      <c r="K12" s="137">
        <v>0</v>
      </c>
    </row>
    <row r="13" spans="1:18" s="119" customFormat="1" x14ac:dyDescent="0.25">
      <c r="A13" s="92" t="s">
        <v>2903</v>
      </c>
      <c r="B13" s="137" t="s">
        <v>249</v>
      </c>
      <c r="C13" s="137" t="s">
        <v>249</v>
      </c>
      <c r="D13" s="136" t="s">
        <v>249</v>
      </c>
      <c r="E13" s="136" t="s">
        <v>249</v>
      </c>
      <c r="F13" s="135" t="s">
        <v>249</v>
      </c>
      <c r="G13" s="136" t="s">
        <v>249</v>
      </c>
      <c r="H13" s="124">
        <v>0</v>
      </c>
      <c r="I13" s="137"/>
      <c r="J13" s="137">
        <v>0</v>
      </c>
      <c r="K13" s="137">
        <v>0</v>
      </c>
    </row>
    <row r="14" spans="1:18" s="119" customFormat="1" x14ac:dyDescent="0.25">
      <c r="A14" s="92" t="s">
        <v>2641</v>
      </c>
      <c r="B14" s="137" t="s">
        <v>249</v>
      </c>
      <c r="C14" s="137" t="s">
        <v>249</v>
      </c>
      <c r="D14" s="136" t="s">
        <v>249</v>
      </c>
      <c r="E14" s="136" t="s">
        <v>249</v>
      </c>
      <c r="F14" s="135" t="s">
        <v>249</v>
      </c>
      <c r="G14" s="136" t="s">
        <v>249</v>
      </c>
      <c r="H14" s="124">
        <v>0</v>
      </c>
      <c r="I14" s="137"/>
      <c r="J14" s="137">
        <v>0</v>
      </c>
      <c r="K14" s="137">
        <v>0</v>
      </c>
    </row>
    <row r="15" spans="1:18" s="119" customFormat="1" x14ac:dyDescent="0.25">
      <c r="A15" s="92" t="s">
        <v>141</v>
      </c>
      <c r="B15" s="137" t="s">
        <v>249</v>
      </c>
      <c r="C15" s="137" t="s">
        <v>249</v>
      </c>
      <c r="D15" s="136" t="s">
        <v>249</v>
      </c>
      <c r="E15" s="136" t="s">
        <v>249</v>
      </c>
      <c r="F15" s="135" t="s">
        <v>249</v>
      </c>
      <c r="G15" s="136" t="s">
        <v>249</v>
      </c>
      <c r="H15" s="124">
        <v>0</v>
      </c>
      <c r="I15" s="137"/>
      <c r="J15" s="137">
        <v>0</v>
      </c>
      <c r="K15" s="137">
        <v>0</v>
      </c>
    </row>
    <row r="16" spans="1:18" s="119" customFormat="1" x14ac:dyDescent="0.25">
      <c r="A16" s="92" t="s">
        <v>2904</v>
      </c>
      <c r="B16" s="137" t="s">
        <v>249</v>
      </c>
      <c r="C16" s="137" t="s">
        <v>249</v>
      </c>
      <c r="D16" s="136" t="s">
        <v>249</v>
      </c>
      <c r="E16" s="136" t="s">
        <v>249</v>
      </c>
      <c r="F16" s="135" t="s">
        <v>249</v>
      </c>
      <c r="G16" s="136" t="s">
        <v>249</v>
      </c>
      <c r="H16" s="124">
        <v>0</v>
      </c>
      <c r="I16" s="137"/>
      <c r="J16" s="137">
        <v>0</v>
      </c>
      <c r="K16" s="137">
        <v>0</v>
      </c>
    </row>
    <row r="17" spans="1:14" s="119" customFormat="1" x14ac:dyDescent="0.25">
      <c r="A17" s="92" t="s">
        <v>2635</v>
      </c>
      <c r="B17" s="137" t="s">
        <v>249</v>
      </c>
      <c r="C17" s="137" t="s">
        <v>249</v>
      </c>
      <c r="D17" s="136" t="s">
        <v>249</v>
      </c>
      <c r="E17" s="136" t="s">
        <v>249</v>
      </c>
      <c r="F17" s="135" t="s">
        <v>249</v>
      </c>
      <c r="G17" s="136" t="s">
        <v>249</v>
      </c>
      <c r="H17" s="124">
        <v>0</v>
      </c>
      <c r="I17" s="137"/>
      <c r="J17" s="137">
        <v>0</v>
      </c>
      <c r="K17" s="137">
        <v>0</v>
      </c>
    </row>
    <row r="18" spans="1:14" s="119" customFormat="1" x14ac:dyDescent="0.25">
      <c r="A18" s="92" t="s">
        <v>2650</v>
      </c>
      <c r="B18" s="137" t="s">
        <v>249</v>
      </c>
      <c r="C18" s="137" t="s">
        <v>249</v>
      </c>
      <c r="D18" s="136" t="s">
        <v>249</v>
      </c>
      <c r="E18" s="136" t="s">
        <v>249</v>
      </c>
      <c r="F18" s="135" t="s">
        <v>249</v>
      </c>
      <c r="G18" s="136" t="s">
        <v>249</v>
      </c>
      <c r="H18" s="124">
        <v>0</v>
      </c>
      <c r="I18" s="137"/>
      <c r="J18" s="137">
        <v>0</v>
      </c>
      <c r="K18" s="137">
        <v>0</v>
      </c>
    </row>
    <row r="19" spans="1:14" s="119" customFormat="1" x14ac:dyDescent="0.25">
      <c r="A19" s="92" t="s">
        <v>2641</v>
      </c>
      <c r="B19" s="137" t="s">
        <v>249</v>
      </c>
      <c r="C19" s="137" t="s">
        <v>249</v>
      </c>
      <c r="D19" s="136" t="s">
        <v>249</v>
      </c>
      <c r="E19" s="136" t="s">
        <v>249</v>
      </c>
      <c r="F19" s="135" t="s">
        <v>249</v>
      </c>
      <c r="G19" s="136" t="s">
        <v>249</v>
      </c>
      <c r="H19" s="124">
        <v>0</v>
      </c>
      <c r="I19" s="137"/>
      <c r="J19" s="137">
        <v>0</v>
      </c>
      <c r="K19" s="137">
        <v>0</v>
      </c>
    </row>
    <row r="20" spans="1:14" s="119" customFormat="1" x14ac:dyDescent="0.25">
      <c r="A20" s="92" t="s">
        <v>2651</v>
      </c>
      <c r="B20" s="137" t="s">
        <v>249</v>
      </c>
      <c r="C20" s="137" t="s">
        <v>249</v>
      </c>
      <c r="D20" s="136" t="s">
        <v>249</v>
      </c>
      <c r="E20" s="136" t="s">
        <v>249</v>
      </c>
      <c r="F20" s="135" t="s">
        <v>249</v>
      </c>
      <c r="G20" s="136" t="s">
        <v>249</v>
      </c>
      <c r="H20" s="124">
        <v>0</v>
      </c>
      <c r="I20" s="137"/>
      <c r="J20" s="137">
        <v>0</v>
      </c>
      <c r="K20" s="137">
        <v>0</v>
      </c>
    </row>
    <row r="21" spans="1:14" s="119" customFormat="1" x14ac:dyDescent="0.25">
      <c r="A21" s="92" t="s">
        <v>141</v>
      </c>
      <c r="B21" s="137" t="s">
        <v>249</v>
      </c>
      <c r="C21" s="137" t="s">
        <v>249</v>
      </c>
      <c r="D21" s="136" t="s">
        <v>249</v>
      </c>
      <c r="E21" s="136" t="s">
        <v>249</v>
      </c>
      <c r="F21" s="135" t="s">
        <v>249</v>
      </c>
      <c r="G21" s="136" t="s">
        <v>249</v>
      </c>
      <c r="H21" s="124">
        <v>0</v>
      </c>
      <c r="I21" s="137"/>
      <c r="J21" s="137">
        <v>0</v>
      </c>
      <c r="K21" s="137">
        <v>0</v>
      </c>
    </row>
    <row r="22" spans="1:14" s="119" customFormat="1" x14ac:dyDescent="0.25">
      <c r="A22" s="78" t="s">
        <v>241</v>
      </c>
      <c r="B22" s="125"/>
      <c r="C22" s="125"/>
      <c r="D22" s="126"/>
      <c r="E22" s="126"/>
      <c r="F22" s="126"/>
      <c r="G22" s="127"/>
      <c r="H22" s="128"/>
      <c r="I22" s="129"/>
      <c r="J22" s="129"/>
      <c r="K22" s="129"/>
      <c r="L22" s="148"/>
      <c r="M22" s="130"/>
      <c r="N22" s="130"/>
    </row>
    <row r="23" spans="1:14" s="119" customFormat="1" x14ac:dyDescent="0.25">
      <c r="A23" s="78" t="s">
        <v>242</v>
      </c>
      <c r="B23" s="125"/>
      <c r="C23" s="125"/>
      <c r="D23" s="126"/>
      <c r="E23" s="126"/>
      <c r="F23" s="126"/>
      <c r="G23" s="127"/>
      <c r="H23" s="128"/>
      <c r="I23" s="129"/>
      <c r="J23" s="129"/>
      <c r="K23" s="129"/>
      <c r="L23" s="148"/>
      <c r="M23" s="130"/>
      <c r="N23" s="130"/>
    </row>
    <row r="24" spans="1:14" s="119" customFormat="1" x14ac:dyDescent="0.25">
      <c r="A24" s="78" t="s">
        <v>243</v>
      </c>
      <c r="B24" s="125"/>
      <c r="C24" s="125"/>
      <c r="D24" s="126"/>
      <c r="E24" s="126"/>
      <c r="F24" s="126"/>
      <c r="G24" s="127"/>
      <c r="H24" s="128"/>
      <c r="I24" s="129"/>
      <c r="J24" s="129"/>
      <c r="K24" s="129"/>
      <c r="L24" s="148"/>
      <c r="M24" s="130"/>
      <c r="N24" s="130"/>
    </row>
    <row r="25" spans="1:14" s="119" customFormat="1" x14ac:dyDescent="0.25">
      <c r="A25" s="78" t="s">
        <v>244</v>
      </c>
      <c r="B25" s="125"/>
      <c r="C25" s="125"/>
      <c r="D25" s="126"/>
      <c r="E25" s="126"/>
      <c r="F25" s="126"/>
      <c r="G25" s="127"/>
      <c r="H25" s="128"/>
      <c r="I25" s="129"/>
      <c r="J25" s="129"/>
      <c r="K25" s="129"/>
      <c r="L25" s="148"/>
      <c r="M25" s="130"/>
      <c r="N25" s="130"/>
    </row>
    <row r="26" spans="1:14" s="119" customFormat="1" x14ac:dyDescent="0.25">
      <c r="A26" s="78" t="s">
        <v>245</v>
      </c>
      <c r="B26" s="125"/>
      <c r="C26" s="125"/>
      <c r="D26" s="126"/>
      <c r="E26" s="126"/>
      <c r="F26" s="126"/>
      <c r="G26" s="127"/>
      <c r="H26" s="128"/>
      <c r="I26" s="129"/>
      <c r="J26" s="129"/>
      <c r="K26" s="129"/>
      <c r="L26" s="148"/>
      <c r="M26" s="130"/>
      <c r="N26" s="130"/>
    </row>
  </sheetData>
  <mergeCells count="2">
    <mergeCell ref="A5:K5"/>
    <mergeCell ref="A4:K4"/>
  </mergeCells>
  <phoneticPr fontId="3" type="noConversion"/>
  <conditionalFormatting sqref="A10:A21 H10:H21">
    <cfRule type="expression" dxfId="48" priority="351" stopIfTrue="1">
      <formula>#REF!&gt;0</formula>
    </cfRule>
  </conditionalFormatting>
  <conditionalFormatting sqref="B10:E21 J10:K21">
    <cfRule type="expression" dxfId="47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63"/>
  <sheetViews>
    <sheetView rightToLeft="1" zoomScale="85" workbookViewId="0"/>
  </sheetViews>
  <sheetFormatPr defaultColWidth="9.109375" defaultRowHeight="13.2" x14ac:dyDescent="0.25"/>
  <cols>
    <col min="1" max="1" width="46.6640625" style="9" bestFit="1" customWidth="1"/>
    <col min="2" max="2" width="12.6640625" style="8" bestFit="1" customWidth="1"/>
    <col min="3" max="3" width="11.109375" style="9" customWidth="1"/>
    <col min="4" max="4" width="11.88671875" style="59" bestFit="1" customWidth="1"/>
    <col min="5" max="5" width="13.44140625" style="59" customWidth="1"/>
    <col min="6" max="6" width="12.6640625" style="59" bestFit="1" customWidth="1"/>
    <col min="7" max="7" width="7.6640625" style="36" bestFit="1" customWidth="1"/>
    <col min="8" max="8" width="9.88671875" style="61" bestFit="1" customWidth="1"/>
    <col min="9" max="9" width="24" style="61" customWidth="1"/>
    <col min="10" max="10" width="19.6640625" style="63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9"/>
      <c r="E1" s="59"/>
      <c r="F1" s="59"/>
      <c r="G1" s="36"/>
      <c r="H1" s="61"/>
      <c r="I1" s="61"/>
      <c r="J1" s="62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9"/>
      <c r="E2" s="59"/>
      <c r="F2" s="59"/>
      <c r="G2" s="36"/>
      <c r="H2" s="61"/>
      <c r="I2" s="61"/>
      <c r="J2" s="62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59"/>
      <c r="E3" s="59"/>
      <c r="F3" s="59"/>
      <c r="G3" s="36"/>
      <c r="H3" s="61"/>
      <c r="I3" s="61"/>
      <c r="J3" s="62"/>
      <c r="K3" s="13"/>
      <c r="L3" s="13"/>
      <c r="M3" s="12"/>
      <c r="N3" s="12"/>
      <c r="O3" s="14"/>
    </row>
    <row r="4" spans="1:15" s="7" customFormat="1" ht="13.8" thickBot="1" x14ac:dyDescent="0.3">
      <c r="A4" s="224" t="s">
        <v>28</v>
      </c>
      <c r="B4" s="225"/>
      <c r="C4" s="225"/>
      <c r="D4" s="225"/>
      <c r="E4" s="225"/>
      <c r="F4" s="225"/>
      <c r="G4" s="225"/>
      <c r="H4" s="225"/>
      <c r="I4" s="225"/>
      <c r="J4" s="226"/>
      <c r="K4" s="13"/>
      <c r="L4" s="13"/>
      <c r="M4" s="12"/>
      <c r="N4" s="12"/>
      <c r="O4" s="12"/>
    </row>
    <row r="5" spans="1:15" s="7" customFormat="1" x14ac:dyDescent="0.25">
      <c r="A5" s="227" t="s">
        <v>33</v>
      </c>
      <c r="B5" s="228"/>
      <c r="C5" s="228"/>
      <c r="D5" s="228"/>
      <c r="E5" s="228"/>
      <c r="F5" s="228"/>
      <c r="G5" s="228"/>
      <c r="H5" s="228"/>
      <c r="I5" s="228"/>
      <c r="J5" s="229"/>
      <c r="K5" s="13"/>
      <c r="L5" s="13"/>
      <c r="M5" s="12"/>
      <c r="N5" s="12"/>
      <c r="O5" s="12"/>
    </row>
    <row r="6" spans="1:15" s="7" customFormat="1" x14ac:dyDescent="0.25">
      <c r="A6" s="86" t="s">
        <v>157</v>
      </c>
      <c r="B6" s="206" t="s">
        <v>69</v>
      </c>
      <c r="C6" s="206" t="s">
        <v>19</v>
      </c>
      <c r="D6" s="206" t="s">
        <v>6</v>
      </c>
      <c r="E6" s="206" t="s">
        <v>13</v>
      </c>
      <c r="F6" s="207" t="s">
        <v>67</v>
      </c>
      <c r="G6" s="207" t="s">
        <v>68</v>
      </c>
      <c r="H6" s="207" t="s">
        <v>29</v>
      </c>
      <c r="I6" s="89" t="s">
        <v>75</v>
      </c>
      <c r="J6" s="90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9" customFormat="1" ht="12.75" customHeight="1" thickBot="1" x14ac:dyDescent="0.3">
      <c r="A9" s="100" t="s">
        <v>62</v>
      </c>
      <c r="B9" s="67"/>
      <c r="C9" s="67"/>
      <c r="D9" s="101"/>
      <c r="E9" s="101"/>
      <c r="F9" s="102"/>
      <c r="G9" s="101"/>
      <c r="H9" s="103">
        <v>-979.62751910000122</v>
      </c>
      <c r="I9" s="67">
        <v>1</v>
      </c>
      <c r="J9" s="81">
        <v>-4.035262684631797E-3</v>
      </c>
    </row>
    <row r="10" spans="1:15" s="119" customFormat="1" x14ac:dyDescent="0.25">
      <c r="A10" s="91" t="s">
        <v>2905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33" t="s">
        <v>249</v>
      </c>
      <c r="G10" s="122" t="s">
        <v>249</v>
      </c>
      <c r="H10" s="123">
        <v>-525.22586949999902</v>
      </c>
      <c r="I10" s="121">
        <v>0.53614854550281732</v>
      </c>
      <c r="J10" s="121">
        <v>-2.1635002190871317E-3</v>
      </c>
    </row>
    <row r="11" spans="1:15" s="119" customFormat="1" x14ac:dyDescent="0.25">
      <c r="A11" s="92" t="s">
        <v>2635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5" t="s">
        <v>249</v>
      </c>
      <c r="G11" s="136" t="s">
        <v>249</v>
      </c>
      <c r="H11" s="124">
        <v>7.6440801000000027</v>
      </c>
      <c r="I11" s="137">
        <v>-7.8030475369074322E-3</v>
      </c>
      <c r="J11" s="137">
        <v>3.1487346552090618E-5</v>
      </c>
    </row>
    <row r="12" spans="1:15" x14ac:dyDescent="0.25">
      <c r="A12" s="16" t="s">
        <v>2906</v>
      </c>
      <c r="B12" s="24" t="s">
        <v>2907</v>
      </c>
      <c r="C12" s="24" t="s">
        <v>200</v>
      </c>
      <c r="D12" s="60" t="s">
        <v>255</v>
      </c>
      <c r="E12" s="60" t="s">
        <v>1067</v>
      </c>
      <c r="F12" s="69">
        <v>816.02145625617652</v>
      </c>
      <c r="G12" s="60">
        <v>15.75</v>
      </c>
      <c r="H12" s="84">
        <v>12.85234</v>
      </c>
      <c r="I12" s="24">
        <v>-1.3119619191391889E-2</v>
      </c>
      <c r="J12" s="24">
        <v>5.2941109759602882E-5</v>
      </c>
      <c r="K12" s="14"/>
      <c r="L12" s="14"/>
      <c r="M12" s="14"/>
      <c r="N12" s="14"/>
    </row>
    <row r="13" spans="1:15" x14ac:dyDescent="0.25">
      <c r="A13" s="16" t="s">
        <v>2908</v>
      </c>
      <c r="B13" s="24" t="s">
        <v>2909</v>
      </c>
      <c r="C13" s="24" t="s">
        <v>200</v>
      </c>
      <c r="D13" s="60" t="s">
        <v>255</v>
      </c>
      <c r="E13" s="60" t="s">
        <v>1067</v>
      </c>
      <c r="F13" s="69">
        <v>-816.02145625617652</v>
      </c>
      <c r="G13" s="60">
        <v>15.408989999999999</v>
      </c>
      <c r="H13" s="84">
        <v>-12.574069999999999</v>
      </c>
      <c r="I13" s="24">
        <v>1.2835562246711884E-2</v>
      </c>
      <c r="J13" s="24">
        <v>-5.1794865370425132E-5</v>
      </c>
      <c r="K13" s="14"/>
      <c r="L13" s="14"/>
      <c r="M13" s="14"/>
      <c r="N13" s="14"/>
    </row>
    <row r="14" spans="1:15" x14ac:dyDescent="0.25">
      <c r="A14" s="16" t="s">
        <v>2910</v>
      </c>
      <c r="B14" s="24" t="s">
        <v>2911</v>
      </c>
      <c r="C14" s="24" t="s">
        <v>200</v>
      </c>
      <c r="D14" s="60" t="s">
        <v>255</v>
      </c>
      <c r="E14" s="60" t="s">
        <v>2912</v>
      </c>
      <c r="F14" s="69">
        <v>381.26035240790674</v>
      </c>
      <c r="G14" s="60">
        <v>15.75</v>
      </c>
      <c r="H14" s="84">
        <v>6.0048500000000002</v>
      </c>
      <c r="I14" s="24">
        <v>-6.1297277617484124E-3</v>
      </c>
      <c r="J14" s="24">
        <v>2.4735061703934954E-5</v>
      </c>
      <c r="K14" s="14"/>
      <c r="L14" s="14"/>
      <c r="M14" s="14"/>
      <c r="N14" s="14"/>
    </row>
    <row r="15" spans="1:15" x14ac:dyDescent="0.25">
      <c r="A15" s="16" t="s">
        <v>2913</v>
      </c>
      <c r="B15" s="24" t="s">
        <v>2914</v>
      </c>
      <c r="C15" s="24" t="s">
        <v>200</v>
      </c>
      <c r="D15" s="60" t="s">
        <v>255</v>
      </c>
      <c r="E15" s="60" t="s">
        <v>2912</v>
      </c>
      <c r="F15" s="69">
        <v>-381.26035240790674</v>
      </c>
      <c r="G15" s="60">
        <v>15.452735000000001</v>
      </c>
      <c r="H15" s="84">
        <v>-5.8915200000000008</v>
      </c>
      <c r="I15" s="24">
        <v>6.0140409340609683E-3</v>
      </c>
      <c r="J15" s="24">
        <v>-2.4268234965064385E-5</v>
      </c>
      <c r="K15" s="14"/>
      <c r="L15" s="14"/>
      <c r="M15" s="14"/>
      <c r="N15" s="14"/>
    </row>
    <row r="16" spans="1:15" x14ac:dyDescent="0.25">
      <c r="A16" s="16" t="s">
        <v>2915</v>
      </c>
      <c r="B16" s="24" t="s">
        <v>2916</v>
      </c>
      <c r="C16" s="24" t="s">
        <v>200</v>
      </c>
      <c r="D16" s="60" t="s">
        <v>255</v>
      </c>
      <c r="E16" s="60" t="s">
        <v>485</v>
      </c>
      <c r="F16" s="69">
        <v>1754.4576870962817</v>
      </c>
      <c r="G16" s="60">
        <v>20.59</v>
      </c>
      <c r="H16" s="84">
        <v>36.124279999999999</v>
      </c>
      <c r="I16" s="24">
        <v>-3.6875525948054141E-2</v>
      </c>
      <c r="J16" s="24">
        <v>1.4880243383435444E-4</v>
      </c>
      <c r="K16" s="14"/>
      <c r="L16" s="14"/>
      <c r="M16" s="14"/>
      <c r="N16" s="14"/>
    </row>
    <row r="17" spans="1:14" x14ac:dyDescent="0.25">
      <c r="A17" s="16" t="s">
        <v>2917</v>
      </c>
      <c r="B17" s="24" t="s">
        <v>2918</v>
      </c>
      <c r="C17" s="24" t="s">
        <v>200</v>
      </c>
      <c r="D17" s="60" t="s">
        <v>255</v>
      </c>
      <c r="E17" s="60" t="s">
        <v>485</v>
      </c>
      <c r="F17" s="69">
        <v>-1754.4576870962817</v>
      </c>
      <c r="G17" s="60">
        <v>19.215540000000001</v>
      </c>
      <c r="H17" s="84">
        <v>-33.712849999999996</v>
      </c>
      <c r="I17" s="24">
        <v>3.441394748789061E-2</v>
      </c>
      <c r="J17" s="24">
        <v>-1.3886931812876315E-4</v>
      </c>
      <c r="K17" s="14"/>
      <c r="L17" s="14"/>
      <c r="M17" s="14"/>
      <c r="N17" s="14"/>
    </row>
    <row r="18" spans="1:14" x14ac:dyDescent="0.25">
      <c r="A18" s="16" t="s">
        <v>2919</v>
      </c>
      <c r="B18" s="24" t="s">
        <v>2920</v>
      </c>
      <c r="C18" s="24" t="s">
        <v>200</v>
      </c>
      <c r="D18" s="60" t="s">
        <v>255</v>
      </c>
      <c r="E18" s="60" t="s">
        <v>2921</v>
      </c>
      <c r="F18" s="69">
        <v>6978.9742596927308</v>
      </c>
      <c r="G18" s="60">
        <v>33.89</v>
      </c>
      <c r="H18" s="84">
        <v>236.51743999999999</v>
      </c>
      <c r="I18" s="24">
        <v>-0.24143609217643477</v>
      </c>
      <c r="J18" s="24">
        <v>9.7425805348289019E-4</v>
      </c>
      <c r="K18" s="14"/>
      <c r="L18" s="14"/>
      <c r="M18" s="14"/>
      <c r="N18" s="14"/>
    </row>
    <row r="19" spans="1:14" x14ac:dyDescent="0.25">
      <c r="A19" s="16" t="s">
        <v>2922</v>
      </c>
      <c r="B19" s="24" t="s">
        <v>2923</v>
      </c>
      <c r="C19" s="24" t="s">
        <v>200</v>
      </c>
      <c r="D19" s="60" t="s">
        <v>255</v>
      </c>
      <c r="E19" s="60" t="s">
        <v>2921</v>
      </c>
      <c r="F19" s="69">
        <v>-6978.9742596927308</v>
      </c>
      <c r="G19" s="60">
        <v>33.899054</v>
      </c>
      <c r="H19" s="84">
        <v>-236.58063000000001</v>
      </c>
      <c r="I19" s="24">
        <v>0.24150059628515771</v>
      </c>
      <c r="J19" s="24">
        <v>-9.745183445058253E-4</v>
      </c>
      <c r="K19" s="14"/>
      <c r="L19" s="14"/>
      <c r="M19" s="14"/>
      <c r="N19" s="14"/>
    </row>
    <row r="20" spans="1:14" x14ac:dyDescent="0.25">
      <c r="A20" s="16" t="s">
        <v>2924</v>
      </c>
      <c r="B20" s="24" t="s">
        <v>2925</v>
      </c>
      <c r="C20" s="24" t="s">
        <v>200</v>
      </c>
      <c r="D20" s="60" t="s">
        <v>255</v>
      </c>
      <c r="E20" s="60" t="s">
        <v>2926</v>
      </c>
      <c r="F20" s="69">
        <v>1818.7589697067842</v>
      </c>
      <c r="G20" s="60">
        <v>39.619999999999997</v>
      </c>
      <c r="H20" s="84">
        <v>72.059229999999999</v>
      </c>
      <c r="I20" s="24">
        <v>-7.3557784561015513E-2</v>
      </c>
      <c r="J20" s="24">
        <v>2.9682498320325081E-4</v>
      </c>
      <c r="K20" s="14"/>
      <c r="L20" s="14"/>
      <c r="M20" s="14"/>
      <c r="N20" s="14"/>
    </row>
    <row r="21" spans="1:14" x14ac:dyDescent="0.25">
      <c r="A21" s="16" t="s">
        <v>2927</v>
      </c>
      <c r="B21" s="24" t="s">
        <v>2928</v>
      </c>
      <c r="C21" s="24" t="s">
        <v>200</v>
      </c>
      <c r="D21" s="60" t="s">
        <v>255</v>
      </c>
      <c r="E21" s="60" t="s">
        <v>2926</v>
      </c>
      <c r="F21" s="69">
        <v>-1818.7589697067842</v>
      </c>
      <c r="G21" s="60">
        <v>37.803959999999996</v>
      </c>
      <c r="H21" s="84">
        <v>-68.756289999999993</v>
      </c>
      <c r="I21" s="24">
        <v>7.0186156125102983E-2</v>
      </c>
      <c r="J21" s="24">
        <v>-2.8321957678936955E-4</v>
      </c>
      <c r="K21" s="14"/>
      <c r="L21" s="14"/>
      <c r="M21" s="14"/>
      <c r="N21" s="14"/>
    </row>
    <row r="22" spans="1:14" x14ac:dyDescent="0.25">
      <c r="A22" s="16" t="s">
        <v>2929</v>
      </c>
      <c r="B22" s="24" t="s">
        <v>2930</v>
      </c>
      <c r="C22" s="24" t="s">
        <v>200</v>
      </c>
      <c r="D22" s="60" t="s">
        <v>255</v>
      </c>
      <c r="E22" s="60" t="s">
        <v>2926</v>
      </c>
      <c r="F22" s="69">
        <v>1281.6815920599104</v>
      </c>
      <c r="G22" s="60">
        <v>20.59</v>
      </c>
      <c r="H22" s="84">
        <v>26.38982</v>
      </c>
      <c r="I22" s="24">
        <v>-2.6938626657042802E-2</v>
      </c>
      <c r="J22" s="24">
        <v>1.0870443492439223E-4</v>
      </c>
      <c r="K22" s="14"/>
      <c r="L22" s="14"/>
      <c r="M22" s="14"/>
      <c r="N22" s="14"/>
    </row>
    <row r="23" spans="1:14" x14ac:dyDescent="0.25">
      <c r="A23" s="16" t="s">
        <v>2931</v>
      </c>
      <c r="B23" s="24" t="s">
        <v>2932</v>
      </c>
      <c r="C23" s="24" t="s">
        <v>200</v>
      </c>
      <c r="D23" s="60" t="s">
        <v>255</v>
      </c>
      <c r="E23" s="60" t="s">
        <v>2926</v>
      </c>
      <c r="F23" s="69">
        <v>-1281.6815920599104</v>
      </c>
      <c r="G23" s="60">
        <v>19.340623000000001</v>
      </c>
      <c r="H23" s="84">
        <v>-24.788520000000002</v>
      </c>
      <c r="I23" s="24">
        <v>2.5304025781935559E-2</v>
      </c>
      <c r="J23" s="24">
        <v>-1.021083910088055E-4</v>
      </c>
      <c r="K23" s="14"/>
      <c r="L23" s="14"/>
      <c r="M23" s="14"/>
      <c r="N23" s="14"/>
    </row>
    <row r="24" spans="1:14" s="119" customFormat="1" x14ac:dyDescent="0.25">
      <c r="A24" s="92" t="s">
        <v>2641</v>
      </c>
      <c r="B24" s="137" t="s">
        <v>249</v>
      </c>
      <c r="C24" s="137" t="s">
        <v>249</v>
      </c>
      <c r="D24" s="136" t="s">
        <v>249</v>
      </c>
      <c r="E24" s="136" t="s">
        <v>249</v>
      </c>
      <c r="F24" s="135" t="s">
        <v>249</v>
      </c>
      <c r="G24" s="136" t="s">
        <v>249</v>
      </c>
      <c r="H24" s="124">
        <v>-1.6999198999999789</v>
      </c>
      <c r="I24" s="137">
        <v>1.7352716893475199E-3</v>
      </c>
      <c r="J24" s="137">
        <v>-7.0022770957220273E-6</v>
      </c>
    </row>
    <row r="25" spans="1:14" x14ac:dyDescent="0.25">
      <c r="A25" s="16" t="s">
        <v>2935</v>
      </c>
      <c r="B25" s="24" t="s">
        <v>2936</v>
      </c>
      <c r="C25" s="24" t="s">
        <v>200</v>
      </c>
      <c r="D25" s="60" t="s">
        <v>255</v>
      </c>
      <c r="E25" s="60" t="s">
        <v>1118</v>
      </c>
      <c r="F25" s="69">
        <v>-219319.56653365301</v>
      </c>
      <c r="G25" s="60">
        <v>100.025942</v>
      </c>
      <c r="H25" s="84">
        <v>-219.37645999999998</v>
      </c>
      <c r="I25" s="24">
        <v>0.22393864578400627</v>
      </c>
      <c r="J25" s="24">
        <v>-9.0365126097917815E-4</v>
      </c>
      <c r="K25" s="14"/>
      <c r="L25" s="14"/>
      <c r="M25" s="14"/>
      <c r="N25" s="14"/>
    </row>
    <row r="26" spans="1:14" x14ac:dyDescent="0.25">
      <c r="A26" s="16" t="s">
        <v>2939</v>
      </c>
      <c r="B26" s="24" t="s">
        <v>2940</v>
      </c>
      <c r="C26" s="24" t="s">
        <v>200</v>
      </c>
      <c r="D26" s="60" t="s">
        <v>255</v>
      </c>
      <c r="E26" s="60" t="s">
        <v>1118</v>
      </c>
      <c r="F26" s="69">
        <v>219319.56653365301</v>
      </c>
      <c r="G26" s="60">
        <v>99.532719999999998</v>
      </c>
      <c r="H26" s="84">
        <v>218.29473000000002</v>
      </c>
      <c r="I26" s="24">
        <v>-0.22283441996459094</v>
      </c>
      <c r="J26" s="24">
        <v>8.991954197346846E-4</v>
      </c>
      <c r="K26" s="14"/>
      <c r="L26" s="14"/>
      <c r="M26" s="14"/>
      <c r="N26" s="14"/>
    </row>
    <row r="27" spans="1:14" x14ac:dyDescent="0.25">
      <c r="A27" s="16" t="s">
        <v>2933</v>
      </c>
      <c r="B27" s="24" t="s">
        <v>2934</v>
      </c>
      <c r="C27" s="24" t="s">
        <v>200</v>
      </c>
      <c r="D27" s="60" t="s">
        <v>255</v>
      </c>
      <c r="E27" s="60" t="s">
        <v>1118</v>
      </c>
      <c r="F27" s="69">
        <v>-109659.7832668265</v>
      </c>
      <c r="G27" s="60">
        <v>100.025942</v>
      </c>
      <c r="H27" s="84">
        <v>-109.68822999999999</v>
      </c>
      <c r="I27" s="24">
        <v>0.11196932289200313</v>
      </c>
      <c r="J27" s="24">
        <v>-4.5182563048958908E-4</v>
      </c>
      <c r="K27" s="14"/>
      <c r="L27" s="14"/>
      <c r="M27" s="14"/>
      <c r="N27" s="14"/>
    </row>
    <row r="28" spans="1:14" x14ac:dyDescent="0.25">
      <c r="A28" s="16" t="s">
        <v>2937</v>
      </c>
      <c r="B28" s="24" t="s">
        <v>2938</v>
      </c>
      <c r="C28" s="24" t="s">
        <v>200</v>
      </c>
      <c r="D28" s="60" t="s">
        <v>255</v>
      </c>
      <c r="E28" s="60" t="s">
        <v>1118</v>
      </c>
      <c r="F28" s="69">
        <v>109659.7832668265</v>
      </c>
      <c r="G28" s="60">
        <v>99.462203000000002</v>
      </c>
      <c r="H28" s="84">
        <v>109.07003999999999</v>
      </c>
      <c r="I28" s="24">
        <v>-0.11133827691999129</v>
      </c>
      <c r="J28" s="24">
        <v>4.4927919422644251E-4</v>
      </c>
      <c r="K28" s="14"/>
      <c r="L28" s="14"/>
      <c r="M28" s="14"/>
      <c r="N28" s="14"/>
    </row>
    <row r="29" spans="1:14" s="119" customFormat="1" x14ac:dyDescent="0.25">
      <c r="A29" s="92" t="s">
        <v>2941</v>
      </c>
      <c r="B29" s="137" t="s">
        <v>249</v>
      </c>
      <c r="C29" s="137" t="s">
        <v>249</v>
      </c>
      <c r="D29" s="136" t="s">
        <v>249</v>
      </c>
      <c r="E29" s="136" t="s">
        <v>249</v>
      </c>
      <c r="F29" s="135" t="s">
        <v>249</v>
      </c>
      <c r="G29" s="136" t="s">
        <v>249</v>
      </c>
      <c r="H29" s="124">
        <v>0</v>
      </c>
      <c r="I29" s="137">
        <v>0</v>
      </c>
      <c r="J29" s="137">
        <v>0</v>
      </c>
    </row>
    <row r="30" spans="1:14" s="119" customFormat="1" x14ac:dyDescent="0.25">
      <c r="A30" s="92" t="s">
        <v>2903</v>
      </c>
      <c r="B30" s="137" t="s">
        <v>249</v>
      </c>
      <c r="C30" s="137" t="s">
        <v>249</v>
      </c>
      <c r="D30" s="136" t="s">
        <v>249</v>
      </c>
      <c r="E30" s="136" t="s">
        <v>249</v>
      </c>
      <c r="F30" s="135" t="s">
        <v>249</v>
      </c>
      <c r="G30" s="136" t="s">
        <v>249</v>
      </c>
      <c r="H30" s="124">
        <v>103.91524010000005</v>
      </c>
      <c r="I30" s="137">
        <v>-0.10607627702768964</v>
      </c>
      <c r="J30" s="137">
        <v>4.280456424145011E-4</v>
      </c>
    </row>
    <row r="31" spans="1:14" x14ac:dyDescent="0.25">
      <c r="A31" s="16" t="s">
        <v>2942</v>
      </c>
      <c r="B31" s="24" t="s">
        <v>2943</v>
      </c>
      <c r="C31" s="24" t="s">
        <v>200</v>
      </c>
      <c r="D31" s="60" t="s">
        <v>125</v>
      </c>
      <c r="E31" s="60" t="s">
        <v>2944</v>
      </c>
      <c r="F31" s="69">
        <v>118394.09599978932</v>
      </c>
      <c r="G31" s="60">
        <v>0.99779300000000004</v>
      </c>
      <c r="H31" s="84">
        <v>451.74011999999999</v>
      </c>
      <c r="I31" s="24">
        <v>-0.46113457532820284</v>
      </c>
      <c r="J31" s="24">
        <v>1.8607991444154275E-3</v>
      </c>
      <c r="K31" s="14"/>
      <c r="L31" s="14"/>
      <c r="M31" s="14"/>
      <c r="N31" s="14"/>
    </row>
    <row r="32" spans="1:14" x14ac:dyDescent="0.25">
      <c r="A32" s="16" t="s">
        <v>2945</v>
      </c>
      <c r="B32" s="24" t="s">
        <v>2946</v>
      </c>
      <c r="C32" s="24" t="s">
        <v>200</v>
      </c>
      <c r="D32" s="60" t="s">
        <v>126</v>
      </c>
      <c r="E32" s="60" t="s">
        <v>2944</v>
      </c>
      <c r="F32" s="69">
        <v>-106969.72894812912</v>
      </c>
      <c r="G32" s="60">
        <v>0.99839999999999995</v>
      </c>
      <c r="H32" s="84">
        <v>-432.86546999999996</v>
      </c>
      <c r="I32" s="24">
        <v>0.44186740527428231</v>
      </c>
      <c r="J32" s="24">
        <v>-1.7830510520583868E-3</v>
      </c>
      <c r="K32" s="14"/>
      <c r="L32" s="14"/>
      <c r="M32" s="14"/>
      <c r="N32" s="14"/>
    </row>
    <row r="33" spans="1:14" x14ac:dyDescent="0.25">
      <c r="A33" s="16" t="s">
        <v>2942</v>
      </c>
      <c r="B33" s="24" t="s">
        <v>2947</v>
      </c>
      <c r="C33" s="24" t="s">
        <v>200</v>
      </c>
      <c r="D33" s="60" t="s">
        <v>125</v>
      </c>
      <c r="E33" s="60" t="s">
        <v>2944</v>
      </c>
      <c r="F33" s="69">
        <v>536340.58459895279</v>
      </c>
      <c r="G33" s="60">
        <v>0.99779300000000004</v>
      </c>
      <c r="H33" s="84">
        <v>2046.4412399999999</v>
      </c>
      <c r="I33" s="24">
        <v>-2.0889993391366719</v>
      </c>
      <c r="J33" s="24">
        <v>8.4296610814386958E-3</v>
      </c>
      <c r="K33" s="14"/>
      <c r="L33" s="14"/>
      <c r="M33" s="14"/>
      <c r="N33" s="14"/>
    </row>
    <row r="34" spans="1:14" x14ac:dyDescent="0.25">
      <c r="A34" s="16" t="s">
        <v>2945</v>
      </c>
      <c r="B34" s="24" t="s">
        <v>2948</v>
      </c>
      <c r="C34" s="24" t="s">
        <v>200</v>
      </c>
      <c r="D34" s="60" t="s">
        <v>126</v>
      </c>
      <c r="E34" s="60" t="s">
        <v>2944</v>
      </c>
      <c r="F34" s="69">
        <v>-484586.72262283415</v>
      </c>
      <c r="G34" s="60">
        <v>0.99839999999999995</v>
      </c>
      <c r="H34" s="84">
        <v>-1960.9366299999999</v>
      </c>
      <c r="I34" s="24">
        <v>2.0017165624354267</v>
      </c>
      <c r="J34" s="24">
        <v>-8.0774521496051136E-3</v>
      </c>
      <c r="K34" s="14"/>
      <c r="L34" s="14"/>
      <c r="M34" s="14"/>
      <c r="N34" s="14"/>
    </row>
    <row r="35" spans="1:14" x14ac:dyDescent="0.25">
      <c r="A35" s="16" t="s">
        <v>2949</v>
      </c>
      <c r="B35" s="24" t="s">
        <v>2950</v>
      </c>
      <c r="C35" s="24" t="s">
        <v>200</v>
      </c>
      <c r="D35" s="60" t="s">
        <v>422</v>
      </c>
      <c r="E35" s="60" t="s">
        <v>2921</v>
      </c>
      <c r="F35" s="69">
        <v>324815.07625180279</v>
      </c>
      <c r="G35" s="60">
        <v>1.000256</v>
      </c>
      <c r="H35" s="84">
        <v>8.3368899999999986</v>
      </c>
      <c r="I35" s="24">
        <v>-8.5102652155578766E-3</v>
      </c>
      <c r="J35" s="24">
        <v>3.4341155660660673E-5</v>
      </c>
      <c r="K35" s="14"/>
      <c r="L35" s="14"/>
      <c r="M35" s="14"/>
      <c r="N35" s="14"/>
    </row>
    <row r="36" spans="1:14" x14ac:dyDescent="0.25">
      <c r="A36" s="16" t="s">
        <v>2951</v>
      </c>
      <c r="B36" s="24" t="s">
        <v>2952</v>
      </c>
      <c r="C36" s="24" t="s">
        <v>200</v>
      </c>
      <c r="D36" s="60" t="s">
        <v>125</v>
      </c>
      <c r="E36" s="60" t="s">
        <v>2921</v>
      </c>
      <c r="F36" s="69">
        <v>-2364.0107440580891</v>
      </c>
      <c r="G36" s="60">
        <v>0.99676699999999996</v>
      </c>
      <c r="H36" s="84">
        <v>-9.0107599999999994</v>
      </c>
      <c r="I36" s="24">
        <v>9.1981491172056125E-3</v>
      </c>
      <c r="J36" s="24">
        <v>-3.7116947900338708E-5</v>
      </c>
      <c r="K36" s="14"/>
      <c r="L36" s="14"/>
      <c r="M36" s="14"/>
      <c r="N36" s="14"/>
    </row>
    <row r="37" spans="1:14" x14ac:dyDescent="0.25">
      <c r="A37" s="16" t="s">
        <v>2953</v>
      </c>
      <c r="B37" s="24" t="s">
        <v>2954</v>
      </c>
      <c r="C37" s="24" t="s">
        <v>200</v>
      </c>
      <c r="D37" s="60" t="s">
        <v>125</v>
      </c>
      <c r="E37" s="60" t="s">
        <v>1115</v>
      </c>
      <c r="F37" s="69">
        <v>10887.263981728196</v>
      </c>
      <c r="G37" s="60">
        <v>0.97838400000000003</v>
      </c>
      <c r="H37" s="84">
        <v>40.732990000000001</v>
      </c>
      <c r="I37" s="24">
        <v>-4.1580079372843692E-2</v>
      </c>
      <c r="J37" s="24">
        <v>1.6778654271726445E-4</v>
      </c>
      <c r="K37" s="14"/>
      <c r="L37" s="14"/>
      <c r="M37" s="14"/>
      <c r="N37" s="14"/>
    </row>
    <row r="38" spans="1:14" x14ac:dyDescent="0.25">
      <c r="A38" s="16" t="s">
        <v>2955</v>
      </c>
      <c r="B38" s="24" t="s">
        <v>2956</v>
      </c>
      <c r="C38" s="24" t="s">
        <v>200</v>
      </c>
      <c r="D38" s="60" t="s">
        <v>2</v>
      </c>
      <c r="E38" s="60" t="s">
        <v>1115</v>
      </c>
      <c r="F38" s="69">
        <v>-8798.4289618866806</v>
      </c>
      <c r="G38" s="60">
        <v>0.97932300000000005</v>
      </c>
      <c r="H38" s="84">
        <v>-40.307160000000003</v>
      </c>
      <c r="I38" s="24">
        <v>4.1145393748259346E-2</v>
      </c>
      <c r="J38" s="24">
        <v>-1.6603247203683338E-4</v>
      </c>
      <c r="K38" s="14"/>
      <c r="L38" s="14"/>
      <c r="M38" s="14"/>
      <c r="N38" s="14"/>
    </row>
    <row r="39" spans="1:14" x14ac:dyDescent="0.25">
      <c r="A39" s="16" t="s">
        <v>2945</v>
      </c>
      <c r="B39" s="24" t="s">
        <v>2957</v>
      </c>
      <c r="C39" s="24" t="s">
        <v>200</v>
      </c>
      <c r="D39" s="60" t="s">
        <v>126</v>
      </c>
      <c r="E39" s="60" t="s">
        <v>501</v>
      </c>
      <c r="F39" s="69">
        <v>106969.72894812912</v>
      </c>
      <c r="G39" s="60">
        <v>0.99839999999999995</v>
      </c>
      <c r="H39" s="84">
        <v>432.86546999999996</v>
      </c>
      <c r="I39" s="24">
        <v>-0.44186740527428231</v>
      </c>
      <c r="J39" s="24">
        <v>1.7830510520583868E-3</v>
      </c>
      <c r="K39" s="14"/>
      <c r="L39" s="14"/>
      <c r="M39" s="14"/>
      <c r="N39" s="14"/>
    </row>
    <row r="40" spans="1:14" x14ac:dyDescent="0.25">
      <c r="A40" s="16" t="s">
        <v>2942</v>
      </c>
      <c r="B40" s="24" t="s">
        <v>2958</v>
      </c>
      <c r="C40" s="24" t="s">
        <v>200</v>
      </c>
      <c r="D40" s="60" t="s">
        <v>125</v>
      </c>
      <c r="E40" s="60" t="s">
        <v>501</v>
      </c>
      <c r="F40" s="69">
        <v>-114050.0553072058</v>
      </c>
      <c r="G40" s="60">
        <v>0.99779300000000004</v>
      </c>
      <c r="H40" s="84">
        <v>-435.16515999999996</v>
      </c>
      <c r="I40" s="24">
        <v>0.44421491997263701</v>
      </c>
      <c r="J40" s="24">
        <v>-1.7925238905222821E-3</v>
      </c>
      <c r="K40" s="14"/>
      <c r="L40" s="14"/>
      <c r="M40" s="14"/>
      <c r="N40" s="14"/>
    </row>
    <row r="41" spans="1:14" x14ac:dyDescent="0.25">
      <c r="A41" s="16" t="s">
        <v>2959</v>
      </c>
      <c r="B41" s="24" t="s">
        <v>2960</v>
      </c>
      <c r="C41" s="24" t="s">
        <v>200</v>
      </c>
      <c r="D41" s="60" t="s">
        <v>125</v>
      </c>
      <c r="E41" s="60" t="s">
        <v>501</v>
      </c>
      <c r="F41" s="69">
        <v>114885.48889029068</v>
      </c>
      <c r="G41" s="60">
        <v>0.97537300000000005</v>
      </c>
      <c r="H41" s="84">
        <v>428.50315999999998</v>
      </c>
      <c r="I41" s="24">
        <v>-0.43741437602087002</v>
      </c>
      <c r="J41" s="24">
        <v>1.7650819092785185E-3</v>
      </c>
      <c r="K41" s="14"/>
      <c r="L41" s="14"/>
      <c r="M41" s="14"/>
      <c r="N41" s="14"/>
    </row>
    <row r="42" spans="1:14" x14ac:dyDescent="0.25">
      <c r="A42" s="16" t="s">
        <v>2961</v>
      </c>
      <c r="B42" s="24" t="s">
        <v>2962</v>
      </c>
      <c r="C42" s="24" t="s">
        <v>200</v>
      </c>
      <c r="D42" s="60" t="s">
        <v>126</v>
      </c>
      <c r="E42" s="60" t="s">
        <v>501</v>
      </c>
      <c r="F42" s="69">
        <v>-106969.72894812912</v>
      </c>
      <c r="G42" s="60">
        <v>0.98312500000000003</v>
      </c>
      <c r="H42" s="84">
        <v>-426.24291999999997</v>
      </c>
      <c r="I42" s="24">
        <v>0.43510713173063564</v>
      </c>
      <c r="J42" s="24">
        <v>-1.7557715724898057E-3</v>
      </c>
      <c r="K42" s="14"/>
      <c r="L42" s="14"/>
      <c r="M42" s="14"/>
      <c r="N42" s="14"/>
    </row>
    <row r="43" spans="1:14" x14ac:dyDescent="0.25">
      <c r="A43" s="16" t="s">
        <v>2945</v>
      </c>
      <c r="B43" s="24" t="s">
        <v>2963</v>
      </c>
      <c r="C43" s="24" t="s">
        <v>200</v>
      </c>
      <c r="D43" s="60" t="s">
        <v>126</v>
      </c>
      <c r="E43" s="60" t="s">
        <v>501</v>
      </c>
      <c r="F43" s="69">
        <v>484586.72262283415</v>
      </c>
      <c r="G43" s="60">
        <v>0.99839999999999995</v>
      </c>
      <c r="H43" s="84">
        <v>1960.9375600000001</v>
      </c>
      <c r="I43" s="24">
        <v>-2.0017175117758468</v>
      </c>
      <c r="J43" s="24">
        <v>8.0774559804430834E-3</v>
      </c>
      <c r="K43" s="14"/>
      <c r="L43" s="14"/>
      <c r="M43" s="14"/>
      <c r="N43" s="14"/>
    </row>
    <row r="44" spans="1:14" x14ac:dyDescent="0.25">
      <c r="A44" s="16" t="s">
        <v>2942</v>
      </c>
      <c r="B44" s="24" t="s">
        <v>2964</v>
      </c>
      <c r="C44" s="24" t="s">
        <v>200</v>
      </c>
      <c r="D44" s="60" t="s">
        <v>125</v>
      </c>
      <c r="E44" s="60" t="s">
        <v>501</v>
      </c>
      <c r="F44" s="69">
        <v>-516661.5177932395</v>
      </c>
      <c r="G44" s="60">
        <v>0.99779300000000004</v>
      </c>
      <c r="H44" s="84">
        <v>-1971.35466</v>
      </c>
      <c r="I44" s="24">
        <v>2.0123512473507414</v>
      </c>
      <c r="J44" s="24">
        <v>-8.1203658968066993E-3</v>
      </c>
      <c r="K44" s="14"/>
      <c r="L44" s="14"/>
      <c r="M44" s="14"/>
      <c r="N44" s="14"/>
    </row>
    <row r="45" spans="1:14" x14ac:dyDescent="0.25">
      <c r="A45" s="16" t="s">
        <v>2959</v>
      </c>
      <c r="B45" s="24" t="s">
        <v>2965</v>
      </c>
      <c r="C45" s="24" t="s">
        <v>200</v>
      </c>
      <c r="D45" s="60" t="s">
        <v>125</v>
      </c>
      <c r="E45" s="60" t="s">
        <v>501</v>
      </c>
      <c r="F45" s="69">
        <v>520446.14009692386</v>
      </c>
      <c r="G45" s="60">
        <v>0.97537499999999999</v>
      </c>
      <c r="H45" s="84">
        <v>1941.17869</v>
      </c>
      <c r="I45" s="24">
        <v>-1.981547733350111</v>
      </c>
      <c r="J45" s="24">
        <v>7.9960656262044218E-3</v>
      </c>
      <c r="K45" s="14"/>
      <c r="L45" s="14"/>
      <c r="M45" s="14"/>
      <c r="N45" s="14"/>
    </row>
    <row r="46" spans="1:14" x14ac:dyDescent="0.25">
      <c r="A46" s="16" t="s">
        <v>2961</v>
      </c>
      <c r="B46" s="24" t="s">
        <v>2966</v>
      </c>
      <c r="C46" s="24" t="s">
        <v>200</v>
      </c>
      <c r="D46" s="60" t="s">
        <v>126</v>
      </c>
      <c r="E46" s="60" t="s">
        <v>501</v>
      </c>
      <c r="F46" s="69">
        <v>-484586.72262283415</v>
      </c>
      <c r="G46" s="60">
        <v>0.98312600000000006</v>
      </c>
      <c r="H46" s="84">
        <v>-1930.93812</v>
      </c>
      <c r="I46" s="24">
        <v>1.9710941989195878</v>
      </c>
      <c r="J46" s="24">
        <v>-7.9538828687944173E-3</v>
      </c>
      <c r="K46" s="14"/>
      <c r="L46" s="14"/>
      <c r="M46" s="14"/>
      <c r="N46" s="14"/>
    </row>
    <row r="47" spans="1:14" s="119" customFormat="1" x14ac:dyDescent="0.25">
      <c r="A47" s="92" t="s">
        <v>2902</v>
      </c>
      <c r="B47" s="137" t="s">
        <v>249</v>
      </c>
      <c r="C47" s="137" t="s">
        <v>249</v>
      </c>
      <c r="D47" s="136" t="s">
        <v>249</v>
      </c>
      <c r="E47" s="136" t="s">
        <v>249</v>
      </c>
      <c r="F47" s="135" t="s">
        <v>249</v>
      </c>
      <c r="G47" s="136" t="s">
        <v>249</v>
      </c>
      <c r="H47" s="124">
        <v>-635.08526990000075</v>
      </c>
      <c r="I47" s="137">
        <v>0.6482925984801482</v>
      </c>
      <c r="J47" s="137">
        <v>-2.6160309313699266E-3</v>
      </c>
    </row>
    <row r="48" spans="1:14" x14ac:dyDescent="0.25">
      <c r="A48" s="16" t="s">
        <v>2971</v>
      </c>
      <c r="B48" s="24" t="s">
        <v>2975</v>
      </c>
      <c r="C48" s="24" t="s">
        <v>200</v>
      </c>
      <c r="D48" s="60" t="s">
        <v>255</v>
      </c>
      <c r="E48" s="60" t="s">
        <v>1719</v>
      </c>
      <c r="F48" s="69">
        <v>247744.54282520057</v>
      </c>
      <c r="G48" s="60">
        <v>0.97453299999999998</v>
      </c>
      <c r="H48" s="84">
        <v>241.43527</v>
      </c>
      <c r="I48" s="24">
        <v>-0.24645619410713399</v>
      </c>
      <c r="J48" s="24">
        <v>9.945154834768888E-4</v>
      </c>
      <c r="K48" s="14"/>
      <c r="L48" s="14"/>
      <c r="M48" s="14"/>
      <c r="N48" s="14"/>
    </row>
    <row r="49" spans="1:14" x14ac:dyDescent="0.25">
      <c r="A49" s="16" t="s">
        <v>2973</v>
      </c>
      <c r="B49" s="24" t="s">
        <v>2976</v>
      </c>
      <c r="C49" s="24" t="s">
        <v>200</v>
      </c>
      <c r="D49" s="60" t="s">
        <v>125</v>
      </c>
      <c r="E49" s="60" t="s">
        <v>1719</v>
      </c>
      <c r="F49" s="69">
        <v>-69130.938087786519</v>
      </c>
      <c r="G49" s="60">
        <v>0.96176300000000003</v>
      </c>
      <c r="H49" s="84">
        <v>-254.24857</v>
      </c>
      <c r="I49" s="24">
        <v>0.25953596141682717</v>
      </c>
      <c r="J49" s="24">
        <v>-1.0472957804253604E-3</v>
      </c>
      <c r="K49" s="14"/>
      <c r="L49" s="14"/>
      <c r="M49" s="14"/>
      <c r="N49" s="14"/>
    </row>
    <row r="50" spans="1:14" x14ac:dyDescent="0.25">
      <c r="A50" s="16" t="s">
        <v>2971</v>
      </c>
      <c r="B50" s="24" t="s">
        <v>2977</v>
      </c>
      <c r="C50" s="24" t="s">
        <v>200</v>
      </c>
      <c r="D50" s="60" t="s">
        <v>255</v>
      </c>
      <c r="E50" s="60" t="s">
        <v>1719</v>
      </c>
      <c r="F50" s="69">
        <v>184704.24968786328</v>
      </c>
      <c r="G50" s="60">
        <v>0.97453299999999998</v>
      </c>
      <c r="H50" s="84">
        <v>180.00042000000002</v>
      </c>
      <c r="I50" s="24">
        <v>-0.1837437357470002</v>
      </c>
      <c r="J50" s="24">
        <v>7.4145424039471553E-4</v>
      </c>
      <c r="K50" s="14"/>
      <c r="L50" s="14"/>
      <c r="M50" s="14"/>
      <c r="N50" s="14"/>
    </row>
    <row r="51" spans="1:14" x14ac:dyDescent="0.25">
      <c r="A51" s="16" t="s">
        <v>2973</v>
      </c>
      <c r="B51" s="24" t="s">
        <v>2978</v>
      </c>
      <c r="C51" s="24" t="s">
        <v>200</v>
      </c>
      <c r="D51" s="60" t="s">
        <v>125</v>
      </c>
      <c r="E51" s="60" t="s">
        <v>1719</v>
      </c>
      <c r="F51" s="69">
        <v>-51540.098135408458</v>
      </c>
      <c r="G51" s="60">
        <v>0.96176300000000003</v>
      </c>
      <c r="H51" s="84">
        <v>-189.55328</v>
      </c>
      <c r="I51" s="24">
        <v>0.19349525845715879</v>
      </c>
      <c r="J51" s="24">
        <v>-7.8080419610535804E-4</v>
      </c>
      <c r="K51" s="14"/>
      <c r="L51" s="14"/>
      <c r="M51" s="14"/>
      <c r="N51" s="14"/>
    </row>
    <row r="52" spans="1:14" x14ac:dyDescent="0.25">
      <c r="A52" s="16" t="s">
        <v>2971</v>
      </c>
      <c r="B52" s="24" t="s">
        <v>2979</v>
      </c>
      <c r="C52" s="24" t="s">
        <v>200</v>
      </c>
      <c r="D52" s="60" t="s">
        <v>255</v>
      </c>
      <c r="E52" s="60" t="s">
        <v>1591</v>
      </c>
      <c r="F52" s="69">
        <v>16867.770198454033</v>
      </c>
      <c r="G52" s="60">
        <v>0.97453000000000001</v>
      </c>
      <c r="H52" s="84">
        <v>16.43816</v>
      </c>
      <c r="I52" s="24">
        <v>-1.6780010442236239E-2</v>
      </c>
      <c r="J52" s="24">
        <v>6.7711749985287798E-5</v>
      </c>
      <c r="K52" s="14"/>
      <c r="L52" s="14"/>
      <c r="M52" s="14"/>
      <c r="N52" s="14"/>
    </row>
    <row r="53" spans="1:14" x14ac:dyDescent="0.25">
      <c r="A53" s="16" t="s">
        <v>2973</v>
      </c>
      <c r="B53" s="24" t="s">
        <v>2980</v>
      </c>
      <c r="C53" s="24" t="s">
        <v>200</v>
      </c>
      <c r="D53" s="60" t="s">
        <v>125</v>
      </c>
      <c r="E53" s="60" t="s">
        <v>1591</v>
      </c>
      <c r="F53" s="69">
        <v>-4727.5140690734397</v>
      </c>
      <c r="G53" s="60">
        <v>0.96175999999999995</v>
      </c>
      <c r="H53" s="84">
        <v>-17.38672</v>
      </c>
      <c r="I53" s="24">
        <v>1.7748296838346729E-2</v>
      </c>
      <c r="J53" s="24">
        <v>-7.161903994754906E-5</v>
      </c>
      <c r="K53" s="14"/>
      <c r="L53" s="14"/>
      <c r="M53" s="14"/>
      <c r="N53" s="14"/>
    </row>
    <row r="54" spans="1:14" x14ac:dyDescent="0.25">
      <c r="A54" s="16" t="s">
        <v>2981</v>
      </c>
      <c r="B54" s="24" t="s">
        <v>2985</v>
      </c>
      <c r="C54" s="24" t="s">
        <v>200</v>
      </c>
      <c r="D54" s="60" t="s">
        <v>255</v>
      </c>
      <c r="E54" s="60" t="s">
        <v>2986</v>
      </c>
      <c r="F54" s="69">
        <v>2294021.256463381</v>
      </c>
      <c r="G54" s="60">
        <v>0.97206899999999996</v>
      </c>
      <c r="H54" s="84">
        <v>2229.94812</v>
      </c>
      <c r="I54" s="24">
        <v>-2.2763224557520472</v>
      </c>
      <c r="J54" s="24">
        <v>9.1855590638856496E-3</v>
      </c>
      <c r="K54" s="14"/>
      <c r="L54" s="14"/>
      <c r="M54" s="14"/>
      <c r="N54" s="14"/>
    </row>
    <row r="55" spans="1:14" x14ac:dyDescent="0.25">
      <c r="A55" s="16" t="s">
        <v>2983</v>
      </c>
      <c r="B55" s="24" t="s">
        <v>2987</v>
      </c>
      <c r="C55" s="24" t="s">
        <v>200</v>
      </c>
      <c r="D55" s="60" t="s">
        <v>125</v>
      </c>
      <c r="E55" s="60" t="s">
        <v>2986</v>
      </c>
      <c r="F55" s="69">
        <v>-636026.74294759368</v>
      </c>
      <c r="G55" s="60">
        <v>0.95802900000000002</v>
      </c>
      <c r="H55" s="84">
        <v>-2330.0870299999997</v>
      </c>
      <c r="I55" s="24">
        <v>2.3785438695522627</v>
      </c>
      <c r="J55" s="24">
        <v>-9.5980493205639651E-3</v>
      </c>
      <c r="K55" s="14"/>
      <c r="L55" s="14"/>
      <c r="M55" s="14"/>
      <c r="N55" s="14"/>
    </row>
    <row r="56" spans="1:14" x14ac:dyDescent="0.25">
      <c r="A56" s="16" t="s">
        <v>2971</v>
      </c>
      <c r="B56" s="24" t="s">
        <v>3030</v>
      </c>
      <c r="C56" s="24" t="s">
        <v>200</v>
      </c>
      <c r="D56" s="60" t="s">
        <v>255</v>
      </c>
      <c r="E56" s="60" t="s">
        <v>3031</v>
      </c>
      <c r="F56" s="69">
        <v>53221.299591457646</v>
      </c>
      <c r="G56" s="60">
        <v>0.97453000000000001</v>
      </c>
      <c r="H56" s="84">
        <v>51.8658</v>
      </c>
      <c r="I56" s="24">
        <v>-5.2944408960305556E-2</v>
      </c>
      <c r="J56" s="24">
        <v>2.1364459783740635E-4</v>
      </c>
      <c r="K56" s="18"/>
      <c r="L56" s="18"/>
    </row>
    <row r="57" spans="1:14" x14ac:dyDescent="0.25">
      <c r="A57" s="16" t="s">
        <v>2973</v>
      </c>
      <c r="B57" s="24" t="s">
        <v>3032</v>
      </c>
      <c r="C57" s="24" t="s">
        <v>200</v>
      </c>
      <c r="D57" s="60" t="s">
        <v>125</v>
      </c>
      <c r="E57" s="60" t="s">
        <v>3031</v>
      </c>
      <c r="F57" s="69">
        <v>-14750.914519667773</v>
      </c>
      <c r="G57" s="60">
        <v>0.96176099999999998</v>
      </c>
      <c r="H57" s="84">
        <v>-54.250529999999998</v>
      </c>
      <c r="I57" s="24">
        <v>5.5378732163262209E-2</v>
      </c>
      <c r="J57" s="24">
        <v>-2.2346773142063069E-4</v>
      </c>
      <c r="K57" s="18"/>
      <c r="L57" s="18"/>
    </row>
    <row r="58" spans="1:14" x14ac:dyDescent="0.25">
      <c r="A58" s="16" t="s">
        <v>2971</v>
      </c>
      <c r="B58" s="24" t="s">
        <v>3033</v>
      </c>
      <c r="C58" s="24" t="s">
        <v>200</v>
      </c>
      <c r="D58" s="60" t="s">
        <v>255</v>
      </c>
      <c r="E58" s="60" t="s">
        <v>3031</v>
      </c>
      <c r="F58" s="69">
        <v>395652.49802671</v>
      </c>
      <c r="G58" s="60">
        <v>0.97453000000000001</v>
      </c>
      <c r="H58" s="84">
        <v>385.57557000000003</v>
      </c>
      <c r="I58" s="24">
        <v>-0.39359405741708253</v>
      </c>
      <c r="J58" s="24">
        <v>1.5882554127879783E-3</v>
      </c>
      <c r="K58" s="18"/>
      <c r="L58" s="18"/>
    </row>
    <row r="59" spans="1:14" x14ac:dyDescent="0.25">
      <c r="A59" s="16" t="s">
        <v>2973</v>
      </c>
      <c r="B59" s="24" t="s">
        <v>3034</v>
      </c>
      <c r="C59" s="24" t="s">
        <v>200</v>
      </c>
      <c r="D59" s="60" t="s">
        <v>125</v>
      </c>
      <c r="E59" s="60" t="s">
        <v>3031</v>
      </c>
      <c r="F59" s="69">
        <v>-109659.7832668265</v>
      </c>
      <c r="G59" s="60">
        <v>0.96176099999999998</v>
      </c>
      <c r="H59" s="84">
        <v>-403.30392000000001</v>
      </c>
      <c r="I59" s="24">
        <v>0.41169108884417771</v>
      </c>
      <c r="J59" s="24">
        <v>-1.6612816884083443E-3</v>
      </c>
      <c r="K59" s="18"/>
      <c r="L59" s="18"/>
    </row>
    <row r="60" spans="1:14" x14ac:dyDescent="0.25">
      <c r="A60" s="16" t="s">
        <v>2967</v>
      </c>
      <c r="B60" s="24" t="s">
        <v>3070</v>
      </c>
      <c r="C60" s="24" t="s">
        <v>200</v>
      </c>
      <c r="D60" s="60" t="s">
        <v>255</v>
      </c>
      <c r="E60" s="60" t="s">
        <v>3071</v>
      </c>
      <c r="F60" s="69">
        <v>16655.127882565608</v>
      </c>
      <c r="G60" s="60">
        <v>0.99354699999999996</v>
      </c>
      <c r="H60" s="84">
        <v>16.54766</v>
      </c>
      <c r="I60" s="24">
        <v>-1.6891787620668914E-2</v>
      </c>
      <c r="J60" s="24">
        <v>6.8162800262410594E-5</v>
      </c>
      <c r="K60" s="18"/>
      <c r="L60" s="18"/>
    </row>
    <row r="61" spans="1:14" x14ac:dyDescent="0.25">
      <c r="A61" s="16" t="s">
        <v>2969</v>
      </c>
      <c r="B61" s="24" t="s">
        <v>3072</v>
      </c>
      <c r="C61" s="24" t="s">
        <v>200</v>
      </c>
      <c r="D61" s="60" t="s">
        <v>125</v>
      </c>
      <c r="E61" s="60" t="s">
        <v>3071</v>
      </c>
      <c r="F61" s="69">
        <v>-4386.3913306730601</v>
      </c>
      <c r="G61" s="60">
        <v>0.99060800000000004</v>
      </c>
      <c r="H61" s="84">
        <v>-16.616029999999999</v>
      </c>
      <c r="I61" s="24">
        <v>1.6961579453449206E-2</v>
      </c>
      <c r="J61" s="24">
        <v>-6.8444428640920973E-5</v>
      </c>
      <c r="K61" s="18"/>
      <c r="L61" s="18"/>
    </row>
    <row r="62" spans="1:14" x14ac:dyDescent="0.25">
      <c r="A62" s="16" t="s">
        <v>2967</v>
      </c>
      <c r="B62" s="24" t="s">
        <v>2968</v>
      </c>
      <c r="C62" s="24" t="s">
        <v>200</v>
      </c>
      <c r="D62" s="60" t="s">
        <v>255</v>
      </c>
      <c r="E62" s="60" t="s">
        <v>1460</v>
      </c>
      <c r="F62" s="69">
        <v>697224.08</v>
      </c>
      <c r="G62" s="60">
        <v>0.99354699999999996</v>
      </c>
      <c r="H62" s="84">
        <v>692.72523999999999</v>
      </c>
      <c r="I62" s="24">
        <v>-0.70713125804838284</v>
      </c>
      <c r="J62" s="24">
        <v>2.853460378739377E-3</v>
      </c>
      <c r="K62" s="14"/>
      <c r="L62" s="14"/>
      <c r="M62" s="14"/>
      <c r="N62" s="14"/>
    </row>
    <row r="63" spans="1:14" x14ac:dyDescent="0.25">
      <c r="A63" s="16" t="s">
        <v>2969</v>
      </c>
      <c r="B63" s="24" t="s">
        <v>2970</v>
      </c>
      <c r="C63" s="24" t="s">
        <v>200</v>
      </c>
      <c r="D63" s="60" t="s">
        <v>125</v>
      </c>
      <c r="E63" s="60" t="s">
        <v>1460</v>
      </c>
      <c r="F63" s="69">
        <v>-193000</v>
      </c>
      <c r="G63" s="60">
        <v>0.99060800000000004</v>
      </c>
      <c r="H63" s="84">
        <v>-731.10106999999994</v>
      </c>
      <c r="I63" s="24">
        <v>0.74630515756812721</v>
      </c>
      <c r="J63" s="24">
        <v>-3.0115373536829175E-3</v>
      </c>
      <c r="K63" s="14"/>
      <c r="L63" s="14"/>
      <c r="M63" s="14"/>
      <c r="N63" s="14"/>
    </row>
    <row r="64" spans="1:14" x14ac:dyDescent="0.25">
      <c r="A64" s="16" t="s">
        <v>2971</v>
      </c>
      <c r="B64" s="24" t="s">
        <v>2972</v>
      </c>
      <c r="C64" s="24" t="s">
        <v>200</v>
      </c>
      <c r="D64" s="60" t="s">
        <v>255</v>
      </c>
      <c r="E64" s="60" t="s">
        <v>1719</v>
      </c>
      <c r="F64" s="69">
        <v>420608.11478246539</v>
      </c>
      <c r="G64" s="60">
        <v>0.97453299999999998</v>
      </c>
      <c r="H64" s="84">
        <v>409.89656000000002</v>
      </c>
      <c r="I64" s="24">
        <v>-0.41842083037497585</v>
      </c>
      <c r="J64" s="24">
        <v>1.6884379632847908E-3</v>
      </c>
      <c r="K64" s="14"/>
      <c r="L64" s="14"/>
      <c r="M64" s="14"/>
      <c r="N64" s="14"/>
    </row>
    <row r="65" spans="1:14" x14ac:dyDescent="0.25">
      <c r="A65" s="16" t="s">
        <v>2973</v>
      </c>
      <c r="B65" s="24" t="s">
        <v>2974</v>
      </c>
      <c r="C65" s="24" t="s">
        <v>200</v>
      </c>
      <c r="D65" s="60" t="s">
        <v>125</v>
      </c>
      <c r="E65" s="60" t="s">
        <v>1719</v>
      </c>
      <c r="F65" s="69">
        <v>-117817.3990987298</v>
      </c>
      <c r="G65" s="60">
        <v>0.96176300000000003</v>
      </c>
      <c r="H65" s="84">
        <v>-433.30680000000001</v>
      </c>
      <c r="I65" s="24">
        <v>0.44231791323919278</v>
      </c>
      <c r="J65" s="24">
        <v>-1.7848689700383194E-3</v>
      </c>
      <c r="K65" s="14"/>
      <c r="L65" s="14"/>
      <c r="M65" s="14"/>
      <c r="N65" s="14"/>
    </row>
    <row r="66" spans="1:14" x14ac:dyDescent="0.25">
      <c r="A66" s="16" t="s">
        <v>2981</v>
      </c>
      <c r="B66" s="24" t="s">
        <v>2982</v>
      </c>
      <c r="C66" s="24" t="s">
        <v>200</v>
      </c>
      <c r="D66" s="60" t="s">
        <v>255</v>
      </c>
      <c r="E66" s="60" t="s">
        <v>1722</v>
      </c>
      <c r="F66" s="69">
        <v>3123539.790361112</v>
      </c>
      <c r="G66" s="60">
        <v>0.97206899999999996</v>
      </c>
      <c r="H66" s="84">
        <v>3036.2977999999998</v>
      </c>
      <c r="I66" s="24">
        <v>-3.0994411047063002</v>
      </c>
      <c r="J66" s="24">
        <v>1.2507059033035287E-2</v>
      </c>
      <c r="K66" s="14"/>
      <c r="L66" s="14"/>
      <c r="M66" s="14"/>
      <c r="N66" s="14"/>
    </row>
    <row r="67" spans="1:14" x14ac:dyDescent="0.25">
      <c r="A67" s="16" t="s">
        <v>2983</v>
      </c>
      <c r="B67" s="24" t="s">
        <v>2984</v>
      </c>
      <c r="C67" s="24" t="s">
        <v>200</v>
      </c>
      <c r="D67" s="60" t="s">
        <v>125</v>
      </c>
      <c r="E67" s="60" t="s">
        <v>1722</v>
      </c>
      <c r="F67" s="69">
        <v>-867649.94176697556</v>
      </c>
      <c r="G67" s="60">
        <v>0.95802900000000002</v>
      </c>
      <c r="H67" s="84">
        <v>-3178.6397299999999</v>
      </c>
      <c r="I67" s="24">
        <v>3.2447431988438473</v>
      </c>
      <c r="J67" s="24">
        <v>-1.3093391151507388E-2</v>
      </c>
      <c r="K67" s="14"/>
      <c r="L67" s="14"/>
      <c r="M67" s="14"/>
      <c r="N67" s="14"/>
    </row>
    <row r="68" spans="1:14" x14ac:dyDescent="0.25">
      <c r="A68" s="16" t="s">
        <v>2981</v>
      </c>
      <c r="B68" s="24" t="s">
        <v>2988</v>
      </c>
      <c r="C68" s="24" t="s">
        <v>200</v>
      </c>
      <c r="D68" s="60" t="s">
        <v>255</v>
      </c>
      <c r="E68" s="60" t="s">
        <v>2986</v>
      </c>
      <c r="F68" s="69">
        <v>1054504.5891415684</v>
      </c>
      <c r="G68" s="60">
        <v>0.97206899999999996</v>
      </c>
      <c r="H68" s="84">
        <v>1025.0517600000001</v>
      </c>
      <c r="I68" s="24">
        <v>-1.0463688902305754</v>
      </c>
      <c r="J68" s="24">
        <v>4.2223733371070261E-3</v>
      </c>
      <c r="K68" s="14"/>
      <c r="L68" s="14"/>
      <c r="M68" s="14"/>
      <c r="N68" s="14"/>
    </row>
    <row r="69" spans="1:14" x14ac:dyDescent="0.25">
      <c r="A69" s="16" t="s">
        <v>2983</v>
      </c>
      <c r="B69" s="24" t="s">
        <v>2989</v>
      </c>
      <c r="C69" s="24" t="s">
        <v>200</v>
      </c>
      <c r="D69" s="60" t="s">
        <v>125</v>
      </c>
      <c r="E69" s="60" t="s">
        <v>2986</v>
      </c>
      <c r="F69" s="69">
        <v>-294324.15684424707</v>
      </c>
      <c r="G69" s="60">
        <v>0.95802900000000002</v>
      </c>
      <c r="H69" s="84">
        <v>-1078.2579599999999</v>
      </c>
      <c r="I69" s="24">
        <v>1.1006815743504348</v>
      </c>
      <c r="J69" s="24">
        <v>-4.4415392846380887E-3</v>
      </c>
      <c r="K69" s="14"/>
      <c r="L69" s="14"/>
      <c r="M69" s="14"/>
      <c r="N69" s="14"/>
    </row>
    <row r="70" spans="1:14" x14ac:dyDescent="0.25">
      <c r="A70" s="16" t="s">
        <v>2981</v>
      </c>
      <c r="B70" s="24" t="s">
        <v>2990</v>
      </c>
      <c r="C70" s="24" t="s">
        <v>200</v>
      </c>
      <c r="D70" s="60" t="s">
        <v>255</v>
      </c>
      <c r="E70" s="60" t="s">
        <v>2986</v>
      </c>
      <c r="F70" s="69">
        <v>463609.10435629549</v>
      </c>
      <c r="G70" s="60">
        <v>0.97206899999999996</v>
      </c>
      <c r="H70" s="84">
        <v>450.66028</v>
      </c>
      <c r="I70" s="24">
        <v>-0.46003227881351122</v>
      </c>
      <c r="J70" s="24">
        <v>1.8563510884222925E-3</v>
      </c>
      <c r="K70" s="14"/>
      <c r="L70" s="14"/>
      <c r="M70" s="14"/>
      <c r="N70" s="14"/>
    </row>
    <row r="71" spans="1:14" x14ac:dyDescent="0.25">
      <c r="A71" s="16" t="s">
        <v>2983</v>
      </c>
      <c r="B71" s="24" t="s">
        <v>2991</v>
      </c>
      <c r="C71" s="24" t="s">
        <v>200</v>
      </c>
      <c r="D71" s="60" t="s">
        <v>125</v>
      </c>
      <c r="E71" s="60" t="s">
        <v>2986</v>
      </c>
      <c r="F71" s="69">
        <v>-129398.54425485527</v>
      </c>
      <c r="G71" s="60">
        <v>0.95802900000000002</v>
      </c>
      <c r="H71" s="84">
        <v>-474.05219</v>
      </c>
      <c r="I71" s="24">
        <v>0.48391065048429732</v>
      </c>
      <c r="J71" s="24">
        <v>-1.952706590595185E-3</v>
      </c>
      <c r="K71" s="14"/>
      <c r="L71" s="14"/>
      <c r="M71" s="14"/>
      <c r="N71" s="14"/>
    </row>
    <row r="72" spans="1:14" x14ac:dyDescent="0.25">
      <c r="A72" s="16" t="s">
        <v>2973</v>
      </c>
      <c r="B72" s="24" t="s">
        <v>3000</v>
      </c>
      <c r="C72" s="24" t="s">
        <v>200</v>
      </c>
      <c r="D72" s="60" t="s">
        <v>125</v>
      </c>
      <c r="E72" s="60" t="s">
        <v>3001</v>
      </c>
      <c r="F72" s="69">
        <v>59535.387842443248</v>
      </c>
      <c r="G72" s="60">
        <v>0.96175999999999995</v>
      </c>
      <c r="H72" s="84">
        <v>218.95759000000001</v>
      </c>
      <c r="I72" s="24">
        <v>-0.22351106490062639</v>
      </c>
      <c r="J72" s="24">
        <v>9.0192585979581357E-4</v>
      </c>
      <c r="K72" s="14"/>
      <c r="L72" s="14"/>
      <c r="M72" s="14"/>
      <c r="N72" s="14"/>
    </row>
    <row r="73" spans="1:14" x14ac:dyDescent="0.25">
      <c r="A73" s="16" t="s">
        <v>2971</v>
      </c>
      <c r="B73" s="24" t="s">
        <v>3002</v>
      </c>
      <c r="C73" s="24" t="s">
        <v>200</v>
      </c>
      <c r="D73" s="60" t="s">
        <v>255</v>
      </c>
      <c r="E73" s="60" t="s">
        <v>3001</v>
      </c>
      <c r="F73" s="69">
        <v>-212005.51610694043</v>
      </c>
      <c r="G73" s="60">
        <v>0.97453000000000001</v>
      </c>
      <c r="H73" s="84">
        <v>-206.60588000000001</v>
      </c>
      <c r="I73" s="24">
        <v>0.21090248688584412</v>
      </c>
      <c r="J73" s="24">
        <v>-8.5104693542649369E-4</v>
      </c>
      <c r="K73" s="14"/>
      <c r="L73" s="14"/>
      <c r="M73" s="14"/>
      <c r="N73" s="14"/>
    </row>
    <row r="74" spans="1:14" x14ac:dyDescent="0.25">
      <c r="A74" s="16" t="s">
        <v>2967</v>
      </c>
      <c r="B74" s="24" t="s">
        <v>3003</v>
      </c>
      <c r="C74" s="24" t="s">
        <v>200</v>
      </c>
      <c r="D74" s="60" t="s">
        <v>255</v>
      </c>
      <c r="E74" s="60" t="s">
        <v>1490</v>
      </c>
      <c r="F74" s="69">
        <v>364200</v>
      </c>
      <c r="G74" s="60">
        <v>0.99354699999999996</v>
      </c>
      <c r="H74" s="84">
        <v>361.85002000000003</v>
      </c>
      <c r="I74" s="24">
        <v>-0.36937510731878703</v>
      </c>
      <c r="J74" s="24">
        <v>1.4905255871953667E-3</v>
      </c>
      <c r="K74" s="14"/>
      <c r="L74" s="14"/>
      <c r="M74" s="14"/>
      <c r="N74" s="14"/>
    </row>
    <row r="75" spans="1:14" x14ac:dyDescent="0.25">
      <c r="A75" s="16" t="s">
        <v>2969</v>
      </c>
      <c r="B75" s="24" t="s">
        <v>3004</v>
      </c>
      <c r="C75" s="24" t="s">
        <v>200</v>
      </c>
      <c r="D75" s="60" t="s">
        <v>125</v>
      </c>
      <c r="E75" s="60" t="s">
        <v>1490</v>
      </c>
      <c r="F75" s="69">
        <v>-100000</v>
      </c>
      <c r="G75" s="60">
        <v>0.99060800000000004</v>
      </c>
      <c r="H75" s="84">
        <v>-378.80884000000003</v>
      </c>
      <c r="I75" s="24">
        <v>0.38668660548451878</v>
      </c>
      <c r="J75" s="24">
        <v>-1.5603820297586158E-3</v>
      </c>
      <c r="K75" s="14"/>
      <c r="L75" s="14"/>
      <c r="M75" s="14"/>
      <c r="N75" s="14"/>
    </row>
    <row r="76" spans="1:14" x14ac:dyDescent="0.25">
      <c r="A76" s="16" t="s">
        <v>2973</v>
      </c>
      <c r="B76" s="24" t="s">
        <v>3005</v>
      </c>
      <c r="C76" s="24" t="s">
        <v>200</v>
      </c>
      <c r="D76" s="60" t="s">
        <v>125</v>
      </c>
      <c r="E76" s="60" t="s">
        <v>1490</v>
      </c>
      <c r="F76" s="69">
        <v>32897.934980047947</v>
      </c>
      <c r="G76" s="60">
        <v>0.96175999999999995</v>
      </c>
      <c r="H76" s="84">
        <v>120.99111000000001</v>
      </c>
      <c r="I76" s="24">
        <v>-0.12350725928070741</v>
      </c>
      <c r="J76" s="24">
        <v>4.9838423465658284E-4</v>
      </c>
      <c r="K76" s="14"/>
      <c r="L76" s="14"/>
      <c r="M76" s="14"/>
      <c r="N76" s="14"/>
    </row>
    <row r="77" spans="1:14" x14ac:dyDescent="0.25">
      <c r="A77" s="16" t="s">
        <v>2971</v>
      </c>
      <c r="B77" s="24" t="s">
        <v>3006</v>
      </c>
      <c r="C77" s="24" t="s">
        <v>200</v>
      </c>
      <c r="D77" s="60" t="s">
        <v>255</v>
      </c>
      <c r="E77" s="60" t="s">
        <v>1490</v>
      </c>
      <c r="F77" s="69">
        <v>-118432.56592817263</v>
      </c>
      <c r="G77" s="60">
        <v>0.97453000000000001</v>
      </c>
      <c r="H77" s="84">
        <v>-115.41616999999999</v>
      </c>
      <c r="I77" s="24">
        <v>0.11781638199183564</v>
      </c>
      <c r="J77" s="24">
        <v>-4.7542004988997995E-4</v>
      </c>
      <c r="K77" s="14"/>
      <c r="L77" s="14"/>
      <c r="M77" s="14"/>
      <c r="N77" s="14"/>
    </row>
    <row r="78" spans="1:14" x14ac:dyDescent="0.25">
      <c r="A78" s="16" t="s">
        <v>2983</v>
      </c>
      <c r="B78" s="24" t="s">
        <v>3009</v>
      </c>
      <c r="C78" s="24" t="s">
        <v>200</v>
      </c>
      <c r="D78" s="60" t="s">
        <v>125</v>
      </c>
      <c r="E78" s="60" t="s">
        <v>1497</v>
      </c>
      <c r="F78" s="69">
        <v>59216.282964086313</v>
      </c>
      <c r="G78" s="60">
        <v>0.95802799999999999</v>
      </c>
      <c r="H78" s="84">
        <v>216.93895999999998</v>
      </c>
      <c r="I78" s="24">
        <v>-0.22145045516821041</v>
      </c>
      <c r="J78" s="24">
        <v>8.9361075823500612E-4</v>
      </c>
      <c r="K78" s="14"/>
      <c r="L78" s="14"/>
      <c r="M78" s="14"/>
      <c r="N78" s="14"/>
    </row>
    <row r="79" spans="1:14" x14ac:dyDescent="0.25">
      <c r="A79" s="16" t="s">
        <v>2981</v>
      </c>
      <c r="B79" s="24" t="s">
        <v>3010</v>
      </c>
      <c r="C79" s="24" t="s">
        <v>200</v>
      </c>
      <c r="D79" s="60" t="s">
        <v>255</v>
      </c>
      <c r="E79" s="60" t="s">
        <v>1497</v>
      </c>
      <c r="F79" s="69">
        <v>-215547.26998927418</v>
      </c>
      <c r="G79" s="60">
        <v>0.97206899999999996</v>
      </c>
      <c r="H79" s="84">
        <v>-209.52683999999999</v>
      </c>
      <c r="I79" s="24">
        <v>0.21388419160835284</v>
      </c>
      <c r="J79" s="24">
        <v>-8.6307889722982362E-4</v>
      </c>
      <c r="K79" s="14"/>
      <c r="L79" s="14"/>
      <c r="M79" s="14"/>
      <c r="N79" s="14"/>
    </row>
    <row r="80" spans="1:14" x14ac:dyDescent="0.25">
      <c r="A80" s="16" t="s">
        <v>2971</v>
      </c>
      <c r="B80" s="24" t="s">
        <v>3040</v>
      </c>
      <c r="C80" s="24" t="s">
        <v>200</v>
      </c>
      <c r="D80" s="60" t="s">
        <v>255</v>
      </c>
      <c r="E80" s="60" t="s">
        <v>3041</v>
      </c>
      <c r="F80" s="69">
        <v>23124.798014591113</v>
      </c>
      <c r="G80" s="60">
        <v>0.97453000000000001</v>
      </c>
      <c r="H80" s="84">
        <v>22.535830000000001</v>
      </c>
      <c r="I80" s="24">
        <v>-2.3004488502634157E-2</v>
      </c>
      <c r="J80" s="24">
        <v>9.2829154033720825E-5</v>
      </c>
      <c r="K80" s="18"/>
      <c r="L80" s="18"/>
    </row>
    <row r="81" spans="1:14" x14ac:dyDescent="0.25">
      <c r="A81" s="16" t="s">
        <v>2973</v>
      </c>
      <c r="B81" s="24" t="s">
        <v>3042</v>
      </c>
      <c r="C81" s="24" t="s">
        <v>200</v>
      </c>
      <c r="D81" s="60" t="s">
        <v>125</v>
      </c>
      <c r="E81" s="60" t="s">
        <v>3041</v>
      </c>
      <c r="F81" s="69">
        <v>-6266.8829307835003</v>
      </c>
      <c r="G81" s="60">
        <v>0.96176099999999998</v>
      </c>
      <c r="H81" s="84">
        <v>-23.048179999999999</v>
      </c>
      <c r="I81" s="24">
        <v>2.3527493410122571E-2</v>
      </c>
      <c r="J81" s="24">
        <v>-9.4939616220788108E-5</v>
      </c>
      <c r="K81" s="18"/>
      <c r="L81" s="18"/>
    </row>
    <row r="82" spans="1:14" x14ac:dyDescent="0.25">
      <c r="A82" s="16" t="s">
        <v>2967</v>
      </c>
      <c r="B82" s="24" t="s">
        <v>3056</v>
      </c>
      <c r="C82" s="24" t="s">
        <v>200</v>
      </c>
      <c r="D82" s="60" t="s">
        <v>255</v>
      </c>
      <c r="E82" s="60" t="s">
        <v>2879</v>
      </c>
      <c r="F82" s="69">
        <v>19580270.5</v>
      </c>
      <c r="G82" s="60">
        <v>0.99354699999999996</v>
      </c>
      <c r="H82" s="84">
        <v>19453.93591</v>
      </c>
      <c r="I82" s="24">
        <v>-19.858502880638376</v>
      </c>
      <c r="J82" s="24">
        <v>8.0134275646893086E-2</v>
      </c>
      <c r="K82" s="18"/>
      <c r="L82" s="18"/>
    </row>
    <row r="83" spans="1:14" x14ac:dyDescent="0.25">
      <c r="A83" s="16" t="s">
        <v>2969</v>
      </c>
      <c r="B83" s="24" t="s">
        <v>3057</v>
      </c>
      <c r="C83" s="24" t="s">
        <v>200</v>
      </c>
      <c r="D83" s="60" t="s">
        <v>125</v>
      </c>
      <c r="E83" s="60" t="s">
        <v>2879</v>
      </c>
      <c r="F83" s="69">
        <v>-5180000</v>
      </c>
      <c r="G83" s="60">
        <v>0.99060899999999996</v>
      </c>
      <c r="H83" s="84">
        <v>-19622.30543</v>
      </c>
      <c r="I83" s="24">
        <v>20.030373838443527</v>
      </c>
      <c r="J83" s="24">
        <v>-8.0827820109496143E-2</v>
      </c>
      <c r="K83" s="18"/>
      <c r="L83" s="18"/>
    </row>
    <row r="84" spans="1:14" x14ac:dyDescent="0.25">
      <c r="A84" s="16" t="s">
        <v>2969</v>
      </c>
      <c r="B84" s="24" t="s">
        <v>3060</v>
      </c>
      <c r="C84" s="24" t="s">
        <v>200</v>
      </c>
      <c r="D84" s="60" t="s">
        <v>125</v>
      </c>
      <c r="E84" s="60" t="s">
        <v>1526</v>
      </c>
      <c r="F84" s="69">
        <v>76000</v>
      </c>
      <c r="G84" s="60">
        <v>0.99060899999999996</v>
      </c>
      <c r="H84" s="84">
        <v>287.89481999999998</v>
      </c>
      <c r="I84" s="24">
        <v>-0.29388192388112311</v>
      </c>
      <c r="J84" s="24">
        <v>1.1858907611252982E-3</v>
      </c>
      <c r="K84" s="18"/>
      <c r="L84" s="18"/>
    </row>
    <row r="85" spans="1:14" x14ac:dyDescent="0.25">
      <c r="A85" s="16" t="s">
        <v>2967</v>
      </c>
      <c r="B85" s="24" t="s">
        <v>3061</v>
      </c>
      <c r="C85" s="24" t="s">
        <v>200</v>
      </c>
      <c r="D85" s="60" t="s">
        <v>255</v>
      </c>
      <c r="E85" s="60" t="s">
        <v>1526</v>
      </c>
      <c r="F85" s="69">
        <v>-291589.2</v>
      </c>
      <c r="G85" s="60">
        <v>0.99354699999999996</v>
      </c>
      <c r="H85" s="84">
        <v>-289.70782000000003</v>
      </c>
      <c r="I85" s="24">
        <v>0.29573262730120015</v>
      </c>
      <c r="J85" s="24">
        <v>-1.1933588355766559E-3</v>
      </c>
      <c r="K85" s="18"/>
      <c r="L85" s="18"/>
    </row>
    <row r="86" spans="1:14" x14ac:dyDescent="0.25">
      <c r="A86" s="16" t="s">
        <v>2967</v>
      </c>
      <c r="B86" s="24" t="s">
        <v>3078</v>
      </c>
      <c r="C86" s="24" t="s">
        <v>200</v>
      </c>
      <c r="D86" s="60" t="s">
        <v>255</v>
      </c>
      <c r="E86" s="60" t="s">
        <v>1179</v>
      </c>
      <c r="F86" s="69">
        <v>54656.629175851667</v>
      </c>
      <c r="G86" s="60">
        <v>0.99354699999999996</v>
      </c>
      <c r="H86" s="84">
        <v>54.303940000000004</v>
      </c>
      <c r="I86" s="24">
        <v>-5.5433252885637455E-2</v>
      </c>
      <c r="J86" s="24">
        <v>2.2368773685717071E-4</v>
      </c>
      <c r="K86" s="18"/>
      <c r="L86" s="18"/>
    </row>
    <row r="87" spans="1:14" x14ac:dyDescent="0.25">
      <c r="A87" s="16" t="s">
        <v>2969</v>
      </c>
      <c r="B87" s="24" t="s">
        <v>3079</v>
      </c>
      <c r="C87" s="24" t="s">
        <v>200</v>
      </c>
      <c r="D87" s="60" t="s">
        <v>125</v>
      </c>
      <c r="E87" s="60" t="s">
        <v>1179</v>
      </c>
      <c r="F87" s="69">
        <v>-14255.771824687445</v>
      </c>
      <c r="G87" s="60">
        <v>0.99060800000000004</v>
      </c>
      <c r="H87" s="84">
        <v>-54.002099999999999</v>
      </c>
      <c r="I87" s="24">
        <v>5.5125135775700294E-2</v>
      </c>
      <c r="J87" s="24">
        <v>-2.224444033809447E-4</v>
      </c>
      <c r="K87" s="18"/>
      <c r="L87" s="18"/>
    </row>
    <row r="88" spans="1:14" x14ac:dyDescent="0.25">
      <c r="A88" s="16" t="s">
        <v>2973</v>
      </c>
      <c r="B88" s="24" t="s">
        <v>2992</v>
      </c>
      <c r="C88" s="24" t="s">
        <v>200</v>
      </c>
      <c r="D88" s="60" t="s">
        <v>125</v>
      </c>
      <c r="E88" s="60" t="s">
        <v>2993</v>
      </c>
      <c r="F88" s="69">
        <v>28755.872843424397</v>
      </c>
      <c r="G88" s="60">
        <v>0.96176099999999998</v>
      </c>
      <c r="H88" s="84">
        <v>105.75766</v>
      </c>
      <c r="I88" s="24">
        <v>-0.10795701216842211</v>
      </c>
      <c r="J88" s="24">
        <v>4.3563490274757462E-4</v>
      </c>
      <c r="K88" s="14"/>
      <c r="L88" s="14"/>
      <c r="M88" s="14"/>
      <c r="N88" s="14"/>
    </row>
    <row r="89" spans="1:14" x14ac:dyDescent="0.25">
      <c r="A89" s="16" t="s">
        <v>2971</v>
      </c>
      <c r="B89" s="24" t="s">
        <v>2994</v>
      </c>
      <c r="C89" s="24" t="s">
        <v>200</v>
      </c>
      <c r="D89" s="60" t="s">
        <v>255</v>
      </c>
      <c r="E89" s="60" t="s">
        <v>2993</v>
      </c>
      <c r="F89" s="69">
        <v>-104815.15650871773</v>
      </c>
      <c r="G89" s="60">
        <v>0.97453100000000004</v>
      </c>
      <c r="H89" s="84">
        <v>-102.14566000000001</v>
      </c>
      <c r="I89" s="24">
        <v>0.10426989647436893</v>
      </c>
      <c r="J89" s="24">
        <v>-4.2075642237344156E-4</v>
      </c>
      <c r="K89" s="14"/>
      <c r="L89" s="14"/>
      <c r="M89" s="14"/>
      <c r="N89" s="14"/>
    </row>
    <row r="90" spans="1:14" x14ac:dyDescent="0.25">
      <c r="A90" s="16" t="s">
        <v>2971</v>
      </c>
      <c r="B90" s="24" t="s">
        <v>3007</v>
      </c>
      <c r="C90" s="24" t="s">
        <v>200</v>
      </c>
      <c r="D90" s="60" t="s">
        <v>255</v>
      </c>
      <c r="E90" s="60" t="s">
        <v>2888</v>
      </c>
      <c r="F90" s="69">
        <v>22717.450624090186</v>
      </c>
      <c r="G90" s="60">
        <v>0.97453000000000001</v>
      </c>
      <c r="H90" s="84">
        <v>22.138840000000002</v>
      </c>
      <c r="I90" s="24">
        <v>-2.259924263901783E-2</v>
      </c>
      <c r="J90" s="24">
        <v>9.1193880522168476E-5</v>
      </c>
      <c r="K90" s="14"/>
      <c r="L90" s="14"/>
      <c r="M90" s="14"/>
      <c r="N90" s="14"/>
    </row>
    <row r="91" spans="1:14" x14ac:dyDescent="0.25">
      <c r="A91" s="16" t="s">
        <v>2973</v>
      </c>
      <c r="B91" s="24" t="s">
        <v>3008</v>
      </c>
      <c r="C91" s="24" t="s">
        <v>200</v>
      </c>
      <c r="D91" s="60" t="s">
        <v>125</v>
      </c>
      <c r="E91" s="60" t="s">
        <v>2888</v>
      </c>
      <c r="F91" s="69">
        <v>-6266.8829307835003</v>
      </c>
      <c r="G91" s="60">
        <v>0.96175999999999995</v>
      </c>
      <c r="H91" s="84">
        <v>-23.048159999999999</v>
      </c>
      <c r="I91" s="24">
        <v>2.3527472994199567E-2</v>
      </c>
      <c r="J91" s="24">
        <v>-9.4939533837175847E-5</v>
      </c>
      <c r="K91" s="14"/>
      <c r="L91" s="14"/>
      <c r="M91" s="14"/>
      <c r="N91" s="14"/>
    </row>
    <row r="92" spans="1:14" x14ac:dyDescent="0.25">
      <c r="A92" s="16" t="s">
        <v>2971</v>
      </c>
      <c r="B92" s="24" t="s">
        <v>3011</v>
      </c>
      <c r="C92" s="24" t="s">
        <v>200</v>
      </c>
      <c r="D92" s="60" t="s">
        <v>255</v>
      </c>
      <c r="E92" s="60" t="s">
        <v>2808</v>
      </c>
      <c r="F92" s="69">
        <v>31985.565583267955</v>
      </c>
      <c r="G92" s="60">
        <v>0.97453000000000001</v>
      </c>
      <c r="H92" s="84">
        <v>31.170900000000003</v>
      </c>
      <c r="I92" s="24">
        <v>-3.1819134714219939E-2</v>
      </c>
      <c r="J92" s="24">
        <v>1.2839856696956396E-4</v>
      </c>
      <c r="K92" s="14"/>
      <c r="L92" s="14"/>
      <c r="M92" s="14"/>
      <c r="N92" s="14"/>
    </row>
    <row r="93" spans="1:14" x14ac:dyDescent="0.25">
      <c r="A93" s="16" t="s">
        <v>2973</v>
      </c>
      <c r="B93" s="24" t="s">
        <v>3012</v>
      </c>
      <c r="C93" s="24" t="s">
        <v>200</v>
      </c>
      <c r="D93" s="60" t="s">
        <v>125</v>
      </c>
      <c r="E93" s="60" t="s">
        <v>2808</v>
      </c>
      <c r="F93" s="69">
        <v>-8772.7826613461202</v>
      </c>
      <c r="G93" s="60">
        <v>0.96175999999999995</v>
      </c>
      <c r="H93" s="84">
        <v>-32.264279999999999</v>
      </c>
      <c r="I93" s="24">
        <v>3.2935252808783573E-2</v>
      </c>
      <c r="J93" s="24">
        <v>-1.3290239666819895E-4</v>
      </c>
      <c r="K93" s="14"/>
      <c r="L93" s="14"/>
      <c r="M93" s="14"/>
      <c r="N93" s="14"/>
    </row>
    <row r="94" spans="1:14" x14ac:dyDescent="0.25">
      <c r="A94" s="16" t="s">
        <v>2971</v>
      </c>
      <c r="B94" s="24" t="s">
        <v>3013</v>
      </c>
      <c r="C94" s="24" t="s">
        <v>200</v>
      </c>
      <c r="D94" s="60" t="s">
        <v>255</v>
      </c>
      <c r="E94" s="60" t="s">
        <v>535</v>
      </c>
      <c r="F94" s="69">
        <v>398323.07908059924</v>
      </c>
      <c r="G94" s="60">
        <v>0.97453000000000001</v>
      </c>
      <c r="H94" s="84">
        <v>388.17786000000001</v>
      </c>
      <c r="I94" s="24">
        <v>-0.39625046503044842</v>
      </c>
      <c r="J94" s="24">
        <v>1.5989747153053655E-3</v>
      </c>
      <c r="K94" s="14"/>
      <c r="L94" s="14"/>
      <c r="M94" s="14"/>
      <c r="N94" s="14"/>
    </row>
    <row r="95" spans="1:14" x14ac:dyDescent="0.25">
      <c r="A95" s="16" t="s">
        <v>2973</v>
      </c>
      <c r="B95" s="24" t="s">
        <v>3014</v>
      </c>
      <c r="C95" s="24" t="s">
        <v>200</v>
      </c>
      <c r="D95" s="60" t="s">
        <v>125</v>
      </c>
      <c r="E95" s="60" t="s">
        <v>535</v>
      </c>
      <c r="F95" s="69">
        <v>-109670.45128871125</v>
      </c>
      <c r="G95" s="60">
        <v>0.96175999999999995</v>
      </c>
      <c r="H95" s="84">
        <v>-403.34272999999996</v>
      </c>
      <c r="I95" s="24">
        <v>0.4117307059427619</v>
      </c>
      <c r="J95" s="24">
        <v>-1.6614415538079345E-3</v>
      </c>
      <c r="K95" s="14"/>
      <c r="L95" s="14"/>
      <c r="M95" s="14"/>
      <c r="N95" s="14"/>
    </row>
    <row r="96" spans="1:14" x14ac:dyDescent="0.25">
      <c r="A96" s="16" t="s">
        <v>2971</v>
      </c>
      <c r="B96" s="24" t="s">
        <v>3015</v>
      </c>
      <c r="C96" s="24" t="s">
        <v>200</v>
      </c>
      <c r="D96" s="60" t="s">
        <v>255</v>
      </c>
      <c r="E96" s="60" t="s">
        <v>535</v>
      </c>
      <c r="F96" s="69">
        <v>27933.636591558716</v>
      </c>
      <c r="G96" s="60">
        <v>0.97453000000000001</v>
      </c>
      <c r="H96" s="84">
        <v>27.222169999999998</v>
      </c>
      <c r="I96" s="24">
        <v>-2.7788286332553647E-2</v>
      </c>
      <c r="J96" s="24">
        <v>1.1213303490761749E-4</v>
      </c>
      <c r="K96" s="14"/>
      <c r="L96" s="14"/>
      <c r="M96" s="14"/>
      <c r="N96" s="14"/>
    </row>
    <row r="97" spans="1:14" x14ac:dyDescent="0.25">
      <c r="A97" s="16" t="s">
        <v>2973</v>
      </c>
      <c r="B97" s="24" t="s">
        <v>3016</v>
      </c>
      <c r="C97" s="24" t="s">
        <v>200</v>
      </c>
      <c r="D97" s="60" t="s">
        <v>125</v>
      </c>
      <c r="E97" s="60" t="s">
        <v>535</v>
      </c>
      <c r="F97" s="69">
        <v>-7676.184828677855</v>
      </c>
      <c r="G97" s="60">
        <v>0.96175999999999995</v>
      </c>
      <c r="H97" s="84">
        <v>-28.231240000000003</v>
      </c>
      <c r="I97" s="24">
        <v>2.8818341103704879E-2</v>
      </c>
      <c r="J97" s="24">
        <v>-1.1628957648877102E-4</v>
      </c>
      <c r="K97" s="14"/>
      <c r="L97" s="14"/>
      <c r="M97" s="14"/>
      <c r="N97" s="14"/>
    </row>
    <row r="98" spans="1:14" x14ac:dyDescent="0.25">
      <c r="A98" s="16" t="s">
        <v>2973</v>
      </c>
      <c r="B98" s="24" t="s">
        <v>3020</v>
      </c>
      <c r="C98" s="24" t="s">
        <v>200</v>
      </c>
      <c r="D98" s="60" t="s">
        <v>125</v>
      </c>
      <c r="E98" s="60" t="s">
        <v>3021</v>
      </c>
      <c r="F98" s="69">
        <v>38984.810672613326</v>
      </c>
      <c r="G98" s="60">
        <v>0.96175999999999995</v>
      </c>
      <c r="H98" s="84">
        <v>143.37717999999998</v>
      </c>
      <c r="I98" s="24">
        <v>-0.14635887335190706</v>
      </c>
      <c r="J98" s="24">
        <v>5.9059650020170165E-4</v>
      </c>
      <c r="K98" s="14"/>
      <c r="L98" s="14"/>
      <c r="M98" s="14"/>
      <c r="N98" s="14"/>
    </row>
    <row r="99" spans="1:14" x14ac:dyDescent="0.25">
      <c r="A99" s="16" t="s">
        <v>2971</v>
      </c>
      <c r="B99" s="24" t="s">
        <v>3022</v>
      </c>
      <c r="C99" s="24" t="s">
        <v>200</v>
      </c>
      <c r="D99" s="60" t="s">
        <v>255</v>
      </c>
      <c r="E99" s="60" t="s">
        <v>3021</v>
      </c>
      <c r="F99" s="69">
        <v>-138240.13864340071</v>
      </c>
      <c r="G99" s="60">
        <v>0.97453000000000001</v>
      </c>
      <c r="H99" s="84">
        <v>-134.71917999999999</v>
      </c>
      <c r="I99" s="24">
        <v>0.13752082028460016</v>
      </c>
      <c r="J99" s="24">
        <v>-5.5493263445440259E-4</v>
      </c>
      <c r="K99" s="14"/>
      <c r="L99" s="14"/>
      <c r="M99" s="14"/>
      <c r="N99" s="14"/>
    </row>
    <row r="100" spans="1:14" x14ac:dyDescent="0.25">
      <c r="A100" s="16" t="s">
        <v>2971</v>
      </c>
      <c r="B100" s="24" t="s">
        <v>3028</v>
      </c>
      <c r="C100" s="24" t="s">
        <v>200</v>
      </c>
      <c r="D100" s="60" t="s">
        <v>255</v>
      </c>
      <c r="E100" s="60" t="s">
        <v>2926</v>
      </c>
      <c r="F100" s="69">
        <v>31915.383321977184</v>
      </c>
      <c r="G100" s="60">
        <v>0.97453000000000001</v>
      </c>
      <c r="H100" s="84">
        <v>31.102499999999999</v>
      </c>
      <c r="I100" s="24">
        <v>-3.1749312257555139E-2</v>
      </c>
      <c r="J100" s="24">
        <v>1.2811681501563517E-4</v>
      </c>
      <c r="K100" s="14"/>
      <c r="L100" s="14"/>
      <c r="M100" s="14"/>
      <c r="N100" s="14"/>
    </row>
    <row r="101" spans="1:14" x14ac:dyDescent="0.25">
      <c r="A101" s="16" t="s">
        <v>2973</v>
      </c>
      <c r="B101" s="24" t="s">
        <v>3029</v>
      </c>
      <c r="C101" s="24" t="s">
        <v>200</v>
      </c>
      <c r="D101" s="60" t="s">
        <v>125</v>
      </c>
      <c r="E101" s="60" t="s">
        <v>2926</v>
      </c>
      <c r="F101" s="69">
        <v>-8772.7826613461202</v>
      </c>
      <c r="G101" s="60">
        <v>0.96175999999999995</v>
      </c>
      <c r="H101" s="84">
        <v>-32.264279999999999</v>
      </c>
      <c r="I101" s="24">
        <v>3.2935252808783573E-2</v>
      </c>
      <c r="J101" s="24">
        <v>-1.3290239666819895E-4</v>
      </c>
      <c r="K101" s="14"/>
      <c r="L101" s="14"/>
      <c r="M101" s="14"/>
      <c r="N101" s="14"/>
    </row>
    <row r="102" spans="1:14" x14ac:dyDescent="0.25">
      <c r="A102" s="16" t="s">
        <v>2971</v>
      </c>
      <c r="B102" s="24" t="s">
        <v>3038</v>
      </c>
      <c r="C102" s="24" t="s">
        <v>200</v>
      </c>
      <c r="D102" s="60" t="s">
        <v>255</v>
      </c>
      <c r="E102" s="60" t="s">
        <v>1510</v>
      </c>
      <c r="F102" s="69">
        <v>28225.331615048472</v>
      </c>
      <c r="G102" s="60">
        <v>0.97453100000000004</v>
      </c>
      <c r="H102" s="84">
        <v>27.50647</v>
      </c>
      <c r="I102" s="24">
        <v>-2.8078498678018576E-2</v>
      </c>
      <c r="J102" s="24">
        <v>1.1330411795589161E-4</v>
      </c>
      <c r="K102" s="18"/>
      <c r="L102" s="18"/>
    </row>
    <row r="103" spans="1:14" x14ac:dyDescent="0.25">
      <c r="A103" s="16" t="s">
        <v>2973</v>
      </c>
      <c r="B103" s="24" t="s">
        <v>3039</v>
      </c>
      <c r="C103" s="24" t="s">
        <v>200</v>
      </c>
      <c r="D103" s="60" t="s">
        <v>125</v>
      </c>
      <c r="E103" s="60" t="s">
        <v>1510</v>
      </c>
      <c r="F103" s="69">
        <v>-7676.184828677855</v>
      </c>
      <c r="G103" s="60">
        <v>0.96176099999999998</v>
      </c>
      <c r="H103" s="84">
        <v>-28.231290000000001</v>
      </c>
      <c r="I103" s="24">
        <v>2.8818392143512381E-2</v>
      </c>
      <c r="J103" s="24">
        <v>-1.1628978244780167E-4</v>
      </c>
      <c r="K103" s="18"/>
      <c r="L103" s="18"/>
    </row>
    <row r="104" spans="1:14" x14ac:dyDescent="0.25">
      <c r="A104" s="16" t="s">
        <v>2967</v>
      </c>
      <c r="B104" s="24" t="s">
        <v>3043</v>
      </c>
      <c r="C104" s="24" t="s">
        <v>200</v>
      </c>
      <c r="D104" s="60" t="s">
        <v>255</v>
      </c>
      <c r="E104" s="60" t="s">
        <v>3041</v>
      </c>
      <c r="F104" s="69">
        <v>13097.764513389757</v>
      </c>
      <c r="G104" s="60">
        <v>0.99354699999999996</v>
      </c>
      <c r="H104" s="84">
        <v>13.013260000000001</v>
      </c>
      <c r="I104" s="24">
        <v>-1.3283885707861169E-2</v>
      </c>
      <c r="J104" s="24">
        <v>5.3603968303845825E-5</v>
      </c>
      <c r="K104" s="18"/>
      <c r="L104" s="18"/>
    </row>
    <row r="105" spans="1:14" x14ac:dyDescent="0.25">
      <c r="A105" s="16" t="s">
        <v>2969</v>
      </c>
      <c r="B105" s="24" t="s">
        <v>3044</v>
      </c>
      <c r="C105" s="24" t="s">
        <v>200</v>
      </c>
      <c r="D105" s="60" t="s">
        <v>125</v>
      </c>
      <c r="E105" s="60" t="s">
        <v>3041</v>
      </c>
      <c r="F105" s="69">
        <v>-3509.1130645384478</v>
      </c>
      <c r="G105" s="60">
        <v>0.99060899999999996</v>
      </c>
      <c r="H105" s="84">
        <v>-13.29284</v>
      </c>
      <c r="I105" s="24">
        <v>1.3569279895497766E-2</v>
      </c>
      <c r="J105" s="24">
        <v>-5.475560881962659E-5</v>
      </c>
      <c r="K105" s="18"/>
      <c r="L105" s="18"/>
    </row>
    <row r="106" spans="1:14" x14ac:dyDescent="0.25">
      <c r="A106" s="16" t="s">
        <v>2967</v>
      </c>
      <c r="B106" s="24" t="s">
        <v>3045</v>
      </c>
      <c r="C106" s="24" t="s">
        <v>200</v>
      </c>
      <c r="D106" s="60" t="s">
        <v>255</v>
      </c>
      <c r="E106" s="60" t="s">
        <v>1516</v>
      </c>
      <c r="F106" s="69">
        <v>17606.807594036243</v>
      </c>
      <c r="G106" s="60">
        <v>0.99354699999999996</v>
      </c>
      <c r="H106" s="84">
        <v>17.493209999999998</v>
      </c>
      <c r="I106" s="24">
        <v>-1.7857001420367693E-2</v>
      </c>
      <c r="J106" s="24">
        <v>7.2057691491026743E-5</v>
      </c>
      <c r="K106" s="18"/>
      <c r="L106" s="18"/>
    </row>
    <row r="107" spans="1:14" x14ac:dyDescent="0.25">
      <c r="A107" s="16" t="s">
        <v>2969</v>
      </c>
      <c r="B107" s="24" t="s">
        <v>3046</v>
      </c>
      <c r="C107" s="24" t="s">
        <v>200</v>
      </c>
      <c r="D107" s="60" t="s">
        <v>125</v>
      </c>
      <c r="E107" s="60" t="s">
        <v>1516</v>
      </c>
      <c r="F107" s="69">
        <v>-4700.1621980876253</v>
      </c>
      <c r="G107" s="60">
        <v>0.99060899999999996</v>
      </c>
      <c r="H107" s="84">
        <v>-17.804639999999999</v>
      </c>
      <c r="I107" s="24">
        <v>1.817490796538402E-2</v>
      </c>
      <c r="J107" s="24">
        <v>-7.3340527909331361E-5</v>
      </c>
      <c r="K107" s="18"/>
      <c r="L107" s="18"/>
    </row>
    <row r="108" spans="1:14" x14ac:dyDescent="0.25">
      <c r="A108" s="16" t="s">
        <v>2967</v>
      </c>
      <c r="B108" s="24" t="s">
        <v>3049</v>
      </c>
      <c r="C108" s="24" t="s">
        <v>200</v>
      </c>
      <c r="D108" s="60" t="s">
        <v>255</v>
      </c>
      <c r="E108" s="60" t="s">
        <v>3050</v>
      </c>
      <c r="F108" s="69">
        <v>11788.006792803764</v>
      </c>
      <c r="G108" s="60">
        <v>0.99354699999999996</v>
      </c>
      <c r="H108" s="84">
        <v>11.71195</v>
      </c>
      <c r="I108" s="24">
        <v>-1.1955513469813453E-2</v>
      </c>
      <c r="J108" s="24">
        <v>4.8243637380351046E-5</v>
      </c>
      <c r="K108" s="18"/>
      <c r="L108" s="18"/>
    </row>
    <row r="109" spans="1:14" x14ac:dyDescent="0.25">
      <c r="A109" s="16" t="s">
        <v>2969</v>
      </c>
      <c r="B109" s="24" t="s">
        <v>3051</v>
      </c>
      <c r="C109" s="24" t="s">
        <v>200</v>
      </c>
      <c r="D109" s="60" t="s">
        <v>125</v>
      </c>
      <c r="E109" s="60" t="s">
        <v>3050</v>
      </c>
      <c r="F109" s="69">
        <v>-3133.4414653917502</v>
      </c>
      <c r="G109" s="60">
        <v>0.99060899999999996</v>
      </c>
      <c r="H109" s="84">
        <v>-11.869759999999999</v>
      </c>
      <c r="I109" s="24">
        <v>1.2116605310256014E-2</v>
      </c>
      <c r="J109" s="24">
        <v>-4.8893685272887569E-5</v>
      </c>
      <c r="K109" s="18"/>
      <c r="L109" s="18"/>
    </row>
    <row r="110" spans="1:14" x14ac:dyDescent="0.25">
      <c r="A110" s="16" t="s">
        <v>2967</v>
      </c>
      <c r="B110" s="24" t="s">
        <v>3052</v>
      </c>
      <c r="C110" s="24" t="s">
        <v>200</v>
      </c>
      <c r="D110" s="60" t="s">
        <v>255</v>
      </c>
      <c r="E110" s="60" t="s">
        <v>3050</v>
      </c>
      <c r="F110" s="69">
        <v>41166.282638366669</v>
      </c>
      <c r="G110" s="60">
        <v>0.99354699999999996</v>
      </c>
      <c r="H110" s="84">
        <v>40.900640000000003</v>
      </c>
      <c r="I110" s="24">
        <v>-4.1751215847402941E-2</v>
      </c>
      <c r="J110" s="24">
        <v>1.6847712334703286E-4</v>
      </c>
      <c r="K110" s="18"/>
      <c r="L110" s="18"/>
    </row>
    <row r="111" spans="1:14" x14ac:dyDescent="0.25">
      <c r="A111" s="16" t="s">
        <v>2969</v>
      </c>
      <c r="B111" s="24" t="s">
        <v>3053</v>
      </c>
      <c r="C111" s="24" t="s">
        <v>200</v>
      </c>
      <c r="D111" s="60" t="s">
        <v>125</v>
      </c>
      <c r="E111" s="60" t="s">
        <v>3050</v>
      </c>
      <c r="F111" s="69">
        <v>-10965.978326682651</v>
      </c>
      <c r="G111" s="60">
        <v>0.99060800000000004</v>
      </c>
      <c r="H111" s="84">
        <v>-41.540080000000003</v>
      </c>
      <c r="I111" s="24">
        <v>4.2403953737603764E-2</v>
      </c>
      <c r="J111" s="24">
        <v>-1.711110921982055E-4</v>
      </c>
      <c r="K111" s="18"/>
      <c r="L111" s="18"/>
    </row>
    <row r="112" spans="1:14" x14ac:dyDescent="0.25">
      <c r="A112" s="16" t="s">
        <v>2973</v>
      </c>
      <c r="B112" s="24" t="s">
        <v>3054</v>
      </c>
      <c r="C112" s="24" t="s">
        <v>200</v>
      </c>
      <c r="D112" s="60" t="s">
        <v>125</v>
      </c>
      <c r="E112" s="60" t="s">
        <v>1520</v>
      </c>
      <c r="F112" s="69">
        <v>5620.4014705517502</v>
      </c>
      <c r="G112" s="60">
        <v>0.96176099999999998</v>
      </c>
      <c r="H112" s="84">
        <v>20.670580000000001</v>
      </c>
      <c r="I112" s="24">
        <v>-2.1100448483715912E-2</v>
      </c>
      <c r="J112" s="24">
        <v>8.514585239533441E-5</v>
      </c>
      <c r="K112" s="18"/>
      <c r="L112" s="18"/>
    </row>
    <row r="113" spans="1:14" x14ac:dyDescent="0.25">
      <c r="A113" s="16" t="s">
        <v>2971</v>
      </c>
      <c r="B113" s="24" t="s">
        <v>3055</v>
      </c>
      <c r="C113" s="24" t="s">
        <v>200</v>
      </c>
      <c r="D113" s="60" t="s">
        <v>255</v>
      </c>
      <c r="E113" s="60" t="s">
        <v>1520</v>
      </c>
      <c r="F113" s="69">
        <v>-20846.069054276442</v>
      </c>
      <c r="G113" s="60">
        <v>0.97453100000000004</v>
      </c>
      <c r="H113" s="84">
        <v>-20.315150000000003</v>
      </c>
      <c r="I113" s="24">
        <v>2.0737626908096499E-2</v>
      </c>
      <c r="J113" s="24">
        <v>-8.3681772030058074E-5</v>
      </c>
      <c r="K113" s="18"/>
      <c r="L113" s="18"/>
    </row>
    <row r="114" spans="1:14" x14ac:dyDescent="0.25">
      <c r="A114" s="16" t="s">
        <v>2967</v>
      </c>
      <c r="B114" s="24" t="s">
        <v>3058</v>
      </c>
      <c r="C114" s="24" t="s">
        <v>200</v>
      </c>
      <c r="D114" s="60" t="s">
        <v>255</v>
      </c>
      <c r="E114" s="60" t="s">
        <v>1523</v>
      </c>
      <c r="F114" s="69">
        <v>11878.876595300124</v>
      </c>
      <c r="G114" s="60">
        <v>0.99354699999999996</v>
      </c>
      <c r="H114" s="84">
        <v>11.80222</v>
      </c>
      <c r="I114" s="24">
        <v>-1.2047660738280281E-2</v>
      </c>
      <c r="J114" s="24">
        <v>4.8615475814285983E-5</v>
      </c>
      <c r="K114" s="18"/>
      <c r="L114" s="18"/>
    </row>
    <row r="115" spans="1:14" x14ac:dyDescent="0.25">
      <c r="A115" s="16" t="s">
        <v>2969</v>
      </c>
      <c r="B115" s="24" t="s">
        <v>3059</v>
      </c>
      <c r="C115" s="24" t="s">
        <v>200</v>
      </c>
      <c r="D115" s="60" t="s">
        <v>125</v>
      </c>
      <c r="E115" s="60" t="s">
        <v>1523</v>
      </c>
      <c r="F115" s="69">
        <v>-3133.4414653917502</v>
      </c>
      <c r="G115" s="60">
        <v>0.99060800000000004</v>
      </c>
      <c r="H115" s="84">
        <v>-11.86975</v>
      </c>
      <c r="I115" s="24">
        <v>1.2116595102294514E-2</v>
      </c>
      <c r="J115" s="24">
        <v>-4.8893644081081445E-5</v>
      </c>
      <c r="K115" s="18"/>
      <c r="L115" s="18"/>
    </row>
    <row r="116" spans="1:14" x14ac:dyDescent="0.25">
      <c r="A116" s="16" t="s">
        <v>2967</v>
      </c>
      <c r="B116" s="24" t="s">
        <v>3062</v>
      </c>
      <c r="C116" s="24" t="s">
        <v>200</v>
      </c>
      <c r="D116" s="60" t="s">
        <v>255</v>
      </c>
      <c r="E116" s="60" t="s">
        <v>1532</v>
      </c>
      <c r="F116" s="69">
        <v>20400.424914977335</v>
      </c>
      <c r="G116" s="60">
        <v>0.99354699999999996</v>
      </c>
      <c r="H116" s="84">
        <v>20.268799999999999</v>
      </c>
      <c r="I116" s="24">
        <v>-2.0690313006540749E-2</v>
      </c>
      <c r="J116" s="24">
        <v>8.3490848008645809E-5</v>
      </c>
      <c r="K116" s="18"/>
      <c r="L116" s="18"/>
    </row>
    <row r="117" spans="1:14" x14ac:dyDescent="0.25">
      <c r="A117" s="16" t="s">
        <v>2969</v>
      </c>
      <c r="B117" s="24" t="s">
        <v>3063</v>
      </c>
      <c r="C117" s="24" t="s">
        <v>200</v>
      </c>
      <c r="D117" s="60" t="s">
        <v>125</v>
      </c>
      <c r="E117" s="60" t="s">
        <v>1532</v>
      </c>
      <c r="F117" s="69">
        <v>-5369.9460170036527</v>
      </c>
      <c r="G117" s="60">
        <v>0.99060899999999996</v>
      </c>
      <c r="H117" s="84">
        <v>-20.341840000000001</v>
      </c>
      <c r="I117" s="24">
        <v>2.076487195734187E-2</v>
      </c>
      <c r="J117" s="24">
        <v>-8.3791712960618872E-5</v>
      </c>
      <c r="K117" s="18"/>
      <c r="L117" s="18"/>
    </row>
    <row r="118" spans="1:14" x14ac:dyDescent="0.25">
      <c r="A118" s="16" t="s">
        <v>2969</v>
      </c>
      <c r="B118" s="24" t="s">
        <v>3064</v>
      </c>
      <c r="C118" s="24" t="s">
        <v>200</v>
      </c>
      <c r="D118" s="60" t="s">
        <v>125</v>
      </c>
      <c r="E118" s="60" t="s">
        <v>1532</v>
      </c>
      <c r="F118" s="69">
        <v>284.30744332066661</v>
      </c>
      <c r="G118" s="60">
        <v>0.99060899999999996</v>
      </c>
      <c r="H118" s="84">
        <v>1.07698</v>
      </c>
      <c r="I118" s="24">
        <v>-1.0993770377024912E-3</v>
      </c>
      <c r="J118" s="24">
        <v>4.4362751365819072E-6</v>
      </c>
      <c r="K118" s="18"/>
      <c r="L118" s="18"/>
    </row>
    <row r="119" spans="1:14" x14ac:dyDescent="0.25">
      <c r="A119" s="16" t="s">
        <v>2967</v>
      </c>
      <c r="B119" s="24" t="s">
        <v>3065</v>
      </c>
      <c r="C119" s="24" t="s">
        <v>200</v>
      </c>
      <c r="D119" s="60" t="s">
        <v>255</v>
      </c>
      <c r="E119" s="60" t="s">
        <v>1532</v>
      </c>
      <c r="F119" s="69">
        <v>-1080.0839771752123</v>
      </c>
      <c r="G119" s="60">
        <v>0.99354699999999996</v>
      </c>
      <c r="H119" s="84">
        <v>-1.0731199999999999</v>
      </c>
      <c r="I119" s="24">
        <v>1.0954367645632207E-3</v>
      </c>
      <c r="J119" s="24">
        <v>-4.4203750994157513E-6</v>
      </c>
      <c r="K119" s="18"/>
      <c r="L119" s="18"/>
    </row>
    <row r="120" spans="1:14" x14ac:dyDescent="0.25">
      <c r="A120" s="16" t="s">
        <v>2969</v>
      </c>
      <c r="B120" s="24" t="s">
        <v>3066</v>
      </c>
      <c r="C120" s="24" t="s">
        <v>200</v>
      </c>
      <c r="D120" s="60" t="s">
        <v>125</v>
      </c>
      <c r="E120" s="60" t="s">
        <v>1121</v>
      </c>
      <c r="F120" s="69">
        <v>5620.4014705517502</v>
      </c>
      <c r="G120" s="60">
        <v>0.99060800000000004</v>
      </c>
      <c r="H120" s="84">
        <v>21.290569999999999</v>
      </c>
      <c r="I120" s="24">
        <v>-2.173333188879787E-2</v>
      </c>
      <c r="J120" s="24">
        <v>8.7699703183584333E-5</v>
      </c>
      <c r="K120" s="18"/>
      <c r="L120" s="18"/>
    </row>
    <row r="121" spans="1:14" x14ac:dyDescent="0.25">
      <c r="A121" s="16" t="s">
        <v>2967</v>
      </c>
      <c r="B121" s="24" t="s">
        <v>3067</v>
      </c>
      <c r="C121" s="24" t="s">
        <v>200</v>
      </c>
      <c r="D121" s="60" t="s">
        <v>255</v>
      </c>
      <c r="E121" s="60" t="s">
        <v>1121</v>
      </c>
      <c r="F121" s="69">
        <v>-21363.145989567201</v>
      </c>
      <c r="G121" s="60">
        <v>0.99354699999999996</v>
      </c>
      <c r="H121" s="84">
        <v>-21.225290000000001</v>
      </c>
      <c r="I121" s="24">
        <v>2.1666694316121296E-2</v>
      </c>
      <c r="J121" s="24">
        <v>-8.7430803073168113E-5</v>
      </c>
      <c r="K121" s="18"/>
      <c r="L121" s="18"/>
    </row>
    <row r="122" spans="1:14" x14ac:dyDescent="0.25">
      <c r="A122" s="16" t="s">
        <v>2973</v>
      </c>
      <c r="B122" s="24" t="s">
        <v>3068</v>
      </c>
      <c r="C122" s="24" t="s">
        <v>200</v>
      </c>
      <c r="D122" s="60" t="s">
        <v>125</v>
      </c>
      <c r="E122" s="60" t="s">
        <v>1731</v>
      </c>
      <c r="F122" s="69">
        <v>26263.967050407999</v>
      </c>
      <c r="G122" s="60">
        <v>0.96176099999999998</v>
      </c>
      <c r="H122" s="84">
        <v>96.59299</v>
      </c>
      <c r="I122" s="24">
        <v>-9.8601752315759225E-2</v>
      </c>
      <c r="J122" s="24">
        <v>3.9788397175909005E-4</v>
      </c>
      <c r="K122" s="18"/>
      <c r="L122" s="18"/>
    </row>
    <row r="123" spans="1:14" x14ac:dyDescent="0.25">
      <c r="A123" s="16" t="s">
        <v>2971</v>
      </c>
      <c r="B123" s="24" t="s">
        <v>3069</v>
      </c>
      <c r="C123" s="24" t="s">
        <v>200</v>
      </c>
      <c r="D123" s="60" t="s">
        <v>255</v>
      </c>
      <c r="E123" s="60" t="s">
        <v>1731</v>
      </c>
      <c r="F123" s="69">
        <v>-98374.314984008204</v>
      </c>
      <c r="G123" s="60">
        <v>0.97453100000000004</v>
      </c>
      <c r="H123" s="84">
        <v>-95.868859999999998</v>
      </c>
      <c r="I123" s="24">
        <v>9.7862563199608954E-2</v>
      </c>
      <c r="J123" s="24">
        <v>-3.9490114950180294E-4</v>
      </c>
      <c r="K123" s="18"/>
      <c r="L123" s="18"/>
    </row>
    <row r="124" spans="1:14" x14ac:dyDescent="0.25">
      <c r="A124" s="16" t="s">
        <v>2967</v>
      </c>
      <c r="B124" s="24" t="s">
        <v>3073</v>
      </c>
      <c r="C124" s="24" t="s">
        <v>200</v>
      </c>
      <c r="D124" s="60" t="s">
        <v>255</v>
      </c>
      <c r="E124" s="60" t="s">
        <v>501</v>
      </c>
      <c r="F124" s="69">
        <v>16655.127882565608</v>
      </c>
      <c r="G124" s="60">
        <v>0.99354699999999996</v>
      </c>
      <c r="H124" s="84">
        <v>16.54766</v>
      </c>
      <c r="I124" s="24">
        <v>-1.6891787620668914E-2</v>
      </c>
      <c r="J124" s="24">
        <v>6.8162800262410594E-5</v>
      </c>
      <c r="K124" s="18"/>
      <c r="L124" s="18"/>
    </row>
    <row r="125" spans="1:14" x14ac:dyDescent="0.25">
      <c r="A125" s="16" t="s">
        <v>2969</v>
      </c>
      <c r="B125" s="24" t="s">
        <v>3074</v>
      </c>
      <c r="C125" s="24" t="s">
        <v>200</v>
      </c>
      <c r="D125" s="60" t="s">
        <v>125</v>
      </c>
      <c r="E125" s="60" t="s">
        <v>501</v>
      </c>
      <c r="F125" s="69">
        <v>-4386.3913306730601</v>
      </c>
      <c r="G125" s="60">
        <v>0.99060800000000004</v>
      </c>
      <c r="H125" s="84">
        <v>-16.616029999999999</v>
      </c>
      <c r="I125" s="24">
        <v>1.6961579453449206E-2</v>
      </c>
      <c r="J125" s="24">
        <v>-6.8444428640920973E-5</v>
      </c>
      <c r="K125" s="18"/>
      <c r="L125" s="18"/>
    </row>
    <row r="126" spans="1:14" x14ac:dyDescent="0.25">
      <c r="A126" s="16" t="s">
        <v>2967</v>
      </c>
      <c r="B126" s="24" t="s">
        <v>3075</v>
      </c>
      <c r="C126" s="24" t="s">
        <v>200</v>
      </c>
      <c r="D126" s="60" t="s">
        <v>255</v>
      </c>
      <c r="E126" s="60" t="s">
        <v>3076</v>
      </c>
      <c r="F126" s="69">
        <v>10022.026912321808</v>
      </c>
      <c r="G126" s="60">
        <v>0.99354699999999996</v>
      </c>
      <c r="H126" s="84">
        <v>9.9573600000000013</v>
      </c>
      <c r="I126" s="24">
        <v>-1.0164434752861965E-2</v>
      </c>
      <c r="J126" s="24">
        <v>4.1016164268598515E-5</v>
      </c>
      <c r="K126" s="18"/>
      <c r="L126" s="18"/>
    </row>
    <row r="127" spans="1:14" x14ac:dyDescent="0.25">
      <c r="A127" s="16" t="s">
        <v>2969</v>
      </c>
      <c r="B127" s="24" t="s">
        <v>3077</v>
      </c>
      <c r="C127" s="24" t="s">
        <v>200</v>
      </c>
      <c r="D127" s="60" t="s">
        <v>125</v>
      </c>
      <c r="E127" s="60" t="s">
        <v>3076</v>
      </c>
      <c r="F127" s="69">
        <v>-2631.834798403836</v>
      </c>
      <c r="G127" s="60">
        <v>0.99060800000000004</v>
      </c>
      <c r="H127" s="84">
        <v>-9.9696200000000008</v>
      </c>
      <c r="I127" s="24">
        <v>1.0176949713661825E-2</v>
      </c>
      <c r="J127" s="24">
        <v>-4.1066665422913815E-5</v>
      </c>
      <c r="K127" s="18"/>
      <c r="L127" s="18"/>
    </row>
    <row r="128" spans="1:14" x14ac:dyDescent="0.25">
      <c r="A128" s="16" t="s">
        <v>2973</v>
      </c>
      <c r="B128" s="24" t="s">
        <v>2995</v>
      </c>
      <c r="C128" s="24" t="s">
        <v>200</v>
      </c>
      <c r="D128" s="60" t="s">
        <v>125</v>
      </c>
      <c r="E128" s="60" t="s">
        <v>2993</v>
      </c>
      <c r="F128" s="69">
        <v>13131.983525203999</v>
      </c>
      <c r="G128" s="60">
        <v>0.96176099999999998</v>
      </c>
      <c r="H128" s="84">
        <v>48.296489999999999</v>
      </c>
      <c r="I128" s="24">
        <v>-4.9300871053898854E-2</v>
      </c>
      <c r="J128" s="24">
        <v>1.9894196528364195E-4</v>
      </c>
      <c r="K128" s="14"/>
      <c r="L128" s="14"/>
      <c r="M128" s="14"/>
      <c r="N128" s="14"/>
    </row>
    <row r="129" spans="1:14" x14ac:dyDescent="0.25">
      <c r="A129" s="16" t="s">
        <v>2971</v>
      </c>
      <c r="B129" s="24" t="s">
        <v>2996</v>
      </c>
      <c r="C129" s="24" t="s">
        <v>200</v>
      </c>
      <c r="D129" s="60" t="s">
        <v>255</v>
      </c>
      <c r="E129" s="60" t="s">
        <v>2993</v>
      </c>
      <c r="F129" s="69">
        <v>-47800.420031742557</v>
      </c>
      <c r="G129" s="60">
        <v>0.97453100000000004</v>
      </c>
      <c r="H129" s="84">
        <v>-46.583010000000002</v>
      </c>
      <c r="I129" s="24">
        <v>4.755175726667675E-2</v>
      </c>
      <c r="J129" s="24">
        <v>-1.9188383168688961E-4</v>
      </c>
      <c r="K129" s="14"/>
      <c r="L129" s="14"/>
      <c r="M129" s="14"/>
      <c r="N129" s="14"/>
    </row>
    <row r="130" spans="1:14" x14ac:dyDescent="0.25">
      <c r="A130" s="16" t="s">
        <v>2971</v>
      </c>
      <c r="B130" s="24" t="s">
        <v>2997</v>
      </c>
      <c r="C130" s="24" t="s">
        <v>200</v>
      </c>
      <c r="D130" s="60" t="s">
        <v>255</v>
      </c>
      <c r="E130" s="60" t="s">
        <v>2998</v>
      </c>
      <c r="F130" s="69">
        <v>45922.546387638387</v>
      </c>
      <c r="G130" s="60">
        <v>0.97453100000000004</v>
      </c>
      <c r="H130" s="84">
        <v>44.752980000000001</v>
      </c>
      <c r="I130" s="24">
        <v>-4.568366968816398E-2</v>
      </c>
      <c r="J130" s="24">
        <v>1.8434560758969282E-4</v>
      </c>
      <c r="K130" s="14"/>
      <c r="L130" s="14"/>
      <c r="M130" s="14"/>
      <c r="N130" s="14"/>
    </row>
    <row r="131" spans="1:14" x14ac:dyDescent="0.25">
      <c r="A131" s="16" t="s">
        <v>2973</v>
      </c>
      <c r="B131" s="24" t="s">
        <v>2999</v>
      </c>
      <c r="C131" s="24" t="s">
        <v>200</v>
      </c>
      <c r="D131" s="60" t="s">
        <v>125</v>
      </c>
      <c r="E131" s="60" t="s">
        <v>2998</v>
      </c>
      <c r="F131" s="69">
        <v>-13131.983525203999</v>
      </c>
      <c r="G131" s="60">
        <v>0.96176099999999998</v>
      </c>
      <c r="H131" s="84">
        <v>-48.296489999999999</v>
      </c>
      <c r="I131" s="24">
        <v>4.9300871053898854E-2</v>
      </c>
      <c r="J131" s="24">
        <v>-1.9894196528364195E-4</v>
      </c>
      <c r="K131" s="14"/>
      <c r="L131" s="14"/>
      <c r="M131" s="14"/>
      <c r="N131" s="14"/>
    </row>
    <row r="132" spans="1:14" x14ac:dyDescent="0.25">
      <c r="A132" s="16" t="s">
        <v>2971</v>
      </c>
      <c r="B132" s="24" t="s">
        <v>3017</v>
      </c>
      <c r="C132" s="24" t="s">
        <v>200</v>
      </c>
      <c r="D132" s="60" t="s">
        <v>255</v>
      </c>
      <c r="E132" s="60" t="s">
        <v>3018</v>
      </c>
      <c r="F132" s="69">
        <v>31643.427059475456</v>
      </c>
      <c r="G132" s="60">
        <v>0.97453100000000004</v>
      </c>
      <c r="H132" s="84">
        <v>30.837509999999998</v>
      </c>
      <c r="I132" s="24">
        <v>-3.1478811485748062E-2</v>
      </c>
      <c r="J132" s="24">
        <v>1.2702527334499799E-4</v>
      </c>
      <c r="K132" s="14"/>
      <c r="L132" s="14"/>
      <c r="M132" s="14"/>
      <c r="N132" s="14"/>
    </row>
    <row r="133" spans="1:14" x14ac:dyDescent="0.25">
      <c r="A133" s="16" t="s">
        <v>2973</v>
      </c>
      <c r="B133" s="24" t="s">
        <v>3019</v>
      </c>
      <c r="C133" s="24" t="s">
        <v>200</v>
      </c>
      <c r="D133" s="60" t="s">
        <v>125</v>
      </c>
      <c r="E133" s="60" t="s">
        <v>3018</v>
      </c>
      <c r="F133" s="69">
        <v>-8772.7826613461202</v>
      </c>
      <c r="G133" s="60">
        <v>0.96176099999999998</v>
      </c>
      <c r="H133" s="84">
        <v>-32.264330000000001</v>
      </c>
      <c r="I133" s="24">
        <v>3.2935303848591078E-2</v>
      </c>
      <c r="J133" s="24">
        <v>-1.3290260262722959E-4</v>
      </c>
      <c r="K133" s="14"/>
      <c r="L133" s="14"/>
      <c r="M133" s="14"/>
      <c r="N133" s="14"/>
    </row>
    <row r="134" spans="1:14" x14ac:dyDescent="0.25">
      <c r="A134" s="16" t="s">
        <v>2971</v>
      </c>
      <c r="B134" s="24" t="s">
        <v>3023</v>
      </c>
      <c r="C134" s="24" t="s">
        <v>200</v>
      </c>
      <c r="D134" s="60" t="s">
        <v>255</v>
      </c>
      <c r="E134" s="60" t="s">
        <v>3021</v>
      </c>
      <c r="F134" s="69">
        <v>389160.6388573139</v>
      </c>
      <c r="G134" s="60">
        <v>0.97453000000000001</v>
      </c>
      <c r="H134" s="84">
        <v>379.24878000000001</v>
      </c>
      <c r="I134" s="24">
        <v>-0.38713569454278057</v>
      </c>
      <c r="J134" s="24">
        <v>1.5621942220774962E-3</v>
      </c>
      <c r="K134" s="14"/>
      <c r="L134" s="14"/>
      <c r="M134" s="14"/>
      <c r="N134" s="14"/>
    </row>
    <row r="135" spans="1:14" x14ac:dyDescent="0.25">
      <c r="A135" s="16" t="s">
        <v>2973</v>
      </c>
      <c r="B135" s="24" t="s">
        <v>3024</v>
      </c>
      <c r="C135" s="24" t="s">
        <v>200</v>
      </c>
      <c r="D135" s="60" t="s">
        <v>125</v>
      </c>
      <c r="E135" s="60" t="s">
        <v>3021</v>
      </c>
      <c r="F135" s="69">
        <v>-109659.7832668265</v>
      </c>
      <c r="G135" s="60">
        <v>0.96175999999999995</v>
      </c>
      <c r="H135" s="84">
        <v>-403.30349000000001</v>
      </c>
      <c r="I135" s="24">
        <v>0.41169064990183318</v>
      </c>
      <c r="J135" s="24">
        <v>-1.6612799171606808E-3</v>
      </c>
      <c r="K135" s="14"/>
      <c r="L135" s="14"/>
      <c r="M135" s="14"/>
      <c r="N135" s="14"/>
    </row>
    <row r="136" spans="1:14" x14ac:dyDescent="0.25">
      <c r="A136" s="16" t="s">
        <v>2971</v>
      </c>
      <c r="B136" s="24" t="s">
        <v>3025</v>
      </c>
      <c r="C136" s="24" t="s">
        <v>200</v>
      </c>
      <c r="D136" s="60" t="s">
        <v>255</v>
      </c>
      <c r="E136" s="60" t="s">
        <v>3026</v>
      </c>
      <c r="F136" s="69">
        <v>326772.99496115092</v>
      </c>
      <c r="G136" s="60">
        <v>0.97453100000000004</v>
      </c>
      <c r="H136" s="84">
        <v>318.45053999999999</v>
      </c>
      <c r="I136" s="24">
        <v>-0.32507308521974287</v>
      </c>
      <c r="J136" s="24">
        <v>1.3117552905653606E-3</v>
      </c>
      <c r="K136" s="14"/>
      <c r="L136" s="14"/>
      <c r="M136" s="14"/>
      <c r="N136" s="14"/>
    </row>
    <row r="137" spans="1:14" x14ac:dyDescent="0.25">
      <c r="A137" s="16" t="s">
        <v>2973</v>
      </c>
      <c r="B137" s="24" t="s">
        <v>3027</v>
      </c>
      <c r="C137" s="24" t="s">
        <v>200</v>
      </c>
      <c r="D137" s="60" t="s">
        <v>125</v>
      </c>
      <c r="E137" s="60" t="s">
        <v>3026</v>
      </c>
      <c r="F137" s="69">
        <v>-89921.022278797725</v>
      </c>
      <c r="G137" s="60">
        <v>0.96176099999999998</v>
      </c>
      <c r="H137" s="84">
        <v>-330.70938000000001</v>
      </c>
      <c r="I137" s="24">
        <v>0.33758686189606818</v>
      </c>
      <c r="J137" s="24">
        <v>-1.3622516666311518E-3</v>
      </c>
      <c r="K137" s="14"/>
      <c r="L137" s="14"/>
      <c r="M137" s="14"/>
      <c r="N137" s="14"/>
    </row>
    <row r="138" spans="1:14" x14ac:dyDescent="0.25">
      <c r="A138" s="16" t="s">
        <v>2971</v>
      </c>
      <c r="B138" s="24" t="s">
        <v>3035</v>
      </c>
      <c r="C138" s="24" t="s">
        <v>200</v>
      </c>
      <c r="D138" s="60" t="s">
        <v>255</v>
      </c>
      <c r="E138" s="60" t="s">
        <v>3036</v>
      </c>
      <c r="F138" s="69">
        <v>16054.1922702634</v>
      </c>
      <c r="G138" s="60">
        <v>0.97453100000000004</v>
      </c>
      <c r="H138" s="84">
        <v>15.64531</v>
      </c>
      <c r="I138" s="24">
        <v>-1.5970672214653162E-2</v>
      </c>
      <c r="J138" s="24">
        <v>6.4445857636275769E-5</v>
      </c>
      <c r="K138" s="18"/>
      <c r="L138" s="18"/>
    </row>
    <row r="139" spans="1:14" x14ac:dyDescent="0.25">
      <c r="A139" s="16" t="s">
        <v>2973</v>
      </c>
      <c r="B139" s="24" t="s">
        <v>3037</v>
      </c>
      <c r="C139" s="24" t="s">
        <v>200</v>
      </c>
      <c r="D139" s="60" t="s">
        <v>125</v>
      </c>
      <c r="E139" s="60" t="s">
        <v>3036</v>
      </c>
      <c r="F139" s="69">
        <v>-4386.3913306730601</v>
      </c>
      <c r="G139" s="60">
        <v>0.96176099999999998</v>
      </c>
      <c r="H139" s="84">
        <v>-16.132169999999999</v>
      </c>
      <c r="I139" s="24">
        <v>1.6467657028276288E-2</v>
      </c>
      <c r="J139" s="24">
        <v>-6.6451321909517859E-5</v>
      </c>
      <c r="K139" s="18"/>
      <c r="L139" s="18"/>
    </row>
    <row r="140" spans="1:14" x14ac:dyDescent="0.25">
      <c r="A140" s="16" t="s">
        <v>2967</v>
      </c>
      <c r="B140" s="24" t="s">
        <v>3047</v>
      </c>
      <c r="C140" s="24" t="s">
        <v>200</v>
      </c>
      <c r="D140" s="60" t="s">
        <v>255</v>
      </c>
      <c r="E140" s="60" t="s">
        <v>1107</v>
      </c>
      <c r="F140" s="69">
        <v>41407.534161553689</v>
      </c>
      <c r="G140" s="60">
        <v>0.99354699999999996</v>
      </c>
      <c r="H140" s="84">
        <v>41.140339999999995</v>
      </c>
      <c r="I140" s="24">
        <v>-4.199590068457474E-2</v>
      </c>
      <c r="J140" s="24">
        <v>1.6946449093996739E-4</v>
      </c>
      <c r="K140" s="18"/>
      <c r="L140" s="18"/>
    </row>
    <row r="141" spans="1:14" x14ac:dyDescent="0.25">
      <c r="A141" s="16" t="s">
        <v>2969</v>
      </c>
      <c r="B141" s="24" t="s">
        <v>3048</v>
      </c>
      <c r="C141" s="24" t="s">
        <v>200</v>
      </c>
      <c r="D141" s="60" t="s">
        <v>125</v>
      </c>
      <c r="E141" s="60" t="s">
        <v>1107</v>
      </c>
      <c r="F141" s="69">
        <v>-10965.978326682651</v>
      </c>
      <c r="G141" s="60">
        <v>0.99060800000000004</v>
      </c>
      <c r="H141" s="84">
        <v>-41.540080000000003</v>
      </c>
      <c r="I141" s="24">
        <v>4.2403953737603764E-2</v>
      </c>
      <c r="J141" s="24">
        <v>-1.711110921982055E-4</v>
      </c>
      <c r="K141" s="18"/>
      <c r="L141" s="18"/>
    </row>
    <row r="142" spans="1:14" s="119" customFormat="1" x14ac:dyDescent="0.25">
      <c r="A142" s="92" t="s">
        <v>3080</v>
      </c>
      <c r="B142" s="137" t="s">
        <v>249</v>
      </c>
      <c r="C142" s="137" t="s">
        <v>249</v>
      </c>
      <c r="D142" s="136" t="s">
        <v>249</v>
      </c>
      <c r="E142" s="136" t="s">
        <v>249</v>
      </c>
      <c r="F142" s="135" t="s">
        <v>249</v>
      </c>
      <c r="G142" s="136" t="s">
        <v>249</v>
      </c>
      <c r="H142" s="124">
        <v>-454.40164960000021</v>
      </c>
      <c r="I142" s="137">
        <v>0.46385145449718074</v>
      </c>
      <c r="J142" s="137">
        <v>-1.8717624655446572E-3</v>
      </c>
      <c r="K142" s="159"/>
      <c r="L142" s="159"/>
      <c r="M142" s="130"/>
      <c r="N142" s="130"/>
    </row>
    <row r="143" spans="1:14" s="119" customFormat="1" x14ac:dyDescent="0.25">
      <c r="A143" s="92" t="s">
        <v>2635</v>
      </c>
      <c r="B143" s="137" t="s">
        <v>249</v>
      </c>
      <c r="C143" s="137" t="s">
        <v>249</v>
      </c>
      <c r="D143" s="136" t="s">
        <v>249</v>
      </c>
      <c r="E143" s="136" t="s">
        <v>249</v>
      </c>
      <c r="F143" s="135" t="s">
        <v>249</v>
      </c>
      <c r="G143" s="136" t="s">
        <v>249</v>
      </c>
      <c r="H143" s="124">
        <v>-40.845329900000081</v>
      </c>
      <c r="I143" s="137">
        <v>4.169475551026304E-2</v>
      </c>
      <c r="J143" s="137">
        <v>-1.6824929105541044E-4</v>
      </c>
      <c r="K143" s="159"/>
      <c r="L143" s="159"/>
      <c r="M143" s="130"/>
      <c r="N143" s="130"/>
    </row>
    <row r="144" spans="1:14" x14ac:dyDescent="0.25">
      <c r="A144" s="16" t="s">
        <v>3098</v>
      </c>
      <c r="B144" s="24" t="s">
        <v>3099</v>
      </c>
      <c r="C144" s="24" t="s">
        <v>200</v>
      </c>
      <c r="D144" s="60" t="s">
        <v>125</v>
      </c>
      <c r="E144" s="60" t="s">
        <v>2864</v>
      </c>
      <c r="F144" s="69">
        <v>35.650435198368598</v>
      </c>
      <c r="G144" s="60">
        <v>490.36</v>
      </c>
      <c r="H144" s="84">
        <v>66.849440000000001</v>
      </c>
      <c r="I144" s="24">
        <v>-6.823965098634184E-2</v>
      </c>
      <c r="J144" s="24">
        <v>2.7536491723748264E-4</v>
      </c>
      <c r="K144" s="18"/>
      <c r="L144" s="18"/>
    </row>
    <row r="145" spans="1:12" x14ac:dyDescent="0.25">
      <c r="A145" s="16" t="s">
        <v>3100</v>
      </c>
      <c r="B145" s="24" t="s">
        <v>3101</v>
      </c>
      <c r="C145" s="24" t="s">
        <v>200</v>
      </c>
      <c r="D145" s="60" t="s">
        <v>125</v>
      </c>
      <c r="E145" s="60" t="s">
        <v>2864</v>
      </c>
      <c r="F145" s="69">
        <v>-35.650435198368598</v>
      </c>
      <c r="G145" s="60">
        <v>543.03659200000004</v>
      </c>
      <c r="H145" s="84">
        <v>-74.030690000000007</v>
      </c>
      <c r="I145" s="24">
        <v>7.5570243339032714E-2</v>
      </c>
      <c r="J145" s="24">
        <v>-3.0494578301454333E-4</v>
      </c>
      <c r="K145" s="18"/>
      <c r="L145" s="18"/>
    </row>
    <row r="146" spans="1:12" x14ac:dyDescent="0.25">
      <c r="A146" s="16" t="s">
        <v>3102</v>
      </c>
      <c r="B146" s="24" t="s">
        <v>3103</v>
      </c>
      <c r="C146" s="24" t="s">
        <v>200</v>
      </c>
      <c r="D146" s="60" t="s">
        <v>125</v>
      </c>
      <c r="E146" s="60" t="s">
        <v>2864</v>
      </c>
      <c r="F146" s="69">
        <v>3.3273739518477359</v>
      </c>
      <c r="G146" s="60">
        <v>5627.24</v>
      </c>
      <c r="H146" s="84">
        <v>71.600320000000011</v>
      </c>
      <c r="I146" s="24">
        <v>-7.3089330999786858E-2</v>
      </c>
      <c r="J146" s="24">
        <v>2.9493465002814194E-4</v>
      </c>
      <c r="K146" s="18"/>
      <c r="L146" s="18"/>
    </row>
    <row r="147" spans="1:12" x14ac:dyDescent="0.25">
      <c r="A147" s="16" t="s">
        <v>3104</v>
      </c>
      <c r="B147" s="24" t="s">
        <v>3105</v>
      </c>
      <c r="C147" s="24" t="s">
        <v>200</v>
      </c>
      <c r="D147" s="60" t="s">
        <v>125</v>
      </c>
      <c r="E147" s="60" t="s">
        <v>2864</v>
      </c>
      <c r="F147" s="69">
        <v>-3.3273739518477359</v>
      </c>
      <c r="G147" s="60">
        <v>6913.2013120000001</v>
      </c>
      <c r="H147" s="84">
        <v>-87.962729999999993</v>
      </c>
      <c r="I147" s="24">
        <v>8.979201613365527E-2</v>
      </c>
      <c r="J147" s="24">
        <v>-3.6233437208199539E-4</v>
      </c>
      <c r="K147" s="18"/>
      <c r="L147" s="18"/>
    </row>
    <row r="148" spans="1:12" x14ac:dyDescent="0.25">
      <c r="A148" s="16" t="s">
        <v>3106</v>
      </c>
      <c r="B148" s="24" t="s">
        <v>3107</v>
      </c>
      <c r="C148" s="24" t="s">
        <v>200</v>
      </c>
      <c r="D148" s="60" t="s">
        <v>125</v>
      </c>
      <c r="E148" s="60" t="s">
        <v>2864</v>
      </c>
      <c r="F148" s="69">
        <v>282.82678590705757</v>
      </c>
      <c r="G148" s="60">
        <v>73.02</v>
      </c>
      <c r="H148" s="84">
        <v>78.973289999999992</v>
      </c>
      <c r="I148" s="24">
        <v>-8.0615630390369147E-2</v>
      </c>
      <c r="J148" s="24">
        <v>3.2530524511232569E-4</v>
      </c>
      <c r="K148" s="18"/>
      <c r="L148" s="18"/>
    </row>
    <row r="149" spans="1:12" x14ac:dyDescent="0.25">
      <c r="A149" s="16" t="s">
        <v>3108</v>
      </c>
      <c r="B149" s="24" t="s">
        <v>3109</v>
      </c>
      <c r="C149" s="24" t="s">
        <v>200</v>
      </c>
      <c r="D149" s="60" t="s">
        <v>125</v>
      </c>
      <c r="E149" s="60" t="s">
        <v>2864</v>
      </c>
      <c r="F149" s="69">
        <v>-282.82678590705757</v>
      </c>
      <c r="G149" s="60">
        <v>92.850202999999993</v>
      </c>
      <c r="H149" s="84">
        <v>-100.42025</v>
      </c>
      <c r="I149" s="24">
        <v>0.10250860458907649</v>
      </c>
      <c r="J149" s="24">
        <v>-4.1364914695197612E-4</v>
      </c>
      <c r="K149" s="18"/>
      <c r="L149" s="18"/>
    </row>
    <row r="150" spans="1:12" x14ac:dyDescent="0.25">
      <c r="A150" s="16" t="s">
        <v>3115</v>
      </c>
      <c r="B150" s="24" t="s">
        <v>3116</v>
      </c>
      <c r="C150" s="24" t="s">
        <v>200</v>
      </c>
      <c r="D150" s="60" t="s">
        <v>125</v>
      </c>
      <c r="E150" s="60" t="s">
        <v>3112</v>
      </c>
      <c r="F150" s="69">
        <v>435.727541313394</v>
      </c>
      <c r="G150" s="60">
        <v>40.07</v>
      </c>
      <c r="H150" s="84">
        <v>66.765520000000009</v>
      </c>
      <c r="I150" s="24">
        <v>-6.8153985773427961E-2</v>
      </c>
      <c r="J150" s="24">
        <v>2.7501923560044024E-4</v>
      </c>
      <c r="K150" s="18"/>
      <c r="L150" s="18"/>
    </row>
    <row r="151" spans="1:12" x14ac:dyDescent="0.25">
      <c r="A151" s="16" t="s">
        <v>3117</v>
      </c>
      <c r="B151" s="24" t="s">
        <v>3118</v>
      </c>
      <c r="C151" s="24" t="s">
        <v>200</v>
      </c>
      <c r="D151" s="60" t="s">
        <v>125</v>
      </c>
      <c r="E151" s="60" t="s">
        <v>3112</v>
      </c>
      <c r="F151" s="69">
        <v>-435.727541313394</v>
      </c>
      <c r="G151" s="60">
        <v>61.047032999999999</v>
      </c>
      <c r="H151" s="84">
        <v>-101.71791999999999</v>
      </c>
      <c r="I151" s="24">
        <v>0.10383326112913795</v>
      </c>
      <c r="J151" s="24">
        <v>-4.1899448405803959E-4</v>
      </c>
      <c r="K151" s="18"/>
      <c r="L151" s="18"/>
    </row>
    <row r="152" spans="1:12" x14ac:dyDescent="0.25">
      <c r="A152" s="16" t="s">
        <v>3081</v>
      </c>
      <c r="B152" s="24" t="s">
        <v>3082</v>
      </c>
      <c r="C152" s="24" t="s">
        <v>200</v>
      </c>
      <c r="D152" s="60" t="s">
        <v>125</v>
      </c>
      <c r="E152" s="60" t="s">
        <v>489</v>
      </c>
      <c r="F152" s="69">
        <v>17.760254583933939</v>
      </c>
      <c r="G152" s="60">
        <v>9246.7389999999996</v>
      </c>
      <c r="H152" s="84">
        <v>627.99424999999997</v>
      </c>
      <c r="I152" s="24">
        <v>-0.64105411266615697</v>
      </c>
      <c r="J152" s="24">
        <v>2.5868217396714912E-3</v>
      </c>
      <c r="K152" s="18"/>
      <c r="L152" s="18"/>
    </row>
    <row r="153" spans="1:12" x14ac:dyDescent="0.25">
      <c r="A153" s="16" t="s">
        <v>3083</v>
      </c>
      <c r="B153" s="24" t="s">
        <v>3084</v>
      </c>
      <c r="C153" s="24" t="s">
        <v>200</v>
      </c>
      <c r="D153" s="60" t="s">
        <v>125</v>
      </c>
      <c r="E153" s="60" t="s">
        <v>489</v>
      </c>
      <c r="F153" s="69">
        <v>-17.760254583933939</v>
      </c>
      <c r="G153" s="60">
        <v>8532.2973970000003</v>
      </c>
      <c r="H153" s="84">
        <v>-579.47280000000001</v>
      </c>
      <c r="I153" s="24">
        <v>0.59152360331033838</v>
      </c>
      <c r="J153" s="24">
        <v>-2.3869531235171499E-3</v>
      </c>
      <c r="K153" s="18"/>
      <c r="L153" s="18"/>
    </row>
    <row r="154" spans="1:12" x14ac:dyDescent="0.25">
      <c r="A154" s="16" t="s">
        <v>3085</v>
      </c>
      <c r="B154" s="24" t="s">
        <v>3086</v>
      </c>
      <c r="C154" s="24" t="s">
        <v>200</v>
      </c>
      <c r="D154" s="60" t="s">
        <v>125</v>
      </c>
      <c r="E154" s="60" t="s">
        <v>3087</v>
      </c>
      <c r="F154" s="69">
        <v>143.39397268677149</v>
      </c>
      <c r="G154" s="60">
        <v>127.16</v>
      </c>
      <c r="H154" s="84">
        <v>69.726729999999989</v>
      </c>
      <c r="I154" s="24">
        <v>-7.117677754097701E-2</v>
      </c>
      <c r="J154" s="24">
        <v>2.8721699442344308E-4</v>
      </c>
      <c r="K154" s="18"/>
      <c r="L154" s="18"/>
    </row>
    <row r="155" spans="1:12" x14ac:dyDescent="0.25">
      <c r="A155" s="16" t="s">
        <v>3088</v>
      </c>
      <c r="B155" s="24" t="s">
        <v>3089</v>
      </c>
      <c r="C155" s="24" t="s">
        <v>200</v>
      </c>
      <c r="D155" s="60" t="s">
        <v>125</v>
      </c>
      <c r="E155" s="60" t="s">
        <v>3087</v>
      </c>
      <c r="F155" s="69">
        <v>-143.39397268677149</v>
      </c>
      <c r="G155" s="60">
        <v>122.594111</v>
      </c>
      <c r="H155" s="84">
        <v>-67.223079999999996</v>
      </c>
      <c r="I155" s="24">
        <v>6.8621061259854024E-2</v>
      </c>
      <c r="J155" s="24">
        <v>-2.7690400788172155E-4</v>
      </c>
      <c r="K155" s="18"/>
      <c r="L155" s="18"/>
    </row>
    <row r="156" spans="1:12" x14ac:dyDescent="0.25">
      <c r="A156" s="16" t="s">
        <v>3090</v>
      </c>
      <c r="B156" s="24" t="s">
        <v>3091</v>
      </c>
      <c r="C156" s="24" t="s">
        <v>200</v>
      </c>
      <c r="D156" s="60" t="s">
        <v>125</v>
      </c>
      <c r="E156" s="60" t="s">
        <v>1448</v>
      </c>
      <c r="F156" s="69">
        <v>66.943594983603262</v>
      </c>
      <c r="G156" s="60">
        <v>98.23</v>
      </c>
      <c r="H156" s="84">
        <v>25.14612</v>
      </c>
      <c r="I156" s="24">
        <v>-2.5669062485200626E-2</v>
      </c>
      <c r="J156" s="24">
        <v>1.0358140999601203E-4</v>
      </c>
      <c r="K156" s="18"/>
      <c r="L156" s="18"/>
    </row>
    <row r="157" spans="1:12" x14ac:dyDescent="0.25">
      <c r="A157" s="16" t="s">
        <v>3092</v>
      </c>
      <c r="B157" s="24" t="s">
        <v>3093</v>
      </c>
      <c r="C157" s="24" t="s">
        <v>200</v>
      </c>
      <c r="D157" s="60" t="s">
        <v>125</v>
      </c>
      <c r="E157" s="60" t="s">
        <v>1448</v>
      </c>
      <c r="F157" s="69">
        <v>-66.943594983603262</v>
      </c>
      <c r="G157" s="60">
        <v>119.64470300000001</v>
      </c>
      <c r="H157" s="84">
        <v>-30.628119999999999</v>
      </c>
      <c r="I157" s="24">
        <v>3.126506697988489E-2</v>
      </c>
      <c r="J157" s="24">
        <v>-1.2616275811644324E-4</v>
      </c>
      <c r="K157" s="18"/>
      <c r="L157" s="18"/>
    </row>
    <row r="158" spans="1:12" x14ac:dyDescent="0.25">
      <c r="A158" s="16" t="s">
        <v>3094</v>
      </c>
      <c r="B158" s="24" t="s">
        <v>3095</v>
      </c>
      <c r="C158" s="24" t="s">
        <v>200</v>
      </c>
      <c r="D158" s="60" t="s">
        <v>125</v>
      </c>
      <c r="E158" s="60" t="s">
        <v>2838</v>
      </c>
      <c r="F158" s="69">
        <v>194.09681385778461</v>
      </c>
      <c r="G158" s="60">
        <v>149.22999999999999</v>
      </c>
      <c r="H158" s="84">
        <v>110.76241999999999</v>
      </c>
      <c r="I158" s="24">
        <v>-0.11306585190844692</v>
      </c>
      <c r="J158" s="24">
        <v>4.5625041311226071E-4</v>
      </c>
      <c r="K158" s="18"/>
      <c r="L158" s="18"/>
    </row>
    <row r="159" spans="1:12" x14ac:dyDescent="0.25">
      <c r="A159" s="16" t="s">
        <v>3096</v>
      </c>
      <c r="B159" s="24" t="s">
        <v>3097</v>
      </c>
      <c r="C159" s="24" t="s">
        <v>200</v>
      </c>
      <c r="D159" s="60" t="s">
        <v>125</v>
      </c>
      <c r="E159" s="60" t="s">
        <v>2838</v>
      </c>
      <c r="F159" s="69">
        <v>-194.09681385778461</v>
      </c>
      <c r="G159" s="60">
        <v>144.82067900000001</v>
      </c>
      <c r="H159" s="84">
        <v>-107.4897</v>
      </c>
      <c r="I159" s="24">
        <v>0.10972507193218953</v>
      </c>
      <c r="J159" s="24">
        <v>-4.4276948833650413E-4</v>
      </c>
      <c r="K159" s="18"/>
      <c r="L159" s="18"/>
    </row>
    <row r="160" spans="1:12" x14ac:dyDescent="0.25">
      <c r="A160" s="16" t="s">
        <v>3110</v>
      </c>
      <c r="B160" s="24" t="s">
        <v>3111</v>
      </c>
      <c r="C160" s="24" t="s">
        <v>200</v>
      </c>
      <c r="D160" s="60" t="s">
        <v>125</v>
      </c>
      <c r="E160" s="60" t="s">
        <v>3112</v>
      </c>
      <c r="F160" s="69">
        <v>9.9028986662135008</v>
      </c>
      <c r="G160" s="60">
        <v>5149.53</v>
      </c>
      <c r="H160" s="84">
        <v>195.00593000000001</v>
      </c>
      <c r="I160" s="24">
        <v>-0.19906130258483851</v>
      </c>
      <c r="J160" s="24">
        <v>8.0326464627479793E-4</v>
      </c>
      <c r="K160" s="18"/>
      <c r="L160" s="18"/>
    </row>
    <row r="161" spans="1:14" x14ac:dyDescent="0.25">
      <c r="A161" s="16" t="s">
        <v>3113</v>
      </c>
      <c r="B161" s="24" t="s">
        <v>3114</v>
      </c>
      <c r="C161" s="24" t="s">
        <v>200</v>
      </c>
      <c r="D161" s="60" t="s">
        <v>125</v>
      </c>
      <c r="E161" s="60" t="s">
        <v>3112</v>
      </c>
      <c r="F161" s="69">
        <v>-9.9028986662135008</v>
      </c>
      <c r="G161" s="60">
        <v>5443.9077500000003</v>
      </c>
      <c r="H161" s="84">
        <v>-206.15362999999999</v>
      </c>
      <c r="I161" s="24">
        <v>0.2104408318269749</v>
      </c>
      <c r="J161" s="24">
        <v>-8.4918403599426725E-4</v>
      </c>
      <c r="K161" s="18"/>
      <c r="L161" s="18"/>
    </row>
    <row r="162" spans="1:14" x14ac:dyDescent="0.25">
      <c r="A162" s="16" t="s">
        <v>3119</v>
      </c>
      <c r="B162" s="24" t="s">
        <v>3120</v>
      </c>
      <c r="C162" s="24" t="s">
        <v>200</v>
      </c>
      <c r="D162" s="60" t="s">
        <v>125</v>
      </c>
      <c r="E162" s="60" t="s">
        <v>3121</v>
      </c>
      <c r="F162" s="69">
        <v>9.1637463097673244</v>
      </c>
      <c r="G162" s="60">
        <v>9246.7389999999996</v>
      </c>
      <c r="H162" s="84">
        <v>324.02575999999999</v>
      </c>
      <c r="I162" s="24">
        <v>-0.33076424833153673</v>
      </c>
      <c r="J162" s="24">
        <v>1.3347206287025351E-3</v>
      </c>
      <c r="K162" s="18"/>
      <c r="L162" s="18"/>
    </row>
    <row r="163" spans="1:14" x14ac:dyDescent="0.25">
      <c r="A163" s="16" t="s">
        <v>3122</v>
      </c>
      <c r="B163" s="24" t="s">
        <v>3123</v>
      </c>
      <c r="C163" s="24" t="s">
        <v>200</v>
      </c>
      <c r="D163" s="60" t="s">
        <v>125</v>
      </c>
      <c r="E163" s="60" t="s">
        <v>3121</v>
      </c>
      <c r="F163" s="69">
        <v>-9.1637463097673244</v>
      </c>
      <c r="G163" s="60">
        <v>8721.3861949999991</v>
      </c>
      <c r="H163" s="84">
        <v>-305.61626000000001</v>
      </c>
      <c r="I163" s="24">
        <v>0.31197190160682126</v>
      </c>
      <c r="J163" s="24">
        <v>-1.2588885732076286E-3</v>
      </c>
      <c r="K163" s="18"/>
      <c r="L163" s="18"/>
    </row>
    <row r="164" spans="1:14" x14ac:dyDescent="0.25">
      <c r="A164" s="16" t="s">
        <v>3124</v>
      </c>
      <c r="B164" s="24" t="s">
        <v>3125</v>
      </c>
      <c r="C164" s="24" t="s">
        <v>200</v>
      </c>
      <c r="D164" s="60" t="s">
        <v>125</v>
      </c>
      <c r="E164" s="60" t="s">
        <v>1804</v>
      </c>
      <c r="F164" s="69">
        <v>3.2703332555303462</v>
      </c>
      <c r="G164" s="60">
        <v>9246.7389999999996</v>
      </c>
      <c r="H164" s="84">
        <v>115.63745</v>
      </c>
      <c r="I164" s="24">
        <v>-0.11804226376392314</v>
      </c>
      <c r="J164" s="24">
        <v>4.7633154217602324E-4</v>
      </c>
      <c r="K164" s="18"/>
      <c r="L164" s="18"/>
    </row>
    <row r="165" spans="1:14" x14ac:dyDescent="0.25">
      <c r="A165" s="16" t="s">
        <v>3126</v>
      </c>
      <c r="B165" s="24" t="s">
        <v>3127</v>
      </c>
      <c r="C165" s="24" t="s">
        <v>200</v>
      </c>
      <c r="D165" s="60" t="s">
        <v>125</v>
      </c>
      <c r="E165" s="60" t="s">
        <v>1804</v>
      </c>
      <c r="F165" s="69">
        <v>-3.2703332555303462</v>
      </c>
      <c r="G165" s="60">
        <v>9390.918275</v>
      </c>
      <c r="H165" s="84">
        <v>-117.44052000000001</v>
      </c>
      <c r="I165" s="24">
        <v>0.11988283067823004</v>
      </c>
      <c r="J165" s="24">
        <v>-4.837587131638937E-4</v>
      </c>
      <c r="K165" s="18"/>
      <c r="L165" s="18"/>
    </row>
    <row r="166" spans="1:14" x14ac:dyDescent="0.25">
      <c r="A166" s="16" t="s">
        <v>3128</v>
      </c>
      <c r="B166" s="24" t="s">
        <v>3129</v>
      </c>
      <c r="C166" s="24" t="s">
        <v>200</v>
      </c>
      <c r="D166" s="60" t="s">
        <v>125</v>
      </c>
      <c r="E166" s="60" t="s">
        <v>3130</v>
      </c>
      <c r="F166" s="69">
        <v>8.2392116902896326</v>
      </c>
      <c r="G166" s="60">
        <v>5149.53</v>
      </c>
      <c r="H166" s="84">
        <v>162.24492999999998</v>
      </c>
      <c r="I166" s="24">
        <v>-0.1656189999123921</v>
      </c>
      <c r="J166" s="24">
        <v>6.6831617021251267E-4</v>
      </c>
      <c r="K166" s="18"/>
      <c r="L166" s="18"/>
    </row>
    <row r="167" spans="1:14" x14ac:dyDescent="0.25">
      <c r="A167" s="16" t="s">
        <v>3131</v>
      </c>
      <c r="B167" s="24" t="s">
        <v>3132</v>
      </c>
      <c r="C167" s="24" t="s">
        <v>200</v>
      </c>
      <c r="D167" s="60" t="s">
        <v>125</v>
      </c>
      <c r="E167" s="60" t="s">
        <v>3130</v>
      </c>
      <c r="F167" s="69">
        <v>-8.2392116902896326</v>
      </c>
      <c r="G167" s="60">
        <v>5331.7387399999998</v>
      </c>
      <c r="H167" s="84">
        <v>-167.98573999999999</v>
      </c>
      <c r="I167" s="24">
        <v>0.171479196658676</v>
      </c>
      <c r="J167" s="24">
        <v>-6.9196360346739289E-4</v>
      </c>
      <c r="K167" s="18"/>
      <c r="L167" s="18"/>
    </row>
    <row r="168" spans="1:14" x14ac:dyDescent="0.25">
      <c r="A168" s="16" t="s">
        <v>3133</v>
      </c>
      <c r="B168" s="24" t="s">
        <v>3134</v>
      </c>
      <c r="C168" s="24" t="s">
        <v>200</v>
      </c>
      <c r="D168" s="60" t="s">
        <v>125</v>
      </c>
      <c r="E168" s="60" t="s">
        <v>1516</v>
      </c>
      <c r="F168" s="69">
        <v>209.9414517237262</v>
      </c>
      <c r="G168" s="60">
        <v>98.23</v>
      </c>
      <c r="H168" s="84">
        <v>78.86063</v>
      </c>
      <c r="I168" s="24">
        <v>-8.0500627496102262E-2</v>
      </c>
      <c r="J168" s="24">
        <v>3.2484117822446587E-4</v>
      </c>
      <c r="K168" s="18"/>
      <c r="L168" s="18"/>
    </row>
    <row r="169" spans="1:14" x14ac:dyDescent="0.25">
      <c r="A169" s="16" t="s">
        <v>3135</v>
      </c>
      <c r="B169" s="24" t="s">
        <v>3136</v>
      </c>
      <c r="C169" s="24" t="s">
        <v>200</v>
      </c>
      <c r="D169" s="60" t="s">
        <v>125</v>
      </c>
      <c r="E169" s="60" t="s">
        <v>1516</v>
      </c>
      <c r="F169" s="69">
        <v>-209.9414517237262</v>
      </c>
      <c r="G169" s="60">
        <v>109.983661</v>
      </c>
      <c r="H169" s="84">
        <v>-88.296660000000003</v>
      </c>
      <c r="I169" s="24">
        <v>9.0132890592048182E-2</v>
      </c>
      <c r="J169" s="24">
        <v>-3.637098900640924E-4</v>
      </c>
      <c r="K169" s="18"/>
      <c r="L169" s="18"/>
    </row>
    <row r="170" spans="1:14" x14ac:dyDescent="0.25">
      <c r="A170" s="16" t="s">
        <v>3137</v>
      </c>
      <c r="B170" s="24" t="s">
        <v>3138</v>
      </c>
      <c r="C170" s="24" t="s">
        <v>200</v>
      </c>
      <c r="D170" s="60" t="s">
        <v>125</v>
      </c>
      <c r="E170" s="60" t="s">
        <v>1523</v>
      </c>
      <c r="F170" s="69">
        <v>3.9611594664900002E-4</v>
      </c>
      <c r="G170" s="60">
        <v>349.4803</v>
      </c>
      <c r="H170" s="84">
        <v>5.2999999999999998E-4</v>
      </c>
      <c r="I170" s="24">
        <v>-5.4102195953715052E-7</v>
      </c>
      <c r="J170" s="24">
        <v>2.1831657248866373E-9</v>
      </c>
      <c r="K170" s="18"/>
      <c r="L170" s="18"/>
    </row>
    <row r="171" spans="1:14" x14ac:dyDescent="0.25">
      <c r="A171" s="16" t="s">
        <v>3139</v>
      </c>
      <c r="B171" s="24" t="s">
        <v>3140</v>
      </c>
      <c r="C171" s="24" t="s">
        <v>200</v>
      </c>
      <c r="D171" s="60" t="s">
        <v>125</v>
      </c>
      <c r="E171" s="60" t="s">
        <v>1523</v>
      </c>
      <c r="F171" s="69">
        <v>-3.9611594664900002E-4</v>
      </c>
      <c r="G171" s="60">
        <v>364.81486200000001</v>
      </c>
      <c r="H171" s="84">
        <v>-5.5000000000000003E-4</v>
      </c>
      <c r="I171" s="24">
        <v>5.6143788253855246E-7</v>
      </c>
      <c r="J171" s="24">
        <v>-2.2655493371465109E-9</v>
      </c>
      <c r="K171" s="18"/>
      <c r="L171" s="18"/>
    </row>
    <row r="172" spans="1:14" s="119" customFormat="1" x14ac:dyDescent="0.25">
      <c r="A172" s="92" t="s">
        <v>2650</v>
      </c>
      <c r="B172" s="137" t="s">
        <v>249</v>
      </c>
      <c r="C172" s="137" t="s">
        <v>249</v>
      </c>
      <c r="D172" s="136" t="s">
        <v>249</v>
      </c>
      <c r="E172" s="136" t="s">
        <v>249</v>
      </c>
      <c r="F172" s="135" t="s">
        <v>249</v>
      </c>
      <c r="G172" s="136" t="s">
        <v>249</v>
      </c>
      <c r="H172" s="124">
        <v>-292.1552799000001</v>
      </c>
      <c r="I172" s="137">
        <v>0.29823098494457118</v>
      </c>
      <c r="J172" s="137">
        <v>-1.2034403649478155E-3</v>
      </c>
      <c r="K172" s="159"/>
      <c r="L172" s="159"/>
      <c r="M172" s="130"/>
      <c r="N172" s="130"/>
    </row>
    <row r="173" spans="1:14" x14ac:dyDescent="0.25">
      <c r="A173" s="16" t="s">
        <v>2945</v>
      </c>
      <c r="B173" s="24" t="s">
        <v>3147</v>
      </c>
      <c r="C173" s="24" t="s">
        <v>200</v>
      </c>
      <c r="D173" s="60" t="s">
        <v>126</v>
      </c>
      <c r="E173" s="60" t="s">
        <v>2944</v>
      </c>
      <c r="F173" s="69">
        <v>68000</v>
      </c>
      <c r="G173" s="60">
        <v>0.99839999999999995</v>
      </c>
      <c r="H173" s="84">
        <v>275.16991999999999</v>
      </c>
      <c r="I173" s="24">
        <v>-0.28089239495109614</v>
      </c>
      <c r="J173" s="24">
        <v>1.1334745997430152E-3</v>
      </c>
      <c r="K173" s="18"/>
      <c r="L173" s="18"/>
    </row>
    <row r="174" spans="1:14" x14ac:dyDescent="0.25">
      <c r="A174" s="16" t="s">
        <v>2942</v>
      </c>
      <c r="B174" s="24" t="s">
        <v>3148</v>
      </c>
      <c r="C174" s="24" t="s">
        <v>200</v>
      </c>
      <c r="D174" s="60" t="s">
        <v>125</v>
      </c>
      <c r="E174" s="60" t="s">
        <v>2944</v>
      </c>
      <c r="F174" s="69">
        <v>-75276.679999999993</v>
      </c>
      <c r="G174" s="60">
        <v>0.99779300000000004</v>
      </c>
      <c r="H174" s="84">
        <v>-287.22290000000004</v>
      </c>
      <c r="I174" s="24">
        <v>0.29319603053196802</v>
      </c>
      <c r="J174" s="24">
        <v>-1.1831230012878157E-3</v>
      </c>
      <c r="K174" s="18"/>
      <c r="L174" s="18"/>
    </row>
    <row r="175" spans="1:14" x14ac:dyDescent="0.25">
      <c r="A175" s="16" t="s">
        <v>2942</v>
      </c>
      <c r="B175" s="24" t="s">
        <v>3149</v>
      </c>
      <c r="C175" s="24" t="s">
        <v>200</v>
      </c>
      <c r="D175" s="60" t="s">
        <v>125</v>
      </c>
      <c r="E175" s="60" t="s">
        <v>2944</v>
      </c>
      <c r="F175" s="69">
        <v>537076.93405052309</v>
      </c>
      <c r="G175" s="60">
        <v>0.99779300000000004</v>
      </c>
      <c r="H175" s="84">
        <v>2049.25083</v>
      </c>
      <c r="I175" s="24">
        <v>-2.0918673577919473</v>
      </c>
      <c r="J175" s="24">
        <v>8.441234290097157E-3</v>
      </c>
      <c r="K175" s="18"/>
      <c r="L175" s="18"/>
    </row>
    <row r="176" spans="1:14" x14ac:dyDescent="0.25">
      <c r="A176" s="16" t="s">
        <v>2945</v>
      </c>
      <c r="B176" s="24" t="s">
        <v>3150</v>
      </c>
      <c r="C176" s="24" t="s">
        <v>200</v>
      </c>
      <c r="D176" s="60" t="s">
        <v>126</v>
      </c>
      <c r="E176" s="60" t="s">
        <v>2944</v>
      </c>
      <c r="F176" s="69">
        <v>-485159.96608027309</v>
      </c>
      <c r="G176" s="60">
        <v>0.99839999999999995</v>
      </c>
      <c r="H176" s="84">
        <v>-1963.25632</v>
      </c>
      <c r="I176" s="24">
        <v>2.0040844930567832</v>
      </c>
      <c r="J176" s="24">
        <v>-8.0870073716812693E-3</v>
      </c>
      <c r="K176" s="18"/>
      <c r="L176" s="18"/>
    </row>
    <row r="177" spans="1:12" x14ac:dyDescent="0.25">
      <c r="A177" s="16" t="s">
        <v>2945</v>
      </c>
      <c r="B177" s="24" t="s">
        <v>3151</v>
      </c>
      <c r="C177" s="24" t="s">
        <v>200</v>
      </c>
      <c r="D177" s="60" t="s">
        <v>126</v>
      </c>
      <c r="E177" s="60" t="s">
        <v>2944</v>
      </c>
      <c r="F177" s="69">
        <v>33273.739518477363</v>
      </c>
      <c r="G177" s="60">
        <v>0.99839999999999995</v>
      </c>
      <c r="H177" s="84">
        <v>134.64606000000001</v>
      </c>
      <c r="I177" s="24">
        <v>-0.13744617967010705</v>
      </c>
      <c r="J177" s="24">
        <v>5.5463143996798054E-4</v>
      </c>
      <c r="K177" s="18"/>
      <c r="L177" s="18"/>
    </row>
    <row r="178" spans="1:12" x14ac:dyDescent="0.25">
      <c r="A178" s="16" t="s">
        <v>2942</v>
      </c>
      <c r="B178" s="24" t="s">
        <v>3152</v>
      </c>
      <c r="C178" s="24" t="s">
        <v>200</v>
      </c>
      <c r="D178" s="60" t="s">
        <v>125</v>
      </c>
      <c r="E178" s="60" t="s">
        <v>2944</v>
      </c>
      <c r="F178" s="69">
        <v>-36834.362384349624</v>
      </c>
      <c r="G178" s="60">
        <v>0.99779300000000004</v>
      </c>
      <c r="H178" s="84">
        <v>-140.54382999999999</v>
      </c>
      <c r="I178" s="24">
        <v>0.14346660058010596</v>
      </c>
      <c r="J178" s="24">
        <v>-5.7892541981187612E-4</v>
      </c>
      <c r="K178" s="18"/>
      <c r="L178" s="18"/>
    </row>
    <row r="179" spans="1:12" x14ac:dyDescent="0.25">
      <c r="A179" s="16" t="s">
        <v>2945</v>
      </c>
      <c r="B179" s="24" t="s">
        <v>3153</v>
      </c>
      <c r="C179" s="24" t="s">
        <v>200</v>
      </c>
      <c r="D179" s="60" t="s">
        <v>126</v>
      </c>
      <c r="E179" s="60" t="s">
        <v>529</v>
      </c>
      <c r="F179" s="69">
        <v>10695.13055951058</v>
      </c>
      <c r="G179" s="60">
        <v>0.99839999999999995</v>
      </c>
      <c r="H179" s="84">
        <v>43.279089999999997</v>
      </c>
      <c r="I179" s="24">
        <v>-4.4179128450537161E-2</v>
      </c>
      <c r="J179" s="24">
        <v>1.7827438847600757E-4</v>
      </c>
      <c r="K179" s="18"/>
      <c r="L179" s="18"/>
    </row>
    <row r="180" spans="1:12" x14ac:dyDescent="0.25">
      <c r="A180" s="16" t="s">
        <v>2942</v>
      </c>
      <c r="B180" s="24" t="s">
        <v>3154</v>
      </c>
      <c r="C180" s="24" t="s">
        <v>200</v>
      </c>
      <c r="D180" s="60" t="s">
        <v>125</v>
      </c>
      <c r="E180" s="60" t="s">
        <v>529</v>
      </c>
      <c r="F180" s="69">
        <v>-11616.729959823606</v>
      </c>
      <c r="G180" s="60">
        <v>0.99779300000000004</v>
      </c>
      <c r="H180" s="84">
        <v>-44.324359999999999</v>
      </c>
      <c r="I180" s="24">
        <v>4.5246136042320931E-2</v>
      </c>
      <c r="J180" s="24">
        <v>-1.8258004439535147E-4</v>
      </c>
      <c r="K180" s="18"/>
      <c r="L180" s="18"/>
    </row>
    <row r="181" spans="1:12" x14ac:dyDescent="0.25">
      <c r="A181" s="16" t="s">
        <v>2942</v>
      </c>
      <c r="B181" s="24" t="s">
        <v>3155</v>
      </c>
      <c r="C181" s="24" t="s">
        <v>200</v>
      </c>
      <c r="D181" s="60" t="s">
        <v>125</v>
      </c>
      <c r="E181" s="60" t="s">
        <v>3156</v>
      </c>
      <c r="F181" s="69">
        <v>31961.588041663956</v>
      </c>
      <c r="G181" s="60">
        <v>0.99779300000000004</v>
      </c>
      <c r="H181" s="84">
        <v>121.95144999999999</v>
      </c>
      <c r="I181" s="24">
        <v>-0.12448757065546573</v>
      </c>
      <c r="J181" s="24">
        <v>5.0234004856646519E-4</v>
      </c>
      <c r="K181" s="18"/>
      <c r="L181" s="18"/>
    </row>
    <row r="182" spans="1:12" x14ac:dyDescent="0.25">
      <c r="A182" s="16" t="s">
        <v>2945</v>
      </c>
      <c r="B182" s="24" t="s">
        <v>3157</v>
      </c>
      <c r="C182" s="24" t="s">
        <v>200</v>
      </c>
      <c r="D182" s="60" t="s">
        <v>126</v>
      </c>
      <c r="E182" s="60" t="s">
        <v>3156</v>
      </c>
      <c r="F182" s="69">
        <v>-29484.859817033172</v>
      </c>
      <c r="G182" s="60">
        <v>0.99839999999999995</v>
      </c>
      <c r="H182" s="84">
        <v>-119.31392</v>
      </c>
      <c r="I182" s="24">
        <v>0.12179519018577134</v>
      </c>
      <c r="J182" s="24">
        <v>-4.9147558612427597E-4</v>
      </c>
      <c r="K182" s="18"/>
      <c r="L182" s="18"/>
    </row>
    <row r="183" spans="1:12" x14ac:dyDescent="0.25">
      <c r="A183" s="16" t="s">
        <v>2942</v>
      </c>
      <c r="B183" s="24" t="s">
        <v>3158</v>
      </c>
      <c r="C183" s="24" t="s">
        <v>200</v>
      </c>
      <c r="D183" s="60" t="s">
        <v>125</v>
      </c>
      <c r="E183" s="60" t="s">
        <v>532</v>
      </c>
      <c r="F183" s="69">
        <v>20358.518375538955</v>
      </c>
      <c r="G183" s="60">
        <v>0.99779300000000004</v>
      </c>
      <c r="H183" s="84">
        <v>77.679210000000012</v>
      </c>
      <c r="I183" s="24">
        <v>-7.9294638508486462E-2</v>
      </c>
      <c r="J183" s="24">
        <v>3.1997469586466298E-4</v>
      </c>
      <c r="K183" s="18"/>
      <c r="L183" s="18"/>
    </row>
    <row r="184" spans="1:12" x14ac:dyDescent="0.25">
      <c r="A184" s="16" t="s">
        <v>2945</v>
      </c>
      <c r="B184" s="24" t="s">
        <v>3159</v>
      </c>
      <c r="C184" s="24" t="s">
        <v>200</v>
      </c>
      <c r="D184" s="60" t="s">
        <v>126</v>
      </c>
      <c r="E184" s="60" t="s">
        <v>532</v>
      </c>
      <c r="F184" s="69">
        <v>-18763.092610839289</v>
      </c>
      <c r="G184" s="60">
        <v>0.99839999999999995</v>
      </c>
      <c r="H184" s="84">
        <v>-75.927039999999991</v>
      </c>
      <c r="I184" s="24">
        <v>7.7506030118218119E-2</v>
      </c>
      <c r="J184" s="24">
        <v>-3.1275719116999378E-4</v>
      </c>
      <c r="K184" s="18"/>
      <c r="L184" s="18"/>
    </row>
    <row r="185" spans="1:12" x14ac:dyDescent="0.25">
      <c r="A185" s="16" t="s">
        <v>2942</v>
      </c>
      <c r="B185" s="24" t="s">
        <v>3160</v>
      </c>
      <c r="C185" s="24" t="s">
        <v>200</v>
      </c>
      <c r="D185" s="60" t="s">
        <v>125</v>
      </c>
      <c r="E185" s="60" t="s">
        <v>3161</v>
      </c>
      <c r="F185" s="69">
        <v>20673.143273321111</v>
      </c>
      <c r="G185" s="60">
        <v>0.99779300000000004</v>
      </c>
      <c r="H185" s="84">
        <v>78.879679999999993</v>
      </c>
      <c r="I185" s="24">
        <v>-8.0520073662761094E-2</v>
      </c>
      <c r="J185" s="24">
        <v>3.2491964861514338E-4</v>
      </c>
      <c r="K185" s="18"/>
      <c r="L185" s="18"/>
    </row>
    <row r="186" spans="1:12" x14ac:dyDescent="0.25">
      <c r="A186" s="16" t="s">
        <v>2945</v>
      </c>
      <c r="B186" s="24" t="s">
        <v>3162</v>
      </c>
      <c r="C186" s="24" t="s">
        <v>200</v>
      </c>
      <c r="D186" s="60" t="s">
        <v>126</v>
      </c>
      <c r="E186" s="60" t="s">
        <v>3161</v>
      </c>
      <c r="F186" s="69">
        <v>-19031.136790994136</v>
      </c>
      <c r="G186" s="60">
        <v>0.99839999999999995</v>
      </c>
      <c r="H186" s="84">
        <v>-77.011710000000008</v>
      </c>
      <c r="I186" s="24">
        <v>7.8613257078314666E-2</v>
      </c>
      <c r="J186" s="24">
        <v>-3.1722514280548968E-4</v>
      </c>
      <c r="K186" s="18"/>
      <c r="L186" s="18"/>
    </row>
    <row r="187" spans="1:12" x14ac:dyDescent="0.25">
      <c r="A187" s="16" t="s">
        <v>2942</v>
      </c>
      <c r="B187" s="24" t="s">
        <v>3163</v>
      </c>
      <c r="C187" s="24" t="s">
        <v>200</v>
      </c>
      <c r="D187" s="60" t="s">
        <v>125</v>
      </c>
      <c r="E187" s="60" t="s">
        <v>3130</v>
      </c>
      <c r="F187" s="69">
        <v>70140.621668527689</v>
      </c>
      <c r="G187" s="60">
        <v>0.99779300000000004</v>
      </c>
      <c r="H187" s="84">
        <v>267.62594999999999</v>
      </c>
      <c r="I187" s="24">
        <v>-0.27319153941885183</v>
      </c>
      <c r="J187" s="24">
        <v>1.1023996247740094E-3</v>
      </c>
      <c r="K187" s="18"/>
      <c r="L187" s="18"/>
    </row>
    <row r="188" spans="1:12" x14ac:dyDescent="0.25">
      <c r="A188" s="16" t="s">
        <v>2945</v>
      </c>
      <c r="B188" s="24" t="s">
        <v>3164</v>
      </c>
      <c r="C188" s="24" t="s">
        <v>200</v>
      </c>
      <c r="D188" s="60" t="s">
        <v>126</v>
      </c>
      <c r="E188" s="60" t="s">
        <v>3130</v>
      </c>
      <c r="F188" s="69">
        <v>-64330.603237163283</v>
      </c>
      <c r="G188" s="60">
        <v>0.99839999999999995</v>
      </c>
      <c r="H188" s="84">
        <v>-260.32128</v>
      </c>
      <c r="I188" s="24">
        <v>0.2657349604053193</v>
      </c>
      <c r="J188" s="24">
        <v>-1.0723103697256931E-3</v>
      </c>
      <c r="K188" s="18"/>
      <c r="L188" s="18"/>
    </row>
    <row r="189" spans="1:12" x14ac:dyDescent="0.25">
      <c r="A189" s="16" t="s">
        <v>3165</v>
      </c>
      <c r="B189" s="24" t="s">
        <v>3166</v>
      </c>
      <c r="C189" s="24" t="s">
        <v>200</v>
      </c>
      <c r="D189" s="60" t="s">
        <v>2</v>
      </c>
      <c r="E189" s="60" t="s">
        <v>3167</v>
      </c>
      <c r="F189" s="69">
        <v>43000</v>
      </c>
      <c r="G189" s="60">
        <v>0.99788399999999999</v>
      </c>
      <c r="H189" s="84">
        <v>200.72406000000001</v>
      </c>
      <c r="I189" s="24">
        <v>-0.20489834767443882</v>
      </c>
      <c r="J189" s="24">
        <v>8.2681865651337534E-4</v>
      </c>
      <c r="K189" s="18"/>
      <c r="L189" s="18"/>
    </row>
    <row r="190" spans="1:12" x14ac:dyDescent="0.25">
      <c r="A190" s="16" t="s">
        <v>3168</v>
      </c>
      <c r="B190" s="24" t="s">
        <v>3169</v>
      </c>
      <c r="C190" s="24" t="s">
        <v>200</v>
      </c>
      <c r="D190" s="60" t="s">
        <v>125</v>
      </c>
      <c r="E190" s="60" t="s">
        <v>3167</v>
      </c>
      <c r="F190" s="69">
        <v>-55018.5</v>
      </c>
      <c r="G190" s="60">
        <v>0.99779300000000004</v>
      </c>
      <c r="H190" s="84">
        <v>-209.92654000000002</v>
      </c>
      <c r="I190" s="24">
        <v>0.21429220382953587</v>
      </c>
      <c r="J190" s="24">
        <v>-8.6472533372083731E-4</v>
      </c>
      <c r="K190" s="18"/>
      <c r="L190" s="18"/>
    </row>
    <row r="191" spans="1:12" x14ac:dyDescent="0.25">
      <c r="A191" s="16" t="s">
        <v>2949</v>
      </c>
      <c r="B191" s="24" t="s">
        <v>3170</v>
      </c>
      <c r="C191" s="24" t="s">
        <v>200</v>
      </c>
      <c r="D191" s="60" t="s">
        <v>422</v>
      </c>
      <c r="E191" s="60" t="s">
        <v>3167</v>
      </c>
      <c r="F191" s="69">
        <v>51405507</v>
      </c>
      <c r="G191" s="60">
        <v>1.000256</v>
      </c>
      <c r="H191" s="84">
        <v>1319.40338</v>
      </c>
      <c r="I191" s="24">
        <v>-1.3468418906934709</v>
      </c>
      <c r="J191" s="24">
        <v>5.4348608236143015E-3</v>
      </c>
      <c r="K191" s="18"/>
      <c r="L191" s="18"/>
    </row>
    <row r="192" spans="1:12" x14ac:dyDescent="0.25">
      <c r="A192" s="16" t="s">
        <v>2951</v>
      </c>
      <c r="B192" s="24" t="s">
        <v>3171</v>
      </c>
      <c r="C192" s="24" t="s">
        <v>200</v>
      </c>
      <c r="D192" s="60" t="s">
        <v>125</v>
      </c>
      <c r="E192" s="60" t="s">
        <v>3167</v>
      </c>
      <c r="F192" s="69">
        <v>-369159.83</v>
      </c>
      <c r="G192" s="60">
        <v>0.99676699999999996</v>
      </c>
      <c r="H192" s="84">
        <v>-1407.1039800000001</v>
      </c>
      <c r="I192" s="24">
        <v>1.4363663255323085</v>
      </c>
      <c r="J192" s="24">
        <v>-5.7961154348822128E-3</v>
      </c>
      <c r="K192" s="18"/>
      <c r="L192" s="18"/>
    </row>
    <row r="193" spans="1:12" x14ac:dyDescent="0.25">
      <c r="A193" s="16" t="s">
        <v>2949</v>
      </c>
      <c r="B193" s="24" t="s">
        <v>3172</v>
      </c>
      <c r="C193" s="24" t="s">
        <v>200</v>
      </c>
      <c r="D193" s="60" t="s">
        <v>422</v>
      </c>
      <c r="E193" s="60" t="s">
        <v>3173</v>
      </c>
      <c r="F193" s="69">
        <v>994251.02608783543</v>
      </c>
      <c r="G193" s="60">
        <v>1.000256</v>
      </c>
      <c r="H193" s="84">
        <v>25.519029999999997</v>
      </c>
      <c r="I193" s="24">
        <v>-2.6049727577523264E-2</v>
      </c>
      <c r="J193" s="24">
        <v>1.0511749363840347E-4</v>
      </c>
      <c r="K193" s="18"/>
      <c r="L193" s="18"/>
    </row>
    <row r="194" spans="1:12" x14ac:dyDescent="0.25">
      <c r="A194" s="16" t="s">
        <v>2951</v>
      </c>
      <c r="B194" s="24" t="s">
        <v>3174</v>
      </c>
      <c r="C194" s="24" t="s">
        <v>200</v>
      </c>
      <c r="D194" s="60" t="s">
        <v>125</v>
      </c>
      <c r="E194" s="60" t="s">
        <v>3173</v>
      </c>
      <c r="F194" s="69">
        <v>-7059.9376981396872</v>
      </c>
      <c r="G194" s="60">
        <v>0.99676699999999996</v>
      </c>
      <c r="H194" s="84">
        <v>-26.909929999999999</v>
      </c>
      <c r="I194" s="24">
        <v>2.746955294265576E-2</v>
      </c>
      <c r="J194" s="24">
        <v>-1.1084686195301636E-4</v>
      </c>
      <c r="K194" s="18"/>
      <c r="L194" s="18"/>
    </row>
    <row r="195" spans="1:12" x14ac:dyDescent="0.25">
      <c r="A195" s="16" t="s">
        <v>2949</v>
      </c>
      <c r="B195" s="24" t="s">
        <v>3175</v>
      </c>
      <c r="C195" s="24" t="s">
        <v>200</v>
      </c>
      <c r="D195" s="60" t="s">
        <v>422</v>
      </c>
      <c r="E195" s="60" t="s">
        <v>2888</v>
      </c>
      <c r="F195" s="69">
        <v>622253.43425952329</v>
      </c>
      <c r="G195" s="60">
        <v>1.000256</v>
      </c>
      <c r="H195" s="84">
        <v>15.971120000000001</v>
      </c>
      <c r="I195" s="24">
        <v>-1.6303257808307502E-2</v>
      </c>
      <c r="J195" s="24">
        <v>6.5787927871795238E-5</v>
      </c>
      <c r="K195" s="18"/>
      <c r="L195" s="18"/>
    </row>
    <row r="196" spans="1:12" x14ac:dyDescent="0.25">
      <c r="A196" s="16" t="s">
        <v>2951</v>
      </c>
      <c r="B196" s="24" t="s">
        <v>3176</v>
      </c>
      <c r="C196" s="24" t="s">
        <v>200</v>
      </c>
      <c r="D196" s="60" t="s">
        <v>125</v>
      </c>
      <c r="E196" s="60" t="s">
        <v>2888</v>
      </c>
      <c r="F196" s="69">
        <v>-4394.4451589679984</v>
      </c>
      <c r="G196" s="60">
        <v>0.99676699999999996</v>
      </c>
      <c r="H196" s="84">
        <v>-16.750040000000002</v>
      </c>
      <c r="I196" s="24">
        <v>1.7098376345520101E-2</v>
      </c>
      <c r="J196" s="24">
        <v>-6.8996440034868259E-5</v>
      </c>
      <c r="K196" s="18"/>
      <c r="L196" s="18"/>
    </row>
    <row r="197" spans="1:12" x14ac:dyDescent="0.25">
      <c r="A197" s="16" t="s">
        <v>2945</v>
      </c>
      <c r="B197" s="24" t="s">
        <v>3177</v>
      </c>
      <c r="C197" s="24" t="s">
        <v>200</v>
      </c>
      <c r="D197" s="60" t="s">
        <v>126</v>
      </c>
      <c r="E197" s="60" t="s">
        <v>1497</v>
      </c>
      <c r="F197" s="69">
        <v>44763.378085859447</v>
      </c>
      <c r="G197" s="60">
        <v>0.99839999999999995</v>
      </c>
      <c r="H197" s="84">
        <v>181.14022</v>
      </c>
      <c r="I197" s="24">
        <v>-0.18490723919885008</v>
      </c>
      <c r="J197" s="24">
        <v>7.4614928245740565E-4</v>
      </c>
      <c r="K197" s="18"/>
      <c r="L197" s="18"/>
    </row>
    <row r="198" spans="1:12" x14ac:dyDescent="0.25">
      <c r="A198" s="16" t="s">
        <v>2942</v>
      </c>
      <c r="B198" s="24" t="s">
        <v>3178</v>
      </c>
      <c r="C198" s="24" t="s">
        <v>200</v>
      </c>
      <c r="D198" s="60" t="s">
        <v>125</v>
      </c>
      <c r="E198" s="60" t="s">
        <v>1497</v>
      </c>
      <c r="F198" s="69">
        <v>-49044.995199771904</v>
      </c>
      <c r="G198" s="60">
        <v>0.99779300000000004</v>
      </c>
      <c r="H198" s="84">
        <v>-187.13426000000001</v>
      </c>
      <c r="I198" s="24">
        <v>0.19102593215421626</v>
      </c>
      <c r="J198" s="24">
        <v>-7.7083981581891421E-4</v>
      </c>
      <c r="K198" s="18"/>
      <c r="L198" s="18"/>
    </row>
    <row r="199" spans="1:12" x14ac:dyDescent="0.25">
      <c r="A199" s="16" t="s">
        <v>2945</v>
      </c>
      <c r="B199" s="24" t="s">
        <v>3179</v>
      </c>
      <c r="C199" s="24" t="s">
        <v>200</v>
      </c>
      <c r="D199" s="60" t="s">
        <v>126</v>
      </c>
      <c r="E199" s="60" t="s">
        <v>1497</v>
      </c>
      <c r="F199" s="69">
        <v>3168.9275731883199</v>
      </c>
      <c r="G199" s="60">
        <v>0.99839999999999995</v>
      </c>
      <c r="H199" s="84">
        <v>12.82343</v>
      </c>
      <c r="I199" s="24">
        <v>-1.3090107974693363E-2</v>
      </c>
      <c r="J199" s="24">
        <v>5.2822024248081235E-5</v>
      </c>
      <c r="K199" s="18"/>
      <c r="L199" s="18"/>
    </row>
    <row r="200" spans="1:12" x14ac:dyDescent="0.25">
      <c r="A200" s="16" t="s">
        <v>2942</v>
      </c>
      <c r="B200" s="24" t="s">
        <v>3180</v>
      </c>
      <c r="C200" s="24" t="s">
        <v>200</v>
      </c>
      <c r="D200" s="60" t="s">
        <v>125</v>
      </c>
      <c r="E200" s="60" t="s">
        <v>1497</v>
      </c>
      <c r="F200" s="69">
        <v>-3472.0354955637827</v>
      </c>
      <c r="G200" s="60">
        <v>0.99779300000000004</v>
      </c>
      <c r="H200" s="84">
        <v>-13.247770000000001</v>
      </c>
      <c r="I200" s="24">
        <v>1.3523272613014108E-2</v>
      </c>
      <c r="J200" s="24">
        <v>-5.4569957349398966E-5</v>
      </c>
      <c r="K200" s="18"/>
      <c r="L200" s="18"/>
    </row>
    <row r="201" spans="1:12" x14ac:dyDescent="0.25">
      <c r="A201" s="16" t="s">
        <v>2945</v>
      </c>
      <c r="B201" s="24" t="s">
        <v>3181</v>
      </c>
      <c r="C201" s="24" t="s">
        <v>200</v>
      </c>
      <c r="D201" s="60" t="s">
        <v>126</v>
      </c>
      <c r="E201" s="60" t="s">
        <v>1728</v>
      </c>
      <c r="F201" s="69">
        <v>10695.13055951058</v>
      </c>
      <c r="G201" s="60">
        <v>0.99839999999999995</v>
      </c>
      <c r="H201" s="84">
        <v>43.279089999999997</v>
      </c>
      <c r="I201" s="24">
        <v>-4.4179128450537161E-2</v>
      </c>
      <c r="J201" s="24">
        <v>1.7827438847600757E-4</v>
      </c>
      <c r="K201" s="18"/>
      <c r="L201" s="18"/>
    </row>
    <row r="202" spans="1:12" x14ac:dyDescent="0.25">
      <c r="A202" s="16" t="s">
        <v>2942</v>
      </c>
      <c r="B202" s="24" t="s">
        <v>3182</v>
      </c>
      <c r="C202" s="24" t="s">
        <v>200</v>
      </c>
      <c r="D202" s="60" t="s">
        <v>125</v>
      </c>
      <c r="E202" s="60" t="s">
        <v>1728</v>
      </c>
      <c r="F202" s="69">
        <v>-12003.89368607789</v>
      </c>
      <c r="G202" s="60">
        <v>0.99779300000000004</v>
      </c>
      <c r="H202" s="84">
        <v>-45.801610000000004</v>
      </c>
      <c r="I202" s="24">
        <v>4.6754107155011979E-2</v>
      </c>
      <c r="J202" s="24">
        <v>-1.8866510395589638E-4</v>
      </c>
      <c r="K202" s="18"/>
      <c r="L202" s="18"/>
    </row>
    <row r="203" spans="1:12" x14ac:dyDescent="0.25">
      <c r="A203" s="16" t="s">
        <v>2951</v>
      </c>
      <c r="B203" s="24" t="s">
        <v>3183</v>
      </c>
      <c r="C203" s="24" t="s">
        <v>200</v>
      </c>
      <c r="D203" s="60" t="s">
        <v>125</v>
      </c>
      <c r="E203" s="60" t="s">
        <v>2921</v>
      </c>
      <c r="F203" s="69">
        <v>4853.7616148457646</v>
      </c>
      <c r="G203" s="60">
        <v>0.99676699999999996</v>
      </c>
      <c r="H203" s="84">
        <v>18.500790000000002</v>
      </c>
      <c r="I203" s="24">
        <v>-1.8885535205255318E-2</v>
      </c>
      <c r="J203" s="24">
        <v>7.6208095493066904E-5</v>
      </c>
      <c r="K203" s="18"/>
      <c r="L203" s="18"/>
    </row>
    <row r="204" spans="1:12" x14ac:dyDescent="0.25">
      <c r="A204" s="16" t="s">
        <v>2949</v>
      </c>
      <c r="B204" s="24" t="s">
        <v>3184</v>
      </c>
      <c r="C204" s="24" t="s">
        <v>200</v>
      </c>
      <c r="D204" s="60" t="s">
        <v>422</v>
      </c>
      <c r="E204" s="60" t="s">
        <v>2921</v>
      </c>
      <c r="F204" s="69">
        <v>-667059.25415614131</v>
      </c>
      <c r="G204" s="60">
        <v>1.000256</v>
      </c>
      <c r="H204" s="84">
        <v>-17.121130000000001</v>
      </c>
      <c r="I204" s="24">
        <v>1.7477183588849612E-2</v>
      </c>
      <c r="J204" s="24">
        <v>-7.0525026768544067E-5</v>
      </c>
      <c r="K204" s="18"/>
      <c r="L204" s="18"/>
    </row>
    <row r="205" spans="1:12" x14ac:dyDescent="0.25">
      <c r="A205" s="16" t="s">
        <v>2945</v>
      </c>
      <c r="B205" s="24" t="s">
        <v>3185</v>
      </c>
      <c r="C205" s="24" t="s">
        <v>200</v>
      </c>
      <c r="D205" s="60" t="s">
        <v>126</v>
      </c>
      <c r="E205" s="60" t="s">
        <v>3021</v>
      </c>
      <c r="F205" s="69">
        <v>45567.510626323987</v>
      </c>
      <c r="G205" s="60">
        <v>0.99839999999999995</v>
      </c>
      <c r="H205" s="84">
        <v>184.39424</v>
      </c>
      <c r="I205" s="24">
        <v>-0.18822893028710116</v>
      </c>
      <c r="J205" s="24">
        <v>7.5955317855569925E-4</v>
      </c>
      <c r="K205" s="18"/>
      <c r="L205" s="18"/>
    </row>
    <row r="206" spans="1:12" x14ac:dyDescent="0.25">
      <c r="A206" s="16" t="s">
        <v>2942</v>
      </c>
      <c r="B206" s="24" t="s">
        <v>3186</v>
      </c>
      <c r="C206" s="24" t="s">
        <v>200</v>
      </c>
      <c r="D206" s="60" t="s">
        <v>125</v>
      </c>
      <c r="E206" s="60" t="s">
        <v>3021</v>
      </c>
      <c r="F206" s="69">
        <v>-50747.6252343245</v>
      </c>
      <c r="G206" s="60">
        <v>0.99779300000000004</v>
      </c>
      <c r="H206" s="84">
        <v>-193.63076000000001</v>
      </c>
      <c r="I206" s="24">
        <v>0.19765753434314662</v>
      </c>
      <c r="J206" s="24">
        <v>-7.9760007267122752E-4</v>
      </c>
      <c r="K206" s="18"/>
      <c r="L206" s="18"/>
    </row>
    <row r="207" spans="1:12" x14ac:dyDescent="0.25">
      <c r="A207" s="16" t="s">
        <v>2949</v>
      </c>
      <c r="B207" s="24" t="s">
        <v>3187</v>
      </c>
      <c r="C207" s="24" t="s">
        <v>200</v>
      </c>
      <c r="D207" s="60" t="s">
        <v>422</v>
      </c>
      <c r="E207" s="60" t="s">
        <v>3188</v>
      </c>
      <c r="F207" s="69">
        <v>23821581</v>
      </c>
      <c r="G207" s="60">
        <v>1.000256</v>
      </c>
      <c r="H207" s="84">
        <v>611.41858999999999</v>
      </c>
      <c r="I207" s="24">
        <v>-0.62413374275328604</v>
      </c>
      <c r="J207" s="24">
        <v>2.5185436023519164E-3</v>
      </c>
      <c r="K207" s="18"/>
      <c r="L207" s="18"/>
    </row>
    <row r="208" spans="1:12" x14ac:dyDescent="0.25">
      <c r="A208" s="16" t="s">
        <v>2951</v>
      </c>
      <c r="B208" s="24" t="s">
        <v>3189</v>
      </c>
      <c r="C208" s="24" t="s">
        <v>200</v>
      </c>
      <c r="D208" s="60" t="s">
        <v>125</v>
      </c>
      <c r="E208" s="60" t="s">
        <v>3188</v>
      </c>
      <c r="F208" s="69">
        <v>-173000</v>
      </c>
      <c r="G208" s="60">
        <v>0.99676699999999996</v>
      </c>
      <c r="H208" s="84">
        <v>-659.41353000000004</v>
      </c>
      <c r="I208" s="24">
        <v>0.67312679272813136</v>
      </c>
      <c r="J208" s="24">
        <v>-2.7162434287217106E-3</v>
      </c>
      <c r="K208" s="18"/>
      <c r="L208" s="18"/>
    </row>
    <row r="209" spans="1:12" x14ac:dyDescent="0.25">
      <c r="A209" s="16" t="s">
        <v>2945</v>
      </c>
      <c r="B209" s="24" t="s">
        <v>3190</v>
      </c>
      <c r="C209" s="24" t="s">
        <v>200</v>
      </c>
      <c r="D209" s="60" t="s">
        <v>126</v>
      </c>
      <c r="E209" s="60" t="s">
        <v>2751</v>
      </c>
      <c r="F209" s="69">
        <v>26804.418015484702</v>
      </c>
      <c r="G209" s="60">
        <v>0.99839999999999995</v>
      </c>
      <c r="H209" s="84">
        <v>108.46719999999999</v>
      </c>
      <c r="I209" s="24">
        <v>-0.11072290016888305</v>
      </c>
      <c r="J209" s="24">
        <v>4.4679598738570542E-4</v>
      </c>
      <c r="K209" s="18"/>
      <c r="L209" s="18"/>
    </row>
    <row r="210" spans="1:12" x14ac:dyDescent="0.25">
      <c r="A210" s="16" t="s">
        <v>2942</v>
      </c>
      <c r="B210" s="24" t="s">
        <v>3191</v>
      </c>
      <c r="C210" s="24" t="s">
        <v>200</v>
      </c>
      <c r="D210" s="60" t="s">
        <v>125</v>
      </c>
      <c r="E210" s="60" t="s">
        <v>2751</v>
      </c>
      <c r="F210" s="69">
        <v>-29503.354865463854</v>
      </c>
      <c r="G210" s="60">
        <v>0.99779300000000004</v>
      </c>
      <c r="H210" s="84">
        <v>-112.57191</v>
      </c>
      <c r="I210" s="24">
        <v>0.11491297233403727</v>
      </c>
      <c r="J210" s="24">
        <v>-4.6370402923966663E-4</v>
      </c>
      <c r="K210" s="18"/>
      <c r="L210" s="18"/>
    </row>
    <row r="211" spans="1:12" x14ac:dyDescent="0.25">
      <c r="A211" s="16" t="s">
        <v>2942</v>
      </c>
      <c r="B211" s="24" t="s">
        <v>3192</v>
      </c>
      <c r="C211" s="24" t="s">
        <v>200</v>
      </c>
      <c r="D211" s="60" t="s">
        <v>125</v>
      </c>
      <c r="E211" s="60" t="s">
        <v>1520</v>
      </c>
      <c r="F211" s="69">
        <v>21555.283022394942</v>
      </c>
      <c r="G211" s="60">
        <v>0.99779300000000004</v>
      </c>
      <c r="H211" s="84">
        <v>82.245539999999991</v>
      </c>
      <c r="I211" s="24">
        <v>-8.3955930592436015E-2</v>
      </c>
      <c r="J211" s="24">
        <v>3.3878423387319421E-4</v>
      </c>
      <c r="K211" s="18"/>
      <c r="L211" s="18"/>
    </row>
    <row r="212" spans="1:12" x14ac:dyDescent="0.25">
      <c r="A212" s="16" t="s">
        <v>2945</v>
      </c>
      <c r="B212" s="24" t="s">
        <v>3193</v>
      </c>
      <c r="C212" s="24" t="s">
        <v>200</v>
      </c>
      <c r="D212" s="60" t="s">
        <v>126</v>
      </c>
      <c r="E212" s="60" t="s">
        <v>1520</v>
      </c>
      <c r="F212" s="69">
        <v>-19805.797332426999</v>
      </c>
      <c r="G212" s="60">
        <v>0.99839999999999995</v>
      </c>
      <c r="H212" s="84">
        <v>-80.146470000000008</v>
      </c>
      <c r="I212" s="24">
        <v>8.1813208017708389E-2</v>
      </c>
      <c r="J212" s="24">
        <v>-3.3013778542387767E-4</v>
      </c>
      <c r="K212" s="18"/>
      <c r="L212" s="18"/>
    </row>
    <row r="213" spans="1:12" x14ac:dyDescent="0.25">
      <c r="A213" s="16" t="s">
        <v>3168</v>
      </c>
      <c r="B213" s="24" t="s">
        <v>3194</v>
      </c>
      <c r="C213" s="24" t="s">
        <v>200</v>
      </c>
      <c r="D213" s="60" t="s">
        <v>125</v>
      </c>
      <c r="E213" s="60" t="s">
        <v>3195</v>
      </c>
      <c r="F213" s="69">
        <v>8995.6418875529562</v>
      </c>
      <c r="G213" s="60">
        <v>0.99779300000000004</v>
      </c>
      <c r="H213" s="84">
        <v>34.323440000000005</v>
      </c>
      <c r="I213" s="24">
        <v>-3.5037235409161913E-2</v>
      </c>
      <c r="J213" s="24">
        <v>1.4138444861925097E-4</v>
      </c>
      <c r="K213" s="18"/>
      <c r="L213" s="18"/>
    </row>
    <row r="214" spans="1:12" x14ac:dyDescent="0.25">
      <c r="A214" s="16" t="s">
        <v>3165</v>
      </c>
      <c r="B214" s="24" t="s">
        <v>3196</v>
      </c>
      <c r="C214" s="24" t="s">
        <v>200</v>
      </c>
      <c r="D214" s="60" t="s">
        <v>2</v>
      </c>
      <c r="E214" s="60" t="s">
        <v>3195</v>
      </c>
      <c r="F214" s="69">
        <v>-7131.8985095870194</v>
      </c>
      <c r="G214" s="60">
        <v>0.99788399999999999</v>
      </c>
      <c r="H214" s="84">
        <v>-33.291710000000002</v>
      </c>
      <c r="I214" s="24">
        <v>3.3984049397250089E-2</v>
      </c>
      <c r="J214" s="24">
        <v>-1.3713456640540702E-4</v>
      </c>
      <c r="K214" s="18"/>
      <c r="L214" s="18"/>
    </row>
    <row r="215" spans="1:12" x14ac:dyDescent="0.25">
      <c r="A215" s="16" t="s">
        <v>2953</v>
      </c>
      <c r="B215" s="24" t="s">
        <v>3197</v>
      </c>
      <c r="C215" s="24" t="s">
        <v>200</v>
      </c>
      <c r="D215" s="60" t="s">
        <v>125</v>
      </c>
      <c r="E215" s="60" t="s">
        <v>1115</v>
      </c>
      <c r="F215" s="69">
        <v>36495.917208626401</v>
      </c>
      <c r="G215" s="60">
        <v>0.97838400000000003</v>
      </c>
      <c r="H215" s="84">
        <v>136.54376000000002</v>
      </c>
      <c r="I215" s="24">
        <v>-0.13938334452409509</v>
      </c>
      <c r="J215" s="24">
        <v>5.6244840901725865E-4</v>
      </c>
      <c r="K215" s="18"/>
      <c r="L215" s="18"/>
    </row>
    <row r="216" spans="1:12" x14ac:dyDescent="0.25">
      <c r="A216" s="16" t="s">
        <v>2955</v>
      </c>
      <c r="B216" s="24" t="s">
        <v>3198</v>
      </c>
      <c r="C216" s="24" t="s">
        <v>200</v>
      </c>
      <c r="D216" s="60" t="s">
        <v>2</v>
      </c>
      <c r="E216" s="60" t="s">
        <v>1115</v>
      </c>
      <c r="F216" s="69">
        <v>-29484.859817033172</v>
      </c>
      <c r="G216" s="60">
        <v>0.97932300000000005</v>
      </c>
      <c r="H216" s="84">
        <v>-135.07536999999999</v>
      </c>
      <c r="I216" s="24">
        <v>0.13788441766529363</v>
      </c>
      <c r="J216" s="24">
        <v>-5.5639984539694479E-4</v>
      </c>
      <c r="K216" s="18"/>
      <c r="L216" s="18"/>
    </row>
    <row r="217" spans="1:12" x14ac:dyDescent="0.25">
      <c r="A217" s="16" t="s">
        <v>2953</v>
      </c>
      <c r="B217" s="24" t="s">
        <v>3199</v>
      </c>
      <c r="C217" s="24" t="s">
        <v>200</v>
      </c>
      <c r="D217" s="60" t="s">
        <v>125</v>
      </c>
      <c r="E217" s="60" t="s">
        <v>1115</v>
      </c>
      <c r="F217" s="69">
        <v>86293.922355935909</v>
      </c>
      <c r="G217" s="60">
        <v>0.97838400000000003</v>
      </c>
      <c r="H217" s="84">
        <v>322.85520000000002</v>
      </c>
      <c r="I217" s="24">
        <v>-0.32956934519011066</v>
      </c>
      <c r="J217" s="24">
        <v>1.3298988806441894E-3</v>
      </c>
      <c r="K217" s="18"/>
      <c r="L217" s="18"/>
    </row>
    <row r="218" spans="1:12" x14ac:dyDescent="0.25">
      <c r="A218" s="16" t="s">
        <v>2955</v>
      </c>
      <c r="B218" s="24" t="s">
        <v>3200</v>
      </c>
      <c r="C218" s="24" t="s">
        <v>200</v>
      </c>
      <c r="D218" s="60" t="s">
        <v>2</v>
      </c>
      <c r="E218" s="60" t="s">
        <v>1115</v>
      </c>
      <c r="F218" s="69">
        <v>-69716.406610143036</v>
      </c>
      <c r="G218" s="60">
        <v>0.97932300000000005</v>
      </c>
      <c r="H218" s="84">
        <v>-319.38322999999997</v>
      </c>
      <c r="I218" s="24">
        <v>0.32602517158095173</v>
      </c>
      <c r="J218" s="24">
        <v>-1.3155972091312936E-3</v>
      </c>
      <c r="K218" s="18"/>
      <c r="L218" s="18"/>
    </row>
    <row r="219" spans="1:12" x14ac:dyDescent="0.25">
      <c r="A219" s="16" t="s">
        <v>2953</v>
      </c>
      <c r="B219" s="24" t="s">
        <v>3201</v>
      </c>
      <c r="C219" s="24" t="s">
        <v>200</v>
      </c>
      <c r="D219" s="60" t="s">
        <v>125</v>
      </c>
      <c r="E219" s="60" t="s">
        <v>1115</v>
      </c>
      <c r="F219" s="69">
        <v>252508.14</v>
      </c>
      <c r="G219" s="60">
        <v>0.97838400000000003</v>
      </c>
      <c r="H219" s="84">
        <v>944.71920999999998</v>
      </c>
      <c r="I219" s="24">
        <v>-0.96436573246526192</v>
      </c>
      <c r="J219" s="24">
        <v>3.8914690545546822E-3</v>
      </c>
      <c r="K219" s="18"/>
      <c r="L219" s="18"/>
    </row>
    <row r="220" spans="1:12" x14ac:dyDescent="0.25">
      <c r="A220" s="16" t="s">
        <v>2955</v>
      </c>
      <c r="B220" s="24" t="s">
        <v>3202</v>
      </c>
      <c r="C220" s="24" t="s">
        <v>200</v>
      </c>
      <c r="D220" s="60" t="s">
        <v>2</v>
      </c>
      <c r="E220" s="60" t="s">
        <v>1115</v>
      </c>
      <c r="F220" s="69">
        <v>-204000</v>
      </c>
      <c r="G220" s="60">
        <v>0.97932300000000005</v>
      </c>
      <c r="H220" s="84">
        <v>-934.55993999999998</v>
      </c>
      <c r="I220" s="24">
        <v>0.95399518876173928</v>
      </c>
      <c r="J220" s="24">
        <v>-3.8496211865285141E-3</v>
      </c>
      <c r="K220" s="18"/>
      <c r="L220" s="18"/>
    </row>
    <row r="221" spans="1:12" x14ac:dyDescent="0.25">
      <c r="A221" s="16" t="s">
        <v>2945</v>
      </c>
      <c r="B221" s="24" t="s">
        <v>3203</v>
      </c>
      <c r="C221" s="24" t="s">
        <v>200</v>
      </c>
      <c r="D221" s="60" t="s">
        <v>126</v>
      </c>
      <c r="E221" s="60" t="s">
        <v>1731</v>
      </c>
      <c r="F221" s="69">
        <v>17288.849619987632</v>
      </c>
      <c r="G221" s="60">
        <v>0.99839999999999995</v>
      </c>
      <c r="H221" s="84">
        <v>69.961380000000005</v>
      </c>
      <c r="I221" s="24">
        <v>-7.1416307357590969E-2</v>
      </c>
      <c r="J221" s="24">
        <v>2.8818356015428213E-4</v>
      </c>
      <c r="K221" s="18"/>
      <c r="L221" s="18"/>
    </row>
    <row r="222" spans="1:12" x14ac:dyDescent="0.25">
      <c r="A222" s="16" t="s">
        <v>2942</v>
      </c>
      <c r="B222" s="24" t="s">
        <v>3204</v>
      </c>
      <c r="C222" s="24" t="s">
        <v>200</v>
      </c>
      <c r="D222" s="60" t="s">
        <v>125</v>
      </c>
      <c r="E222" s="60" t="s">
        <v>1731</v>
      </c>
      <c r="F222" s="69">
        <v>-18499.069093386766</v>
      </c>
      <c r="G222" s="60">
        <v>0.99779300000000004</v>
      </c>
      <c r="H222" s="84">
        <v>-70.584360000000004</v>
      </c>
      <c r="I222" s="24">
        <v>7.2052242943161635E-2</v>
      </c>
      <c r="J222" s="24">
        <v>-2.9074972729256491E-4</v>
      </c>
      <c r="K222" s="18"/>
      <c r="L222" s="18"/>
    </row>
    <row r="223" spans="1:12" x14ac:dyDescent="0.25">
      <c r="A223" s="16" t="s">
        <v>2955</v>
      </c>
      <c r="B223" s="24" t="s">
        <v>3205</v>
      </c>
      <c r="C223" s="24" t="s">
        <v>200</v>
      </c>
      <c r="D223" s="60" t="s">
        <v>2</v>
      </c>
      <c r="E223" s="60" t="s">
        <v>1731</v>
      </c>
      <c r="F223" s="69">
        <v>5360.8836030969396</v>
      </c>
      <c r="G223" s="60">
        <v>0.97932300000000005</v>
      </c>
      <c r="H223" s="84">
        <v>24.559150000000002</v>
      </c>
      <c r="I223" s="24">
        <v>-2.5069885768993983E-2</v>
      </c>
      <c r="J223" s="24">
        <v>1.0116357455160315E-4</v>
      </c>
      <c r="K223" s="18"/>
      <c r="L223" s="18"/>
    </row>
    <row r="224" spans="1:12" x14ac:dyDescent="0.25">
      <c r="A224" s="16" t="s">
        <v>2953</v>
      </c>
      <c r="B224" s="24" t="s">
        <v>3206</v>
      </c>
      <c r="C224" s="24" t="s">
        <v>200</v>
      </c>
      <c r="D224" s="60" t="s">
        <v>125</v>
      </c>
      <c r="E224" s="60" t="s">
        <v>1731</v>
      </c>
      <c r="F224" s="69">
        <v>-6639.2667115094519</v>
      </c>
      <c r="G224" s="60">
        <v>0.97838400000000003</v>
      </c>
      <c r="H224" s="84">
        <v>-24.839759999999998</v>
      </c>
      <c r="I224" s="24">
        <v>2.535633137666515E-2</v>
      </c>
      <c r="J224" s="24">
        <v>-1.0231945782341528E-4</v>
      </c>
      <c r="K224" s="18"/>
      <c r="L224" s="18"/>
    </row>
    <row r="225" spans="1:12" x14ac:dyDescent="0.25">
      <c r="A225" s="16" t="s">
        <v>3168</v>
      </c>
      <c r="B225" s="24" t="s">
        <v>3207</v>
      </c>
      <c r="C225" s="24" t="s">
        <v>200</v>
      </c>
      <c r="D225" s="60" t="s">
        <v>125</v>
      </c>
      <c r="E225" s="60" t="s">
        <v>3071</v>
      </c>
      <c r="F225" s="69">
        <v>53169.5</v>
      </c>
      <c r="G225" s="60">
        <v>0.99779300000000004</v>
      </c>
      <c r="H225" s="84">
        <v>202.87157000000002</v>
      </c>
      <c r="I225" s="24">
        <v>-0.20709051761467587</v>
      </c>
      <c r="J225" s="24">
        <v>8.3566463807158544E-4</v>
      </c>
      <c r="K225" s="18"/>
      <c r="L225" s="18"/>
    </row>
    <row r="226" spans="1:12" x14ac:dyDescent="0.25">
      <c r="A226" s="16" t="s">
        <v>3165</v>
      </c>
      <c r="B226" s="24" t="s">
        <v>3208</v>
      </c>
      <c r="C226" s="24" t="s">
        <v>200</v>
      </c>
      <c r="D226" s="60" t="s">
        <v>2</v>
      </c>
      <c r="E226" s="60" t="s">
        <v>3071</v>
      </c>
      <c r="F226" s="69">
        <v>-43000</v>
      </c>
      <c r="G226" s="60">
        <v>0.99788399999999999</v>
      </c>
      <c r="H226" s="84">
        <v>-200.72407000000001</v>
      </c>
      <c r="I226" s="24">
        <v>0.20489835788240032</v>
      </c>
      <c r="J226" s="24">
        <v>-8.268186977051815E-4</v>
      </c>
      <c r="K226" s="18"/>
      <c r="L226" s="18"/>
    </row>
    <row r="227" spans="1:12" x14ac:dyDescent="0.25">
      <c r="A227" s="16" t="s">
        <v>2955</v>
      </c>
      <c r="B227" s="24" t="s">
        <v>3209</v>
      </c>
      <c r="C227" s="24" t="s">
        <v>200</v>
      </c>
      <c r="D227" s="60" t="s">
        <v>2</v>
      </c>
      <c r="E227" s="60" t="s">
        <v>3071</v>
      </c>
      <c r="F227" s="69">
        <v>43000</v>
      </c>
      <c r="G227" s="60">
        <v>0.97932300000000005</v>
      </c>
      <c r="H227" s="84">
        <v>196.99057000000002</v>
      </c>
      <c r="I227" s="24">
        <v>-0.20108721545611363</v>
      </c>
      <c r="J227" s="24">
        <v>8.1143973688656973E-4</v>
      </c>
      <c r="K227" s="18"/>
      <c r="L227" s="18"/>
    </row>
    <row r="228" spans="1:12" x14ac:dyDescent="0.25">
      <c r="A228" s="16" t="s">
        <v>2953</v>
      </c>
      <c r="B228" s="24" t="s">
        <v>3210</v>
      </c>
      <c r="C228" s="24" t="s">
        <v>200</v>
      </c>
      <c r="D228" s="60" t="s">
        <v>125</v>
      </c>
      <c r="E228" s="60" t="s">
        <v>3071</v>
      </c>
      <c r="F228" s="69">
        <v>-53207.34</v>
      </c>
      <c r="G228" s="60">
        <v>0.97838400000000003</v>
      </c>
      <c r="H228" s="84">
        <v>-199.06682999999998</v>
      </c>
      <c r="I228" s="24">
        <v>0.20320665367065815</v>
      </c>
      <c r="J228" s="24">
        <v>-8.1999222682610376E-4</v>
      </c>
      <c r="K228" s="18"/>
      <c r="L228" s="18"/>
    </row>
    <row r="229" spans="1:12" x14ac:dyDescent="0.25">
      <c r="A229" s="16" t="s">
        <v>3165</v>
      </c>
      <c r="B229" s="24" t="s">
        <v>3211</v>
      </c>
      <c r="C229" s="24" t="s">
        <v>200</v>
      </c>
      <c r="D229" s="60" t="s">
        <v>2</v>
      </c>
      <c r="E229" s="60" t="s">
        <v>3071</v>
      </c>
      <c r="F229" s="69">
        <v>7130.08703967372</v>
      </c>
      <c r="G229" s="60">
        <v>0.99788399999999999</v>
      </c>
      <c r="H229" s="84">
        <v>33.283259999999999</v>
      </c>
      <c r="I229" s="24">
        <v>-3.3975423669782005E-2</v>
      </c>
      <c r="J229" s="24">
        <v>1.3709975932922722E-4</v>
      </c>
      <c r="K229" s="18"/>
      <c r="L229" s="18"/>
    </row>
    <row r="230" spans="1:12" x14ac:dyDescent="0.25">
      <c r="A230" s="16" t="s">
        <v>3168</v>
      </c>
      <c r="B230" s="24" t="s">
        <v>3212</v>
      </c>
      <c r="C230" s="24" t="s">
        <v>200</v>
      </c>
      <c r="D230" s="60" t="s">
        <v>125</v>
      </c>
      <c r="E230" s="60" t="s">
        <v>3071</v>
      </c>
      <c r="F230" s="69">
        <v>-8816.3526245565554</v>
      </c>
      <c r="G230" s="60">
        <v>0.99779300000000004</v>
      </c>
      <c r="H230" s="84">
        <v>-33.63935</v>
      </c>
      <c r="I230" s="24">
        <v>3.4338918970860458E-2</v>
      </c>
      <c r="J230" s="24">
        <v>-1.3856655835370815E-4</v>
      </c>
      <c r="K230" s="18"/>
      <c r="L230" s="18"/>
    </row>
    <row r="231" spans="1:12" x14ac:dyDescent="0.25">
      <c r="A231" s="16" t="s">
        <v>2953</v>
      </c>
      <c r="B231" s="24" t="s">
        <v>3213</v>
      </c>
      <c r="C231" s="24" t="s">
        <v>200</v>
      </c>
      <c r="D231" s="60" t="s">
        <v>125</v>
      </c>
      <c r="E231" s="60" t="s">
        <v>3071</v>
      </c>
      <c r="F231" s="69">
        <v>8822.6271011514673</v>
      </c>
      <c r="G231" s="60">
        <v>0.97838400000000003</v>
      </c>
      <c r="H231" s="84">
        <v>33.008459999999999</v>
      </c>
      <c r="I231" s="24">
        <v>-3.3694908887742736E-2</v>
      </c>
      <c r="J231" s="24">
        <v>1.3596780849677657E-4</v>
      </c>
      <c r="K231" s="18"/>
      <c r="L231" s="18"/>
    </row>
    <row r="232" spans="1:12" x14ac:dyDescent="0.25">
      <c r="A232" s="16" t="s">
        <v>2955</v>
      </c>
      <c r="B232" s="24" t="s">
        <v>3214</v>
      </c>
      <c r="C232" s="24" t="s">
        <v>200</v>
      </c>
      <c r="D232" s="60" t="s">
        <v>2</v>
      </c>
      <c r="E232" s="60" t="s">
        <v>3071</v>
      </c>
      <c r="F232" s="69">
        <v>-7130.08703967372</v>
      </c>
      <c r="G232" s="60">
        <v>0.97932200000000003</v>
      </c>
      <c r="H232" s="84">
        <v>-32.664149999999999</v>
      </c>
      <c r="I232" s="24">
        <v>3.3343438565312099E-2</v>
      </c>
      <c r="J232" s="24">
        <v>-1.3454953341991672E-4</v>
      </c>
      <c r="K232" s="18"/>
      <c r="L232" s="18"/>
    </row>
    <row r="233" spans="1:12" x14ac:dyDescent="0.25">
      <c r="A233" s="16" t="s">
        <v>2945</v>
      </c>
      <c r="B233" s="24" t="s">
        <v>3215</v>
      </c>
      <c r="C233" s="24" t="s">
        <v>200</v>
      </c>
      <c r="D233" s="60" t="s">
        <v>126</v>
      </c>
      <c r="E233" s="60" t="s">
        <v>501</v>
      </c>
      <c r="F233" s="69">
        <v>482345.50218864717</v>
      </c>
      <c r="G233" s="60">
        <v>0.99839999999999995</v>
      </c>
      <c r="H233" s="84">
        <v>1951.8681999999999</v>
      </c>
      <c r="I233" s="24">
        <v>-1.9924595440042467</v>
      </c>
      <c r="J233" s="24">
        <v>8.0400976485588225E-3</v>
      </c>
      <c r="K233" s="18"/>
      <c r="L233" s="18"/>
    </row>
    <row r="234" spans="1:12" x14ac:dyDescent="0.25">
      <c r="A234" s="16" t="s">
        <v>2942</v>
      </c>
      <c r="B234" s="24" t="s">
        <v>3216</v>
      </c>
      <c r="C234" s="24" t="s">
        <v>200</v>
      </c>
      <c r="D234" s="60" t="s">
        <v>125</v>
      </c>
      <c r="E234" s="60" t="s">
        <v>501</v>
      </c>
      <c r="F234" s="69">
        <v>-514271.95097851375</v>
      </c>
      <c r="G234" s="60">
        <v>0.99779300000000004</v>
      </c>
      <c r="H234" s="84">
        <v>-1962.23712</v>
      </c>
      <c r="I234" s="24">
        <v>2.0030440976206316</v>
      </c>
      <c r="J234" s="24">
        <v>-8.0828091028005058E-3</v>
      </c>
      <c r="K234" s="18"/>
      <c r="L234" s="18"/>
    </row>
    <row r="235" spans="1:12" x14ac:dyDescent="0.25">
      <c r="A235" s="16" t="s">
        <v>2959</v>
      </c>
      <c r="B235" s="24" t="s">
        <v>3217</v>
      </c>
      <c r="C235" s="24" t="s">
        <v>200</v>
      </c>
      <c r="D235" s="60" t="s">
        <v>125</v>
      </c>
      <c r="E235" s="60" t="s">
        <v>501</v>
      </c>
      <c r="F235" s="69">
        <v>518039.06935060705</v>
      </c>
      <c r="G235" s="60">
        <v>0.97537499999999999</v>
      </c>
      <c r="H235" s="84">
        <v>1932.2007100000001</v>
      </c>
      <c r="I235" s="24">
        <v>-1.9723830459307048</v>
      </c>
      <c r="J235" s="24">
        <v>7.959083705044577E-3</v>
      </c>
      <c r="K235" s="18"/>
      <c r="L235" s="18"/>
    </row>
    <row r="236" spans="1:12" x14ac:dyDescent="0.25">
      <c r="A236" s="16" t="s">
        <v>2961</v>
      </c>
      <c r="B236" s="24" t="s">
        <v>3218</v>
      </c>
      <c r="C236" s="24" t="s">
        <v>200</v>
      </c>
      <c r="D236" s="60" t="s">
        <v>126</v>
      </c>
      <c r="E236" s="60" t="s">
        <v>501</v>
      </c>
      <c r="F236" s="69">
        <v>-482345.50218864717</v>
      </c>
      <c r="G236" s="60">
        <v>0.98312600000000006</v>
      </c>
      <c r="H236" s="84">
        <v>-1922.0075099999999</v>
      </c>
      <c r="I236" s="24">
        <v>1.9619778666138104</v>
      </c>
      <c r="J236" s="24">
        <v>-7.9170960732202096E-3</v>
      </c>
      <c r="K236" s="18"/>
      <c r="L236" s="18"/>
    </row>
    <row r="237" spans="1:12" x14ac:dyDescent="0.25">
      <c r="A237" s="16" t="s">
        <v>2942</v>
      </c>
      <c r="B237" s="24" t="s">
        <v>3219</v>
      </c>
      <c r="C237" s="24" t="s">
        <v>200</v>
      </c>
      <c r="D237" s="60" t="s">
        <v>125</v>
      </c>
      <c r="E237" s="60" t="s">
        <v>501</v>
      </c>
      <c r="F237" s="69">
        <v>40544.146671091861</v>
      </c>
      <c r="G237" s="60">
        <v>0.99779300000000004</v>
      </c>
      <c r="H237" s="84">
        <v>154.69873999999999</v>
      </c>
      <c r="I237" s="24">
        <v>-0.15791587821269465</v>
      </c>
      <c r="J237" s="24">
        <v>6.3723205066254615E-4</v>
      </c>
      <c r="K237" s="18"/>
      <c r="L237" s="18"/>
    </row>
    <row r="238" spans="1:12" x14ac:dyDescent="0.25">
      <c r="A238" s="16" t="s">
        <v>2945</v>
      </c>
      <c r="B238" s="24" t="s">
        <v>3220</v>
      </c>
      <c r="C238" s="24" t="s">
        <v>200</v>
      </c>
      <c r="D238" s="60" t="s">
        <v>126</v>
      </c>
      <c r="E238" s="60" t="s">
        <v>501</v>
      </c>
      <c r="F238" s="69">
        <v>-38027.130878259843</v>
      </c>
      <c r="G238" s="60">
        <v>0.99839999999999995</v>
      </c>
      <c r="H238" s="84">
        <v>-153.88122000000001</v>
      </c>
      <c r="I238" s="24">
        <v>0.15708135694408937</v>
      </c>
      <c r="J238" s="24">
        <v>-6.3386453812781167E-4</v>
      </c>
      <c r="K238" s="18"/>
      <c r="L238" s="18"/>
    </row>
    <row r="239" spans="1:12" x14ac:dyDescent="0.25">
      <c r="A239" s="16" t="s">
        <v>2961</v>
      </c>
      <c r="B239" s="24" t="s">
        <v>3221</v>
      </c>
      <c r="C239" s="24" t="s">
        <v>200</v>
      </c>
      <c r="D239" s="60" t="s">
        <v>126</v>
      </c>
      <c r="E239" s="60" t="s">
        <v>501</v>
      </c>
      <c r="F239" s="69">
        <v>38027.130878259843</v>
      </c>
      <c r="G239" s="60">
        <v>0.98312500000000003</v>
      </c>
      <c r="H239" s="84">
        <v>151.52694</v>
      </c>
      <c r="I239" s="24">
        <v>-0.15467811698390233</v>
      </c>
      <c r="J239" s="24">
        <v>6.2416683359425287E-4</v>
      </c>
      <c r="K239" s="18"/>
      <c r="L239" s="18"/>
    </row>
    <row r="240" spans="1:12" x14ac:dyDescent="0.25">
      <c r="A240" s="16" t="s">
        <v>2959</v>
      </c>
      <c r="B240" s="24" t="s">
        <v>3222</v>
      </c>
      <c r="C240" s="24" t="s">
        <v>200</v>
      </c>
      <c r="D240" s="60" t="s">
        <v>125</v>
      </c>
      <c r="E240" s="60" t="s">
        <v>501</v>
      </c>
      <c r="F240" s="69">
        <v>-40841.138563251065</v>
      </c>
      <c r="G240" s="60">
        <v>0.97537300000000005</v>
      </c>
      <c r="H240" s="84">
        <v>-152.33044000000001</v>
      </c>
      <c r="I240" s="24">
        <v>0.15549832669048366</v>
      </c>
      <c r="J240" s="24">
        <v>-6.2747659521679335E-4</v>
      </c>
      <c r="K240" s="18"/>
      <c r="L240" s="18"/>
    </row>
    <row r="241" spans="1:14" x14ac:dyDescent="0.25">
      <c r="A241" s="16" t="s">
        <v>2955</v>
      </c>
      <c r="B241" s="24" t="s">
        <v>3223</v>
      </c>
      <c r="C241" s="24" t="s">
        <v>200</v>
      </c>
      <c r="D241" s="60" t="s">
        <v>2</v>
      </c>
      <c r="E241" s="60" t="s">
        <v>1118</v>
      </c>
      <c r="F241" s="69">
        <v>34845.743420130108</v>
      </c>
      <c r="G241" s="60">
        <v>0.979321</v>
      </c>
      <c r="H241" s="84">
        <v>159.63425000000001</v>
      </c>
      <c r="I241" s="24">
        <v>-0.16295402781932711</v>
      </c>
      <c r="J241" s="24">
        <v>6.5756230776978252E-4</v>
      </c>
      <c r="K241" s="18"/>
      <c r="L241" s="18"/>
    </row>
    <row r="242" spans="1:14" x14ac:dyDescent="0.25">
      <c r="A242" s="16" t="s">
        <v>2953</v>
      </c>
      <c r="B242" s="24" t="s">
        <v>3224</v>
      </c>
      <c r="C242" s="24" t="s">
        <v>200</v>
      </c>
      <c r="D242" s="60" t="s">
        <v>125</v>
      </c>
      <c r="E242" s="60" t="s">
        <v>1118</v>
      </c>
      <c r="F242" s="69">
        <v>-42368.590967101998</v>
      </c>
      <c r="G242" s="60">
        <v>0.97838199999999997</v>
      </c>
      <c r="H242" s="84">
        <v>-158.51507999999998</v>
      </c>
      <c r="I242" s="24">
        <v>0.16181158339205315</v>
      </c>
      <c r="J242" s="24">
        <v>-6.5295224440313829E-4</v>
      </c>
      <c r="K242" s="18"/>
      <c r="L242" s="18"/>
    </row>
    <row r="243" spans="1:14" x14ac:dyDescent="0.25">
      <c r="A243" s="16" t="s">
        <v>2967</v>
      </c>
      <c r="B243" s="24" t="s">
        <v>3141</v>
      </c>
      <c r="C243" s="24" t="s">
        <v>200</v>
      </c>
      <c r="D243" s="60" t="s">
        <v>255</v>
      </c>
      <c r="E243" s="60" t="s">
        <v>3142</v>
      </c>
      <c r="F243" s="69">
        <v>1676500</v>
      </c>
      <c r="G243" s="60">
        <v>0.99354699999999996</v>
      </c>
      <c r="H243" s="84">
        <v>1665.68307</v>
      </c>
      <c r="I243" s="24">
        <v>-1.7003228650929372</v>
      </c>
      <c r="J243" s="24">
        <v>6.8612494093357543E-3</v>
      </c>
      <c r="K243" s="18"/>
      <c r="L243" s="18"/>
    </row>
    <row r="244" spans="1:14" x14ac:dyDescent="0.25">
      <c r="A244" s="16" t="s">
        <v>2969</v>
      </c>
      <c r="B244" s="24" t="s">
        <v>3143</v>
      </c>
      <c r="C244" s="24" t="s">
        <v>200</v>
      </c>
      <c r="D244" s="60" t="s">
        <v>125</v>
      </c>
      <c r="E244" s="60" t="s">
        <v>3142</v>
      </c>
      <c r="F244" s="69">
        <v>-500000</v>
      </c>
      <c r="G244" s="60">
        <v>0.99060899999999996</v>
      </c>
      <c r="H244" s="84">
        <v>-1894.04502</v>
      </c>
      <c r="I244" s="24">
        <v>1.9334338644754367</v>
      </c>
      <c r="J244" s="24">
        <v>-7.8019135265211814E-3</v>
      </c>
      <c r="K244" s="18"/>
      <c r="L244" s="18"/>
    </row>
    <row r="245" spans="1:14" x14ac:dyDescent="0.25">
      <c r="A245" s="16" t="s">
        <v>2973</v>
      </c>
      <c r="B245" s="24" t="s">
        <v>3144</v>
      </c>
      <c r="C245" s="24" t="s">
        <v>200</v>
      </c>
      <c r="D245" s="60" t="s">
        <v>125</v>
      </c>
      <c r="E245" s="60" t="s">
        <v>3145</v>
      </c>
      <c r="F245" s="69">
        <v>26263.967050407999</v>
      </c>
      <c r="G245" s="60">
        <v>0.96176099999999998</v>
      </c>
      <c r="H245" s="84">
        <v>96.59299</v>
      </c>
      <c r="I245" s="24">
        <v>-9.8601752315759225E-2</v>
      </c>
      <c r="J245" s="24">
        <v>3.9788397175909005E-4</v>
      </c>
      <c r="K245" s="18"/>
      <c r="L245" s="18"/>
    </row>
    <row r="246" spans="1:14" x14ac:dyDescent="0.25">
      <c r="A246" s="16" t="s">
        <v>2971</v>
      </c>
      <c r="B246" s="24" t="s">
        <v>3146</v>
      </c>
      <c r="C246" s="24" t="s">
        <v>200</v>
      </c>
      <c r="D246" s="60" t="s">
        <v>255</v>
      </c>
      <c r="E246" s="60" t="s">
        <v>3145</v>
      </c>
      <c r="F246" s="69">
        <v>-93707.208039150704</v>
      </c>
      <c r="G246" s="60">
        <v>0.97453100000000004</v>
      </c>
      <c r="H246" s="84">
        <v>-91.320610000000002</v>
      </c>
      <c r="I246" s="24">
        <v>9.321972711005265E-2</v>
      </c>
      <c r="J246" s="24">
        <v>-3.7616608627875458E-4</v>
      </c>
      <c r="K246" s="18"/>
      <c r="L246" s="18"/>
    </row>
    <row r="247" spans="1:14" s="119" customFormat="1" x14ac:dyDescent="0.25">
      <c r="A247" s="92" t="s">
        <v>2641</v>
      </c>
      <c r="B247" s="137" t="s">
        <v>249</v>
      </c>
      <c r="C247" s="137" t="s">
        <v>249</v>
      </c>
      <c r="D247" s="136" t="s">
        <v>249</v>
      </c>
      <c r="E247" s="136" t="s">
        <v>249</v>
      </c>
      <c r="F247" s="135" t="s">
        <v>249</v>
      </c>
      <c r="G247" s="136" t="s">
        <v>249</v>
      </c>
      <c r="H247" s="124">
        <v>-121.40103989999997</v>
      </c>
      <c r="I247" s="137">
        <v>0.12392571414442601</v>
      </c>
      <c r="J247" s="137">
        <v>-5.0007280995334913E-4</v>
      </c>
      <c r="K247" s="159"/>
      <c r="L247" s="159"/>
      <c r="M247" s="130"/>
      <c r="N247" s="130"/>
    </row>
    <row r="248" spans="1:14" x14ac:dyDescent="0.25">
      <c r="A248" s="16" t="s">
        <v>3225</v>
      </c>
      <c r="B248" s="24" t="s">
        <v>3226</v>
      </c>
      <c r="C248" s="24" t="s">
        <v>200</v>
      </c>
      <c r="D248" s="60" t="s">
        <v>125</v>
      </c>
      <c r="E248" s="60" t="s">
        <v>3121</v>
      </c>
      <c r="F248" s="69">
        <v>578.97542913446955</v>
      </c>
      <c r="G248" s="60">
        <v>285.87189999999998</v>
      </c>
      <c r="H248" s="84">
        <v>632.92097000000001</v>
      </c>
      <c r="I248" s="24">
        <v>-0.64608328947463023</v>
      </c>
      <c r="J248" s="24">
        <v>2.6071157891811394E-3</v>
      </c>
      <c r="K248" s="18"/>
      <c r="L248" s="18"/>
    </row>
    <row r="249" spans="1:14" x14ac:dyDescent="0.25">
      <c r="A249" s="16" t="s">
        <v>3227</v>
      </c>
      <c r="B249" s="24" t="s">
        <v>3228</v>
      </c>
      <c r="C249" s="24" t="s">
        <v>200</v>
      </c>
      <c r="D249" s="60" t="s">
        <v>125</v>
      </c>
      <c r="E249" s="60" t="s">
        <v>3121</v>
      </c>
      <c r="F249" s="69">
        <v>-578.97542913446955</v>
      </c>
      <c r="G249" s="60">
        <v>294.93432899999999</v>
      </c>
      <c r="H249" s="84">
        <v>-652.98520999999994</v>
      </c>
      <c r="I249" s="24">
        <v>0.66656478842071265</v>
      </c>
      <c r="J249" s="24">
        <v>-2.6897640176035908E-3</v>
      </c>
      <c r="K249" s="18"/>
      <c r="L249" s="18"/>
    </row>
    <row r="250" spans="1:14" x14ac:dyDescent="0.25">
      <c r="A250" s="16" t="s">
        <v>3229</v>
      </c>
      <c r="B250" s="24" t="s">
        <v>3230</v>
      </c>
      <c r="C250" s="24" t="s">
        <v>200</v>
      </c>
      <c r="D250" s="60" t="s">
        <v>125</v>
      </c>
      <c r="E250" s="60" t="s">
        <v>1722</v>
      </c>
      <c r="F250" s="69">
        <v>2037.1357691768371</v>
      </c>
      <c r="G250" s="60">
        <v>84.980999999999995</v>
      </c>
      <c r="H250" s="84">
        <v>662.00260000000003</v>
      </c>
      <c r="I250" s="24">
        <v>-0.67576970541639325</v>
      </c>
      <c r="J250" s="24">
        <v>2.7269082756713938E-3</v>
      </c>
      <c r="K250" s="18"/>
      <c r="L250" s="18"/>
    </row>
    <row r="251" spans="1:14" x14ac:dyDescent="0.25">
      <c r="A251" s="16" t="s">
        <v>3231</v>
      </c>
      <c r="B251" s="24" t="s">
        <v>3232</v>
      </c>
      <c r="C251" s="24" t="s">
        <v>200</v>
      </c>
      <c r="D251" s="60" t="s">
        <v>125</v>
      </c>
      <c r="E251" s="60" t="s">
        <v>1722</v>
      </c>
      <c r="F251" s="69">
        <v>-2037.1357691768371</v>
      </c>
      <c r="G251" s="60">
        <v>87.227005000000005</v>
      </c>
      <c r="H251" s="84">
        <v>-679.49900000000002</v>
      </c>
      <c r="I251" s="24">
        <v>0.69362996317647974</v>
      </c>
      <c r="J251" s="24">
        <v>-2.7989791073485763E-3</v>
      </c>
      <c r="K251" s="18"/>
      <c r="L251" s="18"/>
    </row>
    <row r="252" spans="1:14" x14ac:dyDescent="0.25">
      <c r="A252" s="16" t="s">
        <v>3229</v>
      </c>
      <c r="B252" s="24" t="s">
        <v>3233</v>
      </c>
      <c r="C252" s="24" t="s">
        <v>200</v>
      </c>
      <c r="D252" s="60" t="s">
        <v>125</v>
      </c>
      <c r="E252" s="60" t="s">
        <v>2986</v>
      </c>
      <c r="F252" s="69">
        <v>1876.309261083929</v>
      </c>
      <c r="G252" s="60">
        <v>84.980999999999995</v>
      </c>
      <c r="H252" s="84">
        <v>609.73924</v>
      </c>
      <c r="I252" s="24">
        <v>-0.62241946873866583</v>
      </c>
      <c r="J252" s="24">
        <v>2.5116260563894858E-3</v>
      </c>
      <c r="K252" s="18"/>
      <c r="L252" s="18"/>
    </row>
    <row r="253" spans="1:14" x14ac:dyDescent="0.25">
      <c r="A253" s="16" t="s">
        <v>3231</v>
      </c>
      <c r="B253" s="24" t="s">
        <v>3234</v>
      </c>
      <c r="C253" s="24" t="s">
        <v>200</v>
      </c>
      <c r="D253" s="60" t="s">
        <v>125</v>
      </c>
      <c r="E253" s="60" t="s">
        <v>2986</v>
      </c>
      <c r="F253" s="69">
        <v>-1876.309261083929</v>
      </c>
      <c r="G253" s="60">
        <v>86.731295000000003</v>
      </c>
      <c r="H253" s="84">
        <v>-622.29762000000005</v>
      </c>
      <c r="I253" s="24">
        <v>0.63523901469378319</v>
      </c>
      <c r="J253" s="24">
        <v>-2.5633562918160931E-3</v>
      </c>
      <c r="K253" s="18"/>
      <c r="L253" s="18"/>
    </row>
    <row r="254" spans="1:14" x14ac:dyDescent="0.25">
      <c r="A254" s="16" t="s">
        <v>3235</v>
      </c>
      <c r="B254" s="24" t="s">
        <v>3236</v>
      </c>
      <c r="C254" s="24" t="s">
        <v>200</v>
      </c>
      <c r="D254" s="60" t="s">
        <v>125</v>
      </c>
      <c r="E254" s="60" t="s">
        <v>2986</v>
      </c>
      <c r="F254" s="69">
        <v>525.36659310350012</v>
      </c>
      <c r="G254" s="60">
        <v>285.87189999999998</v>
      </c>
      <c r="H254" s="84">
        <v>574.31718000000001</v>
      </c>
      <c r="I254" s="24">
        <v>-0.58626076626311396</v>
      </c>
      <c r="J254" s="24">
        <v>2.3657161935651877E-3</v>
      </c>
      <c r="K254" s="18"/>
      <c r="L254" s="18"/>
    </row>
    <row r="255" spans="1:14" x14ac:dyDescent="0.25">
      <c r="A255" s="16" t="s">
        <v>3237</v>
      </c>
      <c r="B255" s="24" t="s">
        <v>3238</v>
      </c>
      <c r="C255" s="24" t="s">
        <v>200</v>
      </c>
      <c r="D255" s="60" t="s">
        <v>125</v>
      </c>
      <c r="E255" s="60" t="s">
        <v>2986</v>
      </c>
      <c r="F255" s="69">
        <v>-525.36659310350012</v>
      </c>
      <c r="G255" s="60">
        <v>295.535214</v>
      </c>
      <c r="H255" s="84">
        <v>-593.73079000000007</v>
      </c>
      <c r="I255" s="24">
        <v>0.60607810461007627</v>
      </c>
      <c r="J255" s="24">
        <v>-2.4456843595054077E-3</v>
      </c>
      <c r="K255" s="18"/>
      <c r="L255" s="18"/>
    </row>
    <row r="256" spans="1:14" x14ac:dyDescent="0.25">
      <c r="A256" s="16" t="s">
        <v>3239</v>
      </c>
      <c r="B256" s="24" t="s">
        <v>3240</v>
      </c>
      <c r="C256" s="24" t="s">
        <v>200</v>
      </c>
      <c r="D256" s="60" t="s">
        <v>125</v>
      </c>
      <c r="E256" s="60" t="s">
        <v>2926</v>
      </c>
      <c r="F256" s="69">
        <v>2734.0506375794394</v>
      </c>
      <c r="G256" s="60">
        <v>88.0886</v>
      </c>
      <c r="H256" s="84">
        <v>920.96716000000004</v>
      </c>
      <c r="I256" s="24">
        <v>-0.94011973126898951</v>
      </c>
      <c r="J256" s="24">
        <v>3.7936300706758264E-3</v>
      </c>
      <c r="K256" s="18"/>
      <c r="L256" s="18"/>
    </row>
    <row r="257" spans="1:14" x14ac:dyDescent="0.25">
      <c r="A257" s="16" t="s">
        <v>3241</v>
      </c>
      <c r="B257" s="24" t="s">
        <v>3242</v>
      </c>
      <c r="C257" s="24" t="s">
        <v>200</v>
      </c>
      <c r="D257" s="60" t="s">
        <v>125</v>
      </c>
      <c r="E257" s="60" t="s">
        <v>2926</v>
      </c>
      <c r="F257" s="69">
        <v>-2734.0506375794394</v>
      </c>
      <c r="G257" s="60">
        <v>93.049705000000003</v>
      </c>
      <c r="H257" s="84">
        <v>-972.83556999999996</v>
      </c>
      <c r="I257" s="24">
        <v>0.99306680450724671</v>
      </c>
      <c r="J257" s="24">
        <v>-4.0072854195746322E-3</v>
      </c>
      <c r="K257" s="18"/>
      <c r="L257" s="18"/>
    </row>
    <row r="258" spans="1:14" s="119" customFormat="1" x14ac:dyDescent="0.25">
      <c r="A258" s="92" t="s">
        <v>141</v>
      </c>
      <c r="B258" s="137" t="s">
        <v>249</v>
      </c>
      <c r="C258" s="137" t="s">
        <v>249</v>
      </c>
      <c r="D258" s="136" t="s">
        <v>249</v>
      </c>
      <c r="E258" s="136" t="s">
        <v>249</v>
      </c>
      <c r="F258" s="135" t="s">
        <v>249</v>
      </c>
      <c r="G258" s="136" t="s">
        <v>249</v>
      </c>
      <c r="H258" s="124">
        <v>0</v>
      </c>
      <c r="I258" s="137">
        <v>0</v>
      </c>
      <c r="J258" s="137">
        <v>0</v>
      </c>
      <c r="K258" s="159"/>
      <c r="L258" s="159"/>
      <c r="M258" s="130"/>
      <c r="N258" s="130"/>
    </row>
    <row r="259" spans="1:14" s="119" customFormat="1" x14ac:dyDescent="0.25">
      <c r="A259" s="78" t="s">
        <v>241</v>
      </c>
      <c r="B259" s="125"/>
      <c r="C259" s="78"/>
      <c r="D259" s="126"/>
      <c r="E259" s="126"/>
      <c r="F259" s="126"/>
      <c r="G259" s="127"/>
      <c r="H259" s="128"/>
      <c r="I259" s="128"/>
      <c r="J259" s="129"/>
      <c r="K259" s="148"/>
      <c r="L259" s="148"/>
      <c r="M259" s="130"/>
      <c r="N259" s="130"/>
    </row>
    <row r="260" spans="1:14" s="119" customFormat="1" x14ac:dyDescent="0.25">
      <c r="A260" s="78" t="s">
        <v>242</v>
      </c>
      <c r="B260" s="125"/>
      <c r="C260" s="78"/>
      <c r="D260" s="126"/>
      <c r="E260" s="126"/>
      <c r="F260" s="126"/>
      <c r="G260" s="127"/>
      <c r="H260" s="128"/>
      <c r="I260" s="128"/>
      <c r="J260" s="129"/>
      <c r="K260" s="148"/>
      <c r="L260" s="148"/>
      <c r="M260" s="130"/>
      <c r="N260" s="130"/>
    </row>
    <row r="261" spans="1:14" s="119" customFormat="1" x14ac:dyDescent="0.25">
      <c r="A261" s="78" t="s">
        <v>243</v>
      </c>
      <c r="B261" s="125"/>
      <c r="C261" s="78"/>
      <c r="D261" s="126"/>
      <c r="E261" s="126"/>
      <c r="F261" s="126"/>
      <c r="G261" s="127"/>
      <c r="H261" s="128"/>
      <c r="I261" s="128"/>
      <c r="J261" s="129"/>
      <c r="K261" s="148"/>
      <c r="L261" s="148"/>
      <c r="M261" s="130"/>
      <c r="N261" s="130"/>
    </row>
    <row r="262" spans="1:14" s="119" customFormat="1" x14ac:dyDescent="0.25">
      <c r="A262" s="78" t="s">
        <v>244</v>
      </c>
      <c r="B262" s="125"/>
      <c r="C262" s="78"/>
      <c r="D262" s="126"/>
      <c r="E262" s="126"/>
      <c r="F262" s="126"/>
      <c r="G262" s="127"/>
      <c r="H262" s="128"/>
      <c r="I262" s="128"/>
      <c r="J262" s="129"/>
      <c r="K262" s="148"/>
      <c r="L262" s="148"/>
      <c r="M262" s="130"/>
      <c r="N262" s="130"/>
    </row>
    <row r="263" spans="1:14" s="119" customFormat="1" x14ac:dyDescent="0.25">
      <c r="A263" s="78" t="s">
        <v>245</v>
      </c>
      <c r="B263" s="125"/>
      <c r="C263" s="78"/>
      <c r="D263" s="126"/>
      <c r="E263" s="126"/>
      <c r="F263" s="126"/>
      <c r="G263" s="127"/>
      <c r="H263" s="128"/>
      <c r="I263" s="128"/>
      <c r="J263" s="129"/>
      <c r="K263" s="148"/>
      <c r="L263" s="148"/>
      <c r="M263" s="130"/>
      <c r="N263" s="130"/>
    </row>
  </sheetData>
  <mergeCells count="2">
    <mergeCell ref="A5:J5"/>
    <mergeCell ref="A4:J4"/>
  </mergeCells>
  <phoneticPr fontId="3" type="noConversion"/>
  <conditionalFormatting sqref="B10:E258 I10:J258">
    <cfRule type="expression" dxfId="46" priority="355" stopIfTrue="1">
      <formula>OR(LEFT(#REF!,3)="TIR",LEFT(#REF!,2)="IR")</formula>
    </cfRule>
  </conditionalFormatting>
  <conditionalFormatting sqref="H10:I258 A10:A258">
    <cfRule type="expression" dxfId="45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4" t="s">
        <v>28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6"/>
    </row>
    <row r="5" spans="1:16" s="7" customFormat="1" x14ac:dyDescent="0.25">
      <c r="A5" s="227" t="s">
        <v>34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9"/>
    </row>
    <row r="6" spans="1:16" s="7" customFormat="1" ht="31.5" customHeight="1" x14ac:dyDescent="0.25">
      <c r="A6" s="86" t="s">
        <v>157</v>
      </c>
      <c r="B6" s="206" t="s">
        <v>69</v>
      </c>
      <c r="C6" s="206" t="s">
        <v>27</v>
      </c>
      <c r="D6" s="206" t="s">
        <v>70</v>
      </c>
      <c r="E6" s="206" t="s">
        <v>5</v>
      </c>
      <c r="F6" s="206" t="s">
        <v>13</v>
      </c>
      <c r="G6" s="206" t="s">
        <v>14</v>
      </c>
      <c r="H6" s="206" t="s">
        <v>6</v>
      </c>
      <c r="I6" s="207" t="s">
        <v>66</v>
      </c>
      <c r="J6" s="207" t="s">
        <v>71</v>
      </c>
      <c r="K6" s="207" t="s">
        <v>67</v>
      </c>
      <c r="L6" s="207" t="s">
        <v>68</v>
      </c>
      <c r="M6" s="207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5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6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 t="s">
        <v>249</v>
      </c>
      <c r="C9" s="67" t="s">
        <v>249</v>
      </c>
      <c r="D9" s="101"/>
      <c r="E9" s="101" t="s">
        <v>249</v>
      </c>
      <c r="F9" s="101" t="s">
        <v>249</v>
      </c>
      <c r="G9" s="101" t="s">
        <v>249</v>
      </c>
      <c r="H9" s="101" t="s">
        <v>249</v>
      </c>
      <c r="I9" s="67" t="s">
        <v>249</v>
      </c>
      <c r="J9" s="67" t="s">
        <v>249</v>
      </c>
      <c r="K9" s="102" t="s">
        <v>249</v>
      </c>
      <c r="L9" s="101" t="s">
        <v>249</v>
      </c>
      <c r="M9" s="103">
        <v>1.2000000000000002E-6</v>
      </c>
      <c r="N9" s="67" t="s">
        <v>249</v>
      </c>
      <c r="O9" s="67">
        <v>0</v>
      </c>
      <c r="P9" s="81">
        <v>0</v>
      </c>
    </row>
    <row r="10" spans="1:16" s="119" customFormat="1" x14ac:dyDescent="0.25">
      <c r="A10" s="91" t="s">
        <v>137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22" t="s">
        <v>249</v>
      </c>
      <c r="G10" s="122" t="s">
        <v>249</v>
      </c>
      <c r="H10" s="122" t="s">
        <v>249</v>
      </c>
      <c r="I10" s="121" t="s">
        <v>249</v>
      </c>
      <c r="J10" s="121" t="s">
        <v>249</v>
      </c>
      <c r="K10" s="133" t="s">
        <v>249</v>
      </c>
      <c r="L10" s="122" t="s">
        <v>249</v>
      </c>
      <c r="M10" s="123">
        <v>0</v>
      </c>
      <c r="N10" s="121" t="s">
        <v>249</v>
      </c>
      <c r="O10" s="121">
        <v>0</v>
      </c>
      <c r="P10" s="121">
        <v>0</v>
      </c>
    </row>
    <row r="11" spans="1:16" s="119" customFormat="1" x14ac:dyDescent="0.25">
      <c r="A11" s="92" t="s">
        <v>2678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6" t="s">
        <v>249</v>
      </c>
      <c r="G11" s="136" t="s">
        <v>249</v>
      </c>
      <c r="H11" s="136" t="s">
        <v>249</v>
      </c>
      <c r="I11" s="137" t="s">
        <v>249</v>
      </c>
      <c r="J11" s="137" t="s">
        <v>249</v>
      </c>
      <c r="K11" s="135" t="s">
        <v>249</v>
      </c>
      <c r="L11" s="122" t="s">
        <v>249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2679</v>
      </c>
      <c r="B12" s="137" t="s">
        <v>249</v>
      </c>
      <c r="C12" s="137" t="s">
        <v>249</v>
      </c>
      <c r="D12" s="136" t="s">
        <v>249</v>
      </c>
      <c r="E12" s="136" t="s">
        <v>249</v>
      </c>
      <c r="F12" s="136" t="s">
        <v>249</v>
      </c>
      <c r="G12" s="136" t="s">
        <v>249</v>
      </c>
      <c r="H12" s="136" t="s">
        <v>249</v>
      </c>
      <c r="I12" s="137" t="s">
        <v>249</v>
      </c>
      <c r="J12" s="137" t="s">
        <v>249</v>
      </c>
      <c r="K12" s="135" t="s">
        <v>249</v>
      </c>
      <c r="L12" s="122" t="s">
        <v>249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2680</v>
      </c>
      <c r="B13" s="137" t="s">
        <v>249</v>
      </c>
      <c r="C13" s="137" t="s">
        <v>249</v>
      </c>
      <c r="D13" s="136" t="s">
        <v>249</v>
      </c>
      <c r="E13" s="136" t="s">
        <v>249</v>
      </c>
      <c r="F13" s="136" t="s">
        <v>249</v>
      </c>
      <c r="G13" s="136" t="s">
        <v>249</v>
      </c>
      <c r="H13" s="136" t="s">
        <v>249</v>
      </c>
      <c r="I13" s="137" t="s">
        <v>249</v>
      </c>
      <c r="J13" s="137" t="s">
        <v>249</v>
      </c>
      <c r="K13" s="135" t="s">
        <v>249</v>
      </c>
      <c r="L13" s="122" t="s">
        <v>249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2681</v>
      </c>
      <c r="B14" s="137" t="s">
        <v>249</v>
      </c>
      <c r="C14" s="137" t="s">
        <v>249</v>
      </c>
      <c r="D14" s="136" t="s">
        <v>249</v>
      </c>
      <c r="E14" s="136" t="s">
        <v>249</v>
      </c>
      <c r="F14" s="136" t="s">
        <v>249</v>
      </c>
      <c r="G14" s="136" t="s">
        <v>249</v>
      </c>
      <c r="H14" s="136" t="s">
        <v>249</v>
      </c>
      <c r="I14" s="137" t="s">
        <v>249</v>
      </c>
      <c r="J14" s="137" t="s">
        <v>249</v>
      </c>
      <c r="K14" s="135" t="s">
        <v>249</v>
      </c>
      <c r="L14" s="122" t="s">
        <v>249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2682</v>
      </c>
      <c r="B15" s="137" t="s">
        <v>249</v>
      </c>
      <c r="C15" s="137" t="s">
        <v>249</v>
      </c>
      <c r="D15" s="136" t="s">
        <v>249</v>
      </c>
      <c r="E15" s="136" t="s">
        <v>249</v>
      </c>
      <c r="F15" s="136" t="s">
        <v>249</v>
      </c>
      <c r="G15" s="136" t="s">
        <v>249</v>
      </c>
      <c r="H15" s="136" t="s">
        <v>249</v>
      </c>
      <c r="I15" s="137" t="s">
        <v>249</v>
      </c>
      <c r="J15" s="137" t="s">
        <v>249</v>
      </c>
      <c r="K15" s="135" t="s">
        <v>249</v>
      </c>
      <c r="L15" s="122" t="s">
        <v>249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2683</v>
      </c>
      <c r="B16" s="137" t="s">
        <v>249</v>
      </c>
      <c r="C16" s="137" t="s">
        <v>249</v>
      </c>
      <c r="D16" s="136" t="s">
        <v>249</v>
      </c>
      <c r="E16" s="136" t="s">
        <v>249</v>
      </c>
      <c r="F16" s="136" t="s">
        <v>249</v>
      </c>
      <c r="G16" s="136" t="s">
        <v>249</v>
      </c>
      <c r="H16" s="136" t="s">
        <v>249</v>
      </c>
      <c r="I16" s="137" t="s">
        <v>249</v>
      </c>
      <c r="J16" s="137" t="s">
        <v>249</v>
      </c>
      <c r="K16" s="135" t="s">
        <v>249</v>
      </c>
      <c r="L16" s="122" t="s">
        <v>249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2684</v>
      </c>
      <c r="B17" s="137" t="s">
        <v>249</v>
      </c>
      <c r="C17" s="137" t="s">
        <v>249</v>
      </c>
      <c r="D17" s="136" t="s">
        <v>249</v>
      </c>
      <c r="E17" s="136" t="s">
        <v>249</v>
      </c>
      <c r="F17" s="136" t="s">
        <v>249</v>
      </c>
      <c r="G17" s="136" t="s">
        <v>249</v>
      </c>
      <c r="H17" s="136" t="s">
        <v>249</v>
      </c>
      <c r="I17" s="137" t="s">
        <v>249</v>
      </c>
      <c r="J17" s="137" t="s">
        <v>249</v>
      </c>
      <c r="K17" s="135" t="s">
        <v>249</v>
      </c>
      <c r="L17" s="122" t="s">
        <v>249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544</v>
      </c>
      <c r="B18" s="137" t="s">
        <v>249</v>
      </c>
      <c r="C18" s="137" t="s">
        <v>249</v>
      </c>
      <c r="D18" s="136" t="s">
        <v>249</v>
      </c>
      <c r="E18" s="136" t="s">
        <v>249</v>
      </c>
      <c r="F18" s="136" t="s">
        <v>249</v>
      </c>
      <c r="G18" s="136" t="s">
        <v>249</v>
      </c>
      <c r="H18" s="136" t="s">
        <v>249</v>
      </c>
      <c r="I18" s="137" t="s">
        <v>249</v>
      </c>
      <c r="J18" s="137" t="s">
        <v>249</v>
      </c>
      <c r="K18" s="135" t="s">
        <v>249</v>
      </c>
      <c r="L18" s="122" t="s">
        <v>249</v>
      </c>
      <c r="M18" s="124">
        <v>0</v>
      </c>
      <c r="N18" s="137"/>
      <c r="O18" s="137">
        <v>0</v>
      </c>
      <c r="P18" s="137">
        <v>0</v>
      </c>
    </row>
    <row r="19" spans="1:16" s="119" customFormat="1" x14ac:dyDescent="0.25">
      <c r="A19" s="92" t="s">
        <v>2678</v>
      </c>
      <c r="B19" s="137" t="s">
        <v>249</v>
      </c>
      <c r="C19" s="137" t="s">
        <v>249</v>
      </c>
      <c r="D19" s="136" t="s">
        <v>249</v>
      </c>
      <c r="E19" s="136" t="s">
        <v>249</v>
      </c>
      <c r="F19" s="136" t="s">
        <v>249</v>
      </c>
      <c r="G19" s="136" t="s">
        <v>249</v>
      </c>
      <c r="H19" s="136" t="s">
        <v>249</v>
      </c>
      <c r="I19" s="137" t="s">
        <v>249</v>
      </c>
      <c r="J19" s="137" t="s">
        <v>249</v>
      </c>
      <c r="K19" s="135" t="s">
        <v>249</v>
      </c>
      <c r="L19" s="122" t="s">
        <v>249</v>
      </c>
      <c r="M19" s="124">
        <v>0</v>
      </c>
      <c r="N19" s="137"/>
      <c r="O19" s="137">
        <v>0</v>
      </c>
      <c r="P19" s="137">
        <v>0</v>
      </c>
    </row>
    <row r="20" spans="1:16" s="119" customFormat="1" x14ac:dyDescent="0.25">
      <c r="A20" s="92" t="s">
        <v>2679</v>
      </c>
      <c r="B20" s="137" t="s">
        <v>249</v>
      </c>
      <c r="C20" s="137" t="s">
        <v>249</v>
      </c>
      <c r="D20" s="136" t="s">
        <v>249</v>
      </c>
      <c r="E20" s="136" t="s">
        <v>249</v>
      </c>
      <c r="F20" s="136" t="s">
        <v>249</v>
      </c>
      <c r="G20" s="136" t="s">
        <v>249</v>
      </c>
      <c r="H20" s="136" t="s">
        <v>249</v>
      </c>
      <c r="I20" s="137" t="s">
        <v>249</v>
      </c>
      <c r="J20" s="137" t="s">
        <v>249</v>
      </c>
      <c r="K20" s="135" t="s">
        <v>249</v>
      </c>
      <c r="L20" s="122" t="s">
        <v>249</v>
      </c>
      <c r="M20" s="124">
        <v>0</v>
      </c>
      <c r="N20" s="137"/>
      <c r="O20" s="137">
        <v>0</v>
      </c>
      <c r="P20" s="137">
        <v>0</v>
      </c>
    </row>
    <row r="21" spans="1:16" s="119" customFormat="1" x14ac:dyDescent="0.25">
      <c r="A21" s="92" t="s">
        <v>2680</v>
      </c>
      <c r="B21" s="137" t="s">
        <v>249</v>
      </c>
      <c r="C21" s="137" t="s">
        <v>249</v>
      </c>
      <c r="D21" s="136" t="s">
        <v>249</v>
      </c>
      <c r="E21" s="136" t="s">
        <v>249</v>
      </c>
      <c r="F21" s="136" t="s">
        <v>249</v>
      </c>
      <c r="G21" s="136" t="s">
        <v>249</v>
      </c>
      <c r="H21" s="136" t="s">
        <v>249</v>
      </c>
      <c r="I21" s="137" t="s">
        <v>249</v>
      </c>
      <c r="J21" s="137" t="s">
        <v>249</v>
      </c>
      <c r="K21" s="135" t="s">
        <v>249</v>
      </c>
      <c r="L21" s="122" t="s">
        <v>249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2681</v>
      </c>
      <c r="B22" s="137" t="s">
        <v>249</v>
      </c>
      <c r="C22" s="137" t="s">
        <v>249</v>
      </c>
      <c r="D22" s="136" t="s">
        <v>249</v>
      </c>
      <c r="E22" s="136" t="s">
        <v>249</v>
      </c>
      <c r="F22" s="136" t="s">
        <v>249</v>
      </c>
      <c r="G22" s="136" t="s">
        <v>249</v>
      </c>
      <c r="H22" s="136" t="s">
        <v>249</v>
      </c>
      <c r="I22" s="137" t="s">
        <v>249</v>
      </c>
      <c r="J22" s="137" t="s">
        <v>249</v>
      </c>
      <c r="K22" s="135" t="s">
        <v>249</v>
      </c>
      <c r="L22" s="122" t="s">
        <v>249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2682</v>
      </c>
      <c r="B23" s="137" t="s">
        <v>249</v>
      </c>
      <c r="C23" s="137" t="s">
        <v>249</v>
      </c>
      <c r="D23" s="136" t="s">
        <v>249</v>
      </c>
      <c r="E23" s="136" t="s">
        <v>249</v>
      </c>
      <c r="F23" s="136" t="s">
        <v>249</v>
      </c>
      <c r="G23" s="136" t="s">
        <v>249</v>
      </c>
      <c r="H23" s="136" t="s">
        <v>249</v>
      </c>
      <c r="I23" s="137" t="s">
        <v>249</v>
      </c>
      <c r="J23" s="137" t="s">
        <v>249</v>
      </c>
      <c r="K23" s="135" t="s">
        <v>249</v>
      </c>
      <c r="L23" s="122" t="s">
        <v>249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2683</v>
      </c>
      <c r="B24" s="137" t="s">
        <v>249</v>
      </c>
      <c r="C24" s="137" t="s">
        <v>249</v>
      </c>
      <c r="D24" s="136" t="s">
        <v>249</v>
      </c>
      <c r="E24" s="136" t="s">
        <v>249</v>
      </c>
      <c r="F24" s="136" t="s">
        <v>249</v>
      </c>
      <c r="G24" s="136" t="s">
        <v>249</v>
      </c>
      <c r="H24" s="136" t="s">
        <v>249</v>
      </c>
      <c r="I24" s="137" t="s">
        <v>249</v>
      </c>
      <c r="J24" s="137" t="s">
        <v>249</v>
      </c>
      <c r="K24" s="135" t="s">
        <v>249</v>
      </c>
      <c r="L24" s="122" t="s">
        <v>249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2684</v>
      </c>
      <c r="B25" s="137" t="s">
        <v>249</v>
      </c>
      <c r="C25" s="137" t="s">
        <v>249</v>
      </c>
      <c r="D25" s="136" t="s">
        <v>249</v>
      </c>
      <c r="E25" s="136" t="s">
        <v>249</v>
      </c>
      <c r="F25" s="136" t="s">
        <v>249</v>
      </c>
      <c r="G25" s="136" t="s">
        <v>249</v>
      </c>
      <c r="H25" s="136" t="s">
        <v>249</v>
      </c>
      <c r="I25" s="137" t="s">
        <v>249</v>
      </c>
      <c r="J25" s="137" t="s">
        <v>249</v>
      </c>
      <c r="K25" s="135" t="s">
        <v>249</v>
      </c>
      <c r="L25" s="122" t="s">
        <v>249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78" t="s">
        <v>241</v>
      </c>
      <c r="B26" s="125"/>
      <c r="C26" s="78"/>
      <c r="D26" s="126"/>
      <c r="E26" s="126"/>
      <c r="F26" s="126"/>
      <c r="G26" s="127"/>
      <c r="H26" s="128"/>
      <c r="I26" s="129"/>
      <c r="J26" s="129"/>
      <c r="K26" s="129"/>
      <c r="L26" s="128"/>
      <c r="M26" s="128"/>
      <c r="N26" s="138"/>
      <c r="O26" s="138"/>
      <c r="P26" s="138"/>
    </row>
    <row r="27" spans="1:16" s="119" customFormat="1" x14ac:dyDescent="0.25">
      <c r="A27" s="78" t="s">
        <v>242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243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244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245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</sheetData>
  <mergeCells count="2">
    <mergeCell ref="A5:P5"/>
    <mergeCell ref="A4:P4"/>
  </mergeCells>
  <phoneticPr fontId="3" type="noConversion"/>
  <conditionalFormatting sqref="A10:A25 M10:M25">
    <cfRule type="expression" dxfId="44" priority="365" stopIfTrue="1">
      <formula>#REF!&gt;0</formula>
    </cfRule>
  </conditionalFormatting>
  <conditionalFormatting sqref="B10:F25 H10:H25 O10:P25">
    <cfRule type="expression" dxfId="43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47"/>
  <sheetViews>
    <sheetView rightToLeft="1" tabSelected="1" topLeftCell="A216" zoomScale="80" zoomScaleNormal="80" workbookViewId="0">
      <selection activeCell="B237" sqref="B237:B242"/>
    </sheetView>
  </sheetViews>
  <sheetFormatPr defaultColWidth="9.109375" defaultRowHeight="13.2" x14ac:dyDescent="0.25"/>
  <cols>
    <col min="1" max="1" width="46.6640625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9" customWidth="1"/>
    <col min="7" max="7" width="11.109375" style="59" customWidth="1"/>
    <col min="8" max="8" width="7.88671875" style="59" customWidth="1"/>
    <col min="9" max="9" width="16.5546875" style="59" bestFit="1" customWidth="1"/>
    <col min="10" max="10" width="12" style="59" bestFit="1" customWidth="1"/>
    <col min="11" max="11" width="18.33203125" style="36" customWidth="1"/>
    <col min="12" max="12" width="14.109375" style="61" customWidth="1"/>
    <col min="13" max="13" width="13" style="63" bestFit="1" customWidth="1"/>
    <col min="14" max="14" width="9.33203125" style="63" bestFit="1" customWidth="1"/>
    <col min="15" max="15" width="10.44140625" style="63" customWidth="1"/>
    <col min="16" max="16" width="25.44140625" style="63" customWidth="1"/>
    <col min="17" max="17" width="20.6640625" style="61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3"/>
      <c r="F1" s="59"/>
      <c r="G1" s="59"/>
      <c r="H1" s="59"/>
      <c r="I1" s="59"/>
      <c r="J1" s="59"/>
      <c r="K1" s="36"/>
      <c r="L1" s="61"/>
      <c r="M1" s="62"/>
      <c r="N1" s="62"/>
      <c r="O1" s="62"/>
      <c r="P1" s="62"/>
      <c r="Q1" s="61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3"/>
      <c r="F2" s="59"/>
      <c r="G2" s="59"/>
      <c r="H2" s="59"/>
      <c r="I2" s="59"/>
      <c r="J2" s="59"/>
      <c r="K2" s="36"/>
      <c r="L2" s="61"/>
      <c r="M2" s="62"/>
      <c r="N2" s="62"/>
      <c r="O2" s="62"/>
      <c r="P2" s="62"/>
      <c r="Q2" s="61"/>
      <c r="R2" s="12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43"/>
      <c r="F3" s="59"/>
      <c r="G3" s="59"/>
      <c r="H3" s="59"/>
      <c r="I3" s="59"/>
      <c r="J3" s="59"/>
      <c r="K3" s="36"/>
      <c r="L3" s="61"/>
      <c r="M3" s="62"/>
      <c r="N3" s="62"/>
      <c r="O3" s="62"/>
      <c r="P3" s="62"/>
      <c r="Q3" s="61"/>
      <c r="R3" s="12"/>
      <c r="S3" s="14"/>
    </row>
    <row r="4" spans="1:20" s="7" customFormat="1" x14ac:dyDescent="0.25">
      <c r="A4" s="224" t="s">
        <v>35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6"/>
      <c r="R4" s="12"/>
      <c r="S4" s="12"/>
      <c r="T4" s="12"/>
    </row>
    <row r="5" spans="1:20" s="7" customFormat="1" ht="33.75" customHeight="1" x14ac:dyDescent="0.25">
      <c r="A5" s="86" t="s">
        <v>157</v>
      </c>
      <c r="B5" s="206" t="s">
        <v>80</v>
      </c>
      <c r="C5" s="206" t="s">
        <v>69</v>
      </c>
      <c r="D5" s="206" t="s">
        <v>74</v>
      </c>
      <c r="E5" s="206" t="s">
        <v>70</v>
      </c>
      <c r="F5" s="206" t="s">
        <v>13</v>
      </c>
      <c r="G5" s="206" t="s">
        <v>5</v>
      </c>
      <c r="H5" s="206" t="s">
        <v>14</v>
      </c>
      <c r="I5" s="206" t="s">
        <v>160</v>
      </c>
      <c r="J5" s="206" t="s">
        <v>6</v>
      </c>
      <c r="K5" s="207" t="s">
        <v>36</v>
      </c>
      <c r="L5" s="207" t="s">
        <v>71</v>
      </c>
      <c r="M5" s="207" t="s">
        <v>67</v>
      </c>
      <c r="N5" s="207" t="s">
        <v>68</v>
      </c>
      <c r="O5" s="207" t="s">
        <v>29</v>
      </c>
      <c r="P5" s="89" t="s">
        <v>75</v>
      </c>
      <c r="Q5" s="90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6">
        <v>15</v>
      </c>
      <c r="Q7" s="35">
        <v>16</v>
      </c>
    </row>
    <row r="8" spans="1:20" s="119" customFormat="1" ht="12.75" customHeight="1" thickBot="1" x14ac:dyDescent="0.3">
      <c r="A8" s="100" t="s">
        <v>121</v>
      </c>
      <c r="B8" s="67" t="s">
        <v>249</v>
      </c>
      <c r="C8" s="67" t="s">
        <v>249</v>
      </c>
      <c r="D8" s="67"/>
      <c r="E8" s="101" t="s">
        <v>249</v>
      </c>
      <c r="F8" s="101"/>
      <c r="G8" s="101" t="s">
        <v>249</v>
      </c>
      <c r="H8" s="102" t="s">
        <v>249</v>
      </c>
      <c r="I8" s="102"/>
      <c r="J8" s="101" t="s">
        <v>249</v>
      </c>
      <c r="K8" s="67" t="s">
        <v>249</v>
      </c>
      <c r="L8" s="67" t="s">
        <v>249</v>
      </c>
      <c r="M8" s="111" t="s">
        <v>249</v>
      </c>
      <c r="N8" s="101" t="s">
        <v>249</v>
      </c>
      <c r="O8" s="103">
        <v>16679.126431299999</v>
      </c>
      <c r="P8" s="67">
        <v>1</v>
      </c>
      <c r="Q8" s="81">
        <v>6.8704334237481013E-2</v>
      </c>
    </row>
    <row r="9" spans="1:20" s="119" customFormat="1" x14ac:dyDescent="0.25">
      <c r="A9" s="91" t="s">
        <v>137</v>
      </c>
      <c r="B9" s="131" t="s">
        <v>249</v>
      </c>
      <c r="C9" s="131" t="s">
        <v>249</v>
      </c>
      <c r="D9" s="131" t="s">
        <v>249</v>
      </c>
      <c r="E9" s="131" t="s">
        <v>249</v>
      </c>
      <c r="F9" s="131" t="s">
        <v>249</v>
      </c>
      <c r="G9" s="131" t="s">
        <v>249</v>
      </c>
      <c r="H9" s="132" t="s">
        <v>249</v>
      </c>
      <c r="I9" s="131" t="s">
        <v>249</v>
      </c>
      <c r="J9" s="132" t="s">
        <v>249</v>
      </c>
      <c r="K9" s="131" t="s">
        <v>249</v>
      </c>
      <c r="L9" s="131" t="s">
        <v>249</v>
      </c>
      <c r="M9" s="160" t="s">
        <v>249</v>
      </c>
      <c r="N9" s="122" t="s">
        <v>249</v>
      </c>
      <c r="O9" s="123">
        <v>16099.576100899998</v>
      </c>
      <c r="P9" s="121">
        <v>0.96525295657496668</v>
      </c>
      <c r="Q9" s="121">
        <v>6.6317061752243264E-2</v>
      </c>
    </row>
    <row r="10" spans="1:20" s="119" customFormat="1" x14ac:dyDescent="0.25">
      <c r="A10" s="92" t="s">
        <v>3243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2" t="s">
        <v>249</v>
      </c>
      <c r="I10" s="131" t="s">
        <v>249</v>
      </c>
      <c r="J10" s="132" t="s">
        <v>249</v>
      </c>
      <c r="K10" s="131" t="s">
        <v>249</v>
      </c>
      <c r="L10" s="131" t="s">
        <v>249</v>
      </c>
      <c r="M10" s="161" t="s">
        <v>249</v>
      </c>
      <c r="N10" s="136" t="s">
        <v>249</v>
      </c>
      <c r="O10" s="124">
        <v>7578.8487801000001</v>
      </c>
      <c r="P10" s="137">
        <v>0.45439123033911144</v>
      </c>
      <c r="Q10" s="137">
        <v>3.1218646963798537E-2</v>
      </c>
    </row>
    <row r="11" spans="1:20" s="119" customFormat="1" x14ac:dyDescent="0.25">
      <c r="A11" s="178" t="s">
        <v>3735</v>
      </c>
      <c r="B11" s="117" t="s">
        <v>3784</v>
      </c>
      <c r="C11" s="175">
        <v>50907</v>
      </c>
      <c r="D11" s="175"/>
      <c r="E11" s="117" t="s">
        <v>573</v>
      </c>
      <c r="F11" s="131"/>
      <c r="G11" s="131" t="s">
        <v>573</v>
      </c>
      <c r="H11" s="118">
        <v>1.1000000000000001</v>
      </c>
      <c r="I11" s="117" t="s">
        <v>218</v>
      </c>
      <c r="J11" s="118" t="s">
        <v>255</v>
      </c>
      <c r="K11" s="117">
        <v>5.7500000000000002E-2</v>
      </c>
      <c r="L11" s="117">
        <v>5.7500000000000002E-2</v>
      </c>
      <c r="M11" s="176">
        <f>O11/N11*100*1000</f>
        <v>368847.18084944494</v>
      </c>
      <c r="N11" s="60">
        <v>108.984371</v>
      </c>
      <c r="O11" s="84">
        <v>401.98578000000003</v>
      </c>
      <c r="P11" s="24">
        <v>2.4101129136213914E-2</v>
      </c>
      <c r="Q11" s="24">
        <v>1.655852031675133E-3</v>
      </c>
    </row>
    <row r="12" spans="1:20" s="119" customFormat="1" x14ac:dyDescent="0.25">
      <c r="A12" s="178" t="s">
        <v>3736</v>
      </c>
      <c r="B12" s="117" t="s">
        <v>3784</v>
      </c>
      <c r="C12" s="175">
        <v>55656</v>
      </c>
      <c r="D12" s="175"/>
      <c r="E12" s="117" t="s">
        <v>573</v>
      </c>
      <c r="F12" s="131"/>
      <c r="G12" s="131" t="s">
        <v>573</v>
      </c>
      <c r="H12" s="118">
        <v>4.7</v>
      </c>
      <c r="I12" s="117" t="s">
        <v>218</v>
      </c>
      <c r="J12" s="118" t="s">
        <v>255</v>
      </c>
      <c r="K12" s="117">
        <v>5.7500000000000002E-2</v>
      </c>
      <c r="L12" s="117">
        <v>5.7500000000000002E-2</v>
      </c>
      <c r="M12" s="176">
        <f t="shared" ref="M12:M14" si="0">O12/N12*100*1000</f>
        <v>371552.64216738014</v>
      </c>
      <c r="N12" s="60">
        <v>108.984371</v>
      </c>
      <c r="O12" s="84">
        <v>404.93430999999998</v>
      </c>
      <c r="P12" s="24">
        <v>2.4277908778250007E-2</v>
      </c>
      <c r="Q12" s="24">
        <v>1.667997559287963E-3</v>
      </c>
    </row>
    <row r="13" spans="1:20" s="119" customFormat="1" x14ac:dyDescent="0.25">
      <c r="A13" s="178" t="s">
        <v>3737</v>
      </c>
      <c r="B13" s="117" t="s">
        <v>3784</v>
      </c>
      <c r="C13" s="175">
        <v>56679</v>
      </c>
      <c r="D13" s="175"/>
      <c r="E13" s="117" t="s">
        <v>573</v>
      </c>
      <c r="F13" s="131"/>
      <c r="G13" s="131" t="s">
        <v>573</v>
      </c>
      <c r="H13" s="118">
        <v>4.7</v>
      </c>
      <c r="I13" s="117" t="s">
        <v>218</v>
      </c>
      <c r="J13" s="118" t="s">
        <v>255</v>
      </c>
      <c r="K13" s="117">
        <v>5.7500000000000002E-2</v>
      </c>
      <c r="L13" s="117">
        <v>5.7500000000000002E-2</v>
      </c>
      <c r="M13" s="176">
        <f t="shared" si="0"/>
        <v>377307.50402734347</v>
      </c>
      <c r="N13" s="60">
        <v>108.984371</v>
      </c>
      <c r="O13" s="84">
        <v>411.20621</v>
      </c>
      <c r="P13" s="24">
        <v>2.4653941661376921E-2</v>
      </c>
      <c r="Q13" s="24">
        <v>1.6938326481745979E-3</v>
      </c>
    </row>
    <row r="14" spans="1:20" x14ac:dyDescent="0.25">
      <c r="A14" s="16" t="s">
        <v>3738</v>
      </c>
      <c r="B14" s="117" t="s">
        <v>3784</v>
      </c>
      <c r="C14" s="117" t="s">
        <v>3244</v>
      </c>
      <c r="D14" s="117"/>
      <c r="E14" s="117" t="s">
        <v>573</v>
      </c>
      <c r="F14" s="117" t="s">
        <v>249</v>
      </c>
      <c r="G14" s="117" t="s">
        <v>573</v>
      </c>
      <c r="H14" s="118">
        <v>4.6100000000000003</v>
      </c>
      <c r="I14" s="117" t="s">
        <v>218</v>
      </c>
      <c r="J14" s="118" t="s">
        <v>255</v>
      </c>
      <c r="K14" s="117">
        <v>5.3600000000000002E-2</v>
      </c>
      <c r="L14" s="117">
        <v>5.3600000000000002E-2</v>
      </c>
      <c r="M14" s="176">
        <f t="shared" si="0"/>
        <v>5836362.059748916</v>
      </c>
      <c r="N14" s="60">
        <v>108.984371</v>
      </c>
      <c r="O14" s="84">
        <v>6360.7224801000002</v>
      </c>
      <c r="P14" s="24">
        <v>0.38135825076327062</v>
      </c>
      <c r="Q14" s="24">
        <v>2.6200964724660845E-2</v>
      </c>
      <c r="R14" s="14"/>
    </row>
    <row r="15" spans="1:20" s="119" customFormat="1" x14ac:dyDescent="0.25">
      <c r="A15" s="92" t="s">
        <v>3245</v>
      </c>
      <c r="B15" s="131" t="s">
        <v>249</v>
      </c>
      <c r="C15" s="131" t="s">
        <v>249</v>
      </c>
      <c r="D15" s="131"/>
      <c r="E15" s="131" t="s">
        <v>249</v>
      </c>
      <c r="F15" s="131" t="s">
        <v>249</v>
      </c>
      <c r="G15" s="131" t="s">
        <v>249</v>
      </c>
      <c r="H15" s="132" t="s">
        <v>249</v>
      </c>
      <c r="I15" s="131" t="s">
        <v>249</v>
      </c>
      <c r="J15" s="132" t="s">
        <v>249</v>
      </c>
      <c r="K15" s="131" t="s">
        <v>249</v>
      </c>
      <c r="L15" s="131" t="s">
        <v>249</v>
      </c>
      <c r="M15" s="161" t="s">
        <v>249</v>
      </c>
      <c r="N15" s="136" t="s">
        <v>249</v>
      </c>
      <c r="O15" s="124">
        <v>2839.3087401000003</v>
      </c>
      <c r="P15" s="137">
        <v>0.17023126191859556</v>
      </c>
      <c r="Q15" s="137">
        <v>1.1695625516523363E-2</v>
      </c>
      <c r="R15" s="14"/>
    </row>
    <row r="16" spans="1:20" x14ac:dyDescent="0.25">
      <c r="A16" s="16" t="s">
        <v>3739</v>
      </c>
      <c r="B16" s="218" t="s">
        <v>3784</v>
      </c>
      <c r="C16" s="117" t="s">
        <v>3246</v>
      </c>
      <c r="D16" s="117"/>
      <c r="E16" s="117" t="s">
        <v>573</v>
      </c>
      <c r="F16" s="117" t="s">
        <v>3247</v>
      </c>
      <c r="G16" s="117" t="s">
        <v>573</v>
      </c>
      <c r="H16" s="118">
        <v>5.75</v>
      </c>
      <c r="I16" s="117" t="s">
        <v>218</v>
      </c>
      <c r="J16" s="118" t="s">
        <v>255</v>
      </c>
      <c r="K16" s="117">
        <v>5.2999999999999999E-2</v>
      </c>
      <c r="L16" s="117">
        <v>5.79E-2</v>
      </c>
      <c r="M16" s="112">
        <v>12811.707018096002</v>
      </c>
      <c r="N16" s="60">
        <v>98.51</v>
      </c>
      <c r="O16" s="84">
        <v>12.620809999999999</v>
      </c>
      <c r="P16" s="24">
        <v>7.5668291453896675E-4</v>
      </c>
      <c r="Q16" s="24">
        <v>5.1987395872276456E-5</v>
      </c>
      <c r="R16" s="14"/>
    </row>
    <row r="17" spans="1:18" x14ac:dyDescent="0.25">
      <c r="A17" s="16" t="s">
        <v>3739</v>
      </c>
      <c r="B17" s="218" t="s">
        <v>3784</v>
      </c>
      <c r="C17" s="117" t="s">
        <v>3248</v>
      </c>
      <c r="D17" s="117"/>
      <c r="E17" s="117" t="s">
        <v>573</v>
      </c>
      <c r="F17" s="117" t="s">
        <v>3247</v>
      </c>
      <c r="G17" s="117" t="s">
        <v>573</v>
      </c>
      <c r="H17" s="118">
        <v>7.02</v>
      </c>
      <c r="I17" s="117" t="s">
        <v>218</v>
      </c>
      <c r="J17" s="118" t="s">
        <v>255</v>
      </c>
      <c r="K17" s="117">
        <v>0.05</v>
      </c>
      <c r="L17" s="117">
        <v>5.8400000000000001E-2</v>
      </c>
      <c r="M17" s="112">
        <v>9894.9980899999573</v>
      </c>
      <c r="N17" s="60">
        <v>112.11</v>
      </c>
      <c r="O17" s="84">
        <v>11.09328</v>
      </c>
      <c r="P17" s="24">
        <v>6.6509958094582123E-4</v>
      </c>
      <c r="Q17" s="24">
        <v>4.5695223910510259E-5</v>
      </c>
      <c r="R17" s="14"/>
    </row>
    <row r="18" spans="1:18" x14ac:dyDescent="0.25">
      <c r="A18" s="16" t="s">
        <v>3739</v>
      </c>
      <c r="B18" s="218" t="s">
        <v>3784</v>
      </c>
      <c r="C18" s="117" t="s">
        <v>3249</v>
      </c>
      <c r="D18" s="117"/>
      <c r="E18" s="117" t="s">
        <v>573</v>
      </c>
      <c r="F18" s="117" t="s">
        <v>3247</v>
      </c>
      <c r="G18" s="117" t="s">
        <v>573</v>
      </c>
      <c r="H18" s="118">
        <v>6.5</v>
      </c>
      <c r="I18" s="117" t="s">
        <v>218</v>
      </c>
      <c r="J18" s="118" t="s">
        <v>255</v>
      </c>
      <c r="K18" s="117">
        <v>3.5000000000000003E-2</v>
      </c>
      <c r="L18" s="117">
        <v>7.6399999999999996E-2</v>
      </c>
      <c r="M18" s="112">
        <v>4639.141040838349</v>
      </c>
      <c r="N18" s="60">
        <v>98.63</v>
      </c>
      <c r="O18" s="84">
        <v>4.5755799999999995</v>
      </c>
      <c r="P18" s="24">
        <v>2.7432971497916579E-4</v>
      </c>
      <c r="Q18" s="24">
        <v>1.884764042920151E-5</v>
      </c>
      <c r="R18" s="14"/>
    </row>
    <row r="19" spans="1:18" x14ac:dyDescent="0.25">
      <c r="A19" s="16" t="s">
        <v>3739</v>
      </c>
      <c r="B19" s="218" t="s">
        <v>3784</v>
      </c>
      <c r="C19" s="117" t="s">
        <v>3250</v>
      </c>
      <c r="D19" s="117"/>
      <c r="E19" s="117" t="s">
        <v>573</v>
      </c>
      <c r="F19" s="117" t="s">
        <v>3247</v>
      </c>
      <c r="G19" s="117" t="s">
        <v>573</v>
      </c>
      <c r="H19" s="118">
        <v>6.85</v>
      </c>
      <c r="I19" s="117" t="s">
        <v>218</v>
      </c>
      <c r="J19" s="118" t="s">
        <v>255</v>
      </c>
      <c r="K19" s="117">
        <v>8.6979999542236328E-2</v>
      </c>
      <c r="L19" s="117">
        <v>7.3800000000000004E-2</v>
      </c>
      <c r="M19" s="112">
        <v>25338.800131833708</v>
      </c>
      <c r="N19" s="60">
        <v>107.06</v>
      </c>
      <c r="O19" s="84">
        <v>27.12772</v>
      </c>
      <c r="P19" s="24">
        <v>1.6264472909739566E-3</v>
      </c>
      <c r="Q19" s="24">
        <v>1.1174397829872025E-4</v>
      </c>
      <c r="R19" s="14"/>
    </row>
    <row r="20" spans="1:18" x14ac:dyDescent="0.25">
      <c r="A20" s="16" t="s">
        <v>3739</v>
      </c>
      <c r="B20" s="218" t="s">
        <v>3784</v>
      </c>
      <c r="C20" s="117" t="s">
        <v>3251</v>
      </c>
      <c r="D20" s="117"/>
      <c r="E20" s="117" t="s">
        <v>573</v>
      </c>
      <c r="F20" s="117" t="s">
        <v>3252</v>
      </c>
      <c r="G20" s="117" t="s">
        <v>573</v>
      </c>
      <c r="H20" s="118">
        <v>6.82</v>
      </c>
      <c r="I20" s="117" t="s">
        <v>218</v>
      </c>
      <c r="J20" s="118" t="s">
        <v>255</v>
      </c>
      <c r="K20" s="117">
        <v>4.87E-2</v>
      </c>
      <c r="L20" s="117">
        <v>6.0299999999999999E-2</v>
      </c>
      <c r="M20" s="112">
        <v>29114.204697845049</v>
      </c>
      <c r="N20" s="60">
        <v>93.36</v>
      </c>
      <c r="O20" s="84">
        <v>27.18102</v>
      </c>
      <c r="P20" s="24">
        <v>1.6296429019802966E-3</v>
      </c>
      <c r="Q20" s="24">
        <v>1.1196353062539281E-4</v>
      </c>
      <c r="R20" s="14"/>
    </row>
    <row r="21" spans="1:18" x14ac:dyDescent="0.25">
      <c r="A21" s="16" t="s">
        <v>3739</v>
      </c>
      <c r="B21" s="218" t="s">
        <v>3784</v>
      </c>
      <c r="C21" s="117" t="s">
        <v>3253</v>
      </c>
      <c r="D21" s="117"/>
      <c r="E21" s="117" t="s">
        <v>573</v>
      </c>
      <c r="F21" s="117" t="s">
        <v>3252</v>
      </c>
      <c r="G21" s="117" t="s">
        <v>573</v>
      </c>
      <c r="H21" s="118">
        <v>7.45</v>
      </c>
      <c r="I21" s="117" t="s">
        <v>218</v>
      </c>
      <c r="J21" s="118" t="s">
        <v>255</v>
      </c>
      <c r="K21" s="117">
        <v>4.9299999999999997E-2</v>
      </c>
      <c r="L21" s="117">
        <v>6.2100000000000002E-2</v>
      </c>
      <c r="M21" s="112">
        <v>23637.116383086515</v>
      </c>
      <c r="N21" s="60">
        <v>112.14</v>
      </c>
      <c r="O21" s="84">
        <v>26.50666</v>
      </c>
      <c r="P21" s="24">
        <v>1.5892115279045839E-3</v>
      </c>
      <c r="Q21" s="24">
        <v>1.0918571998721441E-4</v>
      </c>
      <c r="R21" s="14"/>
    </row>
    <row r="22" spans="1:18" x14ac:dyDescent="0.25">
      <c r="A22" s="16" t="s">
        <v>3739</v>
      </c>
      <c r="B22" s="218" t="s">
        <v>3784</v>
      </c>
      <c r="C22" s="117" t="s">
        <v>3254</v>
      </c>
      <c r="D22" s="117"/>
      <c r="E22" s="117" t="s">
        <v>573</v>
      </c>
      <c r="F22" s="117" t="s">
        <v>3252</v>
      </c>
      <c r="G22" s="117" t="s">
        <v>573</v>
      </c>
      <c r="H22" s="118">
        <v>6.68</v>
      </c>
      <c r="I22" s="117" t="s">
        <v>218</v>
      </c>
      <c r="J22" s="118" t="s">
        <v>255</v>
      </c>
      <c r="K22" s="117">
        <v>3.7000000000000005E-2</v>
      </c>
      <c r="L22" s="117">
        <v>8.14E-2</v>
      </c>
      <c r="M22" s="112">
        <v>1079.4095343160548</v>
      </c>
      <c r="N22" s="60">
        <v>98.53</v>
      </c>
      <c r="O22" s="84">
        <v>1.0635399999999999</v>
      </c>
      <c r="P22" s="24">
        <v>6.3764730388047414E-5</v>
      </c>
      <c r="Q22" s="24">
        <v>4.3809133491432721E-6</v>
      </c>
      <c r="R22" s="14"/>
    </row>
    <row r="23" spans="1:18" x14ac:dyDescent="0.25">
      <c r="A23" s="16" t="s">
        <v>3739</v>
      </c>
      <c r="B23" s="218" t="s">
        <v>3784</v>
      </c>
      <c r="C23" s="117" t="s">
        <v>3255</v>
      </c>
      <c r="D23" s="117"/>
      <c r="E23" s="117" t="s">
        <v>573</v>
      </c>
      <c r="F23" s="117" t="s">
        <v>3252</v>
      </c>
      <c r="G23" s="117" t="s">
        <v>573</v>
      </c>
      <c r="H23" s="118">
        <v>7.24</v>
      </c>
      <c r="I23" s="117" t="s">
        <v>218</v>
      </c>
      <c r="J23" s="118" t="s">
        <v>255</v>
      </c>
      <c r="K23" s="117">
        <v>8.0199999809265135E-2</v>
      </c>
      <c r="L23" s="117">
        <v>7.5800000000000006E-2</v>
      </c>
      <c r="M23" s="112">
        <v>37225.874625600736</v>
      </c>
      <c r="N23" s="60">
        <v>101.49</v>
      </c>
      <c r="O23" s="84">
        <v>37.780540000000002</v>
      </c>
      <c r="P23" s="24">
        <v>2.2651390140613812E-3</v>
      </c>
      <c r="Q23" s="24">
        <v>1.5562486791643134E-4</v>
      </c>
      <c r="R23" s="14"/>
    </row>
    <row r="24" spans="1:18" x14ac:dyDescent="0.25">
      <c r="A24" s="16" t="s">
        <v>3739</v>
      </c>
      <c r="B24" s="218" t="s">
        <v>3784</v>
      </c>
      <c r="C24" s="117" t="s">
        <v>3256</v>
      </c>
      <c r="D24" s="117"/>
      <c r="E24" s="117" t="s">
        <v>573</v>
      </c>
      <c r="F24" s="117" t="s">
        <v>3257</v>
      </c>
      <c r="G24" s="117" t="s">
        <v>573</v>
      </c>
      <c r="H24" s="118">
        <v>0</v>
      </c>
      <c r="I24" s="117" t="s">
        <v>218</v>
      </c>
      <c r="J24" s="118" t="s">
        <v>255</v>
      </c>
      <c r="K24" s="117">
        <v>9.0768001079559332E-2</v>
      </c>
      <c r="L24" s="117">
        <v>0</v>
      </c>
      <c r="M24" s="112">
        <v>-8.8588767978836996E-2</v>
      </c>
      <c r="N24" s="60">
        <v>8313.0400000000009</v>
      </c>
      <c r="O24" s="84">
        <v>-7.3699999999999998E-3</v>
      </c>
      <c r="P24" s="24">
        <v>-4.4186966447891896E-7</v>
      </c>
      <c r="Q24" s="24">
        <v>-3.0358361117763241E-8</v>
      </c>
      <c r="R24" s="14"/>
    </row>
    <row r="25" spans="1:18" x14ac:dyDescent="0.25">
      <c r="A25" s="16" t="s">
        <v>3739</v>
      </c>
      <c r="B25" s="218" t="s">
        <v>3784</v>
      </c>
      <c r="C25" s="117" t="s">
        <v>3258</v>
      </c>
      <c r="D25" s="117"/>
      <c r="E25" s="117" t="s">
        <v>573</v>
      </c>
      <c r="F25" s="117" t="s">
        <v>3257</v>
      </c>
      <c r="G25" s="117" t="s">
        <v>573</v>
      </c>
      <c r="H25" s="118">
        <v>0</v>
      </c>
      <c r="I25" s="117" t="s">
        <v>218</v>
      </c>
      <c r="J25" s="118" t="s">
        <v>255</v>
      </c>
      <c r="K25" s="117">
        <v>9.0768001079559332E-2</v>
      </c>
      <c r="L25" s="117">
        <v>0</v>
      </c>
      <c r="M25" s="112">
        <v>-8.8465119146485E-2</v>
      </c>
      <c r="N25" s="60">
        <v>12217.32</v>
      </c>
      <c r="O25" s="84">
        <v>-1.081E-2</v>
      </c>
      <c r="P25" s="24">
        <v>-6.4811547802131814E-7</v>
      </c>
      <c r="Q25" s="24">
        <v>-4.4528342426461419E-8</v>
      </c>
      <c r="R25" s="14"/>
    </row>
    <row r="26" spans="1:18" x14ac:dyDescent="0.25">
      <c r="A26" s="16" t="s">
        <v>3739</v>
      </c>
      <c r="B26" s="218" t="s">
        <v>3784</v>
      </c>
      <c r="C26" s="117" t="s">
        <v>3259</v>
      </c>
      <c r="D26" s="117"/>
      <c r="E26" s="117" t="s">
        <v>573</v>
      </c>
      <c r="F26" s="117" t="s">
        <v>3257</v>
      </c>
      <c r="G26" s="117" t="s">
        <v>573</v>
      </c>
      <c r="H26" s="118">
        <v>0</v>
      </c>
      <c r="I26" s="117" t="s">
        <v>218</v>
      </c>
      <c r="J26" s="118" t="s">
        <v>255</v>
      </c>
      <c r="K26" s="117">
        <v>9.0768001079559332E-2</v>
      </c>
      <c r="L26" s="117">
        <v>0</v>
      </c>
      <c r="M26" s="112">
        <v>-8.8779861628835E-2</v>
      </c>
      <c r="N26" s="60">
        <v>10735.32</v>
      </c>
      <c r="O26" s="84">
        <v>-9.5299999999999985E-3</v>
      </c>
      <c r="P26" s="24">
        <v>-5.7137284972647181E-7</v>
      </c>
      <c r="Q26" s="24">
        <v>-3.9255791241829535E-8</v>
      </c>
      <c r="R26" s="14"/>
    </row>
    <row r="27" spans="1:18" x14ac:dyDescent="0.25">
      <c r="A27" s="16" t="s">
        <v>3739</v>
      </c>
      <c r="B27" s="218" t="s">
        <v>3784</v>
      </c>
      <c r="C27" s="117" t="s">
        <v>3260</v>
      </c>
      <c r="D27" s="117"/>
      <c r="E27" s="117" t="s">
        <v>573</v>
      </c>
      <c r="F27" s="117" t="s">
        <v>3261</v>
      </c>
      <c r="G27" s="117" t="s">
        <v>573</v>
      </c>
      <c r="H27" s="118">
        <v>7.4</v>
      </c>
      <c r="I27" s="117" t="s">
        <v>218</v>
      </c>
      <c r="J27" s="118" t="s">
        <v>255</v>
      </c>
      <c r="K27" s="117">
        <v>4.5199999999999997E-2</v>
      </c>
      <c r="L27" s="117">
        <v>6.5500000000000003E-2</v>
      </c>
      <c r="M27" s="112">
        <v>106870.37624579236</v>
      </c>
      <c r="N27" s="60">
        <v>85.93</v>
      </c>
      <c r="O27" s="84">
        <v>91.833710000000011</v>
      </c>
      <c r="P27" s="24">
        <v>5.5059064620833582E-3</v>
      </c>
      <c r="Q27" s="24">
        <v>3.7827963785128164E-4</v>
      </c>
      <c r="R27" s="14"/>
    </row>
    <row r="28" spans="1:18" x14ac:dyDescent="0.25">
      <c r="A28" s="16" t="s">
        <v>3739</v>
      </c>
      <c r="B28" s="218" t="s">
        <v>3784</v>
      </c>
      <c r="C28" s="117" t="s">
        <v>3262</v>
      </c>
      <c r="D28" s="117"/>
      <c r="E28" s="117" t="s">
        <v>573</v>
      </c>
      <c r="F28" s="117" t="s">
        <v>3261</v>
      </c>
      <c r="G28" s="117" t="s">
        <v>573</v>
      </c>
      <c r="H28" s="118">
        <v>7.3</v>
      </c>
      <c r="I28" s="117" t="s">
        <v>218</v>
      </c>
      <c r="J28" s="118" t="s">
        <v>255</v>
      </c>
      <c r="K28" s="117">
        <v>3.0499999999999999E-2</v>
      </c>
      <c r="L28" s="117">
        <v>5.6399999999999999E-2</v>
      </c>
      <c r="M28" s="112">
        <v>8606.3828921670192</v>
      </c>
      <c r="N28" s="60">
        <v>99.85</v>
      </c>
      <c r="O28" s="84">
        <v>8.5934699999999999</v>
      </c>
      <c r="P28" s="24">
        <v>5.1522302654133725E-4</v>
      </c>
      <c r="Q28" s="24">
        <v>3.5398055022342587E-5</v>
      </c>
      <c r="R28" s="14"/>
    </row>
    <row r="29" spans="1:18" x14ac:dyDescent="0.25">
      <c r="A29" s="16" t="s">
        <v>3739</v>
      </c>
      <c r="B29" s="218" t="s">
        <v>3784</v>
      </c>
      <c r="C29" s="117" t="s">
        <v>3263</v>
      </c>
      <c r="D29" s="117"/>
      <c r="E29" s="117" t="s">
        <v>573</v>
      </c>
      <c r="F29" s="117" t="s">
        <v>3261</v>
      </c>
      <c r="G29" s="117" t="s">
        <v>573</v>
      </c>
      <c r="H29" s="118">
        <v>8.5399999999999991</v>
      </c>
      <c r="I29" s="117" t="s">
        <v>218</v>
      </c>
      <c r="J29" s="118" t="s">
        <v>255</v>
      </c>
      <c r="K29" s="117">
        <v>4.41E-2</v>
      </c>
      <c r="L29" s="117">
        <v>5.2400000000000002E-2</v>
      </c>
      <c r="M29" s="112">
        <v>59206.04028254185</v>
      </c>
      <c r="N29" s="60">
        <v>117.51</v>
      </c>
      <c r="O29" s="84">
        <v>69.57302</v>
      </c>
      <c r="P29" s="24">
        <v>4.1712628228202332E-3</v>
      </c>
      <c r="Q29" s="24">
        <v>2.8658383517141985E-4</v>
      </c>
      <c r="R29" s="14"/>
    </row>
    <row r="30" spans="1:18" x14ac:dyDescent="0.25">
      <c r="A30" s="16" t="s">
        <v>3739</v>
      </c>
      <c r="B30" s="218" t="s">
        <v>3784</v>
      </c>
      <c r="C30" s="117" t="s">
        <v>3264</v>
      </c>
      <c r="D30" s="117"/>
      <c r="E30" s="117" t="s">
        <v>573</v>
      </c>
      <c r="F30" s="117" t="s">
        <v>3261</v>
      </c>
      <c r="G30" s="117" t="s">
        <v>573</v>
      </c>
      <c r="H30" s="118">
        <v>8.1199999999999992</v>
      </c>
      <c r="I30" s="117" t="s">
        <v>218</v>
      </c>
      <c r="J30" s="118" t="s">
        <v>255</v>
      </c>
      <c r="K30" s="117">
        <v>7.9233000278472895E-2</v>
      </c>
      <c r="L30" s="117">
        <v>6.8600000000000008E-2</v>
      </c>
      <c r="M30" s="112">
        <v>107418.57587320622</v>
      </c>
      <c r="N30" s="60">
        <v>105.81</v>
      </c>
      <c r="O30" s="84">
        <v>113.65960000000001</v>
      </c>
      <c r="P30" s="24">
        <v>6.8144815897975769E-3</v>
      </c>
      <c r="Q30" s="24">
        <v>4.6818442080061377E-4</v>
      </c>
      <c r="R30" s="14"/>
    </row>
    <row r="31" spans="1:18" x14ac:dyDescent="0.25">
      <c r="A31" s="16" t="s">
        <v>3740</v>
      </c>
      <c r="B31" s="218" t="s">
        <v>3784</v>
      </c>
      <c r="C31" s="117" t="s">
        <v>3265</v>
      </c>
      <c r="D31" s="117"/>
      <c r="E31" s="117" t="s">
        <v>573</v>
      </c>
      <c r="F31" s="117" t="s">
        <v>3266</v>
      </c>
      <c r="G31" s="117" t="s">
        <v>573</v>
      </c>
      <c r="H31" s="118">
        <v>9.9</v>
      </c>
      <c r="I31" s="117" t="s">
        <v>218</v>
      </c>
      <c r="J31" s="118" t="s">
        <v>255</v>
      </c>
      <c r="K31" s="117">
        <v>4.4199999999999996E-2</v>
      </c>
      <c r="L31" s="117">
        <v>4.8399999999999999E-2</v>
      </c>
      <c r="M31" s="112">
        <v>506096.86751749524</v>
      </c>
      <c r="N31" s="60">
        <v>94.97</v>
      </c>
      <c r="O31" s="84">
        <v>480.64019999999999</v>
      </c>
      <c r="P31" s="24">
        <v>2.8816868915750408E-2</v>
      </c>
      <c r="Q31" s="24">
        <v>1.9798437936653932E-3</v>
      </c>
      <c r="R31" s="14"/>
    </row>
    <row r="32" spans="1:18" x14ac:dyDescent="0.25">
      <c r="A32" s="16" t="s">
        <v>3740</v>
      </c>
      <c r="B32" s="218" t="s">
        <v>3784</v>
      </c>
      <c r="C32" s="117" t="s">
        <v>3267</v>
      </c>
      <c r="D32" s="117"/>
      <c r="E32" s="117" t="s">
        <v>573</v>
      </c>
      <c r="F32" s="117" t="s">
        <v>3266</v>
      </c>
      <c r="G32" s="117" t="s">
        <v>573</v>
      </c>
      <c r="H32" s="118">
        <v>8.9600000000000009</v>
      </c>
      <c r="I32" s="117" t="s">
        <v>218</v>
      </c>
      <c r="J32" s="118" t="s">
        <v>255</v>
      </c>
      <c r="K32" s="117">
        <v>9.3560159206390381E-2</v>
      </c>
      <c r="L32" s="117">
        <v>6.0700000000000004E-2</v>
      </c>
      <c r="M32" s="112">
        <v>477500.7845650927</v>
      </c>
      <c r="N32" s="60">
        <v>95.4</v>
      </c>
      <c r="O32" s="84">
        <v>455.53575000000001</v>
      </c>
      <c r="P32" s="24">
        <v>2.7311727138487479E-2</v>
      </c>
      <c r="Q32" s="24">
        <v>1.8764340299255247E-3</v>
      </c>
      <c r="R32" s="14"/>
    </row>
    <row r="33" spans="1:18" x14ac:dyDescent="0.25">
      <c r="A33" s="16" t="s">
        <v>3740</v>
      </c>
      <c r="B33" s="218" t="s">
        <v>3784</v>
      </c>
      <c r="C33" s="117" t="s">
        <v>3268</v>
      </c>
      <c r="D33" s="117"/>
      <c r="E33" s="117" t="s">
        <v>573</v>
      </c>
      <c r="F33" s="117" t="s">
        <v>3266</v>
      </c>
      <c r="G33" s="117" t="s">
        <v>573</v>
      </c>
      <c r="H33" s="118">
        <v>9.31</v>
      </c>
      <c r="I33" s="117" t="s">
        <v>218</v>
      </c>
      <c r="J33" s="118" t="s">
        <v>255</v>
      </c>
      <c r="K33" s="117">
        <v>3.1099999999999999E-2</v>
      </c>
      <c r="L33" s="117">
        <v>5.74E-2</v>
      </c>
      <c r="M33" s="112">
        <v>150930.40873814333</v>
      </c>
      <c r="N33" s="60">
        <v>112.13</v>
      </c>
      <c r="O33" s="84">
        <v>169.23827</v>
      </c>
      <c r="P33" s="24">
        <v>1.0146710662400638E-2</v>
      </c>
      <c r="Q33" s="24">
        <v>6.9712300076058584E-4</v>
      </c>
      <c r="R33" s="14"/>
    </row>
    <row r="34" spans="1:18" x14ac:dyDescent="0.25">
      <c r="A34" s="16" t="s">
        <v>3739</v>
      </c>
      <c r="B34" s="218" t="s">
        <v>3784</v>
      </c>
      <c r="C34" s="117" t="s">
        <v>3269</v>
      </c>
      <c r="D34" s="117"/>
      <c r="E34" s="117" t="s">
        <v>573</v>
      </c>
      <c r="F34" s="117" t="s">
        <v>3121</v>
      </c>
      <c r="G34" s="117" t="s">
        <v>573</v>
      </c>
      <c r="H34" s="118">
        <v>7.63</v>
      </c>
      <c r="I34" s="117" t="s">
        <v>218</v>
      </c>
      <c r="J34" s="118" t="s">
        <v>255</v>
      </c>
      <c r="K34" s="117">
        <v>4.4299999999999999E-2</v>
      </c>
      <c r="L34" s="117">
        <v>7.0499999999999993E-2</v>
      </c>
      <c r="M34" s="112">
        <v>49003.409180827155</v>
      </c>
      <c r="N34" s="60">
        <v>81.349999999999994</v>
      </c>
      <c r="O34" s="84">
        <v>39.864269999999998</v>
      </c>
      <c r="P34" s="24">
        <v>2.3900694178557711E-3</v>
      </c>
      <c r="Q34" s="24">
        <v>1.6420812813514458E-4</v>
      </c>
      <c r="R34" s="14"/>
    </row>
    <row r="35" spans="1:18" x14ac:dyDescent="0.25">
      <c r="A35" s="16" t="s">
        <v>3739</v>
      </c>
      <c r="B35" s="218" t="s">
        <v>3784</v>
      </c>
      <c r="C35" s="117" t="s">
        <v>3270</v>
      </c>
      <c r="D35" s="117"/>
      <c r="E35" s="117" t="s">
        <v>573</v>
      </c>
      <c r="F35" s="117" t="s">
        <v>3121</v>
      </c>
      <c r="G35" s="117" t="s">
        <v>573</v>
      </c>
      <c r="H35" s="118">
        <v>7.66</v>
      </c>
      <c r="I35" s="117" t="s">
        <v>218</v>
      </c>
      <c r="J35" s="118" t="s">
        <v>255</v>
      </c>
      <c r="K35" s="117">
        <v>4.4299999999999999E-2</v>
      </c>
      <c r="L35" s="117">
        <v>6.93E-2</v>
      </c>
      <c r="M35" s="112">
        <v>121558.32955564183</v>
      </c>
      <c r="N35" s="60">
        <v>103.41</v>
      </c>
      <c r="O35" s="84">
        <v>125.70347</v>
      </c>
      <c r="P35" s="24">
        <v>7.5365739637362084E-3</v>
      </c>
      <c r="Q35" s="24">
        <v>5.1779529661002955E-4</v>
      </c>
      <c r="R35" s="14"/>
    </row>
    <row r="36" spans="1:18" x14ac:dyDescent="0.25">
      <c r="A36" s="16" t="s">
        <v>3739</v>
      </c>
      <c r="B36" s="218" t="s">
        <v>3784</v>
      </c>
      <c r="C36" s="117" t="s">
        <v>3271</v>
      </c>
      <c r="D36" s="117"/>
      <c r="E36" s="117" t="s">
        <v>573</v>
      </c>
      <c r="F36" s="117" t="s">
        <v>3121</v>
      </c>
      <c r="G36" s="117" t="s">
        <v>573</v>
      </c>
      <c r="H36" s="118">
        <v>8.0399999999999991</v>
      </c>
      <c r="I36" s="117" t="s">
        <v>218</v>
      </c>
      <c r="J36" s="118" t="s">
        <v>255</v>
      </c>
      <c r="K36" s="117">
        <v>4.4299999999999999E-2</v>
      </c>
      <c r="L36" s="117">
        <v>5.9900000000000002E-2</v>
      </c>
      <c r="M36" s="112">
        <v>14805.796481057781</v>
      </c>
      <c r="N36" s="60">
        <v>106.55</v>
      </c>
      <c r="O36" s="84">
        <v>15.77558</v>
      </c>
      <c r="P36" s="24">
        <v>9.458277125590698E-4</v>
      </c>
      <c r="Q36" s="24">
        <v>6.4982463294730456E-5</v>
      </c>
      <c r="R36" s="14"/>
    </row>
    <row r="37" spans="1:18" x14ac:dyDescent="0.25">
      <c r="A37" s="16" t="s">
        <v>3739</v>
      </c>
      <c r="B37" s="218" t="s">
        <v>3784</v>
      </c>
      <c r="C37" s="117" t="s">
        <v>3272</v>
      </c>
      <c r="D37" s="117"/>
      <c r="E37" s="117" t="s">
        <v>573</v>
      </c>
      <c r="F37" s="117" t="s">
        <v>3121</v>
      </c>
      <c r="G37" s="117" t="s">
        <v>573</v>
      </c>
      <c r="H37" s="118">
        <v>7.93</v>
      </c>
      <c r="I37" s="117" t="s">
        <v>218</v>
      </c>
      <c r="J37" s="118" t="s">
        <v>255</v>
      </c>
      <c r="K37" s="117">
        <v>0.10679181098937988</v>
      </c>
      <c r="L37" s="117">
        <v>6.8400000000000002E-2</v>
      </c>
      <c r="M37" s="112">
        <v>82120.041286698208</v>
      </c>
      <c r="N37" s="60">
        <v>107.83</v>
      </c>
      <c r="O37" s="84">
        <v>88.550039999999996</v>
      </c>
      <c r="P37" s="24">
        <v>5.3090334415732496E-3</v>
      </c>
      <c r="Q37" s="24">
        <v>3.6475360804781273E-4</v>
      </c>
      <c r="R37" s="14"/>
    </row>
    <row r="38" spans="1:18" x14ac:dyDescent="0.25">
      <c r="A38" s="16" t="s">
        <v>3739</v>
      </c>
      <c r="B38" s="218" t="s">
        <v>3784</v>
      </c>
      <c r="C38" s="117" t="s">
        <v>3273</v>
      </c>
      <c r="D38" s="117"/>
      <c r="E38" s="117" t="s">
        <v>573</v>
      </c>
      <c r="F38" s="117" t="s">
        <v>3274</v>
      </c>
      <c r="G38" s="117" t="s">
        <v>573</v>
      </c>
      <c r="H38" s="118">
        <v>0</v>
      </c>
      <c r="I38" s="117" t="s">
        <v>218</v>
      </c>
      <c r="J38" s="118" t="s">
        <v>255</v>
      </c>
      <c r="K38" s="117">
        <v>0</v>
      </c>
      <c r="L38" s="117">
        <v>0</v>
      </c>
      <c r="M38" s="112">
        <v>-0.11163241400809901</v>
      </c>
      <c r="N38" s="60">
        <v>5899.2</v>
      </c>
      <c r="O38" s="84">
        <v>-6.5899999999999995E-3</v>
      </c>
      <c r="P38" s="24">
        <v>-3.9510462536174711E-7</v>
      </c>
      <c r="Q38" s="24">
        <v>-2.7145400239628189E-8</v>
      </c>
      <c r="R38" s="14"/>
    </row>
    <row r="39" spans="1:18" x14ac:dyDescent="0.25">
      <c r="A39" s="16" t="s">
        <v>3739</v>
      </c>
      <c r="B39" s="218" t="s">
        <v>3784</v>
      </c>
      <c r="C39" s="117" t="s">
        <v>3275</v>
      </c>
      <c r="D39" s="117"/>
      <c r="E39" s="117" t="s">
        <v>573</v>
      </c>
      <c r="F39" s="117" t="s">
        <v>3274</v>
      </c>
      <c r="G39" s="117" t="s">
        <v>573</v>
      </c>
      <c r="H39" s="118">
        <v>0</v>
      </c>
      <c r="I39" s="117" t="s">
        <v>218</v>
      </c>
      <c r="J39" s="118" t="s">
        <v>255</v>
      </c>
      <c r="K39" s="117">
        <v>0</v>
      </c>
      <c r="L39" s="117">
        <v>0</v>
      </c>
      <c r="M39" s="112">
        <v>-0.11163241400809901</v>
      </c>
      <c r="N39" s="60">
        <v>3104.2</v>
      </c>
      <c r="O39" s="84">
        <v>-3.47E-3</v>
      </c>
      <c r="P39" s="24">
        <v>-2.0804446889305956E-7</v>
      </c>
      <c r="Q39" s="24">
        <v>-1.4293556727087986E-8</v>
      </c>
      <c r="R39" s="14"/>
    </row>
    <row r="40" spans="1:18" x14ac:dyDescent="0.25">
      <c r="A40" s="16" t="s">
        <v>3739</v>
      </c>
      <c r="B40" s="218" t="s">
        <v>3784</v>
      </c>
      <c r="C40" s="117" t="s">
        <v>3276</v>
      </c>
      <c r="D40" s="117"/>
      <c r="E40" s="117" t="s">
        <v>573</v>
      </c>
      <c r="F40" s="117" t="s">
        <v>3274</v>
      </c>
      <c r="G40" s="117" t="s">
        <v>573</v>
      </c>
      <c r="H40" s="118">
        <v>0</v>
      </c>
      <c r="I40" s="117" t="s">
        <v>218</v>
      </c>
      <c r="J40" s="118" t="s">
        <v>255</v>
      </c>
      <c r="K40" s="117">
        <v>0</v>
      </c>
      <c r="L40" s="117">
        <v>0</v>
      </c>
      <c r="M40" s="112">
        <v>-0.11163241400809901</v>
      </c>
      <c r="N40" s="60">
        <v>5411.48</v>
      </c>
      <c r="O40" s="84">
        <v>-6.0400000000000002E-3</v>
      </c>
      <c r="P40" s="24">
        <v>-3.6212927726630536E-7</v>
      </c>
      <c r="Q40" s="24">
        <v>-2.4879850902481683E-8</v>
      </c>
      <c r="R40" s="14"/>
    </row>
    <row r="41" spans="1:18" x14ac:dyDescent="0.25">
      <c r="A41" s="16" t="s">
        <v>3739</v>
      </c>
      <c r="B41" s="218" t="s">
        <v>3784</v>
      </c>
      <c r="C41" s="117" t="s">
        <v>3277</v>
      </c>
      <c r="D41" s="117"/>
      <c r="E41" s="117" t="s">
        <v>573</v>
      </c>
      <c r="F41" s="117" t="s">
        <v>3274</v>
      </c>
      <c r="G41" s="117" t="s">
        <v>573</v>
      </c>
      <c r="H41" s="118">
        <v>0</v>
      </c>
      <c r="I41" s="117" t="s">
        <v>218</v>
      </c>
      <c r="J41" s="118" t="s">
        <v>255</v>
      </c>
      <c r="K41" s="117">
        <v>0</v>
      </c>
      <c r="L41" s="117">
        <v>0</v>
      </c>
      <c r="M41" s="112">
        <v>-0.11163241400809901</v>
      </c>
      <c r="N41" s="60">
        <v>5389.84</v>
      </c>
      <c r="O41" s="84">
        <v>-6.0199999999999993E-3</v>
      </c>
      <c r="P41" s="24">
        <v>-3.6093017369919836E-7</v>
      </c>
      <c r="Q41" s="24">
        <v>-2.4797467290221804E-8</v>
      </c>
      <c r="R41" s="14"/>
    </row>
    <row r="42" spans="1:18" x14ac:dyDescent="0.25">
      <c r="A42" s="16" t="s">
        <v>3739</v>
      </c>
      <c r="B42" s="218" t="s">
        <v>3784</v>
      </c>
      <c r="C42" s="117" t="s">
        <v>3278</v>
      </c>
      <c r="D42" s="117"/>
      <c r="E42" s="117" t="s">
        <v>573</v>
      </c>
      <c r="F42" s="117" t="s">
        <v>3274</v>
      </c>
      <c r="G42" s="117" t="s">
        <v>573</v>
      </c>
      <c r="H42" s="118">
        <v>0</v>
      </c>
      <c r="I42" s="117" t="s">
        <v>218</v>
      </c>
      <c r="J42" s="118" t="s">
        <v>255</v>
      </c>
      <c r="K42" s="117">
        <v>0</v>
      </c>
      <c r="L42" s="117">
        <v>0</v>
      </c>
      <c r="M42" s="112">
        <v>-0.11163241400809901</v>
      </c>
      <c r="N42" s="60">
        <v>2644.12</v>
      </c>
      <c r="O42" s="84">
        <v>-2.9500000000000004E-3</v>
      </c>
      <c r="P42" s="24">
        <v>-1.7686777614827831E-7</v>
      </c>
      <c r="Q42" s="24">
        <v>-1.2151582808331287E-8</v>
      </c>
      <c r="R42" s="14"/>
    </row>
    <row r="43" spans="1:18" x14ac:dyDescent="0.25">
      <c r="A43" s="16" t="s">
        <v>3739</v>
      </c>
      <c r="B43" s="218" t="s">
        <v>3784</v>
      </c>
      <c r="C43" s="117" t="s">
        <v>3279</v>
      </c>
      <c r="D43" s="117"/>
      <c r="E43" s="117" t="s">
        <v>573</v>
      </c>
      <c r="F43" s="117" t="s">
        <v>3274</v>
      </c>
      <c r="G43" s="117" t="s">
        <v>573</v>
      </c>
      <c r="H43" s="118">
        <v>0</v>
      </c>
      <c r="I43" s="117" t="s">
        <v>218</v>
      </c>
      <c r="J43" s="118" t="s">
        <v>255</v>
      </c>
      <c r="K43" s="117">
        <v>0</v>
      </c>
      <c r="L43" s="117">
        <v>0</v>
      </c>
      <c r="M43" s="112">
        <v>-0.11163241400809901</v>
      </c>
      <c r="N43" s="60">
        <v>2948.56</v>
      </c>
      <c r="O43" s="84">
        <v>-3.29E-3</v>
      </c>
      <c r="P43" s="24">
        <v>-1.972525367890968E-7</v>
      </c>
      <c r="Q43" s="24">
        <v>-1.3552104216749127E-8</v>
      </c>
      <c r="R43" s="14"/>
    </row>
    <row r="44" spans="1:18" x14ac:dyDescent="0.25">
      <c r="A44" s="16" t="s">
        <v>3739</v>
      </c>
      <c r="B44" s="218" t="s">
        <v>3784</v>
      </c>
      <c r="C44" s="117" t="s">
        <v>3280</v>
      </c>
      <c r="D44" s="117"/>
      <c r="E44" s="117" t="s">
        <v>573</v>
      </c>
      <c r="F44" s="117" t="s">
        <v>3247</v>
      </c>
      <c r="G44" s="117" t="s">
        <v>573</v>
      </c>
      <c r="H44" s="118">
        <v>7.65</v>
      </c>
      <c r="I44" s="117" t="s">
        <v>218</v>
      </c>
      <c r="J44" s="118" t="s">
        <v>255</v>
      </c>
      <c r="K44" s="117">
        <v>5.2999999999999999E-2</v>
      </c>
      <c r="L44" s="117">
        <v>2.41E-2</v>
      </c>
      <c r="M44" s="112">
        <v>26219.073232887447</v>
      </c>
      <c r="N44" s="60">
        <v>133.44999999999999</v>
      </c>
      <c r="O44" s="84">
        <v>34.989350000000002</v>
      </c>
      <c r="P44" s="24">
        <v>2.0977927197877153E-3</v>
      </c>
      <c r="Q44" s="24">
        <v>1.4412745218124958E-4</v>
      </c>
      <c r="R44" s="14"/>
    </row>
    <row r="45" spans="1:18" x14ac:dyDescent="0.25">
      <c r="A45" s="16" t="s">
        <v>3739</v>
      </c>
      <c r="B45" s="218" t="s">
        <v>3784</v>
      </c>
      <c r="C45" s="117" t="s">
        <v>3281</v>
      </c>
      <c r="D45" s="117"/>
      <c r="E45" s="117" t="s">
        <v>573</v>
      </c>
      <c r="F45" s="117" t="s">
        <v>3247</v>
      </c>
      <c r="G45" s="117" t="s">
        <v>573</v>
      </c>
      <c r="H45" s="118">
        <v>8.1199999999999992</v>
      </c>
      <c r="I45" s="117" t="s">
        <v>218</v>
      </c>
      <c r="J45" s="118" t="s">
        <v>255</v>
      </c>
      <c r="K45" s="117">
        <v>5.2999999999999999E-2</v>
      </c>
      <c r="L45" s="117">
        <v>3.04E-2</v>
      </c>
      <c r="M45" s="112">
        <v>17139.592788398266</v>
      </c>
      <c r="N45" s="60">
        <v>135.52000000000001</v>
      </c>
      <c r="O45" s="84">
        <v>23.227580000000003</v>
      </c>
      <c r="P45" s="24">
        <v>1.3926137016631276E-3</v>
      </c>
      <c r="Q45" s="24">
        <v>9.567859722275919E-5</v>
      </c>
      <c r="R45" s="14"/>
    </row>
    <row r="46" spans="1:18" x14ac:dyDescent="0.25">
      <c r="A46" s="16" t="s">
        <v>3739</v>
      </c>
      <c r="B46" s="218" t="s">
        <v>3784</v>
      </c>
      <c r="C46" s="117" t="s">
        <v>3282</v>
      </c>
      <c r="D46" s="117"/>
      <c r="E46" s="117" t="s">
        <v>573</v>
      </c>
      <c r="F46" s="117" t="s">
        <v>3252</v>
      </c>
      <c r="G46" s="117" t="s">
        <v>573</v>
      </c>
      <c r="H46" s="118">
        <v>7.85</v>
      </c>
      <c r="I46" s="117" t="s">
        <v>218</v>
      </c>
      <c r="J46" s="118" t="s">
        <v>255</v>
      </c>
      <c r="K46" s="117">
        <v>4.7199999999999999E-2</v>
      </c>
      <c r="L46" s="117">
        <v>3.8900000000000004E-2</v>
      </c>
      <c r="M46" s="112">
        <v>3329.9261386291951</v>
      </c>
      <c r="N46" s="60">
        <v>128.55000000000001</v>
      </c>
      <c r="O46" s="84">
        <v>4.2806199999999999</v>
      </c>
      <c r="P46" s="24">
        <v>2.566453355714722E-4</v>
      </c>
      <c r="Q46" s="24">
        <v>1.7632646915592902E-5</v>
      </c>
      <c r="R46" s="14"/>
    </row>
    <row r="47" spans="1:18" x14ac:dyDescent="0.25">
      <c r="A47" s="16" t="s">
        <v>3739</v>
      </c>
      <c r="B47" s="218" t="s">
        <v>3784</v>
      </c>
      <c r="C47" s="117" t="s">
        <v>3283</v>
      </c>
      <c r="D47" s="117"/>
      <c r="E47" s="117" t="s">
        <v>573</v>
      </c>
      <c r="F47" s="117" t="s">
        <v>3252</v>
      </c>
      <c r="G47" s="117" t="s">
        <v>573</v>
      </c>
      <c r="H47" s="118">
        <v>7.87</v>
      </c>
      <c r="I47" s="117" t="s">
        <v>218</v>
      </c>
      <c r="J47" s="118" t="s">
        <v>255</v>
      </c>
      <c r="K47" s="117">
        <v>4.6500000000000007E-2</v>
      </c>
      <c r="L47" s="117">
        <v>2.75E-2</v>
      </c>
      <c r="M47" s="112">
        <v>15208.998630765736</v>
      </c>
      <c r="N47" s="60">
        <v>128</v>
      </c>
      <c r="O47" s="84">
        <v>19.46752</v>
      </c>
      <c r="P47" s="24">
        <v>1.1671786337363154E-3</v>
      </c>
      <c r="Q47" s="24">
        <v>8.0190230967066249E-5</v>
      </c>
      <c r="R47" s="14"/>
    </row>
    <row r="48" spans="1:18" x14ac:dyDescent="0.25">
      <c r="A48" s="16" t="s">
        <v>3739</v>
      </c>
      <c r="B48" s="218" t="s">
        <v>3784</v>
      </c>
      <c r="C48" s="117" t="s">
        <v>3284</v>
      </c>
      <c r="D48" s="117"/>
      <c r="E48" s="117" t="s">
        <v>573</v>
      </c>
      <c r="F48" s="117" t="s">
        <v>3252</v>
      </c>
      <c r="G48" s="117" t="s">
        <v>573</v>
      </c>
      <c r="H48" s="118">
        <v>7.85</v>
      </c>
      <c r="I48" s="117" t="s">
        <v>218</v>
      </c>
      <c r="J48" s="118" t="s">
        <v>255</v>
      </c>
      <c r="K48" s="117">
        <v>4.5700000000000005E-2</v>
      </c>
      <c r="L48" s="117">
        <v>3.8900000000000004E-2</v>
      </c>
      <c r="M48" s="112">
        <v>7103.4036038659196</v>
      </c>
      <c r="N48" s="60">
        <v>128.55000000000001</v>
      </c>
      <c r="O48" s="84">
        <v>9.1314299999999999</v>
      </c>
      <c r="P48" s="24">
        <v>5.4747651428938059E-4</v>
      </c>
      <c r="Q48" s="24">
        <v>3.7614009424908658E-5</v>
      </c>
      <c r="R48" s="14"/>
    </row>
    <row r="49" spans="1:18" x14ac:dyDescent="0.25">
      <c r="A49" s="16" t="s">
        <v>3739</v>
      </c>
      <c r="B49" s="218" t="s">
        <v>3784</v>
      </c>
      <c r="C49" s="117" t="s">
        <v>3285</v>
      </c>
      <c r="D49" s="117"/>
      <c r="E49" s="117" t="s">
        <v>573</v>
      </c>
      <c r="F49" s="117" t="s">
        <v>3261</v>
      </c>
      <c r="G49" s="117" t="s">
        <v>573</v>
      </c>
      <c r="H49" s="118">
        <v>8.85</v>
      </c>
      <c r="I49" s="117" t="s">
        <v>218</v>
      </c>
      <c r="J49" s="118" t="s">
        <v>255</v>
      </c>
      <c r="K49" s="117">
        <v>4.4400000000000002E-2</v>
      </c>
      <c r="L49" s="117">
        <v>2.6800000000000001E-2</v>
      </c>
      <c r="M49" s="112">
        <v>30795.367214261358</v>
      </c>
      <c r="N49" s="60">
        <v>122.21</v>
      </c>
      <c r="O49" s="84">
        <v>37.635019999999997</v>
      </c>
      <c r="P49" s="24">
        <v>2.2564143365071104E-3</v>
      </c>
      <c r="Q49" s="24">
        <v>1.5502544475362847E-4</v>
      </c>
      <c r="R49" s="14"/>
    </row>
    <row r="50" spans="1:18" x14ac:dyDescent="0.25">
      <c r="A50" s="16" t="s">
        <v>3739</v>
      </c>
      <c r="B50" s="218" t="s">
        <v>3784</v>
      </c>
      <c r="C50" s="117" t="s">
        <v>3286</v>
      </c>
      <c r="D50" s="117"/>
      <c r="E50" s="117" t="s">
        <v>573</v>
      </c>
      <c r="F50" s="117" t="s">
        <v>3261</v>
      </c>
      <c r="G50" s="117" t="s">
        <v>573</v>
      </c>
      <c r="H50" s="118">
        <v>9.7100000000000009</v>
      </c>
      <c r="I50" s="117" t="s">
        <v>218</v>
      </c>
      <c r="J50" s="118" t="s">
        <v>255</v>
      </c>
      <c r="K50" s="117">
        <v>4.2099999999999999E-2</v>
      </c>
      <c r="L50" s="117">
        <v>2.4199999999999999E-2</v>
      </c>
      <c r="M50" s="112">
        <v>38035.973338552074</v>
      </c>
      <c r="N50" s="60">
        <v>142.77000000000001</v>
      </c>
      <c r="O50" s="84">
        <v>54.303959999999996</v>
      </c>
      <c r="P50" s="24">
        <v>3.2558036072017145E-3</v>
      </c>
      <c r="Q50" s="24">
        <v>2.2368781924078293E-4</v>
      </c>
      <c r="R50" s="14"/>
    </row>
    <row r="51" spans="1:18" x14ac:dyDescent="0.25">
      <c r="A51" s="16" t="s">
        <v>3739</v>
      </c>
      <c r="B51" s="218" t="s">
        <v>3784</v>
      </c>
      <c r="C51" s="117" t="s">
        <v>3287</v>
      </c>
      <c r="D51" s="117"/>
      <c r="E51" s="117" t="s">
        <v>573</v>
      </c>
      <c r="F51" s="117" t="s">
        <v>3261</v>
      </c>
      <c r="G51" s="117" t="s">
        <v>573</v>
      </c>
      <c r="H51" s="118">
        <v>9.7100000000000009</v>
      </c>
      <c r="I51" s="117" t="s">
        <v>218</v>
      </c>
      <c r="J51" s="118" t="s">
        <v>255</v>
      </c>
      <c r="K51" s="117">
        <v>4.2599999999999999E-2</v>
      </c>
      <c r="L51" s="117">
        <v>2.4199999999999999E-2</v>
      </c>
      <c r="M51" s="112">
        <v>1114.6229232414732</v>
      </c>
      <c r="N51" s="60">
        <v>142.77000000000001</v>
      </c>
      <c r="O51" s="84">
        <v>1.5913499999999998</v>
      </c>
      <c r="P51" s="24">
        <v>9.5409673075783945E-5</v>
      </c>
      <c r="Q51" s="24">
        <v>6.5550580684874531E-6</v>
      </c>
      <c r="R51" s="14"/>
    </row>
    <row r="52" spans="1:18" x14ac:dyDescent="0.25">
      <c r="A52" s="16" t="s">
        <v>3740</v>
      </c>
      <c r="B52" s="218" t="s">
        <v>3784</v>
      </c>
      <c r="C52" s="117" t="s">
        <v>3288</v>
      </c>
      <c r="D52" s="117"/>
      <c r="E52" s="117" t="s">
        <v>573</v>
      </c>
      <c r="F52" s="117" t="s">
        <v>3266</v>
      </c>
      <c r="G52" s="117" t="s">
        <v>573</v>
      </c>
      <c r="H52" s="118">
        <v>11.03</v>
      </c>
      <c r="I52" s="117" t="s">
        <v>218</v>
      </c>
      <c r="J52" s="118" t="s">
        <v>255</v>
      </c>
      <c r="K52" s="117">
        <v>3.1099999999999999E-2</v>
      </c>
      <c r="L52" s="117">
        <v>2.5699999999999997E-2</v>
      </c>
      <c r="M52" s="112">
        <v>195823.97319570484</v>
      </c>
      <c r="N52" s="60">
        <v>123.84</v>
      </c>
      <c r="O52" s="84">
        <v>242.50841</v>
      </c>
      <c r="P52" s="24">
        <v>1.4539634974221997E-2</v>
      </c>
      <c r="Q52" s="24">
        <v>9.9893594095991681E-4</v>
      </c>
      <c r="R52" s="14"/>
    </row>
    <row r="53" spans="1:18" x14ac:dyDescent="0.25">
      <c r="A53" s="16" t="s">
        <v>3740</v>
      </c>
      <c r="B53" s="218" t="s">
        <v>3784</v>
      </c>
      <c r="C53" s="117" t="s">
        <v>3289</v>
      </c>
      <c r="D53" s="117"/>
      <c r="E53" s="117" t="s">
        <v>573</v>
      </c>
      <c r="F53" s="117" t="s">
        <v>3266</v>
      </c>
      <c r="G53" s="117" t="s">
        <v>573</v>
      </c>
      <c r="H53" s="118">
        <v>10.78</v>
      </c>
      <c r="I53" s="117" t="s">
        <v>218</v>
      </c>
      <c r="J53" s="118" t="s">
        <v>255</v>
      </c>
      <c r="K53" s="117">
        <v>3.1699999999999999E-2</v>
      </c>
      <c r="L53" s="117">
        <v>2.9900000000000003E-2</v>
      </c>
      <c r="M53" s="112">
        <v>339250.34411922458</v>
      </c>
      <c r="N53" s="60">
        <v>130.88</v>
      </c>
      <c r="O53" s="84">
        <v>444.01085</v>
      </c>
      <c r="P53" s="24">
        <v>2.6620749703459921E-2</v>
      </c>
      <c r="Q53" s="24">
        <v>1.8289608852788341E-3</v>
      </c>
      <c r="R53" s="14"/>
    </row>
    <row r="54" spans="1:18" x14ac:dyDescent="0.25">
      <c r="A54" s="16" t="s">
        <v>3739</v>
      </c>
      <c r="B54" s="218" t="s">
        <v>3784</v>
      </c>
      <c r="C54" s="117" t="s">
        <v>3290</v>
      </c>
      <c r="D54" s="117"/>
      <c r="E54" s="117" t="s">
        <v>573</v>
      </c>
      <c r="F54" s="117" t="s">
        <v>3121</v>
      </c>
      <c r="G54" s="117" t="s">
        <v>573</v>
      </c>
      <c r="H54" s="118">
        <v>9.02</v>
      </c>
      <c r="I54" s="117" t="s">
        <v>218</v>
      </c>
      <c r="J54" s="118" t="s">
        <v>255</v>
      </c>
      <c r="K54" s="117">
        <v>4.4400000000000002E-2</v>
      </c>
      <c r="L54" s="117">
        <v>2.8300000000000002E-2</v>
      </c>
      <c r="M54" s="112">
        <v>96004.429544101833</v>
      </c>
      <c r="N54" s="60">
        <v>111.19</v>
      </c>
      <c r="O54" s="84">
        <v>106.74733000000001</v>
      </c>
      <c r="P54" s="24">
        <v>6.4000552091072515E-3</v>
      </c>
      <c r="Q54" s="24">
        <v>4.3971153222483605E-4</v>
      </c>
      <c r="R54" s="14"/>
    </row>
    <row r="55" spans="1:18" x14ac:dyDescent="0.25">
      <c r="A55" s="16" t="s">
        <v>3739</v>
      </c>
      <c r="B55" s="218" t="s">
        <v>3784</v>
      </c>
      <c r="C55" s="117" t="s">
        <v>3291</v>
      </c>
      <c r="D55" s="117"/>
      <c r="E55" s="117" t="s">
        <v>573</v>
      </c>
      <c r="F55" s="117" t="s">
        <v>3121</v>
      </c>
      <c r="G55" s="117" t="s">
        <v>573</v>
      </c>
      <c r="H55" s="118">
        <v>9.4700000000000006</v>
      </c>
      <c r="I55" s="117" t="s">
        <v>218</v>
      </c>
      <c r="J55" s="118" t="s">
        <v>255</v>
      </c>
      <c r="K55" s="117">
        <v>4.4299999999999999E-2</v>
      </c>
      <c r="L55" s="117">
        <v>1.01E-2</v>
      </c>
      <c r="M55" s="112">
        <v>24861.255987647317</v>
      </c>
      <c r="N55" s="60">
        <v>138.41</v>
      </c>
      <c r="O55" s="84">
        <v>34.41046</v>
      </c>
      <c r="P55" s="24">
        <v>2.0630852665895877E-3</v>
      </c>
      <c r="Q55" s="24">
        <v>1.4174289971619368E-4</v>
      </c>
      <c r="R55" s="14"/>
    </row>
    <row r="56" spans="1:18" x14ac:dyDescent="0.25">
      <c r="A56" s="16" t="s">
        <v>3739</v>
      </c>
      <c r="B56" s="218" t="s">
        <v>3784</v>
      </c>
      <c r="C56" s="117" t="s">
        <v>3292</v>
      </c>
      <c r="D56" s="117"/>
      <c r="E56" s="117" t="s">
        <v>573</v>
      </c>
      <c r="F56" s="117" t="s">
        <v>3121</v>
      </c>
      <c r="G56" s="117" t="s">
        <v>573</v>
      </c>
      <c r="H56" s="118">
        <v>9.14</v>
      </c>
      <c r="I56" s="117" t="s">
        <v>218</v>
      </c>
      <c r="J56" s="118" t="s">
        <v>255</v>
      </c>
      <c r="K56" s="117">
        <v>4.4299999999999999E-2</v>
      </c>
      <c r="L56" s="117">
        <v>2.3300000000000001E-2</v>
      </c>
      <c r="M56" s="112">
        <v>14399.08253589898</v>
      </c>
      <c r="N56" s="60">
        <v>130.87</v>
      </c>
      <c r="O56" s="84">
        <v>18.844080000000002</v>
      </c>
      <c r="P56" s="24">
        <v>1.1298001773424569E-3</v>
      </c>
      <c r="Q56" s="24">
        <v>7.7622169005701493E-5</v>
      </c>
      <c r="R56" s="14"/>
    </row>
    <row r="57" spans="1:18" x14ac:dyDescent="0.25">
      <c r="A57" s="16" t="s">
        <v>3739</v>
      </c>
      <c r="B57" s="218" t="s">
        <v>3784</v>
      </c>
      <c r="C57" s="117" t="s">
        <v>3293</v>
      </c>
      <c r="D57" s="117"/>
      <c r="E57" s="117" t="s">
        <v>573</v>
      </c>
      <c r="F57" s="117" t="s">
        <v>3121</v>
      </c>
      <c r="G57" s="117" t="s">
        <v>573</v>
      </c>
      <c r="H57" s="118">
        <v>9.14</v>
      </c>
      <c r="I57" s="117" t="s">
        <v>218</v>
      </c>
      <c r="J57" s="118" t="s">
        <v>255</v>
      </c>
      <c r="K57" s="117">
        <v>4.4299999999999999E-2</v>
      </c>
      <c r="L57" s="117">
        <v>2.3300000000000001E-2</v>
      </c>
      <c r="M57" s="112">
        <v>993.59815516870879</v>
      </c>
      <c r="N57" s="60">
        <v>130.87</v>
      </c>
      <c r="O57" s="84">
        <v>1.3003199999999999</v>
      </c>
      <c r="P57" s="24">
        <v>7.7960917519026852E-5</v>
      </c>
      <c r="Q57" s="24">
        <v>5.3562529346879098E-6</v>
      </c>
      <c r="R57" s="14"/>
    </row>
    <row r="58" spans="1:18" s="119" customFormat="1" x14ac:dyDescent="0.25">
      <c r="A58" s="92" t="s">
        <v>3294</v>
      </c>
      <c r="B58" s="131" t="s">
        <v>249</v>
      </c>
      <c r="C58" s="131" t="s">
        <v>249</v>
      </c>
      <c r="D58" s="131"/>
      <c r="E58" s="131" t="s">
        <v>249</v>
      </c>
      <c r="F58" s="131" t="s">
        <v>249</v>
      </c>
      <c r="G58" s="131" t="s">
        <v>249</v>
      </c>
      <c r="H58" s="132" t="s">
        <v>249</v>
      </c>
      <c r="I58" s="131" t="s">
        <v>249</v>
      </c>
      <c r="J58" s="132" t="s">
        <v>249</v>
      </c>
      <c r="K58" s="131" t="s">
        <v>249</v>
      </c>
      <c r="L58" s="131" t="s">
        <v>249</v>
      </c>
      <c r="M58" s="161" t="s">
        <v>249</v>
      </c>
      <c r="N58" s="136" t="s">
        <v>249</v>
      </c>
      <c r="O58" s="124">
        <v>5681.4185801000031</v>
      </c>
      <c r="P58" s="137">
        <v>0.3406304642812869</v>
      </c>
      <c r="Q58" s="137">
        <v>2.3402789269449876E-2</v>
      </c>
      <c r="R58" s="14"/>
    </row>
    <row r="59" spans="1:18" x14ac:dyDescent="0.25">
      <c r="A59" s="16" t="s">
        <v>3741</v>
      </c>
      <c r="B59" s="218" t="s">
        <v>3784</v>
      </c>
      <c r="C59" s="117" t="s">
        <v>3302</v>
      </c>
      <c r="D59" s="117"/>
      <c r="E59" s="117" t="s">
        <v>709</v>
      </c>
      <c r="F59" s="117" t="s">
        <v>3303</v>
      </c>
      <c r="G59" s="117" t="s">
        <v>569</v>
      </c>
      <c r="H59" s="118">
        <v>7.9</v>
      </c>
      <c r="I59" s="117" t="s">
        <v>221</v>
      </c>
      <c r="J59" s="118" t="s">
        <v>255</v>
      </c>
      <c r="K59" s="117">
        <v>3.0800000000000001E-2</v>
      </c>
      <c r="L59" s="117">
        <v>5.45E-2</v>
      </c>
      <c r="M59" s="112">
        <v>54350.366339475077</v>
      </c>
      <c r="N59" s="60">
        <v>83.84</v>
      </c>
      <c r="O59" s="84">
        <v>45.567349999999998</v>
      </c>
      <c r="P59" s="24">
        <v>2.7319985964305927E-3</v>
      </c>
      <c r="Q59" s="24">
        <v>1.8770014470549645E-4</v>
      </c>
      <c r="R59" s="14"/>
    </row>
    <row r="60" spans="1:18" x14ac:dyDescent="0.25">
      <c r="A60" s="16" t="s">
        <v>3741</v>
      </c>
      <c r="B60" s="218" t="s">
        <v>3784</v>
      </c>
      <c r="C60" s="117" t="s">
        <v>3310</v>
      </c>
      <c r="D60" s="117"/>
      <c r="E60" s="117" t="s">
        <v>709</v>
      </c>
      <c r="F60" s="117" t="s">
        <v>3311</v>
      </c>
      <c r="G60" s="117" t="s">
        <v>569</v>
      </c>
      <c r="H60" s="118">
        <v>7.63</v>
      </c>
      <c r="I60" s="117" t="s">
        <v>221</v>
      </c>
      <c r="J60" s="118" t="s">
        <v>255</v>
      </c>
      <c r="K60" s="117">
        <v>3.1300000000000001E-2</v>
      </c>
      <c r="L60" s="117">
        <v>6.4100000000000004E-2</v>
      </c>
      <c r="M60" s="112">
        <v>44491.132257891804</v>
      </c>
      <c r="N60" s="60">
        <v>78.489999999999995</v>
      </c>
      <c r="O60" s="84">
        <v>34.92109</v>
      </c>
      <c r="P60" s="24">
        <v>2.0937001793131793E-3</v>
      </c>
      <c r="Q60" s="24">
        <v>1.4384627691260663E-4</v>
      </c>
      <c r="R60" s="14"/>
    </row>
    <row r="61" spans="1:18" x14ac:dyDescent="0.25">
      <c r="A61" s="16" t="s">
        <v>3741</v>
      </c>
      <c r="B61" s="218" t="s">
        <v>3784</v>
      </c>
      <c r="C61" s="117" t="s">
        <v>3316</v>
      </c>
      <c r="D61" s="117"/>
      <c r="E61" s="117" t="s">
        <v>709</v>
      </c>
      <c r="F61" s="117" t="s">
        <v>3317</v>
      </c>
      <c r="G61" s="117" t="s">
        <v>569</v>
      </c>
      <c r="H61" s="118">
        <v>7.67</v>
      </c>
      <c r="I61" s="117" t="s">
        <v>221</v>
      </c>
      <c r="J61" s="118" t="s">
        <v>255</v>
      </c>
      <c r="K61" s="117">
        <v>3.1899999999999998E-2</v>
      </c>
      <c r="L61" s="117">
        <v>6.2699999999999992E-2</v>
      </c>
      <c r="M61" s="112">
        <v>43997.764367960408</v>
      </c>
      <c r="N61" s="60">
        <v>79.680000000000007</v>
      </c>
      <c r="O61" s="84">
        <v>35.05742</v>
      </c>
      <c r="P61" s="24">
        <v>2.1018738687783641E-3</v>
      </c>
      <c r="Q61" s="24">
        <v>1.4440784480557604E-4</v>
      </c>
      <c r="R61" s="14"/>
    </row>
    <row r="62" spans="1:18" x14ac:dyDescent="0.25">
      <c r="A62" s="16" t="s">
        <v>3741</v>
      </c>
      <c r="B62" s="218" t="s">
        <v>3784</v>
      </c>
      <c r="C62" s="117" t="s">
        <v>3350</v>
      </c>
      <c r="D62" s="117"/>
      <c r="E62" s="117" t="s">
        <v>709</v>
      </c>
      <c r="F62" s="117" t="s">
        <v>3351</v>
      </c>
      <c r="G62" s="117" t="s">
        <v>569</v>
      </c>
      <c r="H62" s="118">
        <v>7.84</v>
      </c>
      <c r="I62" s="117" t="s">
        <v>221</v>
      </c>
      <c r="J62" s="118" t="s">
        <v>255</v>
      </c>
      <c r="K62" s="117">
        <v>3.2400000000000005E-2</v>
      </c>
      <c r="L62" s="117">
        <v>5.67E-2</v>
      </c>
      <c r="M62" s="112">
        <v>43326.811361797489</v>
      </c>
      <c r="N62" s="60">
        <v>83.59</v>
      </c>
      <c r="O62" s="84">
        <v>36.216879999999996</v>
      </c>
      <c r="P62" s="24">
        <v>2.1713894998742563E-3</v>
      </c>
      <c r="Q62" s="24">
        <v>1.4918386995911765E-4</v>
      </c>
      <c r="R62" s="14"/>
    </row>
    <row r="63" spans="1:18" x14ac:dyDescent="0.25">
      <c r="A63" s="16" t="s">
        <v>3741</v>
      </c>
      <c r="B63" s="218" t="s">
        <v>3784</v>
      </c>
      <c r="C63" s="117" t="s">
        <v>3376</v>
      </c>
      <c r="D63" s="117"/>
      <c r="E63" s="117" t="s">
        <v>709</v>
      </c>
      <c r="F63" s="117" t="s">
        <v>3377</v>
      </c>
      <c r="G63" s="117" t="s">
        <v>569</v>
      </c>
      <c r="H63" s="118">
        <v>8.16</v>
      </c>
      <c r="I63" s="117" t="s">
        <v>221</v>
      </c>
      <c r="J63" s="118" t="s">
        <v>255</v>
      </c>
      <c r="K63" s="117">
        <v>3.3000000000000002E-2</v>
      </c>
      <c r="L63" s="117">
        <v>4.5199999999999997E-2</v>
      </c>
      <c r="M63" s="112">
        <v>42647.214178172864</v>
      </c>
      <c r="N63" s="60">
        <v>91.69</v>
      </c>
      <c r="O63" s="84">
        <v>39.103230000000003</v>
      </c>
      <c r="P63" s="24">
        <v>2.344441128920217E-3</v>
      </c>
      <c r="Q63" s="24">
        <v>1.6107326692143192E-4</v>
      </c>
      <c r="R63" s="14"/>
    </row>
    <row r="64" spans="1:18" x14ac:dyDescent="0.25">
      <c r="A64" s="16" t="s">
        <v>3742</v>
      </c>
      <c r="B64" s="218" t="s">
        <v>3784</v>
      </c>
      <c r="C64" s="117" t="s">
        <v>3474</v>
      </c>
      <c r="D64" s="117"/>
      <c r="E64" s="117" t="s">
        <v>411</v>
      </c>
      <c r="F64" s="117" t="s">
        <v>3475</v>
      </c>
      <c r="G64" s="117" t="s">
        <v>3385</v>
      </c>
      <c r="H64" s="118">
        <v>4.3099999999999996</v>
      </c>
      <c r="I64" s="117" t="s">
        <v>223</v>
      </c>
      <c r="J64" s="118" t="s">
        <v>255</v>
      </c>
      <c r="K64" s="117">
        <v>6.9999999999999993E-3</v>
      </c>
      <c r="L64" s="117">
        <v>3.85E-2</v>
      </c>
      <c r="M64" s="112">
        <v>140027.20859916482</v>
      </c>
      <c r="N64" s="60">
        <v>96.49</v>
      </c>
      <c r="O64" s="84">
        <v>135.11224999999999</v>
      </c>
      <c r="P64" s="24">
        <v>8.1006790467424445E-3</v>
      </c>
      <c r="Q64" s="24">
        <v>5.5655176077795199E-4</v>
      </c>
      <c r="R64" s="14"/>
    </row>
    <row r="65" spans="1:18" x14ac:dyDescent="0.25">
      <c r="A65" s="16" t="s">
        <v>3743</v>
      </c>
      <c r="B65" s="117" t="s">
        <v>3297</v>
      </c>
      <c r="C65" s="117" t="s">
        <v>3298</v>
      </c>
      <c r="D65" s="117"/>
      <c r="E65" s="117" t="s">
        <v>577</v>
      </c>
      <c r="F65" s="117" t="s">
        <v>3299</v>
      </c>
      <c r="G65" s="117" t="s">
        <v>254</v>
      </c>
      <c r="H65" s="118">
        <v>7.13</v>
      </c>
      <c r="I65" s="117" t="s">
        <v>211</v>
      </c>
      <c r="J65" s="118" t="s">
        <v>255</v>
      </c>
      <c r="K65" s="117">
        <v>7.1999999880790713E-2</v>
      </c>
      <c r="L65" s="117">
        <v>6.6100000000000006E-2</v>
      </c>
      <c r="M65" s="112">
        <v>10868.268646909244</v>
      </c>
      <c r="N65" s="60">
        <v>99.69</v>
      </c>
      <c r="O65" s="84">
        <v>10.834580000000001</v>
      </c>
      <c r="P65" s="24">
        <v>6.4958917630529253E-4</v>
      </c>
      <c r="Q65" s="24">
        <v>4.4629591885928808E-5</v>
      </c>
      <c r="R65" s="14"/>
    </row>
    <row r="66" spans="1:18" x14ac:dyDescent="0.25">
      <c r="A66" s="16" t="s">
        <v>3743</v>
      </c>
      <c r="B66" s="117" t="s">
        <v>3297</v>
      </c>
      <c r="C66" s="117" t="s">
        <v>3335</v>
      </c>
      <c r="D66" s="117"/>
      <c r="E66" s="117" t="s">
        <v>577</v>
      </c>
      <c r="F66" s="117" t="s">
        <v>3336</v>
      </c>
      <c r="G66" s="117" t="s">
        <v>254</v>
      </c>
      <c r="H66" s="118">
        <v>7.09</v>
      </c>
      <c r="I66" s="117" t="s">
        <v>211</v>
      </c>
      <c r="J66" s="118" t="s">
        <v>255</v>
      </c>
      <c r="K66" s="117">
        <v>7.1999999880790713E-2</v>
      </c>
      <c r="L66" s="117">
        <v>6.7900000000000002E-2</v>
      </c>
      <c r="M66" s="112">
        <v>15372.153321258398</v>
      </c>
      <c r="N66" s="60">
        <v>98.56</v>
      </c>
      <c r="O66" s="84">
        <v>15.150790000000001</v>
      </c>
      <c r="P66" s="24">
        <v>9.0836831667443169E-4</v>
      </c>
      <c r="Q66" s="24">
        <v>6.2408840439538157E-5</v>
      </c>
      <c r="R66" s="14"/>
    </row>
    <row r="67" spans="1:18" x14ac:dyDescent="0.25">
      <c r="A67" s="16" t="s">
        <v>3743</v>
      </c>
      <c r="B67" s="117" t="s">
        <v>3297</v>
      </c>
      <c r="C67" s="117" t="s">
        <v>3341</v>
      </c>
      <c r="D67" s="117"/>
      <c r="E67" s="117" t="s">
        <v>577</v>
      </c>
      <c r="F67" s="117" t="s">
        <v>972</v>
      </c>
      <c r="G67" s="117" t="s">
        <v>254</v>
      </c>
      <c r="H67" s="118">
        <v>7.05</v>
      </c>
      <c r="I67" s="117" t="s">
        <v>211</v>
      </c>
      <c r="J67" s="118" t="s">
        <v>255</v>
      </c>
      <c r="K67" s="117">
        <v>7.1999999880790713E-2</v>
      </c>
      <c r="L67" s="117">
        <v>6.9199999999999998E-2</v>
      </c>
      <c r="M67" s="112">
        <v>12423.984420746998</v>
      </c>
      <c r="N67" s="60">
        <v>97.68</v>
      </c>
      <c r="O67" s="84">
        <v>12.13575</v>
      </c>
      <c r="P67" s="24">
        <v>7.2760105572592141E-4</v>
      </c>
      <c r="Q67" s="24">
        <v>4.9989346124137759E-5</v>
      </c>
      <c r="R67" s="14"/>
    </row>
    <row r="68" spans="1:18" x14ac:dyDescent="0.25">
      <c r="A68" s="16" t="s">
        <v>3743</v>
      </c>
      <c r="B68" s="117" t="s">
        <v>3297</v>
      </c>
      <c r="C68" s="117" t="s">
        <v>3346</v>
      </c>
      <c r="D68" s="117"/>
      <c r="E68" s="117" t="s">
        <v>577</v>
      </c>
      <c r="F68" s="117" t="s">
        <v>3347</v>
      </c>
      <c r="G68" s="117" t="s">
        <v>254</v>
      </c>
      <c r="H68" s="118">
        <v>7.05</v>
      </c>
      <c r="I68" s="117" t="s">
        <v>211</v>
      </c>
      <c r="J68" s="118" t="s">
        <v>255</v>
      </c>
      <c r="K68" s="117">
        <v>7.1999999880790713E-2</v>
      </c>
      <c r="L68" s="117">
        <v>6.9500000000000006E-2</v>
      </c>
      <c r="M68" s="112">
        <v>21503.506040297354</v>
      </c>
      <c r="N68" s="60">
        <v>97.49</v>
      </c>
      <c r="O68" s="84">
        <v>20.96377</v>
      </c>
      <c r="P68" s="24">
        <v>1.2568865693505058E-3</v>
      </c>
      <c r="Q68" s="24">
        <v>8.635355495925801E-5</v>
      </c>
      <c r="R68" s="14"/>
    </row>
    <row r="69" spans="1:18" x14ac:dyDescent="0.25">
      <c r="A69" s="16" t="s">
        <v>3743</v>
      </c>
      <c r="B69" s="117" t="s">
        <v>3297</v>
      </c>
      <c r="C69" s="117" t="s">
        <v>3355</v>
      </c>
      <c r="D69" s="117"/>
      <c r="E69" s="117" t="s">
        <v>577</v>
      </c>
      <c r="F69" s="117" t="s">
        <v>998</v>
      </c>
      <c r="G69" s="117" t="s">
        <v>254</v>
      </c>
      <c r="H69" s="118">
        <v>7.15</v>
      </c>
      <c r="I69" s="117" t="s">
        <v>211</v>
      </c>
      <c r="J69" s="118" t="s">
        <v>255</v>
      </c>
      <c r="K69" s="117">
        <v>7.1999999880790713E-2</v>
      </c>
      <c r="L69" s="117">
        <v>6.54E-2</v>
      </c>
      <c r="M69" s="112">
        <v>42969.261687408689</v>
      </c>
      <c r="N69" s="60">
        <v>100.2</v>
      </c>
      <c r="O69" s="84">
        <v>43.055199999999999</v>
      </c>
      <c r="P69" s="24">
        <v>2.5813821951252039E-3</v>
      </c>
      <c r="Q69" s="24">
        <v>1.7735214512856445E-4</v>
      </c>
      <c r="R69" s="14"/>
    </row>
    <row r="70" spans="1:18" x14ac:dyDescent="0.25">
      <c r="A70" s="16" t="s">
        <v>3743</v>
      </c>
      <c r="B70" s="117" t="s">
        <v>3297</v>
      </c>
      <c r="C70" s="117" t="s">
        <v>3364</v>
      </c>
      <c r="D70" s="117"/>
      <c r="E70" s="117" t="s">
        <v>577</v>
      </c>
      <c r="F70" s="117" t="s">
        <v>3365</v>
      </c>
      <c r="G70" s="117" t="s">
        <v>254</v>
      </c>
      <c r="H70" s="118">
        <v>7.16</v>
      </c>
      <c r="I70" s="117" t="s">
        <v>211</v>
      </c>
      <c r="J70" s="118" t="s">
        <v>255</v>
      </c>
      <c r="K70" s="117">
        <v>7.1999999880790713E-2</v>
      </c>
      <c r="L70" s="117">
        <v>6.4899999999999999E-2</v>
      </c>
      <c r="M70" s="112">
        <v>17703.675220735797</v>
      </c>
      <c r="N70" s="60">
        <v>100.55</v>
      </c>
      <c r="O70" s="84">
        <v>17.80105</v>
      </c>
      <c r="P70" s="24">
        <v>1.0672651276624776E-3</v>
      </c>
      <c r="Q70" s="24">
        <v>7.3325740050930713E-5</v>
      </c>
      <c r="R70" s="14"/>
    </row>
    <row r="71" spans="1:18" x14ac:dyDescent="0.25">
      <c r="A71" s="16" t="s">
        <v>3743</v>
      </c>
      <c r="B71" s="117" t="s">
        <v>3297</v>
      </c>
      <c r="C71" s="117" t="s">
        <v>3374</v>
      </c>
      <c r="D71" s="117"/>
      <c r="E71" s="117" t="s">
        <v>577</v>
      </c>
      <c r="F71" s="117" t="s">
        <v>3375</v>
      </c>
      <c r="G71" s="117" t="s">
        <v>254</v>
      </c>
      <c r="H71" s="118">
        <v>7.17</v>
      </c>
      <c r="I71" s="117" t="s">
        <v>211</v>
      </c>
      <c r="J71" s="118" t="s">
        <v>255</v>
      </c>
      <c r="K71" s="117">
        <v>7.1999999880790713E-2</v>
      </c>
      <c r="L71" s="117">
        <v>6.4399999999999999E-2</v>
      </c>
      <c r="M71" s="112">
        <v>22178.492100425097</v>
      </c>
      <c r="N71" s="60">
        <v>100.84</v>
      </c>
      <c r="O71" s="84">
        <v>22.364789999999999</v>
      </c>
      <c r="P71" s="24">
        <v>1.3408849733299163E-3</v>
      </c>
      <c r="Q71" s="24">
        <v>9.2124609381674381E-5</v>
      </c>
      <c r="R71" s="14"/>
    </row>
    <row r="72" spans="1:18" x14ac:dyDescent="0.25">
      <c r="A72" s="16" t="s">
        <v>3743</v>
      </c>
      <c r="B72" s="117" t="s">
        <v>3297</v>
      </c>
      <c r="C72" s="117" t="s">
        <v>3401</v>
      </c>
      <c r="D72" s="117"/>
      <c r="E72" s="117" t="s">
        <v>577</v>
      </c>
      <c r="F72" s="117" t="s">
        <v>3402</v>
      </c>
      <c r="G72" s="117" t="s">
        <v>254</v>
      </c>
      <c r="H72" s="118">
        <v>7.16</v>
      </c>
      <c r="I72" s="117" t="s">
        <v>211</v>
      </c>
      <c r="J72" s="118" t="s">
        <v>255</v>
      </c>
      <c r="K72" s="117">
        <v>7.1999999880790713E-2</v>
      </c>
      <c r="L72" s="117">
        <v>6.4899999999999999E-2</v>
      </c>
      <c r="M72" s="112">
        <v>15235.848412670857</v>
      </c>
      <c r="N72" s="60">
        <v>100.54</v>
      </c>
      <c r="O72" s="84">
        <v>15.31812</v>
      </c>
      <c r="P72" s="24">
        <v>9.1840061666863216E-4</v>
      </c>
      <c r="Q72" s="24">
        <v>6.3098102931510386E-5</v>
      </c>
      <c r="R72" s="14"/>
    </row>
    <row r="73" spans="1:18" x14ac:dyDescent="0.25">
      <c r="A73" s="16" t="s">
        <v>3743</v>
      </c>
      <c r="B73" s="117" t="s">
        <v>3297</v>
      </c>
      <c r="C73" s="117" t="s">
        <v>3409</v>
      </c>
      <c r="D73" s="117"/>
      <c r="E73" s="117" t="s">
        <v>577</v>
      </c>
      <c r="F73" s="117" t="s">
        <v>3410</v>
      </c>
      <c r="G73" s="117" t="s">
        <v>254</v>
      </c>
      <c r="H73" s="118">
        <v>7.14</v>
      </c>
      <c r="I73" s="117" t="s">
        <v>211</v>
      </c>
      <c r="J73" s="118" t="s">
        <v>255</v>
      </c>
      <c r="K73" s="117">
        <v>7.1999999880790713E-2</v>
      </c>
      <c r="L73" s="117">
        <v>6.5700000000000008E-2</v>
      </c>
      <c r="M73" s="112">
        <v>12415.526087480315</v>
      </c>
      <c r="N73" s="60">
        <v>99.97</v>
      </c>
      <c r="O73" s="84">
        <v>12.411799999999999</v>
      </c>
      <c r="P73" s="24">
        <v>7.4415168271091533E-4</v>
      </c>
      <c r="Q73" s="24">
        <v>5.1126445932354653E-5</v>
      </c>
      <c r="R73" s="14"/>
    </row>
    <row r="74" spans="1:18" x14ac:dyDescent="0.25">
      <c r="A74" s="16" t="s">
        <v>3743</v>
      </c>
      <c r="B74" s="117" t="s">
        <v>3297</v>
      </c>
      <c r="C74" s="117" t="s">
        <v>3419</v>
      </c>
      <c r="D74" s="117"/>
      <c r="E74" s="117" t="s">
        <v>577</v>
      </c>
      <c r="F74" s="117" t="s">
        <v>3420</v>
      </c>
      <c r="G74" s="117" t="s">
        <v>254</v>
      </c>
      <c r="H74" s="118">
        <v>7.17</v>
      </c>
      <c r="I74" s="117" t="s">
        <v>211</v>
      </c>
      <c r="J74" s="118" t="s">
        <v>255</v>
      </c>
      <c r="K74" s="117">
        <v>7.1999999880790713E-2</v>
      </c>
      <c r="L74" s="117">
        <v>6.4399999999999999E-2</v>
      </c>
      <c r="M74" s="112">
        <v>27278.911528851579</v>
      </c>
      <c r="N74" s="60">
        <v>100.84</v>
      </c>
      <c r="O74" s="84">
        <v>27.508050000000001</v>
      </c>
      <c r="P74" s="24">
        <v>1.6492500439578462E-3</v>
      </c>
      <c r="Q74" s="24">
        <v>1.1331062626126013E-4</v>
      </c>
      <c r="R74" s="14"/>
    </row>
    <row r="75" spans="1:18" x14ac:dyDescent="0.25">
      <c r="A75" s="16" t="s">
        <v>3743</v>
      </c>
      <c r="B75" s="117" t="s">
        <v>3297</v>
      </c>
      <c r="C75" s="117" t="s">
        <v>3426</v>
      </c>
      <c r="D75" s="117"/>
      <c r="E75" s="117" t="s">
        <v>577</v>
      </c>
      <c r="F75" s="117" t="s">
        <v>3427</v>
      </c>
      <c r="G75" s="117" t="s">
        <v>254</v>
      </c>
      <c r="H75" s="118">
        <v>7.17</v>
      </c>
      <c r="I75" s="117" t="s">
        <v>211</v>
      </c>
      <c r="J75" s="118" t="s">
        <v>255</v>
      </c>
      <c r="K75" s="117">
        <v>7.1999999880790713E-2</v>
      </c>
      <c r="L75" s="117">
        <v>6.4399999999999999E-2</v>
      </c>
      <c r="M75" s="112">
        <v>18856.516907699428</v>
      </c>
      <c r="N75" s="60">
        <v>100.84</v>
      </c>
      <c r="O75" s="84">
        <v>19.01491</v>
      </c>
      <c r="P75" s="24">
        <v>1.1400423204609011E-3</v>
      </c>
      <c r="Q75" s="24">
        <v>7.8325848629819201E-5</v>
      </c>
      <c r="R75" s="14"/>
    </row>
    <row r="76" spans="1:18" x14ac:dyDescent="0.25">
      <c r="A76" s="16" t="s">
        <v>3743</v>
      </c>
      <c r="B76" s="117" t="s">
        <v>3297</v>
      </c>
      <c r="C76" s="117" t="s">
        <v>3304</v>
      </c>
      <c r="D76" s="117"/>
      <c r="E76" s="117" t="s">
        <v>577</v>
      </c>
      <c r="F76" s="117" t="s">
        <v>3305</v>
      </c>
      <c r="G76" s="117" t="s">
        <v>254</v>
      </c>
      <c r="H76" s="118">
        <v>7.17</v>
      </c>
      <c r="I76" s="117" t="s">
        <v>211</v>
      </c>
      <c r="J76" s="118" t="s">
        <v>255</v>
      </c>
      <c r="K76" s="117">
        <v>7.1999999880790713E-2</v>
      </c>
      <c r="L76" s="117">
        <v>6.4399999999999999E-2</v>
      </c>
      <c r="M76" s="112">
        <v>10318.094403846728</v>
      </c>
      <c r="N76" s="60">
        <v>100.84</v>
      </c>
      <c r="O76" s="84">
        <v>10.404770000000001</v>
      </c>
      <c r="P76" s="24">
        <v>6.2381984109638022E-4</v>
      </c>
      <c r="Q76" s="24">
        <v>4.2859126866658005E-5</v>
      </c>
      <c r="R76" s="14"/>
    </row>
    <row r="77" spans="1:18" x14ac:dyDescent="0.25">
      <c r="A77" s="16" t="s">
        <v>3743</v>
      </c>
      <c r="B77" s="117" t="s">
        <v>3297</v>
      </c>
      <c r="C77" s="117" t="s">
        <v>3438</v>
      </c>
      <c r="D77" s="117"/>
      <c r="E77" s="117" t="s">
        <v>577</v>
      </c>
      <c r="F77" s="117" t="s">
        <v>2888</v>
      </c>
      <c r="G77" s="117" t="s">
        <v>254</v>
      </c>
      <c r="H77" s="118">
        <v>7.17</v>
      </c>
      <c r="I77" s="117" t="s">
        <v>211</v>
      </c>
      <c r="J77" s="118" t="s">
        <v>255</v>
      </c>
      <c r="K77" s="117">
        <v>7.1999999880790713E-2</v>
      </c>
      <c r="L77" s="117">
        <v>6.4500000000000002E-2</v>
      </c>
      <c r="M77" s="112">
        <v>9686.0779541185802</v>
      </c>
      <c r="N77" s="60">
        <v>100.81</v>
      </c>
      <c r="O77" s="84">
        <v>9.7645400000000002</v>
      </c>
      <c r="P77" s="24">
        <v>5.8543473725793539E-4</v>
      </c>
      <c r="Q77" s="24">
        <v>4.0221903862801072E-5</v>
      </c>
      <c r="R77" s="14"/>
    </row>
    <row r="78" spans="1:18" x14ac:dyDescent="0.25">
      <c r="A78" s="16" t="s">
        <v>3743</v>
      </c>
      <c r="B78" s="117" t="s">
        <v>3297</v>
      </c>
      <c r="C78" s="117" t="s">
        <v>3306</v>
      </c>
      <c r="D78" s="117"/>
      <c r="E78" s="117" t="s">
        <v>577</v>
      </c>
      <c r="F78" s="117" t="s">
        <v>3307</v>
      </c>
      <c r="G78" s="117" t="s">
        <v>254</v>
      </c>
      <c r="H78" s="118">
        <v>7.17</v>
      </c>
      <c r="I78" s="117" t="s">
        <v>211</v>
      </c>
      <c r="J78" s="118" t="s">
        <v>255</v>
      </c>
      <c r="K78" s="117">
        <v>7.1999999880790713E-2</v>
      </c>
      <c r="L78" s="117">
        <v>6.4399999999999999E-2</v>
      </c>
      <c r="M78" s="112">
        <v>37631.980510765243</v>
      </c>
      <c r="N78" s="60">
        <v>100.84</v>
      </c>
      <c r="O78" s="84">
        <v>37.948089999999993</v>
      </c>
      <c r="P78" s="24">
        <v>2.2751845041948195E-3</v>
      </c>
      <c r="Q78" s="24">
        <v>1.563150366281384E-4</v>
      </c>
      <c r="R78" s="14"/>
    </row>
    <row r="79" spans="1:18" x14ac:dyDescent="0.25">
      <c r="A79" s="16" t="s">
        <v>3743</v>
      </c>
      <c r="B79" s="117" t="s">
        <v>3297</v>
      </c>
      <c r="C79" s="117" t="s">
        <v>3308</v>
      </c>
      <c r="D79" s="117"/>
      <c r="E79" s="117" t="s">
        <v>577</v>
      </c>
      <c r="F79" s="117" t="s">
        <v>3309</v>
      </c>
      <c r="G79" s="117" t="s">
        <v>254</v>
      </c>
      <c r="H79" s="118">
        <v>7.17</v>
      </c>
      <c r="I79" s="117" t="s">
        <v>211</v>
      </c>
      <c r="J79" s="118" t="s">
        <v>255</v>
      </c>
      <c r="K79" s="117">
        <v>7.1999999880790713E-2</v>
      </c>
      <c r="L79" s="117">
        <v>6.4500000000000002E-2</v>
      </c>
      <c r="M79" s="112">
        <v>21310.75769914245</v>
      </c>
      <c r="N79" s="60">
        <v>100.82</v>
      </c>
      <c r="O79" s="84">
        <v>21.485509999999998</v>
      </c>
      <c r="P79" s="24">
        <v>1.2881675841056252E-3</v>
      </c>
      <c r="Q79" s="24">
        <v>8.8502696252281307E-5</v>
      </c>
      <c r="R79" s="14"/>
    </row>
    <row r="80" spans="1:18" x14ac:dyDescent="0.25">
      <c r="A80" s="16" t="s">
        <v>3743</v>
      </c>
      <c r="B80" s="117" t="s">
        <v>3297</v>
      </c>
      <c r="C80" s="117" t="s">
        <v>3312</v>
      </c>
      <c r="D80" s="117"/>
      <c r="E80" s="117" t="s">
        <v>577</v>
      </c>
      <c r="F80" s="117" t="s">
        <v>3313</v>
      </c>
      <c r="G80" s="117" t="s">
        <v>254</v>
      </c>
      <c r="H80" s="118">
        <v>7.08</v>
      </c>
      <c r="I80" s="117" t="s">
        <v>211</v>
      </c>
      <c r="J80" s="118" t="s">
        <v>255</v>
      </c>
      <c r="K80" s="117">
        <v>7.1999999880790713E-2</v>
      </c>
      <c r="L80" s="117">
        <v>6.8199999999999997E-2</v>
      </c>
      <c r="M80" s="112">
        <v>31836.197582231354</v>
      </c>
      <c r="N80" s="60">
        <v>98.32</v>
      </c>
      <c r="O80" s="84">
        <v>31.301349999999999</v>
      </c>
      <c r="P80" s="24">
        <v>1.87667802201319E-3</v>
      </c>
      <c r="Q80" s="24">
        <v>1.2893591408052896E-4</v>
      </c>
      <c r="R80" s="14"/>
    </row>
    <row r="81" spans="1:18" x14ac:dyDescent="0.25">
      <c r="A81" s="16" t="s">
        <v>3743</v>
      </c>
      <c r="B81" s="117" t="s">
        <v>3297</v>
      </c>
      <c r="C81" s="117" t="s">
        <v>3322</v>
      </c>
      <c r="D81" s="117"/>
      <c r="E81" s="117" t="s">
        <v>577</v>
      </c>
      <c r="F81" s="117" t="s">
        <v>3323</v>
      </c>
      <c r="G81" s="117" t="s">
        <v>254</v>
      </c>
      <c r="H81" s="118">
        <v>7.09</v>
      </c>
      <c r="I81" s="117" t="s">
        <v>211</v>
      </c>
      <c r="J81" s="118" t="s">
        <v>255</v>
      </c>
      <c r="K81" s="117">
        <v>7.1999999880790713E-2</v>
      </c>
      <c r="L81" s="117">
        <v>6.7500000000000004E-2</v>
      </c>
      <c r="M81" s="112">
        <v>27113.468930291496</v>
      </c>
      <c r="N81" s="60">
        <v>98.81</v>
      </c>
      <c r="O81" s="84">
        <v>26.79082</v>
      </c>
      <c r="P81" s="24">
        <v>1.6062483913860397E-3</v>
      </c>
      <c r="Q81" s="24">
        <v>1.1035622635020269E-4</v>
      </c>
      <c r="R81" s="14"/>
    </row>
    <row r="82" spans="1:18" x14ac:dyDescent="0.25">
      <c r="A82" s="16" t="s">
        <v>3743</v>
      </c>
      <c r="B82" s="117" t="s">
        <v>3297</v>
      </c>
      <c r="C82" s="117" t="s">
        <v>3326</v>
      </c>
      <c r="D82" s="117"/>
      <c r="E82" s="117" t="s">
        <v>577</v>
      </c>
      <c r="F82" s="117" t="s">
        <v>3327</v>
      </c>
      <c r="G82" s="117" t="s">
        <v>254</v>
      </c>
      <c r="H82" s="118">
        <v>7.12</v>
      </c>
      <c r="I82" s="117" t="s">
        <v>211</v>
      </c>
      <c r="J82" s="118" t="s">
        <v>255</v>
      </c>
      <c r="K82" s="117">
        <v>7.1999999880790713E-2</v>
      </c>
      <c r="L82" s="117">
        <v>6.6400000000000001E-2</v>
      </c>
      <c r="M82" s="112">
        <v>28003.273715162355</v>
      </c>
      <c r="N82" s="60">
        <v>99.49</v>
      </c>
      <c r="O82" s="84">
        <v>27.86046</v>
      </c>
      <c r="P82" s="24">
        <v>1.6703788483620546E-3</v>
      </c>
      <c r="Q82" s="24">
        <v>1.1476226670108523E-4</v>
      </c>
      <c r="R82" s="14"/>
    </row>
    <row r="83" spans="1:18" x14ac:dyDescent="0.25">
      <c r="A83" s="16" t="s">
        <v>3743</v>
      </c>
      <c r="B83" s="117" t="s">
        <v>3297</v>
      </c>
      <c r="C83" s="117" t="s">
        <v>3329</v>
      </c>
      <c r="D83" s="117"/>
      <c r="E83" s="117" t="s">
        <v>577</v>
      </c>
      <c r="F83" s="117" t="s">
        <v>3330</v>
      </c>
      <c r="G83" s="117" t="s">
        <v>254</v>
      </c>
      <c r="H83" s="118">
        <v>7.12</v>
      </c>
      <c r="I83" s="117" t="s">
        <v>211</v>
      </c>
      <c r="J83" s="118" t="s">
        <v>255</v>
      </c>
      <c r="K83" s="117">
        <v>7.1999999880790713E-2</v>
      </c>
      <c r="L83" s="117">
        <v>6.6500000000000004E-2</v>
      </c>
      <c r="M83" s="112">
        <v>22934.909291054915</v>
      </c>
      <c r="N83" s="60">
        <v>99.44</v>
      </c>
      <c r="O83" s="84">
        <v>22.806470000000001</v>
      </c>
      <c r="P83" s="24">
        <v>1.3673659765059067E-3</v>
      </c>
      <c r="Q83" s="24">
        <v>9.3943969074821424E-5</v>
      </c>
      <c r="R83" s="14"/>
    </row>
    <row r="84" spans="1:18" x14ac:dyDescent="0.25">
      <c r="A84" s="16" t="s">
        <v>3743</v>
      </c>
      <c r="B84" s="117" t="s">
        <v>3297</v>
      </c>
      <c r="C84" s="117" t="s">
        <v>3333</v>
      </c>
      <c r="D84" s="117"/>
      <c r="E84" s="117" t="s">
        <v>577</v>
      </c>
      <c r="F84" s="117" t="s">
        <v>3334</v>
      </c>
      <c r="G84" s="117" t="s">
        <v>254</v>
      </c>
      <c r="H84" s="118">
        <v>7.09</v>
      </c>
      <c r="I84" s="117" t="s">
        <v>211</v>
      </c>
      <c r="J84" s="118" t="s">
        <v>255</v>
      </c>
      <c r="K84" s="117">
        <v>7.1999999880790713E-2</v>
      </c>
      <c r="L84" s="117">
        <v>6.7599999999999993E-2</v>
      </c>
      <c r="M84" s="112">
        <v>8318.5310970031442</v>
      </c>
      <c r="N84" s="60">
        <v>98.7</v>
      </c>
      <c r="O84" s="84">
        <v>8.2103900000000003</v>
      </c>
      <c r="P84" s="24">
        <v>4.9225539681697038E-4</v>
      </c>
      <c r="Q84" s="24">
        <v>3.3820079313116985E-5</v>
      </c>
      <c r="R84" s="14"/>
    </row>
    <row r="85" spans="1:18" x14ac:dyDescent="0.25">
      <c r="A85" s="16" t="s">
        <v>3744</v>
      </c>
      <c r="B85" s="218" t="s">
        <v>3297</v>
      </c>
      <c r="C85" s="117" t="s">
        <v>3515</v>
      </c>
      <c r="D85" s="117"/>
      <c r="E85" s="117" t="s">
        <v>718</v>
      </c>
      <c r="F85" s="117" t="s">
        <v>3516</v>
      </c>
      <c r="G85" s="117" t="s">
        <v>569</v>
      </c>
      <c r="H85" s="118">
        <v>6.21</v>
      </c>
      <c r="I85" s="117" t="s">
        <v>211</v>
      </c>
      <c r="J85" s="118" t="s">
        <v>126</v>
      </c>
      <c r="K85" s="117">
        <v>2.35E-2</v>
      </c>
      <c r="L85" s="117">
        <v>6.1200000000000004E-2</v>
      </c>
      <c r="M85" s="112">
        <v>94564.869168633202</v>
      </c>
      <c r="N85" s="60">
        <v>79.19</v>
      </c>
      <c r="O85" s="84">
        <v>303.52012000000002</v>
      </c>
      <c r="P85" s="24">
        <v>1.8197602929036803E-2</v>
      </c>
      <c r="Q85" s="24">
        <v>1.2502541939575079E-3</v>
      </c>
      <c r="R85" s="14"/>
    </row>
    <row r="86" spans="1:18" x14ac:dyDescent="0.25">
      <c r="A86" s="16" t="s">
        <v>3745</v>
      </c>
      <c r="B86" s="117" t="s">
        <v>3297</v>
      </c>
      <c r="C86" s="117" t="s">
        <v>3388</v>
      </c>
      <c r="D86" s="117"/>
      <c r="E86" s="117" t="s">
        <v>3383</v>
      </c>
      <c r="F86" s="117" t="s">
        <v>3384</v>
      </c>
      <c r="G86" s="117" t="s">
        <v>3385</v>
      </c>
      <c r="H86" s="118">
        <v>4.55</v>
      </c>
      <c r="I86" s="117" t="s">
        <v>221</v>
      </c>
      <c r="J86" s="118" t="s">
        <v>255</v>
      </c>
      <c r="K86" s="117">
        <v>7.0000000000000007E-2</v>
      </c>
      <c r="L86" s="117">
        <v>6.6199999999999995E-2</v>
      </c>
      <c r="M86" s="112">
        <v>60476.321269904925</v>
      </c>
      <c r="N86" s="60">
        <v>100.33</v>
      </c>
      <c r="O86" s="84">
        <v>60.675890000000003</v>
      </c>
      <c r="P86" s="24">
        <v>3.637833806819511E-3</v>
      </c>
      <c r="Q86" s="24">
        <v>2.4993494976413566E-4</v>
      </c>
      <c r="R86" s="14"/>
    </row>
    <row r="87" spans="1:18" x14ac:dyDescent="0.25">
      <c r="A87" s="16" t="s">
        <v>3746</v>
      </c>
      <c r="B87" s="117" t="s">
        <v>3297</v>
      </c>
      <c r="C87" s="117" t="s">
        <v>3387</v>
      </c>
      <c r="D87" s="117"/>
      <c r="E87" s="117" t="s">
        <v>3383</v>
      </c>
      <c r="F87" s="117" t="s">
        <v>3384</v>
      </c>
      <c r="G87" s="117" t="s">
        <v>3385</v>
      </c>
      <c r="H87" s="118">
        <v>4.55</v>
      </c>
      <c r="I87" s="117" t="s">
        <v>221</v>
      </c>
      <c r="J87" s="118" t="s">
        <v>255</v>
      </c>
      <c r="K87" s="117">
        <v>7.0000000000000007E-2</v>
      </c>
      <c r="L87" s="117">
        <v>6.6199999999999995E-2</v>
      </c>
      <c r="M87" s="112">
        <v>12291.935190226535</v>
      </c>
      <c r="N87" s="60">
        <v>100.33</v>
      </c>
      <c r="O87" s="84">
        <v>12.3325</v>
      </c>
      <c r="P87" s="24">
        <v>7.3939723706733628E-4</v>
      </c>
      <c r="Q87" s="24">
        <v>5.0799794909744256E-5</v>
      </c>
      <c r="R87" s="14"/>
    </row>
    <row r="88" spans="1:18" x14ac:dyDescent="0.25">
      <c r="A88" s="16" t="s">
        <v>3747</v>
      </c>
      <c r="B88" s="117" t="s">
        <v>3297</v>
      </c>
      <c r="C88" s="117" t="s">
        <v>3389</v>
      </c>
      <c r="D88" s="117"/>
      <c r="E88" s="117" t="s">
        <v>3383</v>
      </c>
      <c r="F88" s="117" t="s">
        <v>3384</v>
      </c>
      <c r="G88" s="117" t="s">
        <v>3385</v>
      </c>
      <c r="H88" s="118">
        <v>4.55</v>
      </c>
      <c r="I88" s="117" t="s">
        <v>221</v>
      </c>
      <c r="J88" s="118" t="s">
        <v>255</v>
      </c>
      <c r="K88" s="117">
        <v>7.0000000000000007E-2</v>
      </c>
      <c r="L88" s="117">
        <v>6.6199999999999995E-2</v>
      </c>
      <c r="M88" s="112">
        <v>13521.128738475276</v>
      </c>
      <c r="N88" s="60">
        <v>100.33</v>
      </c>
      <c r="O88" s="84">
        <v>13.56575</v>
      </c>
      <c r="P88" s="24">
        <v>8.133369607740699E-4</v>
      </c>
      <c r="Q88" s="24">
        <v>5.5879774400718686E-5</v>
      </c>
      <c r="R88" s="14"/>
    </row>
    <row r="89" spans="1:18" x14ac:dyDescent="0.25">
      <c r="A89" s="16" t="s">
        <v>3748</v>
      </c>
      <c r="B89" s="117" t="s">
        <v>3297</v>
      </c>
      <c r="C89" s="117" t="s">
        <v>3386</v>
      </c>
      <c r="D89" s="117"/>
      <c r="E89" s="117" t="s">
        <v>3383</v>
      </c>
      <c r="F89" s="117" t="s">
        <v>3384</v>
      </c>
      <c r="G89" s="117" t="s">
        <v>3385</v>
      </c>
      <c r="H89" s="118">
        <v>4.55</v>
      </c>
      <c r="I89" s="117" t="s">
        <v>221</v>
      </c>
      <c r="J89" s="118" t="s">
        <v>255</v>
      </c>
      <c r="K89" s="117">
        <v>7.0000000000000007E-2</v>
      </c>
      <c r="L89" s="117">
        <v>6.6199999999999995E-2</v>
      </c>
      <c r="M89" s="112">
        <v>120952.64251732825</v>
      </c>
      <c r="N89" s="60">
        <v>100.33</v>
      </c>
      <c r="O89" s="84">
        <v>121.35178999999999</v>
      </c>
      <c r="P89" s="24">
        <v>7.2756682131908052E-3</v>
      </c>
      <c r="Q89" s="24">
        <v>4.9986994072007736E-4</v>
      </c>
      <c r="R89" s="14"/>
    </row>
    <row r="90" spans="1:18" x14ac:dyDescent="0.25">
      <c r="A90" s="16" t="s">
        <v>3749</v>
      </c>
      <c r="B90" s="117" t="s">
        <v>3297</v>
      </c>
      <c r="C90" s="117" t="s">
        <v>3382</v>
      </c>
      <c r="D90" s="117"/>
      <c r="E90" s="117" t="s">
        <v>3383</v>
      </c>
      <c r="F90" s="117" t="s">
        <v>3384</v>
      </c>
      <c r="G90" s="117" t="s">
        <v>3385</v>
      </c>
      <c r="H90" s="118">
        <v>4.55</v>
      </c>
      <c r="I90" s="117" t="s">
        <v>221</v>
      </c>
      <c r="J90" s="118" t="s">
        <v>255</v>
      </c>
      <c r="K90" s="117">
        <v>7.0000000000000007E-2</v>
      </c>
      <c r="L90" s="117">
        <v>6.6199999999999995E-2</v>
      </c>
      <c r="M90" s="112">
        <v>54084.514942660302</v>
      </c>
      <c r="N90" s="60">
        <v>100.33</v>
      </c>
      <c r="O90" s="84">
        <v>54.262989999999995</v>
      </c>
      <c r="P90" s="24">
        <v>3.253347243544496E-3</v>
      </c>
      <c r="Q90" s="24">
        <v>2.2351905641106859E-4</v>
      </c>
      <c r="R90" s="14"/>
    </row>
    <row r="91" spans="1:18" x14ac:dyDescent="0.25">
      <c r="A91" s="16" t="s">
        <v>3750</v>
      </c>
      <c r="B91" s="218" t="s">
        <v>3784</v>
      </c>
      <c r="C91" s="117" t="s">
        <v>3405</v>
      </c>
      <c r="D91" s="117"/>
      <c r="E91" s="117" t="s">
        <v>3383</v>
      </c>
      <c r="F91" s="117" t="s">
        <v>3406</v>
      </c>
      <c r="G91" s="117" t="s">
        <v>3385</v>
      </c>
      <c r="H91" s="118">
        <v>1.19</v>
      </c>
      <c r="I91" s="117" t="s">
        <v>204</v>
      </c>
      <c r="J91" s="118" t="s">
        <v>255</v>
      </c>
      <c r="K91" s="117">
        <v>6.8999999761581415E-2</v>
      </c>
      <c r="L91" s="117">
        <v>6.8499999999999991E-2</v>
      </c>
      <c r="M91" s="112">
        <v>293853.83665345196</v>
      </c>
      <c r="N91" s="60">
        <v>100.24</v>
      </c>
      <c r="O91" s="84">
        <v>294.55909000000003</v>
      </c>
      <c r="P91" s="24">
        <v>1.7660342777139175E-2</v>
      </c>
      <c r="Q91" s="24">
        <v>1.2133420929090536E-3</v>
      </c>
      <c r="R91" s="14"/>
    </row>
    <row r="92" spans="1:18" x14ac:dyDescent="0.25">
      <c r="A92" s="16" t="s">
        <v>3751</v>
      </c>
      <c r="B92" s="218" t="s">
        <v>3784</v>
      </c>
      <c r="C92" s="117" t="s">
        <v>3478</v>
      </c>
      <c r="D92" s="117"/>
      <c r="E92" s="117" t="s">
        <v>718</v>
      </c>
      <c r="F92" s="117" t="s">
        <v>3479</v>
      </c>
      <c r="G92" s="117" t="s">
        <v>569</v>
      </c>
      <c r="H92" s="118">
        <v>12.22</v>
      </c>
      <c r="I92" s="117" t="s">
        <v>220</v>
      </c>
      <c r="J92" s="118" t="s">
        <v>255</v>
      </c>
      <c r="K92" s="117">
        <v>2.9700000000000001E-2</v>
      </c>
      <c r="L92" s="117">
        <v>2.9100000000000001E-2</v>
      </c>
      <c r="M92" s="112">
        <v>166261.95877291088</v>
      </c>
      <c r="N92" s="60">
        <v>96.89</v>
      </c>
      <c r="O92" s="84">
        <v>161.09120999999999</v>
      </c>
      <c r="P92" s="24">
        <v>9.6582522270289104E-3</v>
      </c>
      <c r="Q92" s="24">
        <v>6.6356378915568973E-4</v>
      </c>
      <c r="R92" s="14"/>
    </row>
    <row r="93" spans="1:18" x14ac:dyDescent="0.25">
      <c r="A93" s="16" t="s">
        <v>3752</v>
      </c>
      <c r="B93" s="117" t="s">
        <v>3297</v>
      </c>
      <c r="C93" s="117" t="s">
        <v>3314</v>
      </c>
      <c r="D93" s="117"/>
      <c r="E93" s="117" t="s">
        <v>671</v>
      </c>
      <c r="F93" s="117" t="s">
        <v>3315</v>
      </c>
      <c r="G93" s="117" t="s">
        <v>254</v>
      </c>
      <c r="H93" s="118">
        <v>9.27</v>
      </c>
      <c r="I93" s="117" t="s">
        <v>204</v>
      </c>
      <c r="J93" s="118" t="s">
        <v>255</v>
      </c>
      <c r="K93" s="117">
        <v>7.399999976158142E-2</v>
      </c>
      <c r="L93" s="117">
        <v>7.17E-2</v>
      </c>
      <c r="M93" s="112">
        <v>238861.23536737193</v>
      </c>
      <c r="N93" s="60">
        <v>99.06</v>
      </c>
      <c r="O93" s="84">
        <v>236.61593999999999</v>
      </c>
      <c r="P93" s="24">
        <v>1.4186350884418457E-2</v>
      </c>
      <c r="Q93" s="24">
        <v>9.7466379277327006E-4</v>
      </c>
      <c r="R93" s="14"/>
    </row>
    <row r="94" spans="1:18" x14ac:dyDescent="0.25">
      <c r="A94" s="16" t="s">
        <v>3752</v>
      </c>
      <c r="B94" s="117" t="s">
        <v>3297</v>
      </c>
      <c r="C94" s="117" t="s">
        <v>3328</v>
      </c>
      <c r="D94" s="117"/>
      <c r="E94" s="117" t="s">
        <v>671</v>
      </c>
      <c r="F94" s="117" t="s">
        <v>1749</v>
      </c>
      <c r="G94" s="117" t="s">
        <v>254</v>
      </c>
      <c r="H94" s="118">
        <v>9.27</v>
      </c>
      <c r="I94" s="117" t="s">
        <v>204</v>
      </c>
      <c r="J94" s="118" t="s">
        <v>255</v>
      </c>
      <c r="K94" s="117">
        <v>7.399999976158142E-2</v>
      </c>
      <c r="L94" s="117">
        <v>7.1599999999999997E-2</v>
      </c>
      <c r="M94" s="112">
        <v>41229.41047796396</v>
      </c>
      <c r="N94" s="60">
        <v>99.11</v>
      </c>
      <c r="O94" s="84">
        <v>40.862470000000002</v>
      </c>
      <c r="P94" s="24">
        <v>2.4499166768900803E-3</v>
      </c>
      <c r="Q94" s="24">
        <v>1.6831989422303487E-4</v>
      </c>
      <c r="R94" s="14"/>
    </row>
    <row r="95" spans="1:18" x14ac:dyDescent="0.25">
      <c r="A95" s="16" t="s">
        <v>3752</v>
      </c>
      <c r="B95" s="117" t="s">
        <v>3297</v>
      </c>
      <c r="C95" s="117" t="s">
        <v>3395</v>
      </c>
      <c r="D95" s="117"/>
      <c r="E95" s="117" t="s">
        <v>671</v>
      </c>
      <c r="F95" s="117" t="s">
        <v>3396</v>
      </c>
      <c r="G95" s="117" t="s">
        <v>254</v>
      </c>
      <c r="H95" s="118">
        <v>9.26</v>
      </c>
      <c r="I95" s="117" t="s">
        <v>204</v>
      </c>
      <c r="J95" s="118" t="s">
        <v>255</v>
      </c>
      <c r="K95" s="117">
        <v>7.399999976158142E-2</v>
      </c>
      <c r="L95" s="117">
        <v>6.8699999999999997E-2</v>
      </c>
      <c r="M95" s="112">
        <v>125486.0385371805</v>
      </c>
      <c r="N95" s="60">
        <v>101.65</v>
      </c>
      <c r="O95" s="84">
        <v>127.55656</v>
      </c>
      <c r="P95" s="24">
        <v>7.647676305194721E-3</v>
      </c>
      <c r="Q95" s="24">
        <v>5.2542850901216205E-4</v>
      </c>
      <c r="R95" s="14"/>
    </row>
    <row r="96" spans="1:18" x14ac:dyDescent="0.25">
      <c r="A96" s="16" t="s">
        <v>3753</v>
      </c>
      <c r="B96" s="218" t="s">
        <v>3784</v>
      </c>
      <c r="C96" s="117" t="s">
        <v>3467</v>
      </c>
      <c r="D96" s="117"/>
      <c r="E96" s="117" t="s">
        <v>718</v>
      </c>
      <c r="F96" s="117" t="s">
        <v>3466</v>
      </c>
      <c r="G96" s="117" t="s">
        <v>569</v>
      </c>
      <c r="H96" s="118">
        <v>8.35</v>
      </c>
      <c r="I96" s="117" t="s">
        <v>211</v>
      </c>
      <c r="J96" s="118" t="s">
        <v>255</v>
      </c>
      <c r="K96" s="117">
        <v>1.7899999999999999E-2</v>
      </c>
      <c r="L96" s="117">
        <v>3.9E-2</v>
      </c>
      <c r="M96" s="112">
        <v>13186.713378432261</v>
      </c>
      <c r="N96" s="60">
        <v>95.44</v>
      </c>
      <c r="O96" s="84">
        <v>12.5854</v>
      </c>
      <c r="P96" s="24">
        <v>7.5455990167340393E-4</v>
      </c>
      <c r="Q96" s="24">
        <v>5.1841535686770354E-5</v>
      </c>
      <c r="R96" s="14"/>
    </row>
    <row r="97" spans="1:18" x14ac:dyDescent="0.25">
      <c r="A97" s="16" t="s">
        <v>3754</v>
      </c>
      <c r="B97" s="218" t="s">
        <v>3784</v>
      </c>
      <c r="C97" s="117" t="s">
        <v>3465</v>
      </c>
      <c r="D97" s="117"/>
      <c r="E97" s="117" t="s">
        <v>718</v>
      </c>
      <c r="F97" s="117" t="s">
        <v>3466</v>
      </c>
      <c r="G97" s="117" t="s">
        <v>569</v>
      </c>
      <c r="H97" s="118">
        <v>8.3800000000000008</v>
      </c>
      <c r="I97" s="117" t="s">
        <v>211</v>
      </c>
      <c r="J97" s="118" t="s">
        <v>255</v>
      </c>
      <c r="K97" s="117">
        <v>1.7899999999999999E-2</v>
      </c>
      <c r="L97" s="117">
        <v>3.8399999999999997E-2</v>
      </c>
      <c r="M97" s="112">
        <v>20022.733419079323</v>
      </c>
      <c r="N97" s="60">
        <v>95.9</v>
      </c>
      <c r="O97" s="84">
        <v>19.201799999999999</v>
      </c>
      <c r="P97" s="24">
        <v>1.1512473437437323E-3</v>
      </c>
      <c r="Q97" s="24">
        <v>7.9095682294581579E-5</v>
      </c>
      <c r="R97" s="14"/>
    </row>
    <row r="98" spans="1:18" x14ac:dyDescent="0.25">
      <c r="A98" s="16" t="s">
        <v>3755</v>
      </c>
      <c r="B98" s="117" t="s">
        <v>3297</v>
      </c>
      <c r="C98" s="117" t="s">
        <v>3348</v>
      </c>
      <c r="D98" s="117"/>
      <c r="E98" s="117" t="s">
        <v>718</v>
      </c>
      <c r="F98" s="117" t="s">
        <v>3349</v>
      </c>
      <c r="G98" s="117" t="s">
        <v>569</v>
      </c>
      <c r="H98" s="118">
        <v>7.96</v>
      </c>
      <c r="I98" s="117" t="s">
        <v>219</v>
      </c>
      <c r="J98" s="118" t="s">
        <v>255</v>
      </c>
      <c r="K98" s="117">
        <v>6.8499999046325685E-2</v>
      </c>
      <c r="L98" s="117">
        <v>6.5599999999999992E-2</v>
      </c>
      <c r="M98" s="112">
        <v>2819.3687341546392</v>
      </c>
      <c r="N98" s="60">
        <v>99.11</v>
      </c>
      <c r="O98" s="84">
        <v>2.7942800000000001</v>
      </c>
      <c r="P98" s="24">
        <v>1.6753155577478343E-4</v>
      </c>
      <c r="Q98" s="24">
        <v>1.1510144003275912E-5</v>
      </c>
      <c r="R98" s="14"/>
    </row>
    <row r="99" spans="1:18" x14ac:dyDescent="0.25">
      <c r="A99" s="16" t="s">
        <v>3755</v>
      </c>
      <c r="B99" s="117" t="s">
        <v>3297</v>
      </c>
      <c r="C99" s="117" t="s">
        <v>3421</v>
      </c>
      <c r="D99" s="117"/>
      <c r="E99" s="117" t="s">
        <v>718</v>
      </c>
      <c r="F99" s="117" t="s">
        <v>3422</v>
      </c>
      <c r="G99" s="117" t="s">
        <v>569</v>
      </c>
      <c r="H99" s="118">
        <v>8.0299999999999994</v>
      </c>
      <c r="I99" s="117" t="s">
        <v>219</v>
      </c>
      <c r="J99" s="118" t="s">
        <v>255</v>
      </c>
      <c r="K99" s="117">
        <v>6.8499999046325685E-2</v>
      </c>
      <c r="L99" s="117">
        <v>6.3600000000000004E-2</v>
      </c>
      <c r="M99" s="112">
        <v>10828.939831415044</v>
      </c>
      <c r="N99" s="60">
        <v>100.65</v>
      </c>
      <c r="O99" s="84">
        <v>10.899329999999999</v>
      </c>
      <c r="P99" s="24">
        <v>6.5347127410380138E-4</v>
      </c>
      <c r="Q99" s="24">
        <v>4.489630883062014E-5</v>
      </c>
      <c r="R99" s="14"/>
    </row>
    <row r="100" spans="1:18" x14ac:dyDescent="0.25">
      <c r="A100" s="16" t="s">
        <v>3755</v>
      </c>
      <c r="B100" s="117" t="s">
        <v>3297</v>
      </c>
      <c r="C100" s="117" t="s">
        <v>3423</v>
      </c>
      <c r="D100" s="117"/>
      <c r="E100" s="117" t="s">
        <v>718</v>
      </c>
      <c r="F100" s="117" t="s">
        <v>495</v>
      </c>
      <c r="G100" s="117" t="s">
        <v>569</v>
      </c>
      <c r="H100" s="118">
        <v>8.0299999999999994</v>
      </c>
      <c r="I100" s="117" t="s">
        <v>219</v>
      </c>
      <c r="J100" s="118" t="s">
        <v>255</v>
      </c>
      <c r="K100" s="117">
        <v>6.8499999046325685E-2</v>
      </c>
      <c r="L100" s="117">
        <v>6.3600000000000004E-2</v>
      </c>
      <c r="M100" s="112">
        <v>8996.4169133431969</v>
      </c>
      <c r="N100" s="60">
        <v>100.66</v>
      </c>
      <c r="O100" s="84">
        <v>9.05579</v>
      </c>
      <c r="P100" s="24">
        <v>5.4294150459858212E-4</v>
      </c>
      <c r="Q100" s="24">
        <v>3.7302434603341816E-5</v>
      </c>
      <c r="R100" s="14"/>
    </row>
    <row r="101" spans="1:18" x14ac:dyDescent="0.25">
      <c r="A101" s="16" t="s">
        <v>3755</v>
      </c>
      <c r="B101" s="117" t="s">
        <v>3297</v>
      </c>
      <c r="C101" s="117" t="s">
        <v>3424</v>
      </c>
      <c r="D101" s="117"/>
      <c r="E101" s="117" t="s">
        <v>718</v>
      </c>
      <c r="F101" s="117" t="s">
        <v>1773</v>
      </c>
      <c r="G101" s="117" t="s">
        <v>569</v>
      </c>
      <c r="H101" s="118">
        <v>8.0299999999999994</v>
      </c>
      <c r="I101" s="117" t="s">
        <v>219</v>
      </c>
      <c r="J101" s="118" t="s">
        <v>255</v>
      </c>
      <c r="K101" s="117">
        <v>6.8499999046325685E-2</v>
      </c>
      <c r="L101" s="117">
        <v>6.3600000000000004E-2</v>
      </c>
      <c r="M101" s="112">
        <v>9355.2481741569172</v>
      </c>
      <c r="N101" s="60">
        <v>100.65</v>
      </c>
      <c r="O101" s="84">
        <v>9.4160599999999999</v>
      </c>
      <c r="P101" s="24">
        <v>5.6454155670466349E-4</v>
      </c>
      <c r="Q101" s="24">
        <v>3.8786451802785042E-5</v>
      </c>
      <c r="R101" s="14"/>
    </row>
    <row r="102" spans="1:18" x14ac:dyDescent="0.25">
      <c r="A102" s="16" t="s">
        <v>3755</v>
      </c>
      <c r="B102" s="117" t="s">
        <v>3297</v>
      </c>
      <c r="C102" s="117" t="s">
        <v>3430</v>
      </c>
      <c r="D102" s="117"/>
      <c r="E102" s="117" t="s">
        <v>718</v>
      </c>
      <c r="F102" s="117" t="s">
        <v>1073</v>
      </c>
      <c r="G102" s="117" t="s">
        <v>569</v>
      </c>
      <c r="H102" s="118">
        <v>8.02</v>
      </c>
      <c r="I102" s="117" t="s">
        <v>219</v>
      </c>
      <c r="J102" s="118" t="s">
        <v>255</v>
      </c>
      <c r="K102" s="117">
        <v>6.8499999046325685E-2</v>
      </c>
      <c r="L102" s="117">
        <v>6.3700000000000007E-2</v>
      </c>
      <c r="M102" s="112">
        <v>12008.037358737996</v>
      </c>
      <c r="N102" s="60">
        <v>100.54</v>
      </c>
      <c r="O102" s="84">
        <v>12.07288</v>
      </c>
      <c r="P102" s="24">
        <v>7.2383167366272063E-4</v>
      </c>
      <c r="Q102" s="24">
        <v>4.9730373238998844E-5</v>
      </c>
      <c r="R102" s="14"/>
    </row>
    <row r="103" spans="1:18" x14ac:dyDescent="0.25">
      <c r="A103" s="16" t="s">
        <v>3755</v>
      </c>
      <c r="B103" s="117" t="s">
        <v>3297</v>
      </c>
      <c r="C103" s="117" t="s">
        <v>3352</v>
      </c>
      <c r="D103" s="117"/>
      <c r="E103" s="117" t="s">
        <v>718</v>
      </c>
      <c r="F103" s="117" t="s">
        <v>1738</v>
      </c>
      <c r="G103" s="117" t="s">
        <v>569</v>
      </c>
      <c r="H103" s="118">
        <v>7.97</v>
      </c>
      <c r="I103" s="117" t="s">
        <v>219</v>
      </c>
      <c r="J103" s="118" t="s">
        <v>255</v>
      </c>
      <c r="K103" s="117">
        <v>6.8499999046325685E-2</v>
      </c>
      <c r="L103" s="117">
        <v>6.5299999999999997E-2</v>
      </c>
      <c r="M103" s="112">
        <v>4294.9242064668251</v>
      </c>
      <c r="N103" s="60">
        <v>99.34</v>
      </c>
      <c r="O103" s="84">
        <v>4.2665800000000003</v>
      </c>
      <c r="P103" s="24">
        <v>2.5580356486736309E-4</v>
      </c>
      <c r="Q103" s="24">
        <v>1.7574813619786471E-5</v>
      </c>
      <c r="R103" s="14"/>
    </row>
    <row r="104" spans="1:18" x14ac:dyDescent="0.25">
      <c r="A104" s="16" t="s">
        <v>3755</v>
      </c>
      <c r="B104" s="117" t="s">
        <v>3297</v>
      </c>
      <c r="C104" s="117" t="s">
        <v>3356</v>
      </c>
      <c r="D104" s="117"/>
      <c r="E104" s="117" t="s">
        <v>718</v>
      </c>
      <c r="F104" s="117" t="s">
        <v>3357</v>
      </c>
      <c r="G104" s="117" t="s">
        <v>569</v>
      </c>
      <c r="H104" s="118">
        <v>8</v>
      </c>
      <c r="I104" s="117" t="s">
        <v>219</v>
      </c>
      <c r="J104" s="118" t="s">
        <v>255</v>
      </c>
      <c r="K104" s="117">
        <v>6.8499999046325685E-2</v>
      </c>
      <c r="L104" s="117">
        <v>6.4199999999999993E-2</v>
      </c>
      <c r="M104" s="112">
        <v>4075.2688002750156</v>
      </c>
      <c r="N104" s="60">
        <v>100.14</v>
      </c>
      <c r="O104" s="84">
        <v>4.0809699999999998</v>
      </c>
      <c r="P104" s="24">
        <v>2.4467528421282685E-4</v>
      </c>
      <c r="Q104" s="24">
        <v>1.6810252506208718E-5</v>
      </c>
      <c r="R104" s="14"/>
    </row>
    <row r="105" spans="1:18" x14ac:dyDescent="0.25">
      <c r="A105" s="16" t="s">
        <v>3755</v>
      </c>
      <c r="B105" s="117" t="s">
        <v>3297</v>
      </c>
      <c r="C105" s="117" t="s">
        <v>3362</v>
      </c>
      <c r="D105" s="117"/>
      <c r="E105" s="117" t="s">
        <v>718</v>
      </c>
      <c r="F105" s="117" t="s">
        <v>3363</v>
      </c>
      <c r="G105" s="117" t="s">
        <v>569</v>
      </c>
      <c r="H105" s="118">
        <v>8</v>
      </c>
      <c r="I105" s="117" t="s">
        <v>219</v>
      </c>
      <c r="J105" s="118" t="s">
        <v>255</v>
      </c>
      <c r="K105" s="117">
        <v>6.8499999046325685E-2</v>
      </c>
      <c r="L105" s="117">
        <v>6.4299999999999996E-2</v>
      </c>
      <c r="M105" s="112">
        <v>4716.0352259021529</v>
      </c>
      <c r="N105" s="60">
        <v>100.11</v>
      </c>
      <c r="O105" s="84">
        <v>4.7212200000000006</v>
      </c>
      <c r="P105" s="24">
        <v>2.8306158715483878E-4</v>
      </c>
      <c r="Q105" s="24">
        <v>1.9447557893677909E-5</v>
      </c>
      <c r="R105" s="14"/>
    </row>
    <row r="106" spans="1:18" x14ac:dyDescent="0.25">
      <c r="A106" s="16" t="s">
        <v>3755</v>
      </c>
      <c r="B106" s="117" t="s">
        <v>3297</v>
      </c>
      <c r="C106" s="117" t="s">
        <v>3397</v>
      </c>
      <c r="D106" s="117"/>
      <c r="E106" s="117" t="s">
        <v>718</v>
      </c>
      <c r="F106" s="117" t="s">
        <v>3396</v>
      </c>
      <c r="G106" s="117" t="s">
        <v>569</v>
      </c>
      <c r="H106" s="118">
        <v>8.01</v>
      </c>
      <c r="I106" s="117" t="s">
        <v>219</v>
      </c>
      <c r="J106" s="118" t="s">
        <v>255</v>
      </c>
      <c r="K106" s="117">
        <v>6.8499999046325685E-2</v>
      </c>
      <c r="L106" s="117">
        <v>6.4000000000000001E-2</v>
      </c>
      <c r="M106" s="112">
        <v>552.59648996588635</v>
      </c>
      <c r="N106" s="60">
        <v>100.32</v>
      </c>
      <c r="O106" s="84">
        <v>0.55435999999999996</v>
      </c>
      <c r="P106" s="24">
        <v>3.3236752673071037E-5</v>
      </c>
      <c r="Q106" s="24">
        <v>2.283508964619163E-6</v>
      </c>
      <c r="R106" s="14"/>
    </row>
    <row r="107" spans="1:18" x14ac:dyDescent="0.25">
      <c r="A107" s="16" t="s">
        <v>3755</v>
      </c>
      <c r="B107" s="117" t="s">
        <v>3297</v>
      </c>
      <c r="C107" s="117" t="s">
        <v>3400</v>
      </c>
      <c r="D107" s="117"/>
      <c r="E107" s="117" t="s">
        <v>718</v>
      </c>
      <c r="F107" s="117" t="s">
        <v>1784</v>
      </c>
      <c r="G107" s="117" t="s">
        <v>569</v>
      </c>
      <c r="H107" s="118">
        <v>8.01</v>
      </c>
      <c r="I107" s="117" t="s">
        <v>219</v>
      </c>
      <c r="J107" s="118" t="s">
        <v>255</v>
      </c>
      <c r="K107" s="117">
        <v>6.8499999046325685E-2</v>
      </c>
      <c r="L107" s="117">
        <v>6.3899999999999998E-2</v>
      </c>
      <c r="M107" s="112">
        <v>6343.5797754967698</v>
      </c>
      <c r="N107" s="60">
        <v>100.36</v>
      </c>
      <c r="O107" s="84">
        <v>6.3664199999999997</v>
      </c>
      <c r="P107" s="24">
        <v>3.8169984658505829E-4</v>
      </c>
      <c r="Q107" s="24">
        <v>2.6224433838175069E-5</v>
      </c>
      <c r="R107" s="14"/>
    </row>
    <row r="108" spans="1:18" x14ac:dyDescent="0.25">
      <c r="A108" s="16" t="s">
        <v>3755</v>
      </c>
      <c r="B108" s="117" t="s">
        <v>3297</v>
      </c>
      <c r="C108" s="117" t="s">
        <v>3403</v>
      </c>
      <c r="D108" s="117"/>
      <c r="E108" s="117" t="s">
        <v>718</v>
      </c>
      <c r="F108" s="117" t="s">
        <v>3404</v>
      </c>
      <c r="G108" s="117" t="s">
        <v>569</v>
      </c>
      <c r="H108" s="118">
        <v>8.01</v>
      </c>
      <c r="I108" s="117" t="s">
        <v>219</v>
      </c>
      <c r="J108" s="118" t="s">
        <v>255</v>
      </c>
      <c r="K108" s="117">
        <v>6.8499999046325685E-2</v>
      </c>
      <c r="L108" s="117">
        <v>6.4000000000000001E-2</v>
      </c>
      <c r="M108" s="112">
        <v>5126.1255373179647</v>
      </c>
      <c r="N108" s="60">
        <v>100.32</v>
      </c>
      <c r="O108" s="84">
        <v>5.1425299999999998</v>
      </c>
      <c r="P108" s="24">
        <v>3.0832130334773069E-4</v>
      </c>
      <c r="Q108" s="24">
        <v>2.1183009877738263E-5</v>
      </c>
      <c r="R108" s="14"/>
    </row>
    <row r="109" spans="1:18" x14ac:dyDescent="0.25">
      <c r="A109" s="16" t="s">
        <v>3755</v>
      </c>
      <c r="B109" s="117" t="s">
        <v>3297</v>
      </c>
      <c r="C109" s="117" t="s">
        <v>3407</v>
      </c>
      <c r="D109" s="117"/>
      <c r="E109" s="117" t="s">
        <v>718</v>
      </c>
      <c r="F109" s="117" t="s">
        <v>3408</v>
      </c>
      <c r="G109" s="117" t="s">
        <v>569</v>
      </c>
      <c r="H109" s="118">
        <v>7.98</v>
      </c>
      <c r="I109" s="117" t="s">
        <v>219</v>
      </c>
      <c r="J109" s="118" t="s">
        <v>255</v>
      </c>
      <c r="K109" s="117">
        <v>6.8499999046325685E-2</v>
      </c>
      <c r="L109" s="117">
        <v>6.4899999999999999E-2</v>
      </c>
      <c r="M109" s="112">
        <v>9355.1787172355434</v>
      </c>
      <c r="N109" s="60">
        <v>99.62</v>
      </c>
      <c r="O109" s="84">
        <v>9.3196300000000001</v>
      </c>
      <c r="P109" s="24">
        <v>5.5876007885585712E-4</v>
      </c>
      <c r="Q109" s="24">
        <v>3.8389239216274063E-5</v>
      </c>
      <c r="R109" s="14"/>
    </row>
    <row r="110" spans="1:18" x14ac:dyDescent="0.25">
      <c r="A110" s="16" t="s">
        <v>3755</v>
      </c>
      <c r="B110" s="117" t="s">
        <v>3297</v>
      </c>
      <c r="C110" s="117" t="s">
        <v>3411</v>
      </c>
      <c r="D110" s="117"/>
      <c r="E110" s="117" t="s">
        <v>718</v>
      </c>
      <c r="F110" s="117" t="s">
        <v>1746</v>
      </c>
      <c r="G110" s="117" t="s">
        <v>569</v>
      </c>
      <c r="H110" s="118">
        <v>8</v>
      </c>
      <c r="I110" s="117" t="s">
        <v>219</v>
      </c>
      <c r="J110" s="118" t="s">
        <v>255</v>
      </c>
      <c r="K110" s="117">
        <v>6.8499999046325685E-2</v>
      </c>
      <c r="L110" s="117">
        <v>6.4500000000000002E-2</v>
      </c>
      <c r="M110" s="112">
        <v>7381.6205696048874</v>
      </c>
      <c r="N110" s="60">
        <v>99.92</v>
      </c>
      <c r="O110" s="84">
        <v>7.3757200000000003</v>
      </c>
      <c r="P110" s="24">
        <v>4.4221260809911158E-4</v>
      </c>
      <c r="Q110" s="24">
        <v>3.0381922830869568E-5</v>
      </c>
      <c r="R110" s="14"/>
    </row>
    <row r="111" spans="1:18" x14ac:dyDescent="0.25">
      <c r="A111" s="16" t="s">
        <v>3755</v>
      </c>
      <c r="B111" s="218" t="s">
        <v>3784</v>
      </c>
      <c r="C111" s="117" t="s">
        <v>3295</v>
      </c>
      <c r="D111" s="117"/>
      <c r="E111" s="117" t="s">
        <v>718</v>
      </c>
      <c r="F111" s="117" t="s">
        <v>3296</v>
      </c>
      <c r="G111" s="117" t="s">
        <v>569</v>
      </c>
      <c r="H111" s="118">
        <v>0</v>
      </c>
      <c r="I111" s="117" t="s">
        <v>219</v>
      </c>
      <c r="J111" s="118" t="s">
        <v>255</v>
      </c>
      <c r="K111" s="117">
        <v>6.0000000000000001E-3</v>
      </c>
      <c r="L111" s="117">
        <v>0</v>
      </c>
      <c r="M111" s="112">
        <v>-745.84132614589362</v>
      </c>
      <c r="N111" s="60">
        <v>1.9230769999999999</v>
      </c>
      <c r="O111" s="84">
        <v>-1.434E-2</v>
      </c>
      <c r="P111" s="24">
        <v>-8.5975725761569848E-7</v>
      </c>
      <c r="Q111" s="24">
        <v>-5.9069049990329022E-8</v>
      </c>
      <c r="R111" s="14"/>
    </row>
    <row r="112" spans="1:18" x14ac:dyDescent="0.25">
      <c r="A112" s="16" t="s">
        <v>3756</v>
      </c>
      <c r="B112" s="218" t="s">
        <v>3784</v>
      </c>
      <c r="C112" s="117" t="s">
        <v>3456</v>
      </c>
      <c r="D112" s="117"/>
      <c r="E112" s="117" t="s">
        <v>730</v>
      </c>
      <c r="F112" s="117" t="s">
        <v>1264</v>
      </c>
      <c r="G112" s="117" t="s">
        <v>569</v>
      </c>
      <c r="H112" s="118">
        <v>8.2100000000000009</v>
      </c>
      <c r="I112" s="117" t="s">
        <v>211</v>
      </c>
      <c r="J112" s="118" t="s">
        <v>255</v>
      </c>
      <c r="K112" s="117">
        <v>2.4300000000000002E-2</v>
      </c>
      <c r="L112" s="117">
        <v>2.8500000000000001E-2</v>
      </c>
      <c r="M112" s="112">
        <v>6363.9238415324999</v>
      </c>
      <c r="N112" s="60">
        <v>104.49</v>
      </c>
      <c r="O112" s="84">
        <v>6.6496599999999999</v>
      </c>
      <c r="P112" s="24">
        <v>3.9868155130242717E-4</v>
      </c>
      <c r="Q112" s="24">
        <v>2.7391150554999392E-5</v>
      </c>
      <c r="R112" s="14"/>
    </row>
    <row r="113" spans="1:18" x14ac:dyDescent="0.25">
      <c r="A113" s="16" t="s">
        <v>3757</v>
      </c>
      <c r="B113" s="218" t="s">
        <v>3784</v>
      </c>
      <c r="C113" s="117" t="s">
        <v>3453</v>
      </c>
      <c r="D113" s="117"/>
      <c r="E113" s="117" t="s">
        <v>730</v>
      </c>
      <c r="F113" s="117" t="s">
        <v>3454</v>
      </c>
      <c r="G113" s="117" t="s">
        <v>569</v>
      </c>
      <c r="H113" s="118">
        <v>5.12</v>
      </c>
      <c r="I113" s="117" t="s">
        <v>211</v>
      </c>
      <c r="J113" s="118" t="s">
        <v>255</v>
      </c>
      <c r="K113" s="117">
        <v>2.2099999999999998E-2</v>
      </c>
      <c r="L113" s="117">
        <v>2.8399999999999998E-2</v>
      </c>
      <c r="M113" s="112">
        <v>1442.5539474222915</v>
      </c>
      <c r="N113" s="60">
        <v>107.73</v>
      </c>
      <c r="O113" s="84">
        <v>1.55406</v>
      </c>
      <c r="P113" s="24">
        <v>9.3173944474913003E-5</v>
      </c>
      <c r="Q113" s="24">
        <v>6.4014538234289209E-6</v>
      </c>
      <c r="R113" s="14"/>
    </row>
    <row r="114" spans="1:18" x14ac:dyDescent="0.25">
      <c r="A114" s="16" t="s">
        <v>3758</v>
      </c>
      <c r="B114" s="218" t="s">
        <v>3784</v>
      </c>
      <c r="C114" s="117" t="s">
        <v>3469</v>
      </c>
      <c r="D114" s="117"/>
      <c r="E114" s="117" t="s">
        <v>730</v>
      </c>
      <c r="F114" s="117" t="s">
        <v>3470</v>
      </c>
      <c r="G114" s="117" t="s">
        <v>569</v>
      </c>
      <c r="H114" s="118">
        <v>8.3699999999999992</v>
      </c>
      <c r="I114" s="117" t="s">
        <v>211</v>
      </c>
      <c r="J114" s="118" t="s">
        <v>255</v>
      </c>
      <c r="K114" s="117">
        <v>1.6500000000000001E-2</v>
      </c>
      <c r="L114" s="117">
        <v>3.15E-2</v>
      </c>
      <c r="M114" s="112">
        <v>8237.1794052554542</v>
      </c>
      <c r="N114" s="60">
        <v>97.75</v>
      </c>
      <c r="O114" s="84">
        <v>8.0518400000000003</v>
      </c>
      <c r="P114" s="24">
        <v>4.8274950328872985E-4</v>
      </c>
      <c r="Q114" s="24">
        <v>3.3166983226926838E-5</v>
      </c>
      <c r="R114" s="14"/>
    </row>
    <row r="115" spans="1:18" x14ac:dyDescent="0.25">
      <c r="A115" s="16" t="s">
        <v>3759</v>
      </c>
      <c r="B115" s="117" t="s">
        <v>3297</v>
      </c>
      <c r="C115" s="117" t="s">
        <v>3450</v>
      </c>
      <c r="D115" s="117"/>
      <c r="E115" s="117" t="s">
        <v>730</v>
      </c>
      <c r="F115" s="117" t="s">
        <v>3449</v>
      </c>
      <c r="G115" s="117" t="s">
        <v>569</v>
      </c>
      <c r="H115" s="118">
        <v>7.82</v>
      </c>
      <c r="I115" s="117" t="s">
        <v>211</v>
      </c>
      <c r="J115" s="118" t="s">
        <v>255</v>
      </c>
      <c r="K115" s="117">
        <v>2.81E-2</v>
      </c>
      <c r="L115" s="117">
        <v>3.1099999999999999E-2</v>
      </c>
      <c r="M115" s="112">
        <v>21849.233267637665</v>
      </c>
      <c r="N115" s="60">
        <v>110.48</v>
      </c>
      <c r="O115" s="84">
        <v>24.139029999999998</v>
      </c>
      <c r="P115" s="24">
        <v>1.4472598489751098E-3</v>
      </c>
      <c r="Q115" s="24">
        <v>9.9433024392472236E-5</v>
      </c>
      <c r="R115" s="14"/>
    </row>
    <row r="116" spans="1:18" x14ac:dyDescent="0.25">
      <c r="A116" s="16" t="s">
        <v>3760</v>
      </c>
      <c r="B116" s="218" t="s">
        <v>3784</v>
      </c>
      <c r="C116" s="117" t="s">
        <v>3451</v>
      </c>
      <c r="D116" s="117"/>
      <c r="E116" s="117" t="s">
        <v>730</v>
      </c>
      <c r="F116" s="117" t="s">
        <v>3452</v>
      </c>
      <c r="G116" s="117" t="s">
        <v>569</v>
      </c>
      <c r="H116" s="118">
        <v>5.4</v>
      </c>
      <c r="I116" s="117" t="s">
        <v>211</v>
      </c>
      <c r="J116" s="118" t="s">
        <v>255</v>
      </c>
      <c r="K116" s="117">
        <v>2.2700000000000001E-2</v>
      </c>
      <c r="L116" s="117">
        <v>2.8399999999999998E-2</v>
      </c>
      <c r="M116" s="112">
        <v>6276.3048963090123</v>
      </c>
      <c r="N116" s="60">
        <v>107.9</v>
      </c>
      <c r="O116" s="84">
        <v>6.7721299999999998</v>
      </c>
      <c r="P116" s="24">
        <v>4.0602426199560674E-4</v>
      </c>
      <c r="Q116" s="24">
        <v>2.7895626604672723E-5</v>
      </c>
      <c r="R116" s="14"/>
    </row>
    <row r="117" spans="1:18" x14ac:dyDescent="0.25">
      <c r="A117" s="16" t="s">
        <v>3761</v>
      </c>
      <c r="B117" s="218" t="s">
        <v>3784</v>
      </c>
      <c r="C117" s="117" t="s">
        <v>3455</v>
      </c>
      <c r="D117" s="117"/>
      <c r="E117" s="117" t="s">
        <v>730</v>
      </c>
      <c r="F117" s="117" t="s">
        <v>3454</v>
      </c>
      <c r="G117" s="117" t="s">
        <v>569</v>
      </c>
      <c r="H117" s="118">
        <v>5.24</v>
      </c>
      <c r="I117" s="117" t="s">
        <v>211</v>
      </c>
      <c r="J117" s="118" t="s">
        <v>255</v>
      </c>
      <c r="K117" s="117">
        <v>2.23E-2</v>
      </c>
      <c r="L117" s="117">
        <v>2.8399999999999998E-2</v>
      </c>
      <c r="M117" s="112">
        <v>1765.5064761845097</v>
      </c>
      <c r="N117" s="60">
        <v>107.76</v>
      </c>
      <c r="O117" s="84">
        <v>1.9025099999999999</v>
      </c>
      <c r="P117" s="24">
        <v>1.1406532637283421E-4</v>
      </c>
      <c r="Q117" s="24">
        <v>7.8367823080265603E-6</v>
      </c>
      <c r="R117" s="14"/>
    </row>
    <row r="118" spans="1:18" x14ac:dyDescent="0.25">
      <c r="A118" s="16" t="s">
        <v>3762</v>
      </c>
      <c r="B118" s="117" t="s">
        <v>3297</v>
      </c>
      <c r="C118" s="117" t="s">
        <v>3448</v>
      </c>
      <c r="D118" s="117"/>
      <c r="E118" s="117" t="s">
        <v>730</v>
      </c>
      <c r="F118" s="117" t="s">
        <v>3449</v>
      </c>
      <c r="G118" s="117" t="s">
        <v>569</v>
      </c>
      <c r="H118" s="118">
        <v>7.79</v>
      </c>
      <c r="I118" s="117" t="s">
        <v>211</v>
      </c>
      <c r="J118" s="118" t="s">
        <v>255</v>
      </c>
      <c r="K118" s="117">
        <v>2.81E-2</v>
      </c>
      <c r="L118" s="117">
        <v>3.1899999999999998E-2</v>
      </c>
      <c r="M118" s="112">
        <v>24558.338537729582</v>
      </c>
      <c r="N118" s="60">
        <v>109.81</v>
      </c>
      <c r="O118" s="84">
        <v>26.967509999999997</v>
      </c>
      <c r="P118" s="24">
        <v>1.616841871849646E-3</v>
      </c>
      <c r="Q118" s="24">
        <v>1.1108404437271253E-4</v>
      </c>
      <c r="R118" s="14"/>
    </row>
    <row r="119" spans="1:18" x14ac:dyDescent="0.25">
      <c r="A119" s="16" t="s">
        <v>3763</v>
      </c>
      <c r="B119" s="218" t="s">
        <v>3784</v>
      </c>
      <c r="C119" s="117" t="s">
        <v>3463</v>
      </c>
      <c r="D119" s="117"/>
      <c r="E119" s="117" t="s">
        <v>615</v>
      </c>
      <c r="F119" s="117" t="s">
        <v>3464</v>
      </c>
      <c r="G119" s="117" t="s">
        <v>569</v>
      </c>
      <c r="H119" s="118">
        <v>6.07</v>
      </c>
      <c r="I119" s="117" t="s">
        <v>221</v>
      </c>
      <c r="J119" s="118" t="s">
        <v>255</v>
      </c>
      <c r="K119" s="117">
        <v>1.24E-2</v>
      </c>
      <c r="L119" s="117">
        <v>3.6600000000000001E-2</v>
      </c>
      <c r="M119" s="112">
        <v>377517.70566561347</v>
      </c>
      <c r="N119" s="60">
        <v>95.77</v>
      </c>
      <c r="O119" s="84">
        <v>361.54871000000003</v>
      </c>
      <c r="P119" s="24">
        <v>2.1676717392196201E-2</v>
      </c>
      <c r="Q119" s="24">
        <v>1.4892844368848655E-3</v>
      </c>
      <c r="R119" s="14"/>
    </row>
    <row r="120" spans="1:18" x14ac:dyDescent="0.25">
      <c r="A120" s="16" t="s">
        <v>3763</v>
      </c>
      <c r="B120" s="218" t="s">
        <v>3784</v>
      </c>
      <c r="C120" s="117" t="s">
        <v>3468</v>
      </c>
      <c r="D120" s="117"/>
      <c r="E120" s="117" t="s">
        <v>615</v>
      </c>
      <c r="F120" s="117" t="s">
        <v>3303</v>
      </c>
      <c r="G120" s="117" t="s">
        <v>569</v>
      </c>
      <c r="H120" s="118">
        <v>5.55</v>
      </c>
      <c r="I120" s="117" t="s">
        <v>221</v>
      </c>
      <c r="J120" s="118" t="s">
        <v>255</v>
      </c>
      <c r="K120" s="117">
        <v>9.4999999999999998E-3</v>
      </c>
      <c r="L120" s="117">
        <v>1.8600000000000002E-2</v>
      </c>
      <c r="M120" s="112">
        <v>410210.72367253189</v>
      </c>
      <c r="N120" s="60">
        <v>105.62</v>
      </c>
      <c r="O120" s="84">
        <v>433.26456999999999</v>
      </c>
      <c r="P120" s="24">
        <v>2.5976454569403406E-2</v>
      </c>
      <c r="Q120" s="24">
        <v>1.7846950170410326E-3</v>
      </c>
      <c r="R120" s="14"/>
    </row>
    <row r="121" spans="1:18" x14ac:dyDescent="0.25">
      <c r="A121" s="16" t="s">
        <v>3763</v>
      </c>
      <c r="B121" s="218" t="s">
        <v>3784</v>
      </c>
      <c r="C121" s="117" t="s">
        <v>3494</v>
      </c>
      <c r="D121" s="117"/>
      <c r="E121" s="117" t="s">
        <v>615</v>
      </c>
      <c r="F121" s="117" t="s">
        <v>2867</v>
      </c>
      <c r="G121" s="117" t="s">
        <v>569</v>
      </c>
      <c r="H121" s="118">
        <v>3.12</v>
      </c>
      <c r="I121" s="117" t="s">
        <v>221</v>
      </c>
      <c r="J121" s="118" t="s">
        <v>255</v>
      </c>
      <c r="K121" s="117">
        <v>2.6000000000000002E-2</v>
      </c>
      <c r="L121" s="117">
        <v>2.7200000000000002E-2</v>
      </c>
      <c r="M121" s="112">
        <v>105828.25138695566</v>
      </c>
      <c r="N121" s="60">
        <v>102.79</v>
      </c>
      <c r="O121" s="84">
        <v>108.78086</v>
      </c>
      <c r="P121" s="24">
        <v>6.5219758629482035E-3</v>
      </c>
      <c r="Q121" s="24">
        <v>4.4808800957677706E-4</v>
      </c>
      <c r="R121" s="14"/>
    </row>
    <row r="122" spans="1:18" x14ac:dyDescent="0.25">
      <c r="A122" s="16" t="s">
        <v>3764</v>
      </c>
      <c r="B122" s="218" t="s">
        <v>3784</v>
      </c>
      <c r="C122" s="117" t="s">
        <v>3471</v>
      </c>
      <c r="D122" s="117"/>
      <c r="E122" s="117" t="s">
        <v>615</v>
      </c>
      <c r="F122" s="117" t="s">
        <v>3472</v>
      </c>
      <c r="G122" s="117" t="s">
        <v>569</v>
      </c>
      <c r="H122" s="118">
        <v>13.98</v>
      </c>
      <c r="I122" s="117" t="s">
        <v>223</v>
      </c>
      <c r="J122" s="118" t="s">
        <v>255</v>
      </c>
      <c r="K122" s="117">
        <v>2.7200000000000002E-2</v>
      </c>
      <c r="L122" s="117">
        <v>4.2099999999999999E-2</v>
      </c>
      <c r="M122" s="112">
        <v>228930.17618577435</v>
      </c>
      <c r="N122" s="60">
        <v>88.1</v>
      </c>
      <c r="O122" s="84">
        <v>201.68749</v>
      </c>
      <c r="P122" s="24">
        <v>1.2092209434992581E-2</v>
      </c>
      <c r="Q122" s="24">
        <v>8.3078719869135182E-4</v>
      </c>
      <c r="R122" s="14"/>
    </row>
    <row r="123" spans="1:18" x14ac:dyDescent="0.25">
      <c r="A123" s="16" t="s">
        <v>3764</v>
      </c>
      <c r="B123" s="218" t="s">
        <v>3784</v>
      </c>
      <c r="C123" s="117" t="s">
        <v>3486</v>
      </c>
      <c r="D123" s="117"/>
      <c r="E123" s="117" t="s">
        <v>615</v>
      </c>
      <c r="F123" s="117" t="s">
        <v>3487</v>
      </c>
      <c r="G123" s="117" t="s">
        <v>569</v>
      </c>
      <c r="H123" s="118">
        <v>13.46</v>
      </c>
      <c r="I123" s="117" t="s">
        <v>223</v>
      </c>
      <c r="J123" s="118" t="s">
        <v>255</v>
      </c>
      <c r="K123" s="117">
        <v>3.4300000000000004E-2</v>
      </c>
      <c r="L123" s="117">
        <v>3.9199999999999999E-2</v>
      </c>
      <c r="M123" s="112">
        <v>55912.69090734519</v>
      </c>
      <c r="N123" s="60">
        <v>95.9</v>
      </c>
      <c r="O123" s="84">
        <v>53.620269999999998</v>
      </c>
      <c r="P123" s="24">
        <v>3.2148128513119463E-3</v>
      </c>
      <c r="Q123" s="24">
        <v>2.2087157664748533E-4</v>
      </c>
      <c r="R123" s="14"/>
    </row>
    <row r="124" spans="1:18" x14ac:dyDescent="0.25">
      <c r="A124" s="16" t="s">
        <v>3764</v>
      </c>
      <c r="B124" s="218" t="s">
        <v>3784</v>
      </c>
      <c r="C124" s="117" t="s">
        <v>3473</v>
      </c>
      <c r="D124" s="117"/>
      <c r="E124" s="117" t="s">
        <v>615</v>
      </c>
      <c r="F124" s="117" t="s">
        <v>3472</v>
      </c>
      <c r="G124" s="117" t="s">
        <v>569</v>
      </c>
      <c r="H124" s="118">
        <v>0</v>
      </c>
      <c r="I124" s="117" t="s">
        <v>223</v>
      </c>
      <c r="J124" s="118" t="s">
        <v>255</v>
      </c>
      <c r="K124" s="117">
        <v>2.7000000000000003E-2</v>
      </c>
      <c r="L124" s="117">
        <v>0</v>
      </c>
      <c r="M124" s="112">
        <v>-1794.4273985131338</v>
      </c>
      <c r="N124" s="60">
        <v>87.812241999999998</v>
      </c>
      <c r="O124" s="84">
        <v>-1.5757300000000001</v>
      </c>
      <c r="P124" s="24">
        <v>-9.4473173189873401E-5</v>
      </c>
      <c r="Q124" s="24">
        <v>-6.4907164673124934E-6</v>
      </c>
      <c r="R124" s="14"/>
    </row>
    <row r="125" spans="1:18" x14ac:dyDescent="0.25">
      <c r="A125" s="16" t="s">
        <v>3764</v>
      </c>
      <c r="B125" s="218" t="s">
        <v>3784</v>
      </c>
      <c r="C125" s="117" t="s">
        <v>3488</v>
      </c>
      <c r="D125" s="117"/>
      <c r="E125" s="117" t="s">
        <v>615</v>
      </c>
      <c r="F125" s="117" t="s">
        <v>3487</v>
      </c>
      <c r="G125" s="117" t="s">
        <v>569</v>
      </c>
      <c r="H125" s="118">
        <v>0</v>
      </c>
      <c r="I125" s="117" t="s">
        <v>223</v>
      </c>
      <c r="J125" s="118" t="s">
        <v>255</v>
      </c>
      <c r="K125" s="117">
        <v>2.7000000000000003E-2</v>
      </c>
      <c r="L125" s="117">
        <v>0</v>
      </c>
      <c r="M125" s="112">
        <v>-335.14092015045384</v>
      </c>
      <c r="N125" s="60">
        <v>94.435423999999998</v>
      </c>
      <c r="O125" s="84">
        <v>-0.31648999999999999</v>
      </c>
      <c r="P125" s="24">
        <v>-1.8975214397684272E-5</v>
      </c>
      <c r="Q125" s="24">
        <v>-1.303679472206362E-6</v>
      </c>
      <c r="R125" s="14"/>
    </row>
    <row r="126" spans="1:18" x14ac:dyDescent="0.25">
      <c r="A126" s="16" t="s">
        <v>3765</v>
      </c>
      <c r="B126" s="218" t="s">
        <v>3784</v>
      </c>
      <c r="C126" s="117" t="s">
        <v>3459</v>
      </c>
      <c r="D126" s="117"/>
      <c r="E126" s="117" t="s">
        <v>834</v>
      </c>
      <c r="F126" s="117" t="s">
        <v>3460</v>
      </c>
      <c r="G126" s="117" t="s">
        <v>254</v>
      </c>
      <c r="H126" s="118">
        <v>6.74</v>
      </c>
      <c r="I126" s="117" t="s">
        <v>204</v>
      </c>
      <c r="J126" s="118" t="s">
        <v>255</v>
      </c>
      <c r="K126" s="117">
        <v>4.4500000000000005E-2</v>
      </c>
      <c r="L126" s="117">
        <v>7.85E-2</v>
      </c>
      <c r="M126" s="112">
        <v>124320.26137258357</v>
      </c>
      <c r="N126" s="60">
        <v>88.82</v>
      </c>
      <c r="O126" s="84">
        <v>110.42125999999999</v>
      </c>
      <c r="P126" s="24">
        <v>6.6203263375223167E-3</v>
      </c>
      <c r="Q126" s="24">
        <v>4.5484511345433181E-4</v>
      </c>
      <c r="R126" s="14"/>
    </row>
    <row r="127" spans="1:18" x14ac:dyDescent="0.25">
      <c r="A127" s="16" t="s">
        <v>3766</v>
      </c>
      <c r="B127" s="218" t="s">
        <v>3784</v>
      </c>
      <c r="C127" s="117" t="s">
        <v>3461</v>
      </c>
      <c r="D127" s="117"/>
      <c r="E127" s="117" t="s">
        <v>1669</v>
      </c>
      <c r="F127" s="117" t="s">
        <v>3462</v>
      </c>
      <c r="G127" s="117" t="s">
        <v>3385</v>
      </c>
      <c r="H127" s="118">
        <v>4.96</v>
      </c>
      <c r="I127" s="117" t="s">
        <v>220</v>
      </c>
      <c r="J127" s="118" t="s">
        <v>255</v>
      </c>
      <c r="K127" s="117">
        <v>1.8200000000000001E-2</v>
      </c>
      <c r="L127" s="117">
        <v>3.6400000000000002E-2</v>
      </c>
      <c r="M127" s="112">
        <v>84531.065585986638</v>
      </c>
      <c r="N127" s="60">
        <v>101.12</v>
      </c>
      <c r="O127" s="84">
        <v>85.477809999999991</v>
      </c>
      <c r="P127" s="24">
        <v>5.1248373439745972E-3</v>
      </c>
      <c r="Q127" s="24">
        <v>3.5209853779315519E-4</v>
      </c>
      <c r="R127" s="14"/>
    </row>
    <row r="128" spans="1:18" x14ac:dyDescent="0.25">
      <c r="A128" s="16" t="s">
        <v>3767</v>
      </c>
      <c r="B128" s="218" t="s">
        <v>3784</v>
      </c>
      <c r="C128" s="117" t="s">
        <v>3393</v>
      </c>
      <c r="D128" s="117"/>
      <c r="E128" s="117" t="s">
        <v>1097</v>
      </c>
      <c r="F128" s="117" t="s">
        <v>3394</v>
      </c>
      <c r="G128" s="117" t="s">
        <v>254</v>
      </c>
      <c r="H128" s="118">
        <v>1.8</v>
      </c>
      <c r="I128" s="117" t="s">
        <v>221</v>
      </c>
      <c r="J128" s="118" t="s">
        <v>255</v>
      </c>
      <c r="K128" s="117">
        <v>0.09</v>
      </c>
      <c r="L128" s="117">
        <v>0.11269999999999999</v>
      </c>
      <c r="M128" s="112">
        <v>208957.57136346775</v>
      </c>
      <c r="N128" s="60">
        <v>99.46</v>
      </c>
      <c r="O128" s="84">
        <v>207.82920000000001</v>
      </c>
      <c r="P128" s="24">
        <v>1.2460436753449411E-2</v>
      </c>
      <c r="Q128" s="24">
        <v>8.5608601145398114E-4</v>
      </c>
      <c r="R128" s="14"/>
    </row>
    <row r="129" spans="1:18" x14ac:dyDescent="0.25">
      <c r="A129" s="16" t="s">
        <v>3768</v>
      </c>
      <c r="B129" s="218" t="s">
        <v>3784</v>
      </c>
      <c r="C129" s="117" t="s">
        <v>3476</v>
      </c>
      <c r="D129" s="117"/>
      <c r="E129" s="117" t="s">
        <v>1097</v>
      </c>
      <c r="F129" s="117" t="s">
        <v>3477</v>
      </c>
      <c r="G129" s="117" t="s">
        <v>254</v>
      </c>
      <c r="H129" s="118">
        <v>4.49</v>
      </c>
      <c r="I129" s="117" t="s">
        <v>223</v>
      </c>
      <c r="J129" s="118" t="s">
        <v>255</v>
      </c>
      <c r="K129" s="117">
        <v>1.37E-2</v>
      </c>
      <c r="L129" s="117">
        <v>5.8299999999999998E-2</v>
      </c>
      <c r="M129" s="112">
        <v>24417.939852359723</v>
      </c>
      <c r="N129" s="60">
        <v>89.71</v>
      </c>
      <c r="O129" s="84">
        <v>21.905330000000003</v>
      </c>
      <c r="P129" s="24">
        <v>1.313337967082768E-3</v>
      </c>
      <c r="Q129" s="24">
        <v>9.0232010657228327E-5</v>
      </c>
      <c r="R129" s="14"/>
    </row>
    <row r="130" spans="1:18" x14ac:dyDescent="0.25">
      <c r="A130" s="16" t="s">
        <v>3768</v>
      </c>
      <c r="B130" s="218" t="s">
        <v>3784</v>
      </c>
      <c r="C130" s="117" t="s">
        <v>3489</v>
      </c>
      <c r="D130" s="117"/>
      <c r="E130" s="117" t="s">
        <v>1097</v>
      </c>
      <c r="F130" s="117" t="s">
        <v>3490</v>
      </c>
      <c r="G130" s="117" t="s">
        <v>254</v>
      </c>
      <c r="H130" s="118">
        <v>4.2699999999999996</v>
      </c>
      <c r="I130" s="117" t="s">
        <v>221</v>
      </c>
      <c r="J130" s="118" t="s">
        <v>255</v>
      </c>
      <c r="K130" s="117">
        <v>3.6400000000000002E-2</v>
      </c>
      <c r="L130" s="117">
        <v>4.0999999999999995E-2</v>
      </c>
      <c r="M130" s="112">
        <v>4986.6822190308731</v>
      </c>
      <c r="N130" s="60">
        <v>102.39</v>
      </c>
      <c r="O130" s="84">
        <v>5.1058599999999998</v>
      </c>
      <c r="P130" s="24">
        <v>3.0612274695744005E-4</v>
      </c>
      <c r="Q130" s="24">
        <v>2.1031959524659786E-5</v>
      </c>
      <c r="R130" s="14"/>
    </row>
    <row r="131" spans="1:18" x14ac:dyDescent="0.25">
      <c r="A131" s="16" t="s">
        <v>3768</v>
      </c>
      <c r="B131" s="218" t="s">
        <v>3784</v>
      </c>
      <c r="C131" s="117" t="s">
        <v>3495</v>
      </c>
      <c r="D131" s="117"/>
      <c r="E131" s="117" t="s">
        <v>1097</v>
      </c>
      <c r="F131" s="117" t="s">
        <v>3496</v>
      </c>
      <c r="G131" s="117" t="s">
        <v>254</v>
      </c>
      <c r="H131" s="118">
        <v>4.26</v>
      </c>
      <c r="I131" s="117" t="s">
        <v>221</v>
      </c>
      <c r="J131" s="118" t="s">
        <v>255</v>
      </c>
      <c r="K131" s="117">
        <v>3.9100000000000003E-2</v>
      </c>
      <c r="L131" s="117">
        <v>3.6499999999999998E-2</v>
      </c>
      <c r="M131" s="112">
        <v>4978.8184455541532</v>
      </c>
      <c r="N131" s="60">
        <v>104.32</v>
      </c>
      <c r="O131" s="84">
        <v>5.1938999999999993</v>
      </c>
      <c r="P131" s="24">
        <v>3.1140120085984492E-4</v>
      </c>
      <c r="Q131" s="24">
        <v>2.1394612185827746E-5</v>
      </c>
      <c r="R131" s="14"/>
    </row>
    <row r="132" spans="1:18" x14ac:dyDescent="0.25">
      <c r="A132" s="16" t="s">
        <v>3768</v>
      </c>
      <c r="B132" s="218" t="s">
        <v>3784</v>
      </c>
      <c r="C132" s="117" t="s">
        <v>3503</v>
      </c>
      <c r="D132" s="117"/>
      <c r="E132" s="117" t="s">
        <v>1097</v>
      </c>
      <c r="F132" s="117" t="s">
        <v>2993</v>
      </c>
      <c r="G132" s="117" t="s">
        <v>254</v>
      </c>
      <c r="H132" s="118">
        <v>4.24</v>
      </c>
      <c r="I132" s="117" t="s">
        <v>221</v>
      </c>
      <c r="J132" s="118" t="s">
        <v>255</v>
      </c>
      <c r="K132" s="117">
        <v>3.9900000000000005E-2</v>
      </c>
      <c r="L132" s="117">
        <v>4.1100000000000005E-2</v>
      </c>
      <c r="M132" s="112">
        <v>5041.4002895140002</v>
      </c>
      <c r="N132" s="60">
        <v>101.72</v>
      </c>
      <c r="O132" s="84">
        <v>5.1281099999999995</v>
      </c>
      <c r="P132" s="24">
        <v>3.0745674967584653E-4</v>
      </c>
      <c r="Q132" s="24">
        <v>2.1123611293298892E-5</v>
      </c>
      <c r="R132" s="14"/>
    </row>
    <row r="133" spans="1:18" x14ac:dyDescent="0.25">
      <c r="A133" s="16" t="s">
        <v>3768</v>
      </c>
      <c r="B133" s="218" t="s">
        <v>3784</v>
      </c>
      <c r="C133" s="117" t="s">
        <v>3508</v>
      </c>
      <c r="D133" s="117"/>
      <c r="E133" s="117" t="s">
        <v>1097</v>
      </c>
      <c r="F133" s="117" t="s">
        <v>1532</v>
      </c>
      <c r="G133" s="117" t="s">
        <v>254</v>
      </c>
      <c r="H133" s="118">
        <v>4.26</v>
      </c>
      <c r="I133" s="117" t="s">
        <v>221</v>
      </c>
      <c r="J133" s="118" t="s">
        <v>255</v>
      </c>
      <c r="K133" s="117">
        <v>4.0899999999999999E-2</v>
      </c>
      <c r="L133" s="117">
        <v>4.3899999999999995E-2</v>
      </c>
      <c r="M133" s="112">
        <v>5068.7782767493218</v>
      </c>
      <c r="N133" s="60">
        <v>99.72</v>
      </c>
      <c r="O133" s="84">
        <v>5.0545900000000001</v>
      </c>
      <c r="P133" s="24">
        <v>3.0304884496316133E-4</v>
      </c>
      <c r="Q133" s="24">
        <v>2.0820769134631602E-5</v>
      </c>
      <c r="R133" s="14"/>
    </row>
    <row r="134" spans="1:18" x14ac:dyDescent="0.25">
      <c r="A134" s="16" t="s">
        <v>3769</v>
      </c>
      <c r="B134" s="218" t="s">
        <v>3784</v>
      </c>
      <c r="C134" s="117" t="s">
        <v>3480</v>
      </c>
      <c r="D134" s="117"/>
      <c r="E134" s="117" t="s">
        <v>1097</v>
      </c>
      <c r="F134" s="117" t="s">
        <v>3481</v>
      </c>
      <c r="G134" s="117" t="s">
        <v>254</v>
      </c>
      <c r="H134" s="118">
        <v>4.34</v>
      </c>
      <c r="I134" s="117" t="s">
        <v>223</v>
      </c>
      <c r="J134" s="118" t="s">
        <v>255</v>
      </c>
      <c r="K134" s="117">
        <v>3.0699999999999998E-2</v>
      </c>
      <c r="L134" s="117">
        <v>4.1100000000000005E-2</v>
      </c>
      <c r="M134" s="112">
        <v>43690.654031100821</v>
      </c>
      <c r="N134" s="60">
        <v>101.55</v>
      </c>
      <c r="O134" s="84">
        <v>44.36786</v>
      </c>
      <c r="P134" s="24">
        <v>2.6600829595451359E-3</v>
      </c>
      <c r="Q134" s="24">
        <v>1.8275922875201671E-4</v>
      </c>
      <c r="R134" s="14"/>
    </row>
    <row r="135" spans="1:18" x14ac:dyDescent="0.25">
      <c r="A135" s="16" t="s">
        <v>3769</v>
      </c>
      <c r="B135" s="218" t="s">
        <v>3784</v>
      </c>
      <c r="C135" s="117" t="s">
        <v>3482</v>
      </c>
      <c r="D135" s="117"/>
      <c r="E135" s="117" t="s">
        <v>1097</v>
      </c>
      <c r="F135" s="117" t="s">
        <v>3483</v>
      </c>
      <c r="G135" s="117" t="s">
        <v>254</v>
      </c>
      <c r="H135" s="118">
        <v>4.37</v>
      </c>
      <c r="I135" s="117" t="s">
        <v>223</v>
      </c>
      <c r="J135" s="118" t="s">
        <v>255</v>
      </c>
      <c r="K135" s="117">
        <v>2.6000000000000002E-2</v>
      </c>
      <c r="L135" s="117">
        <v>5.3200000000000004E-2</v>
      </c>
      <c r="M135" s="112">
        <v>105.02960008290349</v>
      </c>
      <c r="N135" s="60">
        <v>94.36</v>
      </c>
      <c r="O135" s="84">
        <v>9.9110000000000004E-2</v>
      </c>
      <c r="P135" s="24">
        <v>5.9421577267985969E-6</v>
      </c>
      <c r="Q135" s="24">
        <v>4.0825199055380124E-7</v>
      </c>
      <c r="R135" s="14"/>
    </row>
    <row r="136" spans="1:18" x14ac:dyDescent="0.25">
      <c r="A136" s="16" t="s">
        <v>3769</v>
      </c>
      <c r="B136" s="218" t="s">
        <v>3784</v>
      </c>
      <c r="C136" s="117" t="s">
        <v>3491</v>
      </c>
      <c r="D136" s="117"/>
      <c r="E136" s="117" t="s">
        <v>1097</v>
      </c>
      <c r="F136" s="117" t="s">
        <v>3490</v>
      </c>
      <c r="G136" s="117" t="s">
        <v>254</v>
      </c>
      <c r="H136" s="118">
        <v>4.38</v>
      </c>
      <c r="I136" s="117" t="s">
        <v>221</v>
      </c>
      <c r="J136" s="118" t="s">
        <v>255</v>
      </c>
      <c r="K136" s="117">
        <v>3.6400000000000002E-2</v>
      </c>
      <c r="L136" s="117">
        <v>3.3099999999999997E-2</v>
      </c>
      <c r="M136" s="112">
        <v>11550.428722363637</v>
      </c>
      <c r="N136" s="60">
        <v>100.93</v>
      </c>
      <c r="O136" s="84">
        <v>11.65785</v>
      </c>
      <c r="P136" s="24">
        <v>6.989484759899004E-4</v>
      </c>
      <c r="Q136" s="24">
        <v>4.8020789709188089E-5</v>
      </c>
      <c r="R136" s="14"/>
    </row>
    <row r="137" spans="1:18" x14ac:dyDescent="0.25">
      <c r="A137" s="16" t="s">
        <v>3769</v>
      </c>
      <c r="B137" s="218" t="s">
        <v>3784</v>
      </c>
      <c r="C137" s="117" t="s">
        <v>3502</v>
      </c>
      <c r="D137" s="117"/>
      <c r="E137" s="117" t="s">
        <v>1097</v>
      </c>
      <c r="F137" s="117" t="s">
        <v>2912</v>
      </c>
      <c r="G137" s="117" t="s">
        <v>254</v>
      </c>
      <c r="H137" s="118">
        <v>4.26</v>
      </c>
      <c r="I137" s="117" t="s">
        <v>221</v>
      </c>
      <c r="J137" s="118" t="s">
        <v>255</v>
      </c>
      <c r="K137" s="117">
        <v>3.9399999999999998E-2</v>
      </c>
      <c r="L137" s="117">
        <v>4.2099999999999999E-2</v>
      </c>
      <c r="M137" s="112">
        <v>14214.778094819785</v>
      </c>
      <c r="N137" s="60">
        <v>101.54</v>
      </c>
      <c r="O137" s="84">
        <v>14.43369</v>
      </c>
      <c r="P137" s="24">
        <v>8.6537445827581121E-4</v>
      </c>
      <c r="Q137" s="24">
        <v>5.94549760219604E-5</v>
      </c>
      <c r="R137" s="14"/>
    </row>
    <row r="138" spans="1:18" x14ac:dyDescent="0.25">
      <c r="A138" s="16" t="s">
        <v>3770</v>
      </c>
      <c r="B138" s="218" t="s">
        <v>3784</v>
      </c>
      <c r="C138" s="117" t="s">
        <v>3484</v>
      </c>
      <c r="D138" s="117"/>
      <c r="E138" s="117" t="s">
        <v>1583</v>
      </c>
      <c r="F138" s="117" t="s">
        <v>3485</v>
      </c>
      <c r="G138" s="117" t="s">
        <v>3385</v>
      </c>
      <c r="H138" s="118">
        <v>2.67</v>
      </c>
      <c r="I138" s="117" t="s">
        <v>221</v>
      </c>
      <c r="J138" s="118" t="s">
        <v>255</v>
      </c>
      <c r="K138" s="117">
        <v>3.73E-2</v>
      </c>
      <c r="L138" s="117">
        <v>5.8499999999999996E-2</v>
      </c>
      <c r="M138" s="112">
        <v>95904.062381781245</v>
      </c>
      <c r="N138" s="60">
        <v>95.28</v>
      </c>
      <c r="O138" s="84">
        <v>91.377390000000005</v>
      </c>
      <c r="P138" s="24">
        <v>5.4785477150962446E-3</v>
      </c>
      <c r="Q138" s="24">
        <v>3.7639997335396039E-4</v>
      </c>
      <c r="R138" s="14"/>
    </row>
    <row r="139" spans="1:18" x14ac:dyDescent="0.25">
      <c r="A139" s="16" t="s">
        <v>3770</v>
      </c>
      <c r="B139" s="218" t="s">
        <v>3784</v>
      </c>
      <c r="C139" s="117" t="s">
        <v>3500</v>
      </c>
      <c r="D139" s="117"/>
      <c r="E139" s="117" t="s">
        <v>1583</v>
      </c>
      <c r="F139" s="117" t="s">
        <v>3501</v>
      </c>
      <c r="G139" s="117" t="s">
        <v>3385</v>
      </c>
      <c r="H139" s="118">
        <v>2.99</v>
      </c>
      <c r="I139" s="117" t="s">
        <v>221</v>
      </c>
      <c r="J139" s="118" t="s">
        <v>255</v>
      </c>
      <c r="K139" s="117">
        <v>4.7899999999999998E-2</v>
      </c>
      <c r="L139" s="117">
        <v>6.88E-2</v>
      </c>
      <c r="M139" s="112">
        <v>44551.629764725498</v>
      </c>
      <c r="N139" s="60">
        <v>98.07</v>
      </c>
      <c r="O139" s="84">
        <v>43.691780000000001</v>
      </c>
      <c r="P139" s="24">
        <v>2.6195484625626516E-3</v>
      </c>
      <c r="Q139" s="24">
        <v>1.7997433312318394E-4</v>
      </c>
      <c r="R139" s="14"/>
    </row>
    <row r="140" spans="1:18" x14ac:dyDescent="0.25">
      <c r="A140" s="16" t="s">
        <v>3771</v>
      </c>
      <c r="B140" s="218" t="s">
        <v>3784</v>
      </c>
      <c r="C140" s="117" t="s">
        <v>3513</v>
      </c>
      <c r="D140" s="117"/>
      <c r="E140" s="117" t="s">
        <v>573</v>
      </c>
      <c r="F140" s="117" t="s">
        <v>3514</v>
      </c>
      <c r="G140" s="117" t="s">
        <v>573</v>
      </c>
      <c r="H140" s="118">
        <v>2.5</v>
      </c>
      <c r="I140" s="117" t="s">
        <v>221</v>
      </c>
      <c r="J140" s="118" t="s">
        <v>125</v>
      </c>
      <c r="K140" s="117">
        <v>0.10059999999999998</v>
      </c>
      <c r="L140" s="117">
        <v>0.10880000000000001</v>
      </c>
      <c r="M140" s="112">
        <v>19965.992869608624</v>
      </c>
      <c r="N140" s="60">
        <v>100.46</v>
      </c>
      <c r="O140" s="84">
        <v>76.701170000000005</v>
      </c>
      <c r="P140" s="24">
        <v>4.5986323274139112E-3</v>
      </c>
      <c r="Q140" s="24">
        <v>3.1594597245793063E-4</v>
      </c>
      <c r="R140" s="14"/>
    </row>
    <row r="141" spans="1:18" x14ac:dyDescent="0.25">
      <c r="A141" s="16" t="s">
        <v>3772</v>
      </c>
      <c r="B141" s="218" t="s">
        <v>3784</v>
      </c>
      <c r="C141" s="117" t="s">
        <v>3436</v>
      </c>
      <c r="D141" s="117"/>
      <c r="E141" s="117" t="s">
        <v>573</v>
      </c>
      <c r="F141" s="117" t="s">
        <v>3130</v>
      </c>
      <c r="G141" s="117" t="s">
        <v>573</v>
      </c>
      <c r="H141" s="118">
        <v>5.56</v>
      </c>
      <c r="I141" s="117" t="s">
        <v>221</v>
      </c>
      <c r="J141" s="118" t="s">
        <v>255</v>
      </c>
      <c r="K141" s="117">
        <v>7.4999999999999997E-2</v>
      </c>
      <c r="L141" s="117">
        <v>8.6899999999999991E-2</v>
      </c>
      <c r="M141" s="112">
        <v>41528.068304292785</v>
      </c>
      <c r="N141" s="60">
        <v>102.79</v>
      </c>
      <c r="O141" s="84">
        <v>42.686699999999995</v>
      </c>
      <c r="P141" s="24">
        <v>2.5592887119012578E-3</v>
      </c>
      <c r="Q141" s="24">
        <v>1.7583422707267627E-4</v>
      </c>
      <c r="R141" s="14"/>
    </row>
    <row r="142" spans="1:18" x14ac:dyDescent="0.25">
      <c r="A142" s="16" t="s">
        <v>3772</v>
      </c>
      <c r="B142" s="218" t="s">
        <v>3784</v>
      </c>
      <c r="C142" s="117" t="s">
        <v>3447</v>
      </c>
      <c r="D142" s="117"/>
      <c r="E142" s="117" t="s">
        <v>573</v>
      </c>
      <c r="F142" s="117" t="s">
        <v>1179</v>
      </c>
      <c r="G142" s="117" t="s">
        <v>573</v>
      </c>
      <c r="H142" s="118">
        <v>5.23</v>
      </c>
      <c r="I142" s="117" t="s">
        <v>221</v>
      </c>
      <c r="J142" s="118" t="s">
        <v>255</v>
      </c>
      <c r="K142" s="117">
        <v>7.4999999999999997E-2</v>
      </c>
      <c r="L142" s="117">
        <v>8.7899999999999992E-2</v>
      </c>
      <c r="M142" s="112">
        <v>517.29408512197722</v>
      </c>
      <c r="N142" s="60">
        <v>100.01</v>
      </c>
      <c r="O142" s="84">
        <v>0.51734999999999998</v>
      </c>
      <c r="P142" s="24">
        <v>3.1017811522139586E-5</v>
      </c>
      <c r="Q142" s="24">
        <v>2.1310580901322676E-6</v>
      </c>
      <c r="R142" s="14"/>
    </row>
    <row r="143" spans="1:18" x14ac:dyDescent="0.25">
      <c r="A143" s="16" t="s">
        <v>3772</v>
      </c>
      <c r="B143" s="218" t="s">
        <v>3784</v>
      </c>
      <c r="C143" s="117" t="s">
        <v>3431</v>
      </c>
      <c r="D143" s="117"/>
      <c r="E143" s="117" t="s">
        <v>573</v>
      </c>
      <c r="F143" s="117" t="s">
        <v>3432</v>
      </c>
      <c r="G143" s="117" t="s">
        <v>573</v>
      </c>
      <c r="H143" s="118">
        <v>7.45</v>
      </c>
      <c r="I143" s="117" t="s">
        <v>221</v>
      </c>
      <c r="J143" s="118" t="s">
        <v>255</v>
      </c>
      <c r="K143" s="117">
        <v>7.4999999999999997E-2</v>
      </c>
      <c r="L143" s="117">
        <v>8.5699999999999998E-2</v>
      </c>
      <c r="M143" s="112">
        <v>3029.3957743832316</v>
      </c>
      <c r="N143" s="60">
        <v>103.75</v>
      </c>
      <c r="O143" s="84">
        <v>3.1429999999999998</v>
      </c>
      <c r="P143" s="24">
        <v>1.8843912557086056E-4</v>
      </c>
      <c r="Q143" s="24">
        <v>1.2946584666639058E-5</v>
      </c>
      <c r="R143" s="14"/>
    </row>
    <row r="144" spans="1:18" x14ac:dyDescent="0.25">
      <c r="A144" s="16" t="s">
        <v>3772</v>
      </c>
      <c r="B144" s="218" t="s">
        <v>3784</v>
      </c>
      <c r="C144" s="117" t="s">
        <v>3345</v>
      </c>
      <c r="D144" s="117"/>
      <c r="E144" s="117" t="s">
        <v>573</v>
      </c>
      <c r="F144" s="117" t="s">
        <v>978</v>
      </c>
      <c r="G144" s="117" t="s">
        <v>573</v>
      </c>
      <c r="H144" s="118">
        <v>5.55</v>
      </c>
      <c r="I144" s="117" t="s">
        <v>221</v>
      </c>
      <c r="J144" s="118" t="s">
        <v>255</v>
      </c>
      <c r="K144" s="117">
        <v>7.4999999999999997E-2</v>
      </c>
      <c r="L144" s="117">
        <v>9.0200000000000002E-2</v>
      </c>
      <c r="M144" s="112">
        <v>16026.588046184983</v>
      </c>
      <c r="N144" s="60">
        <v>92.43</v>
      </c>
      <c r="O144" s="84">
        <v>14.813379999999999</v>
      </c>
      <c r="P144" s="24">
        <v>8.8813883994555334E-4</v>
      </c>
      <c r="Q144" s="24">
        <v>6.1018987708907953E-5</v>
      </c>
      <c r="R144" s="14"/>
    </row>
    <row r="145" spans="1:18" x14ac:dyDescent="0.25">
      <c r="A145" s="16" t="s">
        <v>3772</v>
      </c>
      <c r="B145" s="218" t="s">
        <v>3784</v>
      </c>
      <c r="C145" s="117" t="s">
        <v>3339</v>
      </c>
      <c r="D145" s="117"/>
      <c r="E145" s="117" t="s">
        <v>573</v>
      </c>
      <c r="F145" s="117" t="s">
        <v>3340</v>
      </c>
      <c r="G145" s="117" t="s">
        <v>573</v>
      </c>
      <c r="H145" s="118">
        <v>5.48</v>
      </c>
      <c r="I145" s="117" t="s">
        <v>221</v>
      </c>
      <c r="J145" s="118" t="s">
        <v>255</v>
      </c>
      <c r="K145" s="117">
        <v>7.4999999999999997E-2</v>
      </c>
      <c r="L145" s="117">
        <v>8.929999999999999E-2</v>
      </c>
      <c r="M145" s="112">
        <v>14034.547455616083</v>
      </c>
      <c r="N145" s="60">
        <v>92.95</v>
      </c>
      <c r="O145" s="84">
        <v>13.045110000000001</v>
      </c>
      <c r="P145" s="24">
        <v>7.8212189671514126E-4</v>
      </c>
      <c r="Q145" s="24">
        <v>5.3735164206369672E-5</v>
      </c>
      <c r="R145" s="14"/>
    </row>
    <row r="146" spans="1:18" x14ac:dyDescent="0.25">
      <c r="A146" s="16" t="s">
        <v>3772</v>
      </c>
      <c r="B146" s="218" t="s">
        <v>3784</v>
      </c>
      <c r="C146" s="117" t="s">
        <v>3353</v>
      </c>
      <c r="D146" s="117"/>
      <c r="E146" s="117" t="s">
        <v>573</v>
      </c>
      <c r="F146" s="117" t="s">
        <v>3354</v>
      </c>
      <c r="G146" s="117" t="s">
        <v>573</v>
      </c>
      <c r="H146" s="118">
        <v>6.28</v>
      </c>
      <c r="I146" s="117" t="s">
        <v>221</v>
      </c>
      <c r="J146" s="118" t="s">
        <v>255</v>
      </c>
      <c r="K146" s="117">
        <v>7.4999999999999997E-2</v>
      </c>
      <c r="L146" s="117">
        <v>8.9200000000000002E-2</v>
      </c>
      <c r="M146" s="112">
        <v>13260.783671462808</v>
      </c>
      <c r="N146" s="60">
        <v>91.79</v>
      </c>
      <c r="O146" s="84">
        <v>12.17207</v>
      </c>
      <c r="P146" s="24">
        <v>7.2977862780378773E-4</v>
      </c>
      <c r="Q146" s="24">
        <v>5.0138954764001685E-5</v>
      </c>
      <c r="R146" s="14"/>
    </row>
    <row r="147" spans="1:18" x14ac:dyDescent="0.25">
      <c r="A147" s="16" t="s">
        <v>3772</v>
      </c>
      <c r="B147" s="218" t="s">
        <v>3784</v>
      </c>
      <c r="C147" s="117" t="s">
        <v>3358</v>
      </c>
      <c r="D147" s="117"/>
      <c r="E147" s="117" t="s">
        <v>573</v>
      </c>
      <c r="F147" s="117" t="s">
        <v>3359</v>
      </c>
      <c r="G147" s="117" t="s">
        <v>573</v>
      </c>
      <c r="H147" s="118">
        <v>6.37</v>
      </c>
      <c r="I147" s="117" t="s">
        <v>221</v>
      </c>
      <c r="J147" s="118" t="s">
        <v>255</v>
      </c>
      <c r="K147" s="117">
        <v>7.4999999999999997E-2</v>
      </c>
      <c r="L147" s="117">
        <v>8.8900000000000007E-2</v>
      </c>
      <c r="M147" s="112">
        <v>14114.549767656312</v>
      </c>
      <c r="N147" s="60">
        <v>91.81</v>
      </c>
      <c r="O147" s="84">
        <v>12.95857</v>
      </c>
      <c r="P147" s="24">
        <v>7.769333755802693E-4</v>
      </c>
      <c r="Q147" s="24">
        <v>5.3378690316121197E-5</v>
      </c>
      <c r="R147" s="14"/>
    </row>
    <row r="148" spans="1:18" x14ac:dyDescent="0.25">
      <c r="A148" s="16" t="s">
        <v>3772</v>
      </c>
      <c r="B148" s="218" t="s">
        <v>3784</v>
      </c>
      <c r="C148" s="117" t="s">
        <v>3320</v>
      </c>
      <c r="D148" s="117"/>
      <c r="E148" s="117" t="s">
        <v>573</v>
      </c>
      <c r="F148" s="117" t="s">
        <v>3321</v>
      </c>
      <c r="G148" s="117" t="s">
        <v>573</v>
      </c>
      <c r="H148" s="118">
        <v>5.65</v>
      </c>
      <c r="I148" s="117" t="s">
        <v>221</v>
      </c>
      <c r="J148" s="118" t="s">
        <v>255</v>
      </c>
      <c r="K148" s="117">
        <v>7.4999999999999997E-2</v>
      </c>
      <c r="L148" s="117">
        <v>9.5600000000000004E-2</v>
      </c>
      <c r="M148" s="112">
        <v>16638.748685393952</v>
      </c>
      <c r="N148" s="60">
        <v>89.69</v>
      </c>
      <c r="O148" s="84">
        <v>14.923290000000001</v>
      </c>
      <c r="P148" s="24">
        <v>8.9472851359858989E-4</v>
      </c>
      <c r="Q148" s="24">
        <v>6.1471726850082097E-5</v>
      </c>
      <c r="R148" s="14"/>
    </row>
    <row r="149" spans="1:18" x14ac:dyDescent="0.25">
      <c r="A149" s="16" t="s">
        <v>3772</v>
      </c>
      <c r="B149" s="218" t="s">
        <v>3784</v>
      </c>
      <c r="C149" s="117" t="s">
        <v>3324</v>
      </c>
      <c r="D149" s="117"/>
      <c r="E149" s="117" t="s">
        <v>573</v>
      </c>
      <c r="F149" s="117" t="s">
        <v>3325</v>
      </c>
      <c r="G149" s="117" t="s">
        <v>573</v>
      </c>
      <c r="H149" s="118">
        <v>5.35</v>
      </c>
      <c r="I149" s="117" t="s">
        <v>221</v>
      </c>
      <c r="J149" s="118" t="s">
        <v>255</v>
      </c>
      <c r="K149" s="117">
        <v>7.4999999999999997E-2</v>
      </c>
      <c r="L149" s="117">
        <v>7.6100000000000001E-2</v>
      </c>
      <c r="M149" s="112">
        <v>11283.10340898562</v>
      </c>
      <c r="N149" s="60">
        <v>99.49</v>
      </c>
      <c r="O149" s="84">
        <v>11.22556</v>
      </c>
      <c r="P149" s="24">
        <v>6.7303045193866664E-4</v>
      </c>
      <c r="Q149" s="24">
        <v>4.624010912199706E-5</v>
      </c>
      <c r="R149" s="14"/>
    </row>
    <row r="150" spans="1:18" x14ac:dyDescent="0.25">
      <c r="A150" s="16" t="s">
        <v>3772</v>
      </c>
      <c r="B150" s="218" t="s">
        <v>3784</v>
      </c>
      <c r="C150" s="117" t="s">
        <v>3371</v>
      </c>
      <c r="D150" s="117"/>
      <c r="E150" s="117" t="s">
        <v>573</v>
      </c>
      <c r="F150" s="117" t="s">
        <v>3372</v>
      </c>
      <c r="G150" s="117" t="s">
        <v>573</v>
      </c>
      <c r="H150" s="118">
        <v>5.88</v>
      </c>
      <c r="I150" s="117" t="s">
        <v>221</v>
      </c>
      <c r="J150" s="118" t="s">
        <v>255</v>
      </c>
      <c r="K150" s="117">
        <v>7.4999999999999997E-2</v>
      </c>
      <c r="L150" s="117">
        <v>6.9900000000000004E-2</v>
      </c>
      <c r="M150" s="112">
        <v>12589.901482358422</v>
      </c>
      <c r="N150" s="60">
        <v>102.7</v>
      </c>
      <c r="O150" s="84">
        <v>12.929829999999999</v>
      </c>
      <c r="P150" s="24">
        <v>7.7521026375433665E-4</v>
      </c>
      <c r="Q150" s="24">
        <v>5.3260305065303756E-5</v>
      </c>
      <c r="R150" s="14"/>
    </row>
    <row r="151" spans="1:18" x14ac:dyDescent="0.25">
      <c r="A151" s="16" t="s">
        <v>3772</v>
      </c>
      <c r="B151" s="218" t="s">
        <v>3784</v>
      </c>
      <c r="C151" s="117" t="s">
        <v>3318</v>
      </c>
      <c r="D151" s="117"/>
      <c r="E151" s="117" t="s">
        <v>573</v>
      </c>
      <c r="F151" s="117" t="s">
        <v>3319</v>
      </c>
      <c r="G151" s="117" t="s">
        <v>573</v>
      </c>
      <c r="H151" s="118">
        <v>5.67</v>
      </c>
      <c r="I151" s="117" t="s">
        <v>221</v>
      </c>
      <c r="J151" s="118" t="s">
        <v>255</v>
      </c>
      <c r="K151" s="117">
        <v>7.4999999999999997E-2</v>
      </c>
      <c r="L151" s="117">
        <v>8.6999999999999994E-2</v>
      </c>
      <c r="M151" s="112">
        <v>9352.0373512048191</v>
      </c>
      <c r="N151" s="60">
        <v>93.79</v>
      </c>
      <c r="O151" s="84">
        <v>8.7712800000000009</v>
      </c>
      <c r="P151" s="24">
        <v>5.2588365680470187E-4</v>
      </c>
      <c r="Q151" s="24">
        <v>3.6130486527138999E-5</v>
      </c>
      <c r="R151" s="14"/>
    </row>
    <row r="152" spans="1:18" x14ac:dyDescent="0.25">
      <c r="A152" s="16" t="s">
        <v>3772</v>
      </c>
      <c r="B152" s="218" t="s">
        <v>3784</v>
      </c>
      <c r="C152" s="117" t="s">
        <v>3434</v>
      </c>
      <c r="D152" s="117"/>
      <c r="E152" s="117" t="s">
        <v>573</v>
      </c>
      <c r="F152" s="117" t="s">
        <v>3435</v>
      </c>
      <c r="G152" s="117" t="s">
        <v>573</v>
      </c>
      <c r="H152" s="118">
        <v>7.45</v>
      </c>
      <c r="I152" s="117" t="s">
        <v>221</v>
      </c>
      <c r="J152" s="118" t="s">
        <v>255</v>
      </c>
      <c r="K152" s="117">
        <v>7.4999999999999997E-2</v>
      </c>
      <c r="L152" s="117">
        <v>8.5699999999999998E-2</v>
      </c>
      <c r="M152" s="112">
        <v>20738.064328397508</v>
      </c>
      <c r="N152" s="60">
        <v>103.76</v>
      </c>
      <c r="O152" s="84">
        <v>21.51782</v>
      </c>
      <c r="P152" s="24">
        <v>1.2901047359182866E-3</v>
      </c>
      <c r="Q152" s="24">
        <v>8.8635786977887148E-5</v>
      </c>
      <c r="R152" s="14"/>
    </row>
    <row r="153" spans="1:18" x14ac:dyDescent="0.25">
      <c r="A153" s="16" t="s">
        <v>3772</v>
      </c>
      <c r="B153" s="218" t="s">
        <v>3784</v>
      </c>
      <c r="C153" s="117" t="s">
        <v>3378</v>
      </c>
      <c r="D153" s="117"/>
      <c r="E153" s="117" t="s">
        <v>573</v>
      </c>
      <c r="F153" s="117" t="s">
        <v>3379</v>
      </c>
      <c r="G153" s="117" t="s">
        <v>573</v>
      </c>
      <c r="H153" s="118">
        <v>5.65</v>
      </c>
      <c r="I153" s="117" t="s">
        <v>221</v>
      </c>
      <c r="J153" s="118" t="s">
        <v>255</v>
      </c>
      <c r="K153" s="117">
        <v>7.4999999999999997E-2</v>
      </c>
      <c r="L153" s="117">
        <v>7.0999999999999994E-2</v>
      </c>
      <c r="M153" s="112">
        <v>26326.544043108282</v>
      </c>
      <c r="N153" s="60">
        <v>102.11</v>
      </c>
      <c r="O153" s="84">
        <v>26.88203</v>
      </c>
      <c r="P153" s="24">
        <v>1.611716903203831E-3</v>
      </c>
      <c r="Q153" s="24">
        <v>1.1073193681391385E-4</v>
      </c>
      <c r="R153" s="14"/>
    </row>
    <row r="154" spans="1:18" x14ac:dyDescent="0.25">
      <c r="A154" s="16" t="s">
        <v>3772</v>
      </c>
      <c r="B154" s="218" t="s">
        <v>3784</v>
      </c>
      <c r="C154" s="117" t="s">
        <v>3367</v>
      </c>
      <c r="D154" s="117"/>
      <c r="E154" s="117" t="s">
        <v>573</v>
      </c>
      <c r="F154" s="117" t="s">
        <v>3368</v>
      </c>
      <c r="G154" s="117" t="s">
        <v>573</v>
      </c>
      <c r="H154" s="118">
        <v>6.15</v>
      </c>
      <c r="I154" s="117" t="s">
        <v>221</v>
      </c>
      <c r="J154" s="118" t="s">
        <v>255</v>
      </c>
      <c r="K154" s="117">
        <v>7.4999999999999997E-2</v>
      </c>
      <c r="L154" s="117">
        <v>7.2900000000000006E-2</v>
      </c>
      <c r="M154" s="112">
        <v>14065.867547479638</v>
      </c>
      <c r="N154" s="60">
        <v>100.94</v>
      </c>
      <c r="O154" s="84">
        <v>14.198090000000001</v>
      </c>
      <c r="P154" s="24">
        <v>8.5124901825529104E-4</v>
      </c>
      <c r="Q154" s="24">
        <v>5.8484497069539098E-5</v>
      </c>
      <c r="R154" s="14"/>
    </row>
    <row r="155" spans="1:18" x14ac:dyDescent="0.25">
      <c r="A155" s="16" t="s">
        <v>3772</v>
      </c>
      <c r="B155" s="218" t="s">
        <v>3784</v>
      </c>
      <c r="C155" s="117" t="s">
        <v>3369</v>
      </c>
      <c r="D155" s="117"/>
      <c r="E155" s="117" t="s">
        <v>573</v>
      </c>
      <c r="F155" s="117" t="s">
        <v>3370</v>
      </c>
      <c r="G155" s="117" t="s">
        <v>573</v>
      </c>
      <c r="H155" s="118">
        <v>5.61</v>
      </c>
      <c r="I155" s="117" t="s">
        <v>221</v>
      </c>
      <c r="J155" s="118" t="s">
        <v>255</v>
      </c>
      <c r="K155" s="117">
        <v>7.4999999999999997E-2</v>
      </c>
      <c r="L155" s="117">
        <v>9.2799999999999994E-2</v>
      </c>
      <c r="M155" s="112">
        <v>8782.7426035067128</v>
      </c>
      <c r="N155" s="60">
        <v>91.05</v>
      </c>
      <c r="O155" s="84">
        <v>7.9966899999999992</v>
      </c>
      <c r="P155" s="24">
        <v>4.7944297520243232E-4</v>
      </c>
      <c r="Q155" s="24">
        <v>3.2939810416120236E-5</v>
      </c>
      <c r="R155" s="14"/>
    </row>
    <row r="156" spans="1:18" x14ac:dyDescent="0.25">
      <c r="A156" s="16" t="s">
        <v>3772</v>
      </c>
      <c r="B156" s="218" t="s">
        <v>3784</v>
      </c>
      <c r="C156" s="117" t="s">
        <v>3437</v>
      </c>
      <c r="D156" s="117"/>
      <c r="E156" s="117" t="s">
        <v>573</v>
      </c>
      <c r="F156" s="117" t="s">
        <v>3130</v>
      </c>
      <c r="G156" s="117" t="s">
        <v>573</v>
      </c>
      <c r="H156" s="118">
        <v>5.48</v>
      </c>
      <c r="I156" s="117" t="s">
        <v>221</v>
      </c>
      <c r="J156" s="118" t="s">
        <v>255</v>
      </c>
      <c r="K156" s="117">
        <v>7.4999999999999997E-2</v>
      </c>
      <c r="L156" s="117">
        <v>8.6300000000000002E-2</v>
      </c>
      <c r="M156" s="112">
        <v>3260.2482230702944</v>
      </c>
      <c r="N156" s="60">
        <v>103.1</v>
      </c>
      <c r="O156" s="84">
        <v>3.3613200000000001</v>
      </c>
      <c r="P156" s="24">
        <v>2.0152854010940026E-4</v>
      </c>
      <c r="Q156" s="24">
        <v>1.3845884178067835E-5</v>
      </c>
      <c r="R156" s="14"/>
    </row>
    <row r="157" spans="1:18" x14ac:dyDescent="0.25">
      <c r="A157" s="16" t="s">
        <v>3772</v>
      </c>
      <c r="B157" s="218" t="s">
        <v>3784</v>
      </c>
      <c r="C157" s="117" t="s">
        <v>3331</v>
      </c>
      <c r="D157" s="117"/>
      <c r="E157" s="117" t="s">
        <v>573</v>
      </c>
      <c r="F157" s="117" t="s">
        <v>3332</v>
      </c>
      <c r="G157" s="117" t="s">
        <v>573</v>
      </c>
      <c r="H157" s="118">
        <v>5.66</v>
      </c>
      <c r="I157" s="117" t="s">
        <v>221</v>
      </c>
      <c r="J157" s="118" t="s">
        <v>255</v>
      </c>
      <c r="K157" s="117">
        <v>7.4999999999999997E-2</v>
      </c>
      <c r="L157" s="117">
        <v>9.2799999999999994E-2</v>
      </c>
      <c r="M157" s="112">
        <v>11755.470522691865</v>
      </c>
      <c r="N157" s="60">
        <v>91.04</v>
      </c>
      <c r="O157" s="84">
        <v>10.70218</v>
      </c>
      <c r="P157" s="24">
        <v>6.4165111069104436E-4</v>
      </c>
      <c r="Q157" s="24">
        <v>4.4084212372768446E-5</v>
      </c>
      <c r="R157" s="14"/>
    </row>
    <row r="158" spans="1:18" x14ac:dyDescent="0.25">
      <c r="A158" s="16" t="s">
        <v>3772</v>
      </c>
      <c r="B158" s="218" t="s">
        <v>3784</v>
      </c>
      <c r="C158" s="117" t="s">
        <v>3342</v>
      </c>
      <c r="D158" s="117"/>
      <c r="E158" s="117" t="s">
        <v>573</v>
      </c>
      <c r="F158" s="117" t="s">
        <v>3343</v>
      </c>
      <c r="G158" s="117" t="s">
        <v>573</v>
      </c>
      <c r="H158" s="118">
        <v>5.29</v>
      </c>
      <c r="I158" s="117" t="s">
        <v>221</v>
      </c>
      <c r="J158" s="118" t="s">
        <v>255</v>
      </c>
      <c r="K158" s="117">
        <v>7.4999999999999997E-2</v>
      </c>
      <c r="L158" s="117">
        <v>8.900000000000001E-2</v>
      </c>
      <c r="M158" s="112">
        <v>18569.559239723898</v>
      </c>
      <c r="N158" s="60">
        <v>93.39</v>
      </c>
      <c r="O158" s="84">
        <v>17.342110000000002</v>
      </c>
      <c r="P158" s="24">
        <v>1.039749298108074E-3</v>
      </c>
      <c r="Q158" s="24">
        <v>7.143528330040341E-5</v>
      </c>
      <c r="R158" s="14"/>
    </row>
    <row r="159" spans="1:18" x14ac:dyDescent="0.25">
      <c r="A159" s="16" t="s">
        <v>3772</v>
      </c>
      <c r="B159" s="218" t="s">
        <v>3784</v>
      </c>
      <c r="C159" s="117" t="s">
        <v>3417</v>
      </c>
      <c r="D159" s="117"/>
      <c r="E159" s="117" t="s">
        <v>573</v>
      </c>
      <c r="F159" s="117" t="s">
        <v>492</v>
      </c>
      <c r="G159" s="117" t="s">
        <v>573</v>
      </c>
      <c r="H159" s="118">
        <v>5.9</v>
      </c>
      <c r="I159" s="117" t="s">
        <v>221</v>
      </c>
      <c r="J159" s="118" t="s">
        <v>255</v>
      </c>
      <c r="K159" s="117">
        <v>7.4999999999999997E-2</v>
      </c>
      <c r="L159" s="117">
        <v>6.7299999999999999E-2</v>
      </c>
      <c r="M159" s="112">
        <v>22517.115927162838</v>
      </c>
      <c r="N159" s="60">
        <v>104.19</v>
      </c>
      <c r="O159" s="84">
        <v>23.46058</v>
      </c>
      <c r="P159" s="24">
        <v>1.4065832582199236E-3</v>
      </c>
      <c r="Q159" s="24">
        <v>9.6638366305586699E-5</v>
      </c>
      <c r="R159" s="14"/>
    </row>
    <row r="160" spans="1:18" x14ac:dyDescent="0.25">
      <c r="A160" s="16" t="s">
        <v>3772</v>
      </c>
      <c r="B160" s="218" t="s">
        <v>3784</v>
      </c>
      <c r="C160" s="117" t="s">
        <v>3337</v>
      </c>
      <c r="D160" s="117"/>
      <c r="E160" s="117" t="s">
        <v>573</v>
      </c>
      <c r="F160" s="117" t="s">
        <v>3338</v>
      </c>
      <c r="G160" s="117" t="s">
        <v>573</v>
      </c>
      <c r="H160" s="118">
        <v>5.65</v>
      </c>
      <c r="I160" s="117" t="s">
        <v>221</v>
      </c>
      <c r="J160" s="118" t="s">
        <v>255</v>
      </c>
      <c r="K160" s="117">
        <v>7.4999999999999997E-2</v>
      </c>
      <c r="L160" s="117">
        <v>9.3000000000000013E-2</v>
      </c>
      <c r="M160" s="112">
        <v>8066.8068265822658</v>
      </c>
      <c r="N160" s="60">
        <v>90.9</v>
      </c>
      <c r="O160" s="84">
        <v>7.3327299999999997</v>
      </c>
      <c r="P160" s="24">
        <v>4.3963513498161509E-4</v>
      </c>
      <c r="Q160" s="24">
        <v>3.0204839256316967E-5</v>
      </c>
      <c r="R160" s="14"/>
    </row>
    <row r="161" spans="1:18" x14ac:dyDescent="0.25">
      <c r="A161" s="16" t="s">
        <v>3772</v>
      </c>
      <c r="B161" s="218" t="s">
        <v>3784</v>
      </c>
      <c r="C161" s="117" t="s">
        <v>3418</v>
      </c>
      <c r="D161" s="117"/>
      <c r="E161" s="117" t="s">
        <v>573</v>
      </c>
      <c r="F161" s="117" t="s">
        <v>492</v>
      </c>
      <c r="G161" s="117" t="s">
        <v>573</v>
      </c>
      <c r="H161" s="118">
        <v>5.67</v>
      </c>
      <c r="I161" s="117" t="s">
        <v>221</v>
      </c>
      <c r="J161" s="118" t="s">
        <v>255</v>
      </c>
      <c r="K161" s="117">
        <v>7.4999999999999997E-2</v>
      </c>
      <c r="L161" s="117">
        <v>6.7299999999999999E-2</v>
      </c>
      <c r="M161" s="112">
        <v>25419.821523827777</v>
      </c>
      <c r="N161" s="60">
        <v>104.11</v>
      </c>
      <c r="O161" s="84">
        <v>26.464580000000002</v>
      </c>
      <c r="P161" s="24">
        <v>1.5866886139993908E-3</v>
      </c>
      <c r="Q161" s="24">
        <v>1.0901238486701965E-4</v>
      </c>
      <c r="R161" s="14"/>
    </row>
    <row r="162" spans="1:18" x14ac:dyDescent="0.25">
      <c r="A162" s="16" t="s">
        <v>3772</v>
      </c>
      <c r="B162" s="218" t="s">
        <v>3784</v>
      </c>
      <c r="C162" s="117" t="s">
        <v>3414</v>
      </c>
      <c r="D162" s="117"/>
      <c r="E162" s="117" t="s">
        <v>573</v>
      </c>
      <c r="F162" s="117" t="s">
        <v>3415</v>
      </c>
      <c r="G162" s="117" t="s">
        <v>573</v>
      </c>
      <c r="H162" s="118">
        <v>5.58</v>
      </c>
      <c r="I162" s="117" t="s">
        <v>221</v>
      </c>
      <c r="J162" s="118" t="s">
        <v>255</v>
      </c>
      <c r="K162" s="117">
        <v>7.4999999999999997E-2</v>
      </c>
      <c r="L162" s="117">
        <v>7.0699999999999999E-2</v>
      </c>
      <c r="M162" s="112">
        <v>13314.945018698671</v>
      </c>
      <c r="N162" s="60">
        <v>102.23</v>
      </c>
      <c r="O162" s="84">
        <v>13.611870000000001</v>
      </c>
      <c r="P162" s="24">
        <v>8.1610209359981862E-4</v>
      </c>
      <c r="Q162" s="24">
        <v>5.6069751010589961E-5</v>
      </c>
      <c r="R162" s="14"/>
    </row>
    <row r="163" spans="1:18" x14ac:dyDescent="0.25">
      <c r="A163" s="16" t="s">
        <v>3772</v>
      </c>
      <c r="B163" s="218" t="s">
        <v>3784</v>
      </c>
      <c r="C163" s="117" t="s">
        <v>3360</v>
      </c>
      <c r="D163" s="117"/>
      <c r="E163" s="117" t="s">
        <v>573</v>
      </c>
      <c r="F163" s="117" t="s">
        <v>3361</v>
      </c>
      <c r="G163" s="117" t="s">
        <v>573</v>
      </c>
      <c r="H163" s="118">
        <v>5.77</v>
      </c>
      <c r="I163" s="117" t="s">
        <v>221</v>
      </c>
      <c r="J163" s="118" t="s">
        <v>255</v>
      </c>
      <c r="K163" s="117">
        <v>7.4999999999999997E-2</v>
      </c>
      <c r="L163" s="117">
        <v>8.929999999999999E-2</v>
      </c>
      <c r="M163" s="112">
        <v>11600.121299631068</v>
      </c>
      <c r="N163" s="60">
        <v>92.54</v>
      </c>
      <c r="O163" s="84">
        <v>10.73475</v>
      </c>
      <c r="P163" s="24">
        <v>6.4360385085007808E-4</v>
      </c>
      <c r="Q163" s="24">
        <v>4.4218374085333649E-5</v>
      </c>
      <c r="R163" s="14"/>
    </row>
    <row r="164" spans="1:18" x14ac:dyDescent="0.25">
      <c r="A164" s="16" t="s">
        <v>3772</v>
      </c>
      <c r="B164" s="218" t="s">
        <v>3784</v>
      </c>
      <c r="C164" s="117" t="s">
        <v>3344</v>
      </c>
      <c r="D164" s="117"/>
      <c r="E164" s="117" t="s">
        <v>573</v>
      </c>
      <c r="F164" s="117" t="s">
        <v>978</v>
      </c>
      <c r="G164" s="117" t="s">
        <v>573</v>
      </c>
      <c r="H164" s="118">
        <v>5.53</v>
      </c>
      <c r="I164" s="117" t="s">
        <v>221</v>
      </c>
      <c r="J164" s="118" t="s">
        <v>255</v>
      </c>
      <c r="K164" s="117">
        <v>7.4999999999999997E-2</v>
      </c>
      <c r="L164" s="117">
        <v>9.3100000000000002E-2</v>
      </c>
      <c r="M164" s="112">
        <v>9008.3245994003864</v>
      </c>
      <c r="N164" s="60">
        <v>91.06</v>
      </c>
      <c r="O164" s="84">
        <v>8.2029800000000002</v>
      </c>
      <c r="P164" s="24">
        <v>4.918111289453572E-4</v>
      </c>
      <c r="Q164" s="24">
        <v>3.37895561847747E-5</v>
      </c>
      <c r="R164" s="14"/>
    </row>
    <row r="165" spans="1:18" x14ac:dyDescent="0.25">
      <c r="A165" s="16" t="s">
        <v>3772</v>
      </c>
      <c r="B165" s="218" t="s">
        <v>3784</v>
      </c>
      <c r="C165" s="117" t="s">
        <v>3445</v>
      </c>
      <c r="D165" s="117"/>
      <c r="E165" s="117" t="s">
        <v>573</v>
      </c>
      <c r="F165" s="117" t="s">
        <v>3446</v>
      </c>
      <c r="G165" s="117" t="s">
        <v>573</v>
      </c>
      <c r="H165" s="118">
        <v>7.16</v>
      </c>
      <c r="I165" s="117" t="s">
        <v>221</v>
      </c>
      <c r="J165" s="118" t="s">
        <v>255</v>
      </c>
      <c r="K165" s="117">
        <v>7.4999999999999997E-2</v>
      </c>
      <c r="L165" s="117">
        <v>8.6099999999999996E-2</v>
      </c>
      <c r="M165" s="112">
        <v>25976.922315940192</v>
      </c>
      <c r="N165" s="60">
        <v>99.74</v>
      </c>
      <c r="O165" s="84">
        <v>25.909380000000002</v>
      </c>
      <c r="P165" s="24">
        <v>1.5534014989765012E-3</v>
      </c>
      <c r="Q165" s="24">
        <v>1.0672541579068558E-4</v>
      </c>
      <c r="R165" s="14"/>
    </row>
    <row r="166" spans="1:18" x14ac:dyDescent="0.25">
      <c r="A166" s="16" t="s">
        <v>3772</v>
      </c>
      <c r="B166" s="218" t="s">
        <v>3784</v>
      </c>
      <c r="C166" s="117" t="s">
        <v>3416</v>
      </c>
      <c r="D166" s="117"/>
      <c r="E166" s="117" t="s">
        <v>573</v>
      </c>
      <c r="F166" s="117" t="s">
        <v>3415</v>
      </c>
      <c r="G166" s="117" t="s">
        <v>573</v>
      </c>
      <c r="H166" s="118">
        <v>5.72</v>
      </c>
      <c r="I166" s="117" t="s">
        <v>221</v>
      </c>
      <c r="J166" s="118" t="s">
        <v>255</v>
      </c>
      <c r="K166" s="117">
        <v>7.4999999999999997E-2</v>
      </c>
      <c r="L166" s="117">
        <v>6.9599999999999995E-2</v>
      </c>
      <c r="M166" s="112">
        <v>11660.270645075263</v>
      </c>
      <c r="N166" s="60">
        <v>103.25</v>
      </c>
      <c r="O166" s="84">
        <v>12.03923</v>
      </c>
      <c r="P166" s="24">
        <v>7.2181418191106313E-4</v>
      </c>
      <c r="Q166" s="24">
        <v>4.9591762811371611E-5</v>
      </c>
      <c r="R166" s="14"/>
    </row>
    <row r="167" spans="1:18" x14ac:dyDescent="0.25">
      <c r="A167" s="16" t="s">
        <v>3772</v>
      </c>
      <c r="B167" s="218" t="s">
        <v>3784</v>
      </c>
      <c r="C167" s="117" t="s">
        <v>3366</v>
      </c>
      <c r="D167" s="117"/>
      <c r="E167" s="117" t="s">
        <v>573</v>
      </c>
      <c r="F167" s="117" t="s">
        <v>1018</v>
      </c>
      <c r="G167" s="117" t="s">
        <v>573</v>
      </c>
      <c r="H167" s="118">
        <v>5.69</v>
      </c>
      <c r="I167" s="117" t="s">
        <v>221</v>
      </c>
      <c r="J167" s="118" t="s">
        <v>255</v>
      </c>
      <c r="K167" s="117">
        <v>7.4999999999999997E-2</v>
      </c>
      <c r="L167" s="117">
        <v>7.8899999999999998E-2</v>
      </c>
      <c r="M167" s="112">
        <v>7952.3407972463647</v>
      </c>
      <c r="N167" s="60">
        <v>97.9</v>
      </c>
      <c r="O167" s="84">
        <v>7.7853399999999997</v>
      </c>
      <c r="P167" s="24">
        <v>4.6677144825702947E-4</v>
      </c>
      <c r="Q167" s="24">
        <v>3.2069221593564028E-5</v>
      </c>
      <c r="R167" s="14"/>
    </row>
    <row r="168" spans="1:18" x14ac:dyDescent="0.25">
      <c r="A168" s="16" t="s">
        <v>3772</v>
      </c>
      <c r="B168" s="218" t="s">
        <v>3784</v>
      </c>
      <c r="C168" s="117" t="s">
        <v>3425</v>
      </c>
      <c r="D168" s="117"/>
      <c r="E168" s="117" t="s">
        <v>573</v>
      </c>
      <c r="F168" s="117" t="s">
        <v>1773</v>
      </c>
      <c r="G168" s="117" t="s">
        <v>573</v>
      </c>
      <c r="H168" s="118">
        <v>5.72</v>
      </c>
      <c r="I168" s="117" t="s">
        <v>221</v>
      </c>
      <c r="J168" s="118" t="s">
        <v>255</v>
      </c>
      <c r="K168" s="117">
        <v>7.4999999999999997E-2</v>
      </c>
      <c r="L168" s="117">
        <v>6.9699999999999998E-2</v>
      </c>
      <c r="M168" s="112">
        <v>5274.0297068115988</v>
      </c>
      <c r="N168" s="60">
        <v>103.5</v>
      </c>
      <c r="O168" s="84">
        <v>5.4586199999999998</v>
      </c>
      <c r="P168" s="24">
        <v>3.2727253567407284E-4</v>
      </c>
      <c r="Q168" s="24">
        <v>2.2485041677699427E-5</v>
      </c>
      <c r="R168" s="14"/>
    </row>
    <row r="169" spans="1:18" x14ac:dyDescent="0.25">
      <c r="A169" s="16" t="s">
        <v>3772</v>
      </c>
      <c r="B169" s="218" t="s">
        <v>3784</v>
      </c>
      <c r="C169" s="117" t="s">
        <v>3373</v>
      </c>
      <c r="D169" s="117"/>
      <c r="E169" s="117" t="s">
        <v>573</v>
      </c>
      <c r="F169" s="117" t="s">
        <v>3261</v>
      </c>
      <c r="G169" s="117" t="s">
        <v>573</v>
      </c>
      <c r="H169" s="118">
        <v>6.2</v>
      </c>
      <c r="I169" s="117" t="s">
        <v>221</v>
      </c>
      <c r="J169" s="118" t="s">
        <v>255</v>
      </c>
      <c r="K169" s="117">
        <v>7.4999999999999997E-2</v>
      </c>
      <c r="L169" s="117">
        <v>8.5900000000000004E-2</v>
      </c>
      <c r="M169" s="112">
        <v>9501.4542854766623</v>
      </c>
      <c r="N169" s="60">
        <v>93.64</v>
      </c>
      <c r="O169" s="84">
        <v>8.8971599999999995</v>
      </c>
      <c r="P169" s="24">
        <v>5.3343081465607306E-4</v>
      </c>
      <c r="Q169" s="24">
        <v>3.6649008982702631E-5</v>
      </c>
      <c r="R169" s="14"/>
    </row>
    <row r="170" spans="1:18" x14ac:dyDescent="0.25">
      <c r="A170" s="16" t="s">
        <v>3772</v>
      </c>
      <c r="B170" s="218" t="s">
        <v>3784</v>
      </c>
      <c r="C170" s="117" t="s">
        <v>3433</v>
      </c>
      <c r="D170" s="117"/>
      <c r="E170" s="117" t="s">
        <v>573</v>
      </c>
      <c r="F170" s="117" t="s">
        <v>3432</v>
      </c>
      <c r="G170" s="117" t="s">
        <v>573</v>
      </c>
      <c r="H170" s="118">
        <v>5.53</v>
      </c>
      <c r="I170" s="117" t="s">
        <v>221</v>
      </c>
      <c r="J170" s="118" t="s">
        <v>255</v>
      </c>
      <c r="K170" s="117">
        <v>7.4999999999999997E-2</v>
      </c>
      <c r="L170" s="117">
        <v>8.5699999999999998E-2</v>
      </c>
      <c r="M170" s="112">
        <v>5229.5313809344198</v>
      </c>
      <c r="N170" s="60">
        <v>103.43</v>
      </c>
      <c r="O170" s="84">
        <v>5.4089</v>
      </c>
      <c r="P170" s="24">
        <v>3.2429156420624486E-4</v>
      </c>
      <c r="Q170" s="24">
        <v>2.2280236017621384E-5</v>
      </c>
      <c r="R170" s="14"/>
    </row>
    <row r="171" spans="1:18" x14ac:dyDescent="0.25">
      <c r="A171" s="16" t="s">
        <v>3772</v>
      </c>
      <c r="B171" s="218" t="s">
        <v>3784</v>
      </c>
      <c r="C171" s="117" t="s">
        <v>3380</v>
      </c>
      <c r="D171" s="117"/>
      <c r="E171" s="117" t="s">
        <v>573</v>
      </c>
      <c r="F171" s="117" t="s">
        <v>3381</v>
      </c>
      <c r="G171" s="117" t="s">
        <v>573</v>
      </c>
      <c r="H171" s="118">
        <v>6.2</v>
      </c>
      <c r="I171" s="117" t="s">
        <v>221</v>
      </c>
      <c r="J171" s="118" t="s">
        <v>255</v>
      </c>
      <c r="K171" s="117">
        <v>7.4999999999999997E-2</v>
      </c>
      <c r="L171" s="117">
        <v>8.5699999999999998E-2</v>
      </c>
      <c r="M171" s="112">
        <v>9467.8887982624092</v>
      </c>
      <c r="N171" s="60">
        <v>93.77</v>
      </c>
      <c r="O171" s="84">
        <v>8.8780400000000004</v>
      </c>
      <c r="P171" s="24">
        <v>5.3228447164591888E-4</v>
      </c>
      <c r="Q171" s="24">
        <v>3.6570250249382195E-5</v>
      </c>
      <c r="R171" s="14"/>
    </row>
    <row r="172" spans="1:18" x14ac:dyDescent="0.25">
      <c r="A172" s="16" t="s">
        <v>3772</v>
      </c>
      <c r="B172" s="218" t="s">
        <v>3784</v>
      </c>
      <c r="C172" s="117" t="s">
        <v>3428</v>
      </c>
      <c r="D172" s="117"/>
      <c r="E172" s="117" t="s">
        <v>573</v>
      </c>
      <c r="F172" s="117" t="s">
        <v>3429</v>
      </c>
      <c r="G172" s="117" t="s">
        <v>573</v>
      </c>
      <c r="H172" s="118">
        <v>4.28</v>
      </c>
      <c r="I172" s="117" t="s">
        <v>221</v>
      </c>
      <c r="J172" s="118" t="s">
        <v>255</v>
      </c>
      <c r="K172" s="117">
        <v>7.4999999999999997E-2</v>
      </c>
      <c r="L172" s="117">
        <v>9.8900000000000002E-2</v>
      </c>
      <c r="M172" s="112">
        <v>88089.317409413779</v>
      </c>
      <c r="N172" s="60">
        <v>91.41</v>
      </c>
      <c r="O172" s="84">
        <v>80.522449999999992</v>
      </c>
      <c r="P172" s="24">
        <v>4.8277378513596376E-3</v>
      </c>
      <c r="Q172" s="24">
        <v>3.3168651495075097E-4</v>
      </c>
      <c r="R172" s="14"/>
    </row>
    <row r="173" spans="1:18" x14ac:dyDescent="0.25">
      <c r="A173" s="16" t="s">
        <v>3773</v>
      </c>
      <c r="B173" s="218" t="s">
        <v>3784</v>
      </c>
      <c r="C173" s="117" t="s">
        <v>3544</v>
      </c>
      <c r="D173" s="117"/>
      <c r="E173" s="117" t="s">
        <v>573</v>
      </c>
      <c r="F173" s="117" t="s">
        <v>3545</v>
      </c>
      <c r="G173" s="117" t="s">
        <v>573</v>
      </c>
      <c r="H173" s="118">
        <v>4.9400000000000004</v>
      </c>
      <c r="I173" s="117" t="s">
        <v>221</v>
      </c>
      <c r="J173" s="118" t="s">
        <v>255</v>
      </c>
      <c r="K173" s="117">
        <v>0.05</v>
      </c>
      <c r="L173" s="117">
        <v>7.0999999999999994E-2</v>
      </c>
      <c r="M173" s="112">
        <v>73793.915419873534</v>
      </c>
      <c r="N173" s="60">
        <v>95.35</v>
      </c>
      <c r="O173" s="84">
        <v>70.362499999999997</v>
      </c>
      <c r="P173" s="24">
        <v>4.2185962370282137E-3</v>
      </c>
      <c r="Q173" s="24">
        <v>2.8983584588176611E-4</v>
      </c>
      <c r="R173" s="14"/>
    </row>
    <row r="174" spans="1:18" x14ac:dyDescent="0.25">
      <c r="A174" s="16" t="s">
        <v>3773</v>
      </c>
      <c r="B174" s="218" t="s">
        <v>3784</v>
      </c>
      <c r="C174" s="117" t="s">
        <v>3546</v>
      </c>
      <c r="D174" s="117"/>
      <c r="E174" s="117" t="s">
        <v>573</v>
      </c>
      <c r="F174" s="117" t="s">
        <v>3498</v>
      </c>
      <c r="G174" s="117" t="s">
        <v>573</v>
      </c>
      <c r="H174" s="118">
        <v>4.9400000000000004</v>
      </c>
      <c r="I174" s="117" t="s">
        <v>221</v>
      </c>
      <c r="J174" s="118" t="s">
        <v>255</v>
      </c>
      <c r="K174" s="117">
        <v>0.05</v>
      </c>
      <c r="L174" s="117">
        <v>6.7400000000000002E-2</v>
      </c>
      <c r="M174" s="112">
        <v>53672.949208413651</v>
      </c>
      <c r="N174" s="60">
        <v>96.06</v>
      </c>
      <c r="O174" s="84">
        <v>51.558239999999998</v>
      </c>
      <c r="P174" s="24">
        <v>3.0911834748878668E-3</v>
      </c>
      <c r="Q174" s="24">
        <v>2.1237770264807401E-4</v>
      </c>
      <c r="R174" s="14"/>
    </row>
    <row r="175" spans="1:18" x14ac:dyDescent="0.25">
      <c r="A175" s="16" t="s">
        <v>3773</v>
      </c>
      <c r="B175" s="218" t="s">
        <v>3784</v>
      </c>
      <c r="C175" s="117" t="s">
        <v>3547</v>
      </c>
      <c r="D175" s="117"/>
      <c r="E175" s="117" t="s">
        <v>573</v>
      </c>
      <c r="F175" s="117" t="s">
        <v>3429</v>
      </c>
      <c r="G175" s="117" t="s">
        <v>573</v>
      </c>
      <c r="H175" s="118">
        <v>4.9400000000000004</v>
      </c>
      <c r="I175" s="117" t="s">
        <v>202</v>
      </c>
      <c r="J175" s="118" t="s">
        <v>255</v>
      </c>
      <c r="K175" s="117">
        <v>0.05</v>
      </c>
      <c r="L175" s="117">
        <v>4.3899999999999995E-2</v>
      </c>
      <c r="M175" s="112">
        <v>25392.521098132747</v>
      </c>
      <c r="N175" s="60">
        <v>106.41</v>
      </c>
      <c r="O175" s="84">
        <v>27.02018</v>
      </c>
      <c r="P175" s="24">
        <v>1.6199997110936224E-3</v>
      </c>
      <c r="Q175" s="24">
        <v>1.1130100161559891E-4</v>
      </c>
      <c r="R175" s="14"/>
    </row>
    <row r="176" spans="1:18" x14ac:dyDescent="0.25">
      <c r="A176" s="16" t="s">
        <v>3773</v>
      </c>
      <c r="B176" s="218" t="s">
        <v>3784</v>
      </c>
      <c r="C176" s="117" t="s">
        <v>3548</v>
      </c>
      <c r="D176" s="117"/>
      <c r="E176" s="117" t="s">
        <v>573</v>
      </c>
      <c r="F176" s="117" t="s">
        <v>1093</v>
      </c>
      <c r="G176" s="117" t="s">
        <v>573</v>
      </c>
      <c r="H176" s="118">
        <v>4.9400000000000004</v>
      </c>
      <c r="I176" s="117" t="s">
        <v>221</v>
      </c>
      <c r="J176" s="118" t="s">
        <v>255</v>
      </c>
      <c r="K176" s="117">
        <v>0.05</v>
      </c>
      <c r="L176" s="117">
        <v>5.3200000000000004E-2</v>
      </c>
      <c r="M176" s="112">
        <v>22921.231684370636</v>
      </c>
      <c r="N176" s="60">
        <v>100.45</v>
      </c>
      <c r="O176" s="84">
        <v>23.024380000000001</v>
      </c>
      <c r="P176" s="24">
        <v>1.3804308094213205E-3</v>
      </c>
      <c r="Q176" s="24">
        <v>9.4841579722198871E-5</v>
      </c>
      <c r="R176" s="14"/>
    </row>
    <row r="177" spans="1:18" x14ac:dyDescent="0.25">
      <c r="A177" s="16" t="s">
        <v>3773</v>
      </c>
      <c r="B177" s="218" t="s">
        <v>3784</v>
      </c>
      <c r="C177" s="117" t="s">
        <v>3497</v>
      </c>
      <c r="D177" s="117"/>
      <c r="E177" s="117" t="s">
        <v>573</v>
      </c>
      <c r="F177" s="117" t="s">
        <v>3498</v>
      </c>
      <c r="G177" s="117" t="s">
        <v>573</v>
      </c>
      <c r="H177" s="118">
        <v>4.96</v>
      </c>
      <c r="I177" s="117" t="s">
        <v>221</v>
      </c>
      <c r="J177" s="118" t="s">
        <v>255</v>
      </c>
      <c r="K177" s="117">
        <v>0.04</v>
      </c>
      <c r="L177" s="117">
        <v>4.7E-2</v>
      </c>
      <c r="M177" s="112">
        <v>10653.911166033213</v>
      </c>
      <c r="N177" s="60">
        <v>100.4</v>
      </c>
      <c r="O177" s="84">
        <v>10.696530000000001</v>
      </c>
      <c r="P177" s="24">
        <v>6.413123639333367E-4</v>
      </c>
      <c r="Q177" s="24">
        <v>4.4060939002305031E-5</v>
      </c>
      <c r="R177" s="14"/>
    </row>
    <row r="178" spans="1:18" x14ac:dyDescent="0.25">
      <c r="A178" s="16" t="s">
        <v>3773</v>
      </c>
      <c r="B178" s="218" t="s">
        <v>3784</v>
      </c>
      <c r="C178" s="117" t="s">
        <v>3499</v>
      </c>
      <c r="D178" s="117"/>
      <c r="E178" s="117" t="s">
        <v>573</v>
      </c>
      <c r="F178" s="117" t="s">
        <v>3429</v>
      </c>
      <c r="G178" s="117" t="s">
        <v>573</v>
      </c>
      <c r="H178" s="118">
        <v>4.9400000000000004</v>
      </c>
      <c r="I178" s="117" t="s">
        <v>202</v>
      </c>
      <c r="J178" s="118" t="s">
        <v>255</v>
      </c>
      <c r="K178" s="117">
        <v>0.04</v>
      </c>
      <c r="L178" s="117">
        <v>3.4200000000000001E-2</v>
      </c>
      <c r="M178" s="112">
        <v>11254.061906563846</v>
      </c>
      <c r="N178" s="60">
        <v>106.33</v>
      </c>
      <c r="O178" s="84">
        <v>11.96644</v>
      </c>
      <c r="P178" s="24">
        <v>7.1745004447857741E-4</v>
      </c>
      <c r="Q178" s="24">
        <v>4.92919276545518E-5</v>
      </c>
      <c r="R178" s="14"/>
    </row>
    <row r="179" spans="1:18" x14ac:dyDescent="0.25">
      <c r="A179" s="16" t="s">
        <v>3773</v>
      </c>
      <c r="B179" s="218" t="s">
        <v>3784</v>
      </c>
      <c r="C179" s="117" t="s">
        <v>3504</v>
      </c>
      <c r="D179" s="117"/>
      <c r="E179" s="117" t="s">
        <v>573</v>
      </c>
      <c r="F179" s="117" t="s">
        <v>1093</v>
      </c>
      <c r="G179" s="117" t="s">
        <v>573</v>
      </c>
      <c r="H179" s="118">
        <v>4.46</v>
      </c>
      <c r="I179" s="117" t="s">
        <v>221</v>
      </c>
      <c r="J179" s="118" t="s">
        <v>255</v>
      </c>
      <c r="K179" s="117">
        <v>0.04</v>
      </c>
      <c r="L179" s="117">
        <v>4.1700000000000001E-2</v>
      </c>
      <c r="M179" s="112">
        <v>10184.717162385197</v>
      </c>
      <c r="N179" s="60">
        <v>101.27</v>
      </c>
      <c r="O179" s="84">
        <v>10.31406</v>
      </c>
      <c r="P179" s="24">
        <v>6.1838130686776643E-4</v>
      </c>
      <c r="Q179" s="24">
        <v>4.2485475993253341E-5</v>
      </c>
      <c r="R179" s="14"/>
    </row>
    <row r="180" spans="1:18" x14ac:dyDescent="0.25">
      <c r="A180" s="16" t="s">
        <v>3773</v>
      </c>
      <c r="B180" s="218" t="s">
        <v>3784</v>
      </c>
      <c r="C180" s="117" t="s">
        <v>3540</v>
      </c>
      <c r="D180" s="117"/>
      <c r="E180" s="117" t="s">
        <v>573</v>
      </c>
      <c r="F180" s="117" t="s">
        <v>3377</v>
      </c>
      <c r="G180" s="117" t="s">
        <v>573</v>
      </c>
      <c r="H180" s="118">
        <v>1.0900000000000001</v>
      </c>
      <c r="I180" s="117" t="s">
        <v>221</v>
      </c>
      <c r="J180" s="118" t="s">
        <v>255</v>
      </c>
      <c r="K180" s="117">
        <v>6.5000000000000002E-2</v>
      </c>
      <c r="L180" s="117">
        <v>7.1099999999999997E-2</v>
      </c>
      <c r="M180" s="112">
        <v>1790.882195395948</v>
      </c>
      <c r="N180" s="60">
        <v>105.35</v>
      </c>
      <c r="O180" s="84">
        <v>1.88669</v>
      </c>
      <c r="P180" s="24">
        <v>1.131168354512526E-4</v>
      </c>
      <c r="Q180" s="24">
        <v>7.7716168707289996E-6</v>
      </c>
      <c r="R180" s="14"/>
    </row>
    <row r="181" spans="1:18" x14ac:dyDescent="0.25">
      <c r="A181" s="16" t="s">
        <v>3773</v>
      </c>
      <c r="B181" s="218" t="s">
        <v>3784</v>
      </c>
      <c r="C181" s="117" t="s">
        <v>3543</v>
      </c>
      <c r="D181" s="117"/>
      <c r="E181" s="117" t="s">
        <v>573</v>
      </c>
      <c r="F181" s="117" t="s">
        <v>3542</v>
      </c>
      <c r="G181" s="117" t="s">
        <v>573</v>
      </c>
      <c r="H181" s="118">
        <v>1.0900000000000001</v>
      </c>
      <c r="I181" s="117" t="s">
        <v>221</v>
      </c>
      <c r="J181" s="118" t="s">
        <v>255</v>
      </c>
      <c r="K181" s="117">
        <v>6.5000000000000002E-2</v>
      </c>
      <c r="L181" s="117">
        <v>6.1399999999999996E-2</v>
      </c>
      <c r="M181" s="112">
        <v>3422.4163869744361</v>
      </c>
      <c r="N181" s="60">
        <v>105.11</v>
      </c>
      <c r="O181" s="84">
        <v>3.5973000000000002</v>
      </c>
      <c r="P181" s="24">
        <v>2.1567676309769543E-4</v>
      </c>
      <c r="Q181" s="24">
        <v>1.4817928419122078E-5</v>
      </c>
      <c r="R181" s="14"/>
    </row>
    <row r="182" spans="1:18" x14ac:dyDescent="0.25">
      <c r="A182" s="16" t="s">
        <v>3773</v>
      </c>
      <c r="B182" s="218" t="s">
        <v>3784</v>
      </c>
      <c r="C182" s="117" t="s">
        <v>3521</v>
      </c>
      <c r="D182" s="117"/>
      <c r="E182" s="117" t="s">
        <v>573</v>
      </c>
      <c r="F182" s="117" t="s">
        <v>3518</v>
      </c>
      <c r="G182" s="117" t="s">
        <v>573</v>
      </c>
      <c r="H182" s="118">
        <v>1.1399999999999999</v>
      </c>
      <c r="I182" s="117" t="s">
        <v>221</v>
      </c>
      <c r="J182" s="118" t="s">
        <v>255</v>
      </c>
      <c r="K182" s="117">
        <v>6.5000000000000002E-2</v>
      </c>
      <c r="L182" s="117">
        <v>7.0999999999999994E-2</v>
      </c>
      <c r="M182" s="112">
        <v>588.8605342606038</v>
      </c>
      <c r="N182" s="60">
        <v>111.23</v>
      </c>
      <c r="O182" s="84">
        <v>0.65498999999999996</v>
      </c>
      <c r="P182" s="24">
        <v>3.927004227096976E-5</v>
      </c>
      <c r="Q182" s="24">
        <v>2.6980221097047144E-6</v>
      </c>
      <c r="R182" s="14"/>
    </row>
    <row r="183" spans="1:18" x14ac:dyDescent="0.25">
      <c r="A183" s="16" t="s">
        <v>3773</v>
      </c>
      <c r="B183" s="218" t="s">
        <v>3784</v>
      </c>
      <c r="C183" s="117" t="s">
        <v>3522</v>
      </c>
      <c r="D183" s="117"/>
      <c r="E183" s="117" t="s">
        <v>573</v>
      </c>
      <c r="F183" s="117" t="s">
        <v>3523</v>
      </c>
      <c r="G183" s="117" t="s">
        <v>573</v>
      </c>
      <c r="H183" s="118">
        <v>1.1399999999999999</v>
      </c>
      <c r="I183" s="117" t="s">
        <v>221</v>
      </c>
      <c r="J183" s="118" t="s">
        <v>255</v>
      </c>
      <c r="K183" s="117">
        <v>6.5000000000000002E-2</v>
      </c>
      <c r="L183" s="117">
        <v>7.0999999999999994E-2</v>
      </c>
      <c r="M183" s="112">
        <v>1862.3664517834691</v>
      </c>
      <c r="N183" s="60">
        <v>111.34</v>
      </c>
      <c r="O183" s="84">
        <v>2.0735600000000001</v>
      </c>
      <c r="P183" s="24">
        <v>1.2432065963051658E-4</v>
      </c>
      <c r="Q183" s="24">
        <v>8.5413681518791248E-6</v>
      </c>
      <c r="R183" s="14"/>
    </row>
    <row r="184" spans="1:18" x14ac:dyDescent="0.25">
      <c r="A184" s="16" t="s">
        <v>3773</v>
      </c>
      <c r="B184" s="218" t="s">
        <v>3784</v>
      </c>
      <c r="C184" s="117" t="s">
        <v>3527</v>
      </c>
      <c r="D184" s="117"/>
      <c r="E184" s="117" t="s">
        <v>573</v>
      </c>
      <c r="F184" s="117" t="s">
        <v>3526</v>
      </c>
      <c r="G184" s="117" t="s">
        <v>573</v>
      </c>
      <c r="H184" s="118">
        <v>1.1399999999999999</v>
      </c>
      <c r="I184" s="117" t="s">
        <v>221</v>
      </c>
      <c r="J184" s="118" t="s">
        <v>255</v>
      </c>
      <c r="K184" s="117">
        <v>6.5000000000000002E-2</v>
      </c>
      <c r="L184" s="117">
        <v>7.1099999999999997E-2</v>
      </c>
      <c r="M184" s="112">
        <v>2066.0730020935348</v>
      </c>
      <c r="N184" s="60">
        <v>111.34</v>
      </c>
      <c r="O184" s="84">
        <v>2.30037</v>
      </c>
      <c r="P184" s="24">
        <v>1.379190936332932E-4</v>
      </c>
      <c r="Q184" s="24">
        <v>9.4756395067122153E-6</v>
      </c>
      <c r="R184" s="14"/>
    </row>
    <row r="185" spans="1:18" x14ac:dyDescent="0.25">
      <c r="A185" s="16" t="s">
        <v>3773</v>
      </c>
      <c r="B185" s="218" t="s">
        <v>3784</v>
      </c>
      <c r="C185" s="117" t="s">
        <v>3529</v>
      </c>
      <c r="D185" s="117"/>
      <c r="E185" s="117" t="s">
        <v>573</v>
      </c>
      <c r="F185" s="117" t="s">
        <v>3317</v>
      </c>
      <c r="G185" s="117" t="s">
        <v>573</v>
      </c>
      <c r="H185" s="118">
        <v>1.1399999999999999</v>
      </c>
      <c r="I185" s="117" t="s">
        <v>221</v>
      </c>
      <c r="J185" s="118" t="s">
        <v>255</v>
      </c>
      <c r="K185" s="117">
        <v>6.5000000000000002E-2</v>
      </c>
      <c r="L185" s="117">
        <v>7.0999999999999994E-2</v>
      </c>
      <c r="M185" s="112">
        <v>4441.1458862986437</v>
      </c>
      <c r="N185" s="60">
        <v>110.04</v>
      </c>
      <c r="O185" s="84">
        <v>4.8870399999999998</v>
      </c>
      <c r="P185" s="24">
        <v>2.9300335482972269E-4</v>
      </c>
      <c r="Q185" s="24">
        <v>2.0130600422924516E-5</v>
      </c>
      <c r="R185" s="14"/>
    </row>
    <row r="186" spans="1:18" x14ac:dyDescent="0.25">
      <c r="A186" s="16" t="s">
        <v>3773</v>
      </c>
      <c r="B186" s="218" t="s">
        <v>3784</v>
      </c>
      <c r="C186" s="117" t="s">
        <v>3532</v>
      </c>
      <c r="D186" s="117"/>
      <c r="E186" s="117" t="s">
        <v>573</v>
      </c>
      <c r="F186" s="117" t="s">
        <v>3531</v>
      </c>
      <c r="G186" s="117" t="s">
        <v>573</v>
      </c>
      <c r="H186" s="118">
        <v>1.1399999999999999</v>
      </c>
      <c r="I186" s="117" t="s">
        <v>221</v>
      </c>
      <c r="J186" s="118" t="s">
        <v>255</v>
      </c>
      <c r="K186" s="117">
        <v>6.5000000000000002E-2</v>
      </c>
      <c r="L186" s="117">
        <v>7.0999999999999994E-2</v>
      </c>
      <c r="M186" s="112">
        <v>2722.3292316919074</v>
      </c>
      <c r="N186" s="60">
        <v>109.19</v>
      </c>
      <c r="O186" s="84">
        <v>2.9725100000000002</v>
      </c>
      <c r="P186" s="24">
        <v>1.7821736721305721E-4</v>
      </c>
      <c r="Q186" s="24">
        <v>1.2244305563929772E-5</v>
      </c>
      <c r="R186" s="14"/>
    </row>
    <row r="187" spans="1:18" x14ac:dyDescent="0.25">
      <c r="A187" s="16" t="s">
        <v>3773</v>
      </c>
      <c r="B187" s="218" t="s">
        <v>3784</v>
      </c>
      <c r="C187" s="117" t="s">
        <v>3535</v>
      </c>
      <c r="D187" s="117"/>
      <c r="E187" s="117" t="s">
        <v>573</v>
      </c>
      <c r="F187" s="117" t="s">
        <v>3534</v>
      </c>
      <c r="G187" s="117" t="s">
        <v>573</v>
      </c>
      <c r="H187" s="118">
        <v>1.1399999999999999</v>
      </c>
      <c r="I187" s="117" t="s">
        <v>221</v>
      </c>
      <c r="J187" s="118" t="s">
        <v>255</v>
      </c>
      <c r="K187" s="117">
        <v>6.5000000000000002E-2</v>
      </c>
      <c r="L187" s="117">
        <v>7.0999999999999994E-2</v>
      </c>
      <c r="M187" s="112">
        <v>1474.9491434015429</v>
      </c>
      <c r="N187" s="60">
        <v>109.1</v>
      </c>
      <c r="O187" s="84">
        <v>1.60917</v>
      </c>
      <c r="P187" s="24">
        <v>9.6478074354076261E-5</v>
      </c>
      <c r="Q187" s="24">
        <v>6.6284618670110013E-6</v>
      </c>
      <c r="R187" s="14"/>
    </row>
    <row r="188" spans="1:18" x14ac:dyDescent="0.25">
      <c r="A188" s="16" t="s">
        <v>3773</v>
      </c>
      <c r="B188" s="218" t="s">
        <v>3784</v>
      </c>
      <c r="C188" s="117" t="s">
        <v>3538</v>
      </c>
      <c r="D188" s="117"/>
      <c r="E188" s="117" t="s">
        <v>573</v>
      </c>
      <c r="F188" s="117" t="s">
        <v>3537</v>
      </c>
      <c r="G188" s="117" t="s">
        <v>573</v>
      </c>
      <c r="H188" s="118">
        <v>1.1399999999999999</v>
      </c>
      <c r="I188" s="117" t="s">
        <v>221</v>
      </c>
      <c r="J188" s="118" t="s">
        <v>255</v>
      </c>
      <c r="K188" s="117">
        <v>6.5000000000000002E-2</v>
      </c>
      <c r="L188" s="117">
        <v>7.0999999999999994E-2</v>
      </c>
      <c r="M188" s="112">
        <v>2833.2386484956373</v>
      </c>
      <c r="N188" s="60">
        <v>107.96</v>
      </c>
      <c r="O188" s="84">
        <v>3.0587600000000004</v>
      </c>
      <c r="P188" s="24">
        <v>1.8338850134620602E-4</v>
      </c>
      <c r="Q188" s="24">
        <v>1.2599584891800477E-5</v>
      </c>
      <c r="R188" s="14"/>
    </row>
    <row r="189" spans="1:18" x14ac:dyDescent="0.25">
      <c r="A189" s="16" t="s">
        <v>3773</v>
      </c>
      <c r="B189" s="218" t="s">
        <v>3784</v>
      </c>
      <c r="C189" s="117" t="s">
        <v>3517</v>
      </c>
      <c r="D189" s="117"/>
      <c r="E189" s="117" t="s">
        <v>573</v>
      </c>
      <c r="F189" s="117" t="s">
        <v>3518</v>
      </c>
      <c r="G189" s="117" t="s">
        <v>573</v>
      </c>
      <c r="H189" s="118">
        <v>1.0900000000000001</v>
      </c>
      <c r="I189" s="117" t="s">
        <v>221</v>
      </c>
      <c r="J189" s="118" t="s">
        <v>255</v>
      </c>
      <c r="K189" s="117">
        <v>6.5000000000000002E-2</v>
      </c>
      <c r="L189" s="117">
        <v>7.0499999999999993E-2</v>
      </c>
      <c r="M189" s="112">
        <v>2012.5509530433412</v>
      </c>
      <c r="N189" s="60">
        <v>112.41</v>
      </c>
      <c r="O189" s="84">
        <v>2.2623099999999998</v>
      </c>
      <c r="P189" s="24">
        <v>1.3563719954508863E-4</v>
      </c>
      <c r="Q189" s="24">
        <v>9.318863492581677E-6</v>
      </c>
      <c r="R189" s="14"/>
    </row>
    <row r="190" spans="1:18" x14ac:dyDescent="0.25">
      <c r="A190" s="16" t="s">
        <v>3773</v>
      </c>
      <c r="B190" s="218" t="s">
        <v>3784</v>
      </c>
      <c r="C190" s="117" t="s">
        <v>3539</v>
      </c>
      <c r="D190" s="117"/>
      <c r="E190" s="117" t="s">
        <v>573</v>
      </c>
      <c r="F190" s="117" t="s">
        <v>3377</v>
      </c>
      <c r="G190" s="117" t="s">
        <v>573</v>
      </c>
      <c r="H190" s="118">
        <v>1.0900000000000001</v>
      </c>
      <c r="I190" s="117" t="s">
        <v>221</v>
      </c>
      <c r="J190" s="118" t="s">
        <v>255</v>
      </c>
      <c r="K190" s="117">
        <v>6.5000000000000002E-2</v>
      </c>
      <c r="L190" s="117">
        <v>7.0599999999999996E-2</v>
      </c>
      <c r="M190" s="112">
        <v>2245.8792897454091</v>
      </c>
      <c r="N190" s="60">
        <v>106.64</v>
      </c>
      <c r="O190" s="84">
        <v>2.3950100000000001</v>
      </c>
      <c r="P190" s="24">
        <v>1.435932517128434E-4</v>
      </c>
      <c r="Q190" s="24">
        <v>9.8654787599259361E-6</v>
      </c>
      <c r="R190" s="14"/>
    </row>
    <row r="191" spans="1:18" x14ac:dyDescent="0.25">
      <c r="A191" s="16" t="s">
        <v>3773</v>
      </c>
      <c r="B191" s="218" t="s">
        <v>3784</v>
      </c>
      <c r="C191" s="117" t="s">
        <v>3541</v>
      </c>
      <c r="D191" s="117"/>
      <c r="E191" s="117" t="s">
        <v>573</v>
      </c>
      <c r="F191" s="117" t="s">
        <v>3542</v>
      </c>
      <c r="G191" s="117" t="s">
        <v>573</v>
      </c>
      <c r="H191" s="118">
        <v>1.0900000000000001</v>
      </c>
      <c r="I191" s="117" t="s">
        <v>221</v>
      </c>
      <c r="J191" s="118" t="s">
        <v>255</v>
      </c>
      <c r="K191" s="117">
        <v>6.5000000000000002E-2</v>
      </c>
      <c r="L191" s="117">
        <v>7.0599999999999996E-2</v>
      </c>
      <c r="M191" s="112">
        <v>2790.6946710994048</v>
      </c>
      <c r="N191" s="60">
        <v>105.34</v>
      </c>
      <c r="O191" s="84">
        <v>2.9397199999999999</v>
      </c>
      <c r="P191" s="24">
        <v>1.7625143691478529E-4</v>
      </c>
      <c r="Q191" s="24">
        <v>1.210923763162971E-5</v>
      </c>
      <c r="R191" s="14"/>
    </row>
    <row r="192" spans="1:18" x14ac:dyDescent="0.25">
      <c r="A192" s="16" t="s">
        <v>3773</v>
      </c>
      <c r="B192" s="218" t="s">
        <v>3784</v>
      </c>
      <c r="C192" s="117" t="s">
        <v>3519</v>
      </c>
      <c r="D192" s="117"/>
      <c r="E192" s="117" t="s">
        <v>573</v>
      </c>
      <c r="F192" s="117" t="s">
        <v>3518</v>
      </c>
      <c r="G192" s="117" t="s">
        <v>573</v>
      </c>
      <c r="H192" s="118">
        <v>1.0900000000000001</v>
      </c>
      <c r="I192" s="117" t="s">
        <v>221</v>
      </c>
      <c r="J192" s="118" t="s">
        <v>255</v>
      </c>
      <c r="K192" s="117">
        <v>6.5000000000000002E-2</v>
      </c>
      <c r="L192" s="117">
        <v>7.0400000000000004E-2</v>
      </c>
      <c r="M192" s="112">
        <v>622.67337534357546</v>
      </c>
      <c r="N192" s="60">
        <v>112.75</v>
      </c>
      <c r="O192" s="84">
        <v>0.70205999999999991</v>
      </c>
      <c r="P192" s="24">
        <v>4.2092132516156017E-5</v>
      </c>
      <c r="Q192" s="24">
        <v>2.8919119411583255E-6</v>
      </c>
      <c r="R192" s="14"/>
    </row>
    <row r="193" spans="1:18" x14ac:dyDescent="0.25">
      <c r="A193" s="16" t="s">
        <v>3773</v>
      </c>
      <c r="B193" s="218" t="s">
        <v>3784</v>
      </c>
      <c r="C193" s="117" t="s">
        <v>3520</v>
      </c>
      <c r="D193" s="117"/>
      <c r="E193" s="117" t="s">
        <v>573</v>
      </c>
      <c r="F193" s="117" t="s">
        <v>3518</v>
      </c>
      <c r="G193" s="117" t="s">
        <v>573</v>
      </c>
      <c r="H193" s="118">
        <v>1.0900000000000001</v>
      </c>
      <c r="I193" s="117" t="s">
        <v>221</v>
      </c>
      <c r="J193" s="118" t="s">
        <v>255</v>
      </c>
      <c r="K193" s="117">
        <v>6.5000000000000002E-2</v>
      </c>
      <c r="L193" s="117">
        <v>7.0499999999999993E-2</v>
      </c>
      <c r="M193" s="112">
        <v>1566.800711805276</v>
      </c>
      <c r="N193" s="60">
        <v>112.63</v>
      </c>
      <c r="O193" s="84">
        <v>1.7646900000000001</v>
      </c>
      <c r="P193" s="24">
        <v>1.0580230369190008E-4</v>
      </c>
      <c r="Q193" s="24">
        <v>7.2690768359437746E-6</v>
      </c>
      <c r="R193" s="14"/>
    </row>
    <row r="194" spans="1:18" x14ac:dyDescent="0.25">
      <c r="A194" s="16" t="s">
        <v>3773</v>
      </c>
      <c r="B194" s="218" t="s">
        <v>3784</v>
      </c>
      <c r="C194" s="117" t="s">
        <v>3524</v>
      </c>
      <c r="D194" s="117"/>
      <c r="E194" s="117" t="s">
        <v>573</v>
      </c>
      <c r="F194" s="117" t="s">
        <v>3523</v>
      </c>
      <c r="G194" s="117" t="s">
        <v>573</v>
      </c>
      <c r="H194" s="118">
        <v>1.0900000000000001</v>
      </c>
      <c r="I194" s="117" t="s">
        <v>221</v>
      </c>
      <c r="J194" s="118" t="s">
        <v>255</v>
      </c>
      <c r="K194" s="117">
        <v>6.5000000000000002E-2</v>
      </c>
      <c r="L194" s="117">
        <v>7.0499999999999993E-2</v>
      </c>
      <c r="M194" s="112">
        <v>1811.4658254239584</v>
      </c>
      <c r="N194" s="60">
        <v>112.63</v>
      </c>
      <c r="O194" s="84">
        <v>2.0402499999999999</v>
      </c>
      <c r="P194" s="24">
        <v>1.2232355263949992E-4</v>
      </c>
      <c r="Q194" s="24">
        <v>8.4041582456603054E-6</v>
      </c>
      <c r="R194" s="14"/>
    </row>
    <row r="195" spans="1:18" x14ac:dyDescent="0.25">
      <c r="A195" s="16" t="s">
        <v>3773</v>
      </c>
      <c r="B195" s="218" t="s">
        <v>3784</v>
      </c>
      <c r="C195" s="117" t="s">
        <v>3525</v>
      </c>
      <c r="D195" s="117"/>
      <c r="E195" s="117" t="s">
        <v>573</v>
      </c>
      <c r="F195" s="117" t="s">
        <v>3526</v>
      </c>
      <c r="G195" s="117" t="s">
        <v>573</v>
      </c>
      <c r="H195" s="118">
        <v>1.0900000000000001</v>
      </c>
      <c r="I195" s="117" t="s">
        <v>221</v>
      </c>
      <c r="J195" s="118" t="s">
        <v>255</v>
      </c>
      <c r="K195" s="117">
        <v>6.5000000000000002E-2</v>
      </c>
      <c r="L195" s="117">
        <v>7.0499999999999993E-2</v>
      </c>
      <c r="M195" s="112">
        <v>2377.2531615843677</v>
      </c>
      <c r="N195" s="60">
        <v>112.52</v>
      </c>
      <c r="O195" s="84">
        <v>2.67489</v>
      </c>
      <c r="P195" s="24">
        <v>1.6037350703093834E-4</v>
      </c>
      <c r="Q195" s="24">
        <v>1.10183550298906E-5</v>
      </c>
      <c r="R195" s="14"/>
    </row>
    <row r="196" spans="1:18" x14ac:dyDescent="0.25">
      <c r="A196" s="16" t="s">
        <v>3773</v>
      </c>
      <c r="B196" s="218" t="s">
        <v>3784</v>
      </c>
      <c r="C196" s="117" t="s">
        <v>3528</v>
      </c>
      <c r="D196" s="117"/>
      <c r="E196" s="117" t="s">
        <v>573</v>
      </c>
      <c r="F196" s="117" t="s">
        <v>3317</v>
      </c>
      <c r="G196" s="117" t="s">
        <v>573</v>
      </c>
      <c r="H196" s="118">
        <v>1.0900000000000001</v>
      </c>
      <c r="I196" s="117" t="s">
        <v>221</v>
      </c>
      <c r="J196" s="118" t="s">
        <v>255</v>
      </c>
      <c r="K196" s="117">
        <v>6.5000000000000002E-2</v>
      </c>
      <c r="L196" s="117">
        <v>7.0499999999999993E-2</v>
      </c>
      <c r="M196" s="112">
        <v>1273.4247589256306</v>
      </c>
      <c r="N196" s="60">
        <v>111.08</v>
      </c>
      <c r="O196" s="84">
        <v>1.41452</v>
      </c>
      <c r="P196" s="24">
        <v>8.4807798887207665E-5</v>
      </c>
      <c r="Q196" s="24">
        <v>5.8266633606917859E-6</v>
      </c>
      <c r="R196" s="14"/>
    </row>
    <row r="197" spans="1:18" x14ac:dyDescent="0.25">
      <c r="A197" s="16" t="s">
        <v>3773</v>
      </c>
      <c r="B197" s="218" t="s">
        <v>3784</v>
      </c>
      <c r="C197" s="117" t="s">
        <v>3530</v>
      </c>
      <c r="D197" s="117"/>
      <c r="E197" s="117" t="s">
        <v>573</v>
      </c>
      <c r="F197" s="117" t="s">
        <v>3531</v>
      </c>
      <c r="G197" s="117" t="s">
        <v>573</v>
      </c>
      <c r="H197" s="118">
        <v>1.0900000000000001</v>
      </c>
      <c r="I197" s="117" t="s">
        <v>221</v>
      </c>
      <c r="J197" s="118" t="s">
        <v>255</v>
      </c>
      <c r="K197" s="117">
        <v>6.5000000000000002E-2</v>
      </c>
      <c r="L197" s="117">
        <v>7.0599999999999996E-2</v>
      </c>
      <c r="M197" s="112">
        <v>2895.3024375703371</v>
      </c>
      <c r="N197" s="60">
        <v>110.19</v>
      </c>
      <c r="O197" s="84">
        <v>3.1903299999999999</v>
      </c>
      <c r="P197" s="24">
        <v>1.9127680416241921E-4</v>
      </c>
      <c r="Q197" s="24">
        <v>1.3141545485052049E-5</v>
      </c>
      <c r="R197" s="14"/>
    </row>
    <row r="198" spans="1:18" x14ac:dyDescent="0.25">
      <c r="A198" s="16" t="s">
        <v>3773</v>
      </c>
      <c r="B198" s="218" t="s">
        <v>3784</v>
      </c>
      <c r="C198" s="117" t="s">
        <v>3533</v>
      </c>
      <c r="D198" s="117"/>
      <c r="E198" s="117" t="s">
        <v>573</v>
      </c>
      <c r="F198" s="117" t="s">
        <v>3534</v>
      </c>
      <c r="G198" s="117" t="s">
        <v>573</v>
      </c>
      <c r="H198" s="118">
        <v>1.0900000000000001</v>
      </c>
      <c r="I198" s="117" t="s">
        <v>221</v>
      </c>
      <c r="J198" s="118" t="s">
        <v>255</v>
      </c>
      <c r="K198" s="117">
        <v>6.5000000000000002E-2</v>
      </c>
      <c r="L198" s="117">
        <v>7.0699999999999999E-2</v>
      </c>
      <c r="M198" s="112">
        <v>1869.4765406637905</v>
      </c>
      <c r="N198" s="60">
        <v>109.97</v>
      </c>
      <c r="O198" s="84">
        <v>2.05586</v>
      </c>
      <c r="P198" s="24">
        <v>1.2325945297362692E-4</v>
      </c>
      <c r="Q198" s="24">
        <v>8.468458655029137E-6</v>
      </c>
      <c r="R198" s="14"/>
    </row>
    <row r="199" spans="1:18" x14ac:dyDescent="0.25">
      <c r="A199" s="16" t="s">
        <v>3773</v>
      </c>
      <c r="B199" s="218" t="s">
        <v>3784</v>
      </c>
      <c r="C199" s="117" t="s">
        <v>3536</v>
      </c>
      <c r="D199" s="117"/>
      <c r="E199" s="117" t="s">
        <v>573</v>
      </c>
      <c r="F199" s="117" t="s">
        <v>3537</v>
      </c>
      <c r="G199" s="117" t="s">
        <v>573</v>
      </c>
      <c r="H199" s="118">
        <v>1.0900000000000001</v>
      </c>
      <c r="I199" s="117" t="s">
        <v>221</v>
      </c>
      <c r="J199" s="118" t="s">
        <v>255</v>
      </c>
      <c r="K199" s="117">
        <v>6.5000000000000002E-2</v>
      </c>
      <c r="L199" s="117">
        <v>7.0599999999999996E-2</v>
      </c>
      <c r="M199" s="112">
        <v>3468.1526737203217</v>
      </c>
      <c r="N199" s="60">
        <v>108.7</v>
      </c>
      <c r="O199" s="84">
        <v>3.7698800000000001</v>
      </c>
      <c r="P199" s="24">
        <v>2.2602382777826149E-4</v>
      </c>
      <c r="Q199" s="24">
        <v>1.5528816609312524E-5</v>
      </c>
      <c r="R199" s="14"/>
    </row>
    <row r="200" spans="1:18" x14ac:dyDescent="0.25">
      <c r="A200" s="16" t="s">
        <v>3774</v>
      </c>
      <c r="B200" s="117" t="s">
        <v>3297</v>
      </c>
      <c r="C200" s="117" t="s">
        <v>3510</v>
      </c>
      <c r="D200" s="117"/>
      <c r="E200" s="117" t="s">
        <v>573</v>
      </c>
      <c r="F200" s="117" t="s">
        <v>501</v>
      </c>
      <c r="G200" s="117" t="s">
        <v>573</v>
      </c>
      <c r="H200" s="118">
        <v>8.86</v>
      </c>
      <c r="I200" s="117" t="s">
        <v>225</v>
      </c>
      <c r="J200" s="118" t="s">
        <v>255</v>
      </c>
      <c r="K200" s="117">
        <v>3.9399999999999998E-2</v>
      </c>
      <c r="L200" s="117">
        <v>4.0300000000000002E-2</v>
      </c>
      <c r="M200" s="112">
        <v>19208.651044251277</v>
      </c>
      <c r="N200" s="60">
        <v>100</v>
      </c>
      <c r="O200" s="84">
        <v>19.208650000000002</v>
      </c>
      <c r="P200" s="24">
        <v>1.1516580367154665E-3</v>
      </c>
      <c r="Q200" s="24">
        <v>7.9123898681780598E-5</v>
      </c>
      <c r="R200" s="14"/>
    </row>
    <row r="201" spans="1:18" x14ac:dyDescent="0.25">
      <c r="A201" s="16" t="s">
        <v>3774</v>
      </c>
      <c r="B201" s="117" t="s">
        <v>3297</v>
      </c>
      <c r="C201" s="117" t="s">
        <v>3511</v>
      </c>
      <c r="D201" s="117"/>
      <c r="E201" s="117" t="s">
        <v>573</v>
      </c>
      <c r="F201" s="117" t="s">
        <v>501</v>
      </c>
      <c r="G201" s="117" t="s">
        <v>573</v>
      </c>
      <c r="H201" s="118">
        <v>8.2899999999999991</v>
      </c>
      <c r="I201" s="117" t="s">
        <v>225</v>
      </c>
      <c r="J201" s="118" t="s">
        <v>255</v>
      </c>
      <c r="K201" s="117">
        <v>3.9399999999999998E-2</v>
      </c>
      <c r="L201" s="117">
        <v>4.0399999999999998E-2</v>
      </c>
      <c r="M201" s="112">
        <v>8747.9811173411326</v>
      </c>
      <c r="N201" s="60">
        <v>100</v>
      </c>
      <c r="O201" s="84">
        <v>8.7479800000000001</v>
      </c>
      <c r="P201" s="24">
        <v>5.244867011490222E-4</v>
      </c>
      <c r="Q201" s="24">
        <v>3.6034509618856244E-5</v>
      </c>
      <c r="R201" s="14"/>
    </row>
    <row r="202" spans="1:18" x14ac:dyDescent="0.25">
      <c r="A202" s="16" t="s">
        <v>3774</v>
      </c>
      <c r="B202" s="117" t="s">
        <v>3297</v>
      </c>
      <c r="C202" s="117" t="s">
        <v>3512</v>
      </c>
      <c r="D202" s="117"/>
      <c r="E202" s="117" t="s">
        <v>573</v>
      </c>
      <c r="F202" s="117" t="s">
        <v>501</v>
      </c>
      <c r="G202" s="117" t="s">
        <v>573</v>
      </c>
      <c r="H202" s="118">
        <v>8.7100000000000009</v>
      </c>
      <c r="I202" s="117" t="s">
        <v>225</v>
      </c>
      <c r="J202" s="118" t="s">
        <v>255</v>
      </c>
      <c r="K202" s="117">
        <v>3.9300000000000002E-2</v>
      </c>
      <c r="L202" s="117">
        <v>4.0099999999999997E-2</v>
      </c>
      <c r="M202" s="112">
        <v>25953.974733812865</v>
      </c>
      <c r="N202" s="60">
        <v>100</v>
      </c>
      <c r="O202" s="84">
        <v>25.953970000000002</v>
      </c>
      <c r="P202" s="24">
        <v>1.5560749003793663E-3</v>
      </c>
      <c r="Q202" s="24">
        <v>1.0690909005421895E-4</v>
      </c>
      <c r="R202" s="14"/>
    </row>
    <row r="203" spans="1:18" x14ac:dyDescent="0.25">
      <c r="A203" s="16" t="s">
        <v>3775</v>
      </c>
      <c r="B203" s="218" t="s">
        <v>3784</v>
      </c>
      <c r="C203" s="117" t="s">
        <v>3390</v>
      </c>
      <c r="D203" s="117"/>
      <c r="E203" s="117" t="s">
        <v>573</v>
      </c>
      <c r="F203" s="117" t="s">
        <v>3391</v>
      </c>
      <c r="G203" s="117" t="s">
        <v>573</v>
      </c>
      <c r="H203" s="118">
        <v>3.33</v>
      </c>
      <c r="I203" s="117" t="s">
        <v>202</v>
      </c>
      <c r="J203" s="118" t="s">
        <v>255</v>
      </c>
      <c r="K203" s="117">
        <v>8.7499999999999994E-2</v>
      </c>
      <c r="L203" s="117">
        <v>0.1041</v>
      </c>
      <c r="M203" s="112">
        <v>45216.708113696135</v>
      </c>
      <c r="N203" s="60">
        <v>91.67</v>
      </c>
      <c r="O203" s="84">
        <v>41.450160000000004</v>
      </c>
      <c r="P203" s="24">
        <v>2.4851517356577354E-3</v>
      </c>
      <c r="Q203" s="24">
        <v>1.7074069547748513E-4</v>
      </c>
      <c r="R203" s="14"/>
    </row>
    <row r="204" spans="1:18" x14ac:dyDescent="0.25">
      <c r="A204" s="16" t="s">
        <v>3775</v>
      </c>
      <c r="B204" s="218" t="s">
        <v>3784</v>
      </c>
      <c r="C204" s="117" t="s">
        <v>3398</v>
      </c>
      <c r="D204" s="117"/>
      <c r="E204" s="117" t="s">
        <v>573</v>
      </c>
      <c r="F204" s="117" t="s">
        <v>1743</v>
      </c>
      <c r="G204" s="117" t="s">
        <v>573</v>
      </c>
      <c r="H204" s="118">
        <v>3.29</v>
      </c>
      <c r="I204" s="117" t="s">
        <v>202</v>
      </c>
      <c r="J204" s="118" t="s">
        <v>255</v>
      </c>
      <c r="K204" s="117">
        <v>8.7499999999999994E-2</v>
      </c>
      <c r="L204" s="117">
        <v>0.12179999999999999</v>
      </c>
      <c r="M204" s="112">
        <v>17065.790397424214</v>
      </c>
      <c r="N204" s="60">
        <v>90.19</v>
      </c>
      <c r="O204" s="84">
        <v>15.391639999999999</v>
      </c>
      <c r="P204" s="24">
        <v>9.2280852138131725E-4</v>
      </c>
      <c r="Q204" s="24">
        <v>6.3400945090177663E-5</v>
      </c>
      <c r="R204" s="14"/>
    </row>
    <row r="205" spans="1:18" x14ac:dyDescent="0.25">
      <c r="A205" s="16" t="s">
        <v>3775</v>
      </c>
      <c r="B205" s="218" t="s">
        <v>3784</v>
      </c>
      <c r="C205" s="117" t="s">
        <v>3412</v>
      </c>
      <c r="D205" s="117"/>
      <c r="E205" s="117" t="s">
        <v>573</v>
      </c>
      <c r="F205" s="117" t="s">
        <v>1059</v>
      </c>
      <c r="G205" s="117" t="s">
        <v>573</v>
      </c>
      <c r="H205" s="118">
        <v>3.51</v>
      </c>
      <c r="I205" s="117" t="s">
        <v>202</v>
      </c>
      <c r="J205" s="118" t="s">
        <v>255</v>
      </c>
      <c r="K205" s="117">
        <v>8.7499999999999994E-2</v>
      </c>
      <c r="L205" s="117">
        <v>9.1700000000000004E-2</v>
      </c>
      <c r="M205" s="112">
        <v>17065.790397424214</v>
      </c>
      <c r="N205" s="60">
        <v>99.98</v>
      </c>
      <c r="O205" s="84">
        <v>17.062380000000001</v>
      </c>
      <c r="P205" s="24">
        <v>1.0229780360667324E-3</v>
      </c>
      <c r="Q205" s="24">
        <v>7.02830249075307E-5</v>
      </c>
      <c r="R205" s="14"/>
    </row>
    <row r="206" spans="1:18" x14ac:dyDescent="0.25">
      <c r="A206" s="16" t="s">
        <v>3775</v>
      </c>
      <c r="B206" s="218" t="s">
        <v>3784</v>
      </c>
      <c r="C206" s="117" t="s">
        <v>3439</v>
      </c>
      <c r="D206" s="117"/>
      <c r="E206" s="117" t="s">
        <v>573</v>
      </c>
      <c r="F206" s="117" t="s">
        <v>1098</v>
      </c>
      <c r="G206" s="117" t="s">
        <v>573</v>
      </c>
      <c r="H206" s="118">
        <v>3.87</v>
      </c>
      <c r="I206" s="117" t="s">
        <v>202</v>
      </c>
      <c r="J206" s="118" t="s">
        <v>255</v>
      </c>
      <c r="K206" s="117">
        <v>8.7499999999999994E-2</v>
      </c>
      <c r="L206" s="117">
        <v>8.1000000000000003E-2</v>
      </c>
      <c r="M206" s="112">
        <v>5119.7371192272649</v>
      </c>
      <c r="N206" s="60">
        <v>102.06</v>
      </c>
      <c r="O206" s="84">
        <v>5.2252000000000001</v>
      </c>
      <c r="P206" s="24">
        <v>3.1327779794236733E-4</v>
      </c>
      <c r="Q206" s="24">
        <v>2.152354253901445E-5</v>
      </c>
      <c r="R206" s="14"/>
    </row>
    <row r="207" spans="1:18" x14ac:dyDescent="0.25">
      <c r="A207" s="16" t="s">
        <v>3775</v>
      </c>
      <c r="B207" s="218" t="s">
        <v>3784</v>
      </c>
      <c r="C207" s="117" t="s">
        <v>3441</v>
      </c>
      <c r="D207" s="117"/>
      <c r="E207" s="117" t="s">
        <v>573</v>
      </c>
      <c r="F207" s="117" t="s">
        <v>3442</v>
      </c>
      <c r="G207" s="117" t="s">
        <v>573</v>
      </c>
      <c r="H207" s="118">
        <v>3.83</v>
      </c>
      <c r="I207" s="117" t="s">
        <v>202</v>
      </c>
      <c r="J207" s="118" t="s">
        <v>255</v>
      </c>
      <c r="K207" s="117">
        <v>8.7499999999999994E-2</v>
      </c>
      <c r="L207" s="117">
        <v>8.3599999999999994E-2</v>
      </c>
      <c r="M207" s="112">
        <v>9841.5722847045454</v>
      </c>
      <c r="N207" s="60">
        <v>102.06</v>
      </c>
      <c r="O207" s="84">
        <v>10.044309999999999</v>
      </c>
      <c r="P207" s="24">
        <v>6.0220839750641116E-4</v>
      </c>
      <c r="Q207" s="24">
        <v>4.1374327022898304E-5</v>
      </c>
      <c r="R207" s="14"/>
    </row>
    <row r="208" spans="1:18" x14ac:dyDescent="0.25">
      <c r="A208" s="16" t="s">
        <v>3775</v>
      </c>
      <c r="B208" s="218" t="s">
        <v>3784</v>
      </c>
      <c r="C208" s="117" t="s">
        <v>3392</v>
      </c>
      <c r="D208" s="117"/>
      <c r="E208" s="117" t="s">
        <v>573</v>
      </c>
      <c r="F208" s="117" t="s">
        <v>3391</v>
      </c>
      <c r="G208" s="117" t="s">
        <v>573</v>
      </c>
      <c r="H208" s="118">
        <v>2.97</v>
      </c>
      <c r="I208" s="117" t="s">
        <v>202</v>
      </c>
      <c r="J208" s="118" t="s">
        <v>255</v>
      </c>
      <c r="K208" s="117">
        <v>0.13349999904632567</v>
      </c>
      <c r="L208" s="117">
        <v>0.1943</v>
      </c>
      <c r="M208" s="112">
        <v>5319.6126577645646</v>
      </c>
      <c r="N208" s="60">
        <v>85.15</v>
      </c>
      <c r="O208" s="84">
        <v>4.5296499999999993</v>
      </c>
      <c r="P208" s="24">
        <v>2.7157597363730465E-4</v>
      </c>
      <c r="Q208" s="24">
        <v>1.8658446463646709E-5</v>
      </c>
      <c r="R208" s="14"/>
    </row>
    <row r="209" spans="1:18" x14ac:dyDescent="0.25">
      <c r="A209" s="16" t="s">
        <v>3775</v>
      </c>
      <c r="B209" s="218" t="s">
        <v>3784</v>
      </c>
      <c r="C209" s="117" t="s">
        <v>3399</v>
      </c>
      <c r="D209" s="117"/>
      <c r="E209" s="117" t="s">
        <v>573</v>
      </c>
      <c r="F209" s="117" t="s">
        <v>1743</v>
      </c>
      <c r="G209" s="117" t="s">
        <v>573</v>
      </c>
      <c r="H209" s="118">
        <v>2.97</v>
      </c>
      <c r="I209" s="117" t="s">
        <v>202</v>
      </c>
      <c r="J209" s="118" t="s">
        <v>255</v>
      </c>
      <c r="K209" s="117">
        <v>0.13349999904632567</v>
      </c>
      <c r="L209" s="117">
        <v>0.2104</v>
      </c>
      <c r="M209" s="112">
        <v>2007.7400467557902</v>
      </c>
      <c r="N209" s="60">
        <v>83.83</v>
      </c>
      <c r="O209" s="84">
        <v>1.68309</v>
      </c>
      <c r="P209" s="24">
        <v>1.0090996113810363E-4</v>
      </c>
      <c r="Q209" s="24">
        <v>6.932951697923492E-6</v>
      </c>
      <c r="R209" s="14"/>
    </row>
    <row r="210" spans="1:18" x14ac:dyDescent="0.25">
      <c r="A210" s="16" t="s">
        <v>3775</v>
      </c>
      <c r="B210" s="218" t="s">
        <v>3784</v>
      </c>
      <c r="C210" s="117" t="s">
        <v>3413</v>
      </c>
      <c r="D210" s="117"/>
      <c r="E210" s="117" t="s">
        <v>573</v>
      </c>
      <c r="F210" s="117" t="s">
        <v>1059</v>
      </c>
      <c r="G210" s="117" t="s">
        <v>573</v>
      </c>
      <c r="H210" s="118">
        <v>3.16</v>
      </c>
      <c r="I210" s="117" t="s">
        <v>202</v>
      </c>
      <c r="J210" s="118" t="s">
        <v>255</v>
      </c>
      <c r="K210" s="117">
        <v>0.13349999904632567</v>
      </c>
      <c r="L210" s="117">
        <v>0.1555</v>
      </c>
      <c r="M210" s="112">
        <v>2007.7400467557902</v>
      </c>
      <c r="N210" s="60">
        <v>98.35</v>
      </c>
      <c r="O210" s="84">
        <v>1.97461</v>
      </c>
      <c r="P210" s="24">
        <v>1.1838809473225484E-4</v>
      </c>
      <c r="Q210" s="24">
        <v>8.1337752302234025E-6</v>
      </c>
      <c r="R210" s="14"/>
    </row>
    <row r="211" spans="1:18" x14ac:dyDescent="0.25">
      <c r="A211" s="16" t="s">
        <v>3775</v>
      </c>
      <c r="B211" s="218" t="s">
        <v>3784</v>
      </c>
      <c r="C211" s="117" t="s">
        <v>3440</v>
      </c>
      <c r="D211" s="117"/>
      <c r="E211" s="117" t="s">
        <v>573</v>
      </c>
      <c r="F211" s="117" t="s">
        <v>1098</v>
      </c>
      <c r="G211" s="117" t="s">
        <v>573</v>
      </c>
      <c r="H211" s="118">
        <v>3.51</v>
      </c>
      <c r="I211" s="117" t="s">
        <v>202</v>
      </c>
      <c r="J211" s="118" t="s">
        <v>255</v>
      </c>
      <c r="K211" s="117">
        <v>0.13349999904632567</v>
      </c>
      <c r="L211" s="117">
        <v>0.13400000000000001</v>
      </c>
      <c r="M211" s="112">
        <v>602.32201402673707</v>
      </c>
      <c r="N211" s="60">
        <v>102.16</v>
      </c>
      <c r="O211" s="84">
        <v>0.61533000000000004</v>
      </c>
      <c r="P211" s="24">
        <v>3.6892219897396643E-5</v>
      </c>
      <c r="Q211" s="24">
        <v>2.5346554065933863E-6</v>
      </c>
      <c r="R211" s="14"/>
    </row>
    <row r="212" spans="1:18" x14ac:dyDescent="0.25">
      <c r="A212" s="16" t="s">
        <v>3775</v>
      </c>
      <c r="B212" s="218" t="s">
        <v>3784</v>
      </c>
      <c r="C212" s="117" t="s">
        <v>3443</v>
      </c>
      <c r="D212" s="117"/>
      <c r="E212" s="117" t="s">
        <v>573</v>
      </c>
      <c r="F212" s="117" t="s">
        <v>3442</v>
      </c>
      <c r="G212" s="117" t="s">
        <v>573</v>
      </c>
      <c r="H212" s="118">
        <v>3.45</v>
      </c>
      <c r="I212" s="117" t="s">
        <v>202</v>
      </c>
      <c r="J212" s="118" t="s">
        <v>255</v>
      </c>
      <c r="K212" s="117">
        <v>0.13349999904632567</v>
      </c>
      <c r="L212" s="117">
        <v>0.13880000000000001</v>
      </c>
      <c r="M212" s="112">
        <v>1157.8315580748103</v>
      </c>
      <c r="N212" s="60">
        <v>102.1</v>
      </c>
      <c r="O212" s="84">
        <v>1.18215</v>
      </c>
      <c r="P212" s="24">
        <v>7.0876014092775317E-5</v>
      </c>
      <c r="Q212" s="24">
        <v>4.8694893616504506E-6</v>
      </c>
      <c r="R212" s="14"/>
    </row>
    <row r="213" spans="1:18" x14ac:dyDescent="0.25">
      <c r="A213" s="16" t="s">
        <v>3750</v>
      </c>
      <c r="B213" s="218" t="s">
        <v>3784</v>
      </c>
      <c r="C213" s="117" t="s">
        <v>3300</v>
      </c>
      <c r="D213" s="117"/>
      <c r="E213" s="117" t="s">
        <v>573</v>
      </c>
      <c r="F213" s="117" t="s">
        <v>3301</v>
      </c>
      <c r="G213" s="117" t="s">
        <v>573</v>
      </c>
      <c r="H213" s="118">
        <v>0</v>
      </c>
      <c r="I213" s="117" t="s">
        <v>204</v>
      </c>
      <c r="J213" s="118" t="s">
        <v>255</v>
      </c>
      <c r="K213" s="117">
        <v>6.0000000000000001E-3</v>
      </c>
      <c r="L213" s="117">
        <v>0</v>
      </c>
      <c r="M213" s="112">
        <v>-373.30858318244429</v>
      </c>
      <c r="N213" s="60">
        <v>23.422929</v>
      </c>
      <c r="O213" s="84">
        <v>-8.7440000000000004E-2</v>
      </c>
      <c r="P213" s="24">
        <v>-5.2424807953916791E-6</v>
      </c>
      <c r="Q213" s="24">
        <v>-3.6018115280016527E-7</v>
      </c>
      <c r="R213" s="14"/>
    </row>
    <row r="214" spans="1:18" x14ac:dyDescent="0.25">
      <c r="A214" s="16" t="s">
        <v>3769</v>
      </c>
      <c r="B214" s="218" t="s">
        <v>3784</v>
      </c>
      <c r="C214" s="117" t="s">
        <v>3505</v>
      </c>
      <c r="D214" s="117"/>
      <c r="E214" s="117" t="s">
        <v>573</v>
      </c>
      <c r="F214" s="117" t="s">
        <v>3506</v>
      </c>
      <c r="G214" s="117" t="s">
        <v>573</v>
      </c>
      <c r="H214" s="118">
        <v>4.26</v>
      </c>
      <c r="I214" s="117" t="s">
        <v>221</v>
      </c>
      <c r="J214" s="118" t="s">
        <v>255</v>
      </c>
      <c r="K214" s="117">
        <v>3.9399999999999998E-2</v>
      </c>
      <c r="L214" s="117">
        <v>4.0500000000000001E-2</v>
      </c>
      <c r="M214" s="112">
        <v>76760.560861901628</v>
      </c>
      <c r="N214" s="60">
        <v>100.57</v>
      </c>
      <c r="O214" s="84">
        <v>77.198100000000011</v>
      </c>
      <c r="P214" s="24">
        <v>4.6284258541940352E-3</v>
      </c>
      <c r="Q214" s="24">
        <v>3.1799291687994557E-4</v>
      </c>
      <c r="R214" s="14"/>
    </row>
    <row r="215" spans="1:18" x14ac:dyDescent="0.25">
      <c r="A215" s="16" t="s">
        <v>3769</v>
      </c>
      <c r="B215" s="218" t="s">
        <v>3784</v>
      </c>
      <c r="C215" s="117" t="s">
        <v>3492</v>
      </c>
      <c r="D215" s="117"/>
      <c r="E215" s="117" t="s">
        <v>573</v>
      </c>
      <c r="F215" s="117" t="s">
        <v>3493</v>
      </c>
      <c r="G215" s="117" t="s">
        <v>573</v>
      </c>
      <c r="H215" s="118">
        <v>4.2699999999999996</v>
      </c>
      <c r="I215" s="117" t="s">
        <v>221</v>
      </c>
      <c r="J215" s="118" t="s">
        <v>255</v>
      </c>
      <c r="K215" s="117">
        <v>3.7400000000000003E-2</v>
      </c>
      <c r="L215" s="117">
        <v>4.0399999999999998E-2</v>
      </c>
      <c r="M215" s="112">
        <v>28543.061793531382</v>
      </c>
      <c r="N215" s="60">
        <v>102.52</v>
      </c>
      <c r="O215" s="84">
        <v>29.262349999999998</v>
      </c>
      <c r="P215" s="24">
        <v>1.7544294133466341E-3</v>
      </c>
      <c r="Q215" s="24">
        <v>1.2053690481063489E-4</v>
      </c>
      <c r="R215" s="14"/>
    </row>
    <row r="216" spans="1:18" x14ac:dyDescent="0.25">
      <c r="A216" s="16" t="s">
        <v>3769</v>
      </c>
      <c r="B216" s="218" t="s">
        <v>3784</v>
      </c>
      <c r="C216" s="117" t="s">
        <v>3507</v>
      </c>
      <c r="D216" s="117"/>
      <c r="E216" s="117" t="s">
        <v>573</v>
      </c>
      <c r="F216" s="117" t="s">
        <v>1107</v>
      </c>
      <c r="G216" s="117" t="s">
        <v>573</v>
      </c>
      <c r="H216" s="118">
        <v>4.29</v>
      </c>
      <c r="I216" s="117" t="s">
        <v>221</v>
      </c>
      <c r="J216" s="118" t="s">
        <v>255</v>
      </c>
      <c r="K216" s="117">
        <v>4.0300000000000002E-2</v>
      </c>
      <c r="L216" s="117">
        <v>4.0599999999999997E-2</v>
      </c>
      <c r="M216" s="112">
        <v>10592.499006305008</v>
      </c>
      <c r="N216" s="60">
        <v>99.76</v>
      </c>
      <c r="O216" s="84">
        <v>10.567080000000001</v>
      </c>
      <c r="P216" s="24">
        <v>6.3355116609523684E-4</v>
      </c>
      <c r="Q216" s="24">
        <v>4.3527711071952999E-5</v>
      </c>
      <c r="R216" s="14"/>
    </row>
    <row r="217" spans="1:18" x14ac:dyDescent="0.25">
      <c r="A217" s="16" t="s">
        <v>3776</v>
      </c>
      <c r="B217" s="218" t="s">
        <v>3784</v>
      </c>
      <c r="C217" s="117" t="s">
        <v>3457</v>
      </c>
      <c r="D217" s="117"/>
      <c r="E217" s="117" t="s">
        <v>573</v>
      </c>
      <c r="F217" s="117" t="s">
        <v>3458</v>
      </c>
      <c r="G217" s="117" t="s">
        <v>573</v>
      </c>
      <c r="H217" s="118">
        <v>1.02</v>
      </c>
      <c r="I217" s="117" t="s">
        <v>202</v>
      </c>
      <c r="J217" s="118" t="s">
        <v>255</v>
      </c>
      <c r="K217" s="117">
        <v>3.5000000000000003E-2</v>
      </c>
      <c r="L217" s="117">
        <v>4.0199999999999993E-2</v>
      </c>
      <c r="M217" s="112">
        <v>16168.227570069101</v>
      </c>
      <c r="N217" s="60">
        <v>109.91</v>
      </c>
      <c r="O217" s="84">
        <v>17.770499999999998</v>
      </c>
      <c r="P217" s="24">
        <v>1.0654334969637219E-3</v>
      </c>
      <c r="Q217" s="24">
        <v>7.3199899083203749E-5</v>
      </c>
      <c r="R217" s="14"/>
    </row>
    <row r="218" spans="1:18" x14ac:dyDescent="0.25">
      <c r="A218" s="16" t="s">
        <v>3776</v>
      </c>
      <c r="B218" s="218" t="s">
        <v>3784</v>
      </c>
      <c r="C218" s="117" t="s">
        <v>3509</v>
      </c>
      <c r="D218" s="117"/>
      <c r="E218" s="117" t="s">
        <v>573</v>
      </c>
      <c r="F218" s="117" t="s">
        <v>1118</v>
      </c>
      <c r="G218" s="117" t="s">
        <v>573</v>
      </c>
      <c r="H218" s="118">
        <v>1.05</v>
      </c>
      <c r="I218" s="117" t="s">
        <v>202</v>
      </c>
      <c r="J218" s="118" t="s">
        <v>255</v>
      </c>
      <c r="K218" s="117">
        <v>6.8400000000000002E-2</v>
      </c>
      <c r="L218" s="117">
        <v>0.14449999999999999</v>
      </c>
      <c r="M218" s="112">
        <v>391845.28634202754</v>
      </c>
      <c r="N218" s="60">
        <v>100</v>
      </c>
      <c r="O218" s="84">
        <v>391.84528999999998</v>
      </c>
      <c r="P218" s="24">
        <v>2.3493154249653283E-2</v>
      </c>
      <c r="Q218" s="24">
        <v>1.6140815218608766E-3</v>
      </c>
      <c r="R218" s="14"/>
    </row>
    <row r="219" spans="1:18" x14ac:dyDescent="0.25">
      <c r="A219" s="16" t="s">
        <v>3771</v>
      </c>
      <c r="B219" s="117" t="s">
        <v>3297</v>
      </c>
      <c r="C219" s="117" t="s">
        <v>3444</v>
      </c>
      <c r="D219" s="117"/>
      <c r="E219" s="117" t="s">
        <v>573</v>
      </c>
      <c r="F219" s="117" t="s">
        <v>1516</v>
      </c>
      <c r="G219" s="117" t="s">
        <v>573</v>
      </c>
      <c r="H219" s="118">
        <v>2.25</v>
      </c>
      <c r="I219" s="117" t="s">
        <v>218</v>
      </c>
      <c r="J219" s="118" t="s">
        <v>255</v>
      </c>
      <c r="K219" s="117">
        <v>6.8499999046325685E-2</v>
      </c>
      <c r="L219" s="117">
        <v>6.7299999999999999E-2</v>
      </c>
      <c r="M219" s="112">
        <v>9879.5921873818752</v>
      </c>
      <c r="N219" s="60">
        <v>99.95</v>
      </c>
      <c r="O219" s="84">
        <v>9.874649999999999</v>
      </c>
      <c r="P219" s="24">
        <v>5.9203640194664274E-4</v>
      </c>
      <c r="Q219" s="24">
        <v>4.0675466840097801E-5</v>
      </c>
      <c r="R219" s="14"/>
    </row>
    <row r="220" spans="1:18" s="119" customFormat="1" x14ac:dyDescent="0.25">
      <c r="A220" s="92" t="s">
        <v>3549</v>
      </c>
      <c r="B220" s="131" t="s">
        <v>249</v>
      </c>
      <c r="C220" s="131" t="s">
        <v>249</v>
      </c>
      <c r="D220" s="131"/>
      <c r="E220" s="131" t="s">
        <v>249</v>
      </c>
      <c r="F220" s="131" t="s">
        <v>249</v>
      </c>
      <c r="G220" s="131" t="s">
        <v>249</v>
      </c>
      <c r="H220" s="132" t="s">
        <v>249</v>
      </c>
      <c r="I220" s="131" t="s">
        <v>249</v>
      </c>
      <c r="J220" s="132" t="s">
        <v>249</v>
      </c>
      <c r="K220" s="131" t="s">
        <v>249</v>
      </c>
      <c r="L220" s="131" t="s">
        <v>249</v>
      </c>
      <c r="M220" s="161" t="s">
        <v>249</v>
      </c>
      <c r="N220" s="136" t="s">
        <v>249</v>
      </c>
      <c r="O220" s="124">
        <v>0</v>
      </c>
      <c r="P220" s="137">
        <v>0</v>
      </c>
      <c r="Q220" s="137">
        <v>0</v>
      </c>
      <c r="R220" s="14"/>
    </row>
    <row r="221" spans="1:18" s="119" customFormat="1" x14ac:dyDescent="0.25">
      <c r="A221" s="92" t="s">
        <v>3550</v>
      </c>
      <c r="B221" s="131" t="s">
        <v>249</v>
      </c>
      <c r="C221" s="131" t="s">
        <v>249</v>
      </c>
      <c r="D221" s="131"/>
      <c r="E221" s="131" t="s">
        <v>249</v>
      </c>
      <c r="F221" s="131" t="s">
        <v>249</v>
      </c>
      <c r="G221" s="131" t="s">
        <v>249</v>
      </c>
      <c r="H221" s="132" t="s">
        <v>249</v>
      </c>
      <c r="I221" s="131" t="s">
        <v>249</v>
      </c>
      <c r="J221" s="132" t="s">
        <v>249</v>
      </c>
      <c r="K221" s="131" t="s">
        <v>249</v>
      </c>
      <c r="L221" s="131" t="s">
        <v>249</v>
      </c>
      <c r="M221" s="161">
        <v>0</v>
      </c>
      <c r="N221" s="136" t="s">
        <v>249</v>
      </c>
      <c r="O221" s="124">
        <v>0</v>
      </c>
      <c r="P221" s="137">
        <v>0</v>
      </c>
      <c r="Q221" s="137">
        <v>0</v>
      </c>
      <c r="R221" s="14"/>
    </row>
    <row r="222" spans="1:18" s="119" customFormat="1" x14ac:dyDescent="0.25">
      <c r="A222" s="92" t="s">
        <v>3551</v>
      </c>
      <c r="B222" s="131" t="s">
        <v>249</v>
      </c>
      <c r="C222" s="131" t="s">
        <v>249</v>
      </c>
      <c r="D222" s="131"/>
      <c r="E222" s="131" t="s">
        <v>249</v>
      </c>
      <c r="F222" s="131" t="s">
        <v>249</v>
      </c>
      <c r="G222" s="131" t="s">
        <v>249</v>
      </c>
      <c r="H222" s="132" t="s">
        <v>249</v>
      </c>
      <c r="I222" s="131" t="s">
        <v>249</v>
      </c>
      <c r="J222" s="132" t="s">
        <v>249</v>
      </c>
      <c r="K222" s="131" t="s">
        <v>249</v>
      </c>
      <c r="L222" s="131" t="s">
        <v>249</v>
      </c>
      <c r="M222" s="161" t="s">
        <v>249</v>
      </c>
      <c r="N222" s="136" t="s">
        <v>249</v>
      </c>
      <c r="O222" s="124">
        <v>0</v>
      </c>
      <c r="P222" s="137">
        <v>0</v>
      </c>
      <c r="Q222" s="137">
        <v>0</v>
      </c>
      <c r="R222" s="14"/>
    </row>
    <row r="223" spans="1:18" s="119" customFormat="1" x14ac:dyDescent="0.25">
      <c r="A223" s="92" t="s">
        <v>3552</v>
      </c>
      <c r="B223" s="131" t="s">
        <v>249</v>
      </c>
      <c r="C223" s="131" t="s">
        <v>249</v>
      </c>
      <c r="D223" s="131"/>
      <c r="E223" s="131" t="s">
        <v>249</v>
      </c>
      <c r="F223" s="131" t="s">
        <v>249</v>
      </c>
      <c r="G223" s="131" t="s">
        <v>249</v>
      </c>
      <c r="H223" s="132" t="s">
        <v>249</v>
      </c>
      <c r="I223" s="131" t="s">
        <v>249</v>
      </c>
      <c r="J223" s="132" t="s">
        <v>249</v>
      </c>
      <c r="K223" s="131" t="s">
        <v>249</v>
      </c>
      <c r="L223" s="131" t="s">
        <v>249</v>
      </c>
      <c r="M223" s="161" t="s">
        <v>249</v>
      </c>
      <c r="N223" s="136" t="s">
        <v>249</v>
      </c>
      <c r="O223" s="124">
        <v>0</v>
      </c>
      <c r="P223" s="137">
        <v>0</v>
      </c>
      <c r="Q223" s="137">
        <v>0</v>
      </c>
      <c r="R223" s="14"/>
    </row>
    <row r="224" spans="1:18" s="119" customFormat="1" x14ac:dyDescent="0.25">
      <c r="A224" s="92" t="s">
        <v>3553</v>
      </c>
      <c r="B224" s="131" t="s">
        <v>249</v>
      </c>
      <c r="C224" s="131" t="s">
        <v>249</v>
      </c>
      <c r="D224" s="131"/>
      <c r="E224" s="131" t="s">
        <v>249</v>
      </c>
      <c r="F224" s="131" t="s">
        <v>249</v>
      </c>
      <c r="G224" s="131" t="s">
        <v>249</v>
      </c>
      <c r="H224" s="132" t="s">
        <v>249</v>
      </c>
      <c r="I224" s="131" t="s">
        <v>249</v>
      </c>
      <c r="J224" s="132" t="s">
        <v>249</v>
      </c>
      <c r="K224" s="131" t="s">
        <v>249</v>
      </c>
      <c r="L224" s="131" t="s">
        <v>249</v>
      </c>
      <c r="M224" s="161" t="s">
        <v>249</v>
      </c>
      <c r="N224" s="136" t="s">
        <v>249</v>
      </c>
      <c r="O224" s="124">
        <v>0</v>
      </c>
      <c r="P224" s="137">
        <v>0</v>
      </c>
      <c r="Q224" s="137">
        <v>0</v>
      </c>
      <c r="R224" s="14"/>
    </row>
    <row r="225" spans="1:18" s="119" customFormat="1" x14ac:dyDescent="0.25">
      <c r="A225" s="92" t="s">
        <v>3554</v>
      </c>
      <c r="B225" s="131" t="s">
        <v>249</v>
      </c>
      <c r="C225" s="131" t="s">
        <v>249</v>
      </c>
      <c r="D225" s="131"/>
      <c r="E225" s="131" t="s">
        <v>249</v>
      </c>
      <c r="F225" s="131" t="s">
        <v>249</v>
      </c>
      <c r="G225" s="131" t="s">
        <v>249</v>
      </c>
      <c r="H225" s="132" t="s">
        <v>249</v>
      </c>
      <c r="I225" s="131" t="s">
        <v>249</v>
      </c>
      <c r="J225" s="132" t="s">
        <v>249</v>
      </c>
      <c r="K225" s="131" t="s">
        <v>249</v>
      </c>
      <c r="L225" s="131" t="s">
        <v>249</v>
      </c>
      <c r="M225" s="161" t="s">
        <v>249</v>
      </c>
      <c r="N225" s="136" t="s">
        <v>249</v>
      </c>
      <c r="O225" s="124">
        <v>0</v>
      </c>
      <c r="P225" s="137">
        <v>0</v>
      </c>
      <c r="Q225" s="137">
        <v>0</v>
      </c>
      <c r="R225" s="14"/>
    </row>
    <row r="226" spans="1:18" s="119" customFormat="1" x14ac:dyDescent="0.25">
      <c r="A226" s="92" t="s">
        <v>3555</v>
      </c>
      <c r="B226" s="131" t="s">
        <v>249</v>
      </c>
      <c r="C226" s="131" t="s">
        <v>249</v>
      </c>
      <c r="D226" s="131"/>
      <c r="E226" s="131" t="s">
        <v>249</v>
      </c>
      <c r="F226" s="131" t="s">
        <v>249</v>
      </c>
      <c r="G226" s="131" t="s">
        <v>249</v>
      </c>
      <c r="H226" s="132" t="s">
        <v>249</v>
      </c>
      <c r="I226" s="131" t="s">
        <v>249</v>
      </c>
      <c r="J226" s="132" t="s">
        <v>249</v>
      </c>
      <c r="K226" s="131" t="s">
        <v>249</v>
      </c>
      <c r="L226" s="131" t="s">
        <v>249</v>
      </c>
      <c r="M226" s="161" t="s">
        <v>249</v>
      </c>
      <c r="N226" s="136" t="s">
        <v>249</v>
      </c>
      <c r="O226" s="124">
        <v>0</v>
      </c>
      <c r="P226" s="137">
        <v>0</v>
      </c>
      <c r="Q226" s="137">
        <v>0</v>
      </c>
      <c r="R226" s="14"/>
    </row>
    <row r="227" spans="1:18" s="119" customFormat="1" x14ac:dyDescent="0.25">
      <c r="A227" s="92" t="s">
        <v>544</v>
      </c>
      <c r="B227" s="131" t="s">
        <v>249</v>
      </c>
      <c r="C227" s="131" t="s">
        <v>249</v>
      </c>
      <c r="D227" s="131"/>
      <c r="E227" s="131" t="s">
        <v>249</v>
      </c>
      <c r="F227" s="131" t="s">
        <v>249</v>
      </c>
      <c r="G227" s="131" t="s">
        <v>249</v>
      </c>
      <c r="H227" s="132" t="s">
        <v>249</v>
      </c>
      <c r="I227" s="131" t="s">
        <v>249</v>
      </c>
      <c r="J227" s="132" t="s">
        <v>249</v>
      </c>
      <c r="K227" s="131" t="s">
        <v>249</v>
      </c>
      <c r="L227" s="131" t="s">
        <v>249</v>
      </c>
      <c r="M227" s="161" t="s">
        <v>249</v>
      </c>
      <c r="N227" s="136" t="s">
        <v>249</v>
      </c>
      <c r="O227" s="124">
        <v>579.55033040000001</v>
      </c>
      <c r="P227" s="137">
        <v>3.4747043425033194E-2</v>
      </c>
      <c r="Q227" s="137">
        <v>2.3872724852377477E-3</v>
      </c>
      <c r="R227" s="14"/>
    </row>
    <row r="228" spans="1:18" s="119" customFormat="1" x14ac:dyDescent="0.25">
      <c r="A228" s="92" t="s">
        <v>3245</v>
      </c>
      <c r="B228" s="131" t="s">
        <v>249</v>
      </c>
      <c r="C228" s="131" t="s">
        <v>249</v>
      </c>
      <c r="D228" s="131"/>
      <c r="E228" s="131" t="s">
        <v>249</v>
      </c>
      <c r="F228" s="131" t="s">
        <v>249</v>
      </c>
      <c r="G228" s="131" t="s">
        <v>249</v>
      </c>
      <c r="H228" s="132" t="s">
        <v>249</v>
      </c>
      <c r="I228" s="131" t="s">
        <v>249</v>
      </c>
      <c r="J228" s="132" t="s">
        <v>249</v>
      </c>
      <c r="K228" s="131" t="s">
        <v>249</v>
      </c>
      <c r="L228" s="131" t="s">
        <v>249</v>
      </c>
      <c r="M228" s="161" t="s">
        <v>249</v>
      </c>
      <c r="N228" s="136" t="s">
        <v>249</v>
      </c>
      <c r="O228" s="124">
        <v>0</v>
      </c>
      <c r="P228" s="137">
        <v>0</v>
      </c>
      <c r="Q228" s="137">
        <v>0</v>
      </c>
      <c r="R228" s="14"/>
    </row>
    <row r="229" spans="1:18" s="119" customFormat="1" x14ac:dyDescent="0.25">
      <c r="A229" s="92" t="s">
        <v>3554</v>
      </c>
      <c r="B229" s="131" t="s">
        <v>249</v>
      </c>
      <c r="C229" s="131" t="s">
        <v>249</v>
      </c>
      <c r="D229" s="131"/>
      <c r="E229" s="131" t="s">
        <v>249</v>
      </c>
      <c r="F229" s="131" t="s">
        <v>249</v>
      </c>
      <c r="G229" s="131" t="s">
        <v>249</v>
      </c>
      <c r="H229" s="132" t="s">
        <v>249</v>
      </c>
      <c r="I229" s="131" t="s">
        <v>249</v>
      </c>
      <c r="J229" s="132" t="s">
        <v>249</v>
      </c>
      <c r="K229" s="131" t="s">
        <v>249</v>
      </c>
      <c r="L229" s="131" t="s">
        <v>249</v>
      </c>
      <c r="M229" s="161" t="s">
        <v>249</v>
      </c>
      <c r="N229" s="136" t="s">
        <v>249</v>
      </c>
      <c r="O229" s="124">
        <v>0</v>
      </c>
      <c r="P229" s="137">
        <v>0</v>
      </c>
      <c r="Q229" s="137">
        <v>0</v>
      </c>
      <c r="R229" s="14"/>
    </row>
    <row r="230" spans="1:18" s="119" customFormat="1" x14ac:dyDescent="0.25">
      <c r="A230" s="92" t="s">
        <v>3294</v>
      </c>
      <c r="B230" s="131" t="s">
        <v>249</v>
      </c>
      <c r="C230" s="131" t="s">
        <v>249</v>
      </c>
      <c r="D230" s="131"/>
      <c r="E230" s="131" t="s">
        <v>249</v>
      </c>
      <c r="F230" s="131" t="s">
        <v>249</v>
      </c>
      <c r="G230" s="131" t="s">
        <v>249</v>
      </c>
      <c r="H230" s="132" t="s">
        <v>249</v>
      </c>
      <c r="I230" s="131" t="s">
        <v>249</v>
      </c>
      <c r="J230" s="132" t="s">
        <v>249</v>
      </c>
      <c r="K230" s="131" t="s">
        <v>249</v>
      </c>
      <c r="L230" s="131" t="s">
        <v>249</v>
      </c>
      <c r="M230" s="161" t="s">
        <v>249</v>
      </c>
      <c r="N230" s="136" t="s">
        <v>249</v>
      </c>
      <c r="O230" s="124">
        <v>579.5503301</v>
      </c>
      <c r="P230" s="137">
        <v>3.4747043407046645E-2</v>
      </c>
      <c r="Q230" s="137">
        <v>2.3872724840019936E-3</v>
      </c>
      <c r="R230" s="14"/>
    </row>
    <row r="231" spans="1:18" x14ac:dyDescent="0.25">
      <c r="A231" s="16" t="s">
        <v>3777</v>
      </c>
      <c r="B231" s="117" t="s">
        <v>3297</v>
      </c>
      <c r="C231" s="117" t="s">
        <v>3562</v>
      </c>
      <c r="D231" s="117"/>
      <c r="E231" s="117" t="s">
        <v>573</v>
      </c>
      <c r="F231" s="117" t="s">
        <v>3563</v>
      </c>
      <c r="G231" s="117" t="s">
        <v>573</v>
      </c>
      <c r="H231" s="118">
        <v>2.14</v>
      </c>
      <c r="I231" s="117" t="s">
        <v>164</v>
      </c>
      <c r="J231" s="118" t="s">
        <v>125</v>
      </c>
      <c r="K231" s="117">
        <v>9.1564300000000001E-2</v>
      </c>
      <c r="L231" s="117">
        <v>9.9000000000000005E-2</v>
      </c>
      <c r="M231" s="112">
        <v>20519.023366976067</v>
      </c>
      <c r="N231" s="60">
        <v>98.4</v>
      </c>
      <c r="O231" s="84">
        <v>77.209310000000002</v>
      </c>
      <c r="P231" s="24">
        <v>4.6290979517433981E-3</v>
      </c>
      <c r="Q231" s="24">
        <v>3.1803909289461718E-4</v>
      </c>
      <c r="R231" s="14"/>
    </row>
    <row r="232" spans="1:18" x14ac:dyDescent="0.25">
      <c r="A232" s="16" t="s">
        <v>3777</v>
      </c>
      <c r="B232" s="218" t="s">
        <v>3784</v>
      </c>
      <c r="C232" s="117" t="s">
        <v>3564</v>
      </c>
      <c r="D232" s="117"/>
      <c r="E232" s="117" t="s">
        <v>573</v>
      </c>
      <c r="F232" s="117" t="s">
        <v>3565</v>
      </c>
      <c r="G232" s="117" t="s">
        <v>573</v>
      </c>
      <c r="H232" s="118">
        <v>5.32</v>
      </c>
      <c r="I232" s="117" t="s">
        <v>164</v>
      </c>
      <c r="J232" s="118" t="s">
        <v>125</v>
      </c>
      <c r="K232" s="117">
        <v>3.7499999999999999E-2</v>
      </c>
      <c r="L232" s="117">
        <v>0</v>
      </c>
      <c r="M232" s="112">
        <v>-262.19776491241851</v>
      </c>
      <c r="N232" s="60">
        <v>35.676119999999997</v>
      </c>
      <c r="O232" s="84">
        <v>-0.35769999999999996</v>
      </c>
      <c r="P232" s="24">
        <v>-2.1445967297708185E-5</v>
      </c>
      <c r="Q232" s="24">
        <v>-1.4734309052678305E-6</v>
      </c>
      <c r="R232" s="14"/>
    </row>
    <row r="233" spans="1:18" x14ac:dyDescent="0.25">
      <c r="A233" s="16" t="s">
        <v>3778</v>
      </c>
      <c r="B233" s="218" t="s">
        <v>3784</v>
      </c>
      <c r="C233" s="117" t="s">
        <v>3570</v>
      </c>
      <c r="D233" s="117"/>
      <c r="E233" s="117" t="s">
        <v>573</v>
      </c>
      <c r="F233" s="117" t="s">
        <v>3571</v>
      </c>
      <c r="G233" s="117" t="s">
        <v>573</v>
      </c>
      <c r="H233" s="118">
        <v>2.19</v>
      </c>
      <c r="I233" s="117" t="s">
        <v>164</v>
      </c>
      <c r="J233" s="118" t="s">
        <v>131</v>
      </c>
      <c r="K233" s="117">
        <v>8.8849999999999998E-2</v>
      </c>
      <c r="L233" s="117">
        <v>9.3800000000000008E-2</v>
      </c>
      <c r="M233" s="112">
        <v>44590.106617283185</v>
      </c>
      <c r="N233" s="60">
        <v>99.27</v>
      </c>
      <c r="O233" s="84">
        <v>125.82212</v>
      </c>
      <c r="P233" s="24">
        <v>7.54368764564807E-3</v>
      </c>
      <c r="Q233" s="24">
        <v>5.1828403738976125E-4</v>
      </c>
      <c r="R233" s="14"/>
    </row>
    <row r="234" spans="1:18" x14ac:dyDescent="0.25">
      <c r="A234" s="16" t="s">
        <v>3778</v>
      </c>
      <c r="B234" s="218" t="s">
        <v>3784</v>
      </c>
      <c r="C234" s="117" t="s">
        <v>3566</v>
      </c>
      <c r="D234" s="117"/>
      <c r="E234" s="117" t="s">
        <v>573</v>
      </c>
      <c r="F234" s="117" t="s">
        <v>3567</v>
      </c>
      <c r="G234" s="117" t="s">
        <v>573</v>
      </c>
      <c r="H234" s="118">
        <v>0</v>
      </c>
      <c r="I234" s="117" t="s">
        <v>164</v>
      </c>
      <c r="J234" s="118" t="s">
        <v>131</v>
      </c>
      <c r="K234" s="117">
        <v>8.8849999999999998E-2</v>
      </c>
      <c r="L234" s="117">
        <v>0</v>
      </c>
      <c r="M234" s="112">
        <v>-780.32687308087566</v>
      </c>
      <c r="N234" s="60">
        <v>66.186753999999993</v>
      </c>
      <c r="O234" s="84">
        <v>-1.46807</v>
      </c>
      <c r="P234" s="24">
        <v>-8.8018398688136578E-5</v>
      </c>
      <c r="Q234" s="24">
        <v>-6.0472454825175963E-6</v>
      </c>
      <c r="R234" s="14"/>
    </row>
    <row r="235" spans="1:18" x14ac:dyDescent="0.25">
      <c r="A235" s="16" t="s">
        <v>3779</v>
      </c>
      <c r="B235" s="117" t="s">
        <v>3297</v>
      </c>
      <c r="C235" s="117" t="s">
        <v>3558</v>
      </c>
      <c r="D235" s="117"/>
      <c r="E235" s="117" t="s">
        <v>573</v>
      </c>
      <c r="F235" s="117" t="s">
        <v>3559</v>
      </c>
      <c r="G235" s="117" t="s">
        <v>573</v>
      </c>
      <c r="H235" s="118">
        <v>2.0099999999999998</v>
      </c>
      <c r="I235" s="117" t="s">
        <v>164</v>
      </c>
      <c r="J235" s="118" t="s">
        <v>125</v>
      </c>
      <c r="K235" s="117">
        <v>9.0599999999999986E-2</v>
      </c>
      <c r="L235" s="117">
        <v>0.09</v>
      </c>
      <c r="M235" s="112">
        <v>37667.077737233063</v>
      </c>
      <c r="N235" s="60">
        <v>100.89</v>
      </c>
      <c r="O235" s="84">
        <v>145.32085000000001</v>
      </c>
      <c r="P235" s="24">
        <v>8.7127374805008578E-3</v>
      </c>
      <c r="Q235" s="24">
        <v>5.9860282798375908E-4</v>
      </c>
      <c r="R235" s="14"/>
    </row>
    <row r="236" spans="1:18" x14ac:dyDescent="0.25">
      <c r="A236" s="16" t="s">
        <v>3779</v>
      </c>
      <c r="B236" s="218" t="s">
        <v>3784</v>
      </c>
      <c r="C236" s="117" t="s">
        <v>3560</v>
      </c>
      <c r="D236" s="117"/>
      <c r="E236" s="117" t="s">
        <v>573</v>
      </c>
      <c r="F236" s="117" t="s">
        <v>3561</v>
      </c>
      <c r="G236" s="117" t="s">
        <v>573</v>
      </c>
      <c r="H236" s="118">
        <v>3.95</v>
      </c>
      <c r="I236" s="117" t="s">
        <v>164</v>
      </c>
      <c r="J236" s="118" t="s">
        <v>125</v>
      </c>
      <c r="K236" s="117">
        <v>9.4064300000000003E-2</v>
      </c>
      <c r="L236" s="117">
        <v>0</v>
      </c>
      <c r="M236" s="112">
        <v>-434.74633821894548</v>
      </c>
      <c r="N236" s="60">
        <v>33.025311000000002</v>
      </c>
      <c r="O236" s="84">
        <v>-0.54903999999999997</v>
      </c>
      <c r="P236" s="24">
        <v>-3.2917791124220581E-5</v>
      </c>
      <c r="Q236" s="24">
        <v>-2.2615949237580364E-6</v>
      </c>
      <c r="R236" s="14"/>
    </row>
    <row r="237" spans="1:18" x14ac:dyDescent="0.25">
      <c r="A237" s="16" t="s">
        <v>3780</v>
      </c>
      <c r="B237" s="218" t="s">
        <v>3784</v>
      </c>
      <c r="C237" s="117" t="s">
        <v>3572</v>
      </c>
      <c r="D237" s="117"/>
      <c r="E237" s="117" t="s">
        <v>573</v>
      </c>
      <c r="F237" s="117" t="s">
        <v>3573</v>
      </c>
      <c r="G237" s="117" t="s">
        <v>573</v>
      </c>
      <c r="H237" s="118">
        <v>6</v>
      </c>
      <c r="I237" s="117" t="s">
        <v>182</v>
      </c>
      <c r="J237" s="118" t="s">
        <v>125</v>
      </c>
      <c r="K237" s="117">
        <v>0.14429069999999999</v>
      </c>
      <c r="L237" s="117">
        <v>0</v>
      </c>
      <c r="M237" s="112">
        <v>3743.4535953235195</v>
      </c>
      <c r="N237" s="60">
        <v>106.4</v>
      </c>
      <c r="O237" s="84">
        <v>15.231120000000001</v>
      </c>
      <c r="P237" s="24">
        <v>9.1318451615171679E-4</v>
      </c>
      <c r="Q237" s="24">
        <v>6.273973421817993E-5</v>
      </c>
      <c r="R237" s="14"/>
    </row>
    <row r="238" spans="1:18" x14ac:dyDescent="0.25">
      <c r="A238" s="16" t="s">
        <v>3781</v>
      </c>
      <c r="B238" s="218" t="s">
        <v>3784</v>
      </c>
      <c r="C238" s="117" t="s">
        <v>3574</v>
      </c>
      <c r="D238" s="117"/>
      <c r="E238" s="117" t="s">
        <v>573</v>
      </c>
      <c r="F238" s="117" t="s">
        <v>3311</v>
      </c>
      <c r="G238" s="117" t="s">
        <v>573</v>
      </c>
      <c r="H238" s="118">
        <v>6</v>
      </c>
      <c r="I238" s="117" t="s">
        <v>182</v>
      </c>
      <c r="J238" s="118" t="s">
        <v>125</v>
      </c>
      <c r="K238" s="117">
        <v>0.14429069999999999</v>
      </c>
      <c r="L238" s="117">
        <v>0</v>
      </c>
      <c r="M238" s="112">
        <v>3527.9861301202654</v>
      </c>
      <c r="N238" s="60">
        <v>105.58</v>
      </c>
      <c r="O238" s="84">
        <v>14.243819999999999</v>
      </c>
      <c r="P238" s="24">
        <v>8.5399076856148106E-4</v>
      </c>
      <c r="Q238" s="24">
        <v>5.8672867198971294E-5</v>
      </c>
      <c r="R238" s="14"/>
    </row>
    <row r="239" spans="1:18" x14ac:dyDescent="0.25">
      <c r="A239" s="16" t="s">
        <v>3781</v>
      </c>
      <c r="B239" s="218" t="s">
        <v>3784</v>
      </c>
      <c r="C239" s="117" t="s">
        <v>3575</v>
      </c>
      <c r="D239" s="117"/>
      <c r="E239" s="117" t="s">
        <v>573</v>
      </c>
      <c r="F239" s="117" t="s">
        <v>3311</v>
      </c>
      <c r="G239" s="117" t="s">
        <v>573</v>
      </c>
      <c r="H239" s="118">
        <v>6</v>
      </c>
      <c r="I239" s="117" t="s">
        <v>182</v>
      </c>
      <c r="J239" s="118" t="s">
        <v>125</v>
      </c>
      <c r="K239" s="117">
        <v>0.14429069999999999</v>
      </c>
      <c r="L239" s="117">
        <v>0</v>
      </c>
      <c r="M239" s="112">
        <v>4406.5214367617182</v>
      </c>
      <c r="N239" s="60">
        <v>105.58</v>
      </c>
      <c r="O239" s="84">
        <v>17.790800000000001</v>
      </c>
      <c r="P239" s="24">
        <v>1.0666505870843353E-3</v>
      </c>
      <c r="Q239" s="24">
        <v>7.3283518449647535E-5</v>
      </c>
      <c r="R239" s="14"/>
    </row>
    <row r="240" spans="1:18" x14ac:dyDescent="0.25">
      <c r="A240" s="16" t="s">
        <v>3782</v>
      </c>
      <c r="B240" s="218" t="s">
        <v>3784</v>
      </c>
      <c r="C240" s="117" t="s">
        <v>3568</v>
      </c>
      <c r="D240" s="117"/>
      <c r="E240" s="117" t="s">
        <v>573</v>
      </c>
      <c r="F240" s="117" t="s">
        <v>3569</v>
      </c>
      <c r="G240" s="117" t="s">
        <v>573</v>
      </c>
      <c r="H240" s="118">
        <v>2.46</v>
      </c>
      <c r="I240" s="117" t="s">
        <v>164</v>
      </c>
      <c r="J240" s="118" t="s">
        <v>125</v>
      </c>
      <c r="K240" s="117">
        <v>9.1564300000000001E-2</v>
      </c>
      <c r="L240" s="117">
        <v>8.900000000000001E-2</v>
      </c>
      <c r="M240" s="112">
        <v>48980.890165552759</v>
      </c>
      <c r="N240" s="60">
        <v>100.14</v>
      </c>
      <c r="O240" s="84">
        <v>187.56514999999999</v>
      </c>
      <c r="P240" s="24">
        <v>1.1245502021497707E-2</v>
      </c>
      <c r="Q240" s="24">
        <v>7.7261472955324694E-4</v>
      </c>
      <c r="R240" s="14"/>
    </row>
    <row r="241" spans="1:18" x14ac:dyDescent="0.25">
      <c r="A241" s="16" t="s">
        <v>3782</v>
      </c>
      <c r="B241" s="218" t="s">
        <v>3784</v>
      </c>
      <c r="C241" s="117" t="s">
        <v>3556</v>
      </c>
      <c r="D241" s="117"/>
      <c r="E241" s="117" t="s">
        <v>573</v>
      </c>
      <c r="F241" s="117" t="s">
        <v>3557</v>
      </c>
      <c r="G241" s="117" t="s">
        <v>573</v>
      </c>
      <c r="H241" s="118">
        <v>3.91</v>
      </c>
      <c r="I241" s="117" t="s">
        <v>164</v>
      </c>
      <c r="J241" s="118" t="s">
        <v>255</v>
      </c>
      <c r="K241" s="117">
        <v>0</v>
      </c>
      <c r="L241" s="117">
        <v>0</v>
      </c>
      <c r="M241" s="112">
        <v>-3397.5931082643415</v>
      </c>
      <c r="N241" s="60">
        <v>37.027026999999997</v>
      </c>
      <c r="O241" s="84">
        <v>-1.25803</v>
      </c>
      <c r="P241" s="24">
        <v>-7.5425413026379161E-5</v>
      </c>
      <c r="Q241" s="24">
        <v>-5.1820527865644089E-6</v>
      </c>
      <c r="R241" s="14"/>
    </row>
    <row r="242" spans="1:18" s="119" customFormat="1" x14ac:dyDescent="0.25">
      <c r="A242" s="92" t="s">
        <v>3555</v>
      </c>
      <c r="B242" s="131" t="s">
        <v>249</v>
      </c>
      <c r="C242" s="131" t="s">
        <v>249</v>
      </c>
      <c r="D242" s="131"/>
      <c r="E242" s="131" t="s">
        <v>249</v>
      </c>
      <c r="F242" s="131" t="s">
        <v>249</v>
      </c>
      <c r="G242" s="131" t="s">
        <v>249</v>
      </c>
      <c r="H242" s="132" t="s">
        <v>249</v>
      </c>
      <c r="I242" s="131" t="s">
        <v>249</v>
      </c>
      <c r="J242" s="132" t="s">
        <v>249</v>
      </c>
      <c r="K242" s="131" t="s">
        <v>249</v>
      </c>
      <c r="L242" s="131" t="s">
        <v>249</v>
      </c>
      <c r="M242" s="161" t="s">
        <v>249</v>
      </c>
      <c r="N242" s="136" t="s">
        <v>249</v>
      </c>
      <c r="O242" s="124">
        <v>0</v>
      </c>
      <c r="P242" s="137">
        <v>0</v>
      </c>
      <c r="Q242" s="137">
        <v>0</v>
      </c>
    </row>
    <row r="243" spans="1:18" s="119" customFormat="1" x14ac:dyDescent="0.25">
      <c r="A243" s="78" t="s">
        <v>241</v>
      </c>
      <c r="B243" s="78"/>
      <c r="C243" s="125"/>
      <c r="D243" s="125"/>
      <c r="E243" s="125"/>
      <c r="F243" s="126"/>
      <c r="G243" s="126"/>
      <c r="H243" s="126"/>
      <c r="I243" s="126"/>
      <c r="J243" s="126"/>
      <c r="K243" s="127"/>
      <c r="L243" s="128"/>
      <c r="M243" s="129"/>
      <c r="N243" s="129"/>
      <c r="O243" s="129"/>
      <c r="P243" s="129"/>
      <c r="Q243" s="128"/>
      <c r="R243" s="130"/>
    </row>
    <row r="244" spans="1:18" s="119" customFormat="1" x14ac:dyDescent="0.25">
      <c r="A244" s="78" t="s">
        <v>242</v>
      </c>
      <c r="B244" s="78"/>
      <c r="C244" s="125"/>
      <c r="D244" s="125"/>
      <c r="E244" s="125"/>
      <c r="F244" s="126"/>
      <c r="G244" s="126"/>
      <c r="H244" s="126"/>
      <c r="I244" s="126"/>
      <c r="J244" s="126"/>
      <c r="K244" s="127"/>
      <c r="L244" s="128"/>
      <c r="M244" s="129"/>
      <c r="N244" s="129"/>
      <c r="O244" s="129"/>
      <c r="P244" s="129"/>
      <c r="Q244" s="128"/>
      <c r="R244" s="130"/>
    </row>
    <row r="245" spans="1:18" s="119" customFormat="1" x14ac:dyDescent="0.25">
      <c r="A245" s="78" t="s">
        <v>243</v>
      </c>
      <c r="B245" s="78"/>
      <c r="C245" s="125"/>
      <c r="D245" s="125"/>
      <c r="E245" s="125"/>
      <c r="F245" s="126"/>
      <c r="G245" s="126"/>
      <c r="H245" s="126"/>
      <c r="I245" s="126"/>
      <c r="J245" s="126"/>
      <c r="K245" s="127"/>
      <c r="L245" s="128"/>
      <c r="M245" s="129"/>
      <c r="N245" s="129"/>
      <c r="O245" s="129"/>
      <c r="P245" s="129"/>
      <c r="Q245" s="128"/>
      <c r="R245" s="130"/>
    </row>
    <row r="246" spans="1:18" s="119" customFormat="1" x14ac:dyDescent="0.25">
      <c r="A246" s="78" t="s">
        <v>244</v>
      </c>
      <c r="B246" s="78"/>
      <c r="C246" s="125"/>
      <c r="D246" s="125"/>
      <c r="E246" s="125"/>
      <c r="F246" s="126"/>
      <c r="G246" s="126"/>
      <c r="H246" s="126"/>
      <c r="I246" s="126"/>
      <c r="J246" s="126"/>
      <c r="K246" s="127"/>
      <c r="L246" s="128"/>
      <c r="M246" s="129"/>
      <c r="N246" s="129"/>
      <c r="O246" s="129"/>
      <c r="P246" s="129"/>
      <c r="Q246" s="128"/>
      <c r="R246" s="130"/>
    </row>
    <row r="247" spans="1:18" s="119" customFormat="1" x14ac:dyDescent="0.25">
      <c r="A247" s="78" t="s">
        <v>245</v>
      </c>
      <c r="B247" s="78"/>
      <c r="C247" s="125"/>
      <c r="D247" s="125"/>
      <c r="E247" s="125"/>
      <c r="F247" s="126"/>
      <c r="G247" s="126"/>
      <c r="H247" s="126"/>
      <c r="I247" s="126"/>
      <c r="J247" s="126"/>
      <c r="K247" s="127"/>
      <c r="L247" s="128"/>
      <c r="M247" s="129"/>
      <c r="N247" s="129"/>
      <c r="O247" s="129"/>
      <c r="P247" s="129"/>
      <c r="Q247" s="128"/>
      <c r="R247" s="130"/>
    </row>
  </sheetData>
  <sortState xmlns:xlrd2="http://schemas.microsoft.com/office/spreadsheetml/2017/richdata2" ref="A231:Z241">
    <sortCondition ref="A231:A241" customList="א,ב,ג,ד,ה,ו,ז,ח,ט,י,כ,ל,מ,נ,ס,ע,פ,צ,ק,ר,ש,ת"/>
  </sortState>
  <mergeCells count="1">
    <mergeCell ref="A4:Q4"/>
  </mergeCells>
  <phoneticPr fontId="3" type="noConversion"/>
  <conditionalFormatting sqref="B9:L242">
    <cfRule type="expression" dxfId="42" priority="374" stopIfTrue="1">
      <formula>LEFT(#REF!,3)="TIR"</formula>
    </cfRule>
  </conditionalFormatting>
  <conditionalFormatting sqref="O9:P242 A9:A242">
    <cfRule type="expression" dxfId="41" priority="372" stopIfTrue="1">
      <formula>#REF!&gt;0</formula>
    </cfRule>
  </conditionalFormatting>
  <conditionalFormatting sqref="P9:Q242">
    <cfRule type="expression" dxfId="40" priority="371" stopIfTrue="1">
      <formula>OR(LEFT(#REF!,3)="TIR",LEFT(#REF!,2)="IR")</formula>
    </cfRule>
  </conditionalFormatting>
  <conditionalFormatting sqref="Q11:Q14">
    <cfRule type="expression" dxfId="39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workbookViewId="0"/>
  </sheetViews>
  <sheetFormatPr defaultColWidth="9.109375" defaultRowHeight="13.2" x14ac:dyDescent="0.25"/>
  <cols>
    <col min="1" max="1" width="30.8867187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9" customWidth="1"/>
    <col min="6" max="6" width="7.88671875" style="59" customWidth="1"/>
    <col min="7" max="7" width="11.33203125" style="59" customWidth="1"/>
    <col min="8" max="8" width="17.6640625" style="36" customWidth="1"/>
    <col min="9" max="9" width="14.109375" style="61" customWidth="1"/>
    <col min="10" max="10" width="10.88671875" style="63" bestFit="1" customWidth="1"/>
    <col min="11" max="11" width="7.109375" style="63" bestFit="1" customWidth="1"/>
    <col min="12" max="12" width="10.44140625" style="63" customWidth="1"/>
    <col min="13" max="13" width="25.44140625" style="63" customWidth="1"/>
    <col min="14" max="14" width="20.6640625" style="61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3"/>
      <c r="E1" s="59"/>
      <c r="F1" s="59"/>
      <c r="G1" s="59"/>
      <c r="H1" s="36"/>
      <c r="I1" s="61"/>
      <c r="J1" s="62"/>
      <c r="K1" s="62"/>
      <c r="L1" s="62"/>
      <c r="M1" s="62"/>
      <c r="N1" s="61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3"/>
      <c r="E2" s="59"/>
      <c r="F2" s="59"/>
      <c r="G2" s="59"/>
      <c r="H2" s="36"/>
      <c r="I2" s="61"/>
      <c r="J2" s="62"/>
      <c r="K2" s="62"/>
      <c r="L2" s="62"/>
      <c r="M2" s="62"/>
      <c r="N2" s="61"/>
      <c r="O2" s="12"/>
      <c r="P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43"/>
      <c r="E3" s="59"/>
      <c r="F3" s="59"/>
      <c r="G3" s="59"/>
      <c r="H3" s="36"/>
      <c r="I3" s="61"/>
      <c r="J3" s="62"/>
      <c r="K3" s="62"/>
      <c r="L3" s="62"/>
      <c r="M3" s="62"/>
      <c r="N3" s="61"/>
      <c r="O3" s="12"/>
      <c r="P3" s="14"/>
    </row>
    <row r="4" spans="1:17" s="7" customFormat="1" x14ac:dyDescent="0.25">
      <c r="A4" s="224" t="s">
        <v>37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6"/>
      <c r="O4" s="12"/>
      <c r="P4" s="12"/>
      <c r="Q4" s="12"/>
    </row>
    <row r="5" spans="1:17" s="7" customFormat="1" ht="30.75" customHeight="1" x14ac:dyDescent="0.25">
      <c r="A5" s="86" t="s">
        <v>157</v>
      </c>
      <c r="B5" s="206" t="s">
        <v>69</v>
      </c>
      <c r="C5" s="206" t="s">
        <v>74</v>
      </c>
      <c r="D5" s="206" t="s">
        <v>70</v>
      </c>
      <c r="E5" s="206" t="s">
        <v>5</v>
      </c>
      <c r="F5" s="206" t="s">
        <v>14</v>
      </c>
      <c r="G5" s="206" t="s">
        <v>6</v>
      </c>
      <c r="H5" s="207" t="s">
        <v>89</v>
      </c>
      <c r="I5" s="207" t="s">
        <v>71</v>
      </c>
      <c r="J5" s="207" t="s">
        <v>67</v>
      </c>
      <c r="K5" s="207" t="s">
        <v>68</v>
      </c>
      <c r="L5" s="207" t="s">
        <v>29</v>
      </c>
      <c r="M5" s="89" t="s">
        <v>75</v>
      </c>
      <c r="N5" s="90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7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6">
        <v>12</v>
      </c>
      <c r="N7" s="35">
        <v>13</v>
      </c>
    </row>
    <row r="8" spans="1:17" s="119" customFormat="1" ht="12.75" customHeight="1" thickBot="1" x14ac:dyDescent="0.3">
      <c r="A8" s="100" t="s">
        <v>122</v>
      </c>
      <c r="B8" s="67" t="s">
        <v>249</v>
      </c>
      <c r="C8" s="101" t="s">
        <v>249</v>
      </c>
      <c r="D8" s="101"/>
      <c r="E8" s="101" t="s">
        <v>249</v>
      </c>
      <c r="F8" s="101" t="s">
        <v>249</v>
      </c>
      <c r="G8" s="101" t="s">
        <v>249</v>
      </c>
      <c r="H8" s="67" t="s">
        <v>249</v>
      </c>
      <c r="I8" s="67" t="s">
        <v>249</v>
      </c>
      <c r="J8" s="102" t="s">
        <v>249</v>
      </c>
      <c r="K8" s="101" t="s">
        <v>249</v>
      </c>
      <c r="L8" s="103">
        <v>500.12693060000004</v>
      </c>
      <c r="M8" s="67">
        <v>1</v>
      </c>
      <c r="N8" s="81">
        <v>2.0601131565635435E-3</v>
      </c>
    </row>
    <row r="9" spans="1:17" s="119" customFormat="1" x14ac:dyDescent="0.25">
      <c r="A9" s="91" t="s">
        <v>137</v>
      </c>
      <c r="B9" s="121" t="s">
        <v>249</v>
      </c>
      <c r="C9" s="122" t="s">
        <v>249</v>
      </c>
      <c r="D9" s="122" t="s">
        <v>249</v>
      </c>
      <c r="E9" s="122" t="s">
        <v>249</v>
      </c>
      <c r="F9" s="122" t="s">
        <v>249</v>
      </c>
      <c r="G9" s="122" t="s">
        <v>249</v>
      </c>
      <c r="H9" s="121" t="s">
        <v>249</v>
      </c>
      <c r="I9" s="121" t="s">
        <v>249</v>
      </c>
      <c r="J9" s="133" t="s">
        <v>249</v>
      </c>
      <c r="K9" s="122" t="s">
        <v>249</v>
      </c>
      <c r="L9" s="123">
        <v>500.12693050000001</v>
      </c>
      <c r="M9" s="121">
        <v>0.99999999980005072</v>
      </c>
      <c r="N9" s="121">
        <v>2.0601131561516256E-3</v>
      </c>
    </row>
    <row r="10" spans="1:17" s="119" customFormat="1" x14ac:dyDescent="0.25">
      <c r="A10" s="92" t="s">
        <v>3576</v>
      </c>
      <c r="B10" s="137" t="s">
        <v>249</v>
      </c>
      <c r="C10" s="136" t="s">
        <v>249</v>
      </c>
      <c r="D10" s="136" t="s">
        <v>249</v>
      </c>
      <c r="E10" s="136" t="s">
        <v>249</v>
      </c>
      <c r="F10" s="136" t="s">
        <v>249</v>
      </c>
      <c r="G10" s="136" t="s">
        <v>249</v>
      </c>
      <c r="H10" s="137" t="s">
        <v>249</v>
      </c>
      <c r="I10" s="137" t="s">
        <v>249</v>
      </c>
      <c r="J10" s="135" t="s">
        <v>249</v>
      </c>
      <c r="K10" s="136" t="s">
        <v>249</v>
      </c>
      <c r="L10" s="124">
        <v>0</v>
      </c>
      <c r="M10" s="137">
        <v>0</v>
      </c>
      <c r="N10" s="137">
        <v>0</v>
      </c>
    </row>
    <row r="11" spans="1:17" s="119" customFormat="1" x14ac:dyDescent="0.25">
      <c r="A11" s="92" t="s">
        <v>2698</v>
      </c>
      <c r="B11" s="137" t="s">
        <v>249</v>
      </c>
      <c r="C11" s="136" t="s">
        <v>249</v>
      </c>
      <c r="D11" s="136" t="s">
        <v>249</v>
      </c>
      <c r="E11" s="136" t="s">
        <v>249</v>
      </c>
      <c r="F11" s="136" t="s">
        <v>249</v>
      </c>
      <c r="G11" s="136" t="s">
        <v>249</v>
      </c>
      <c r="H11" s="137" t="s">
        <v>249</v>
      </c>
      <c r="I11" s="137" t="s">
        <v>249</v>
      </c>
      <c r="J11" s="135" t="s">
        <v>249</v>
      </c>
      <c r="K11" s="136" t="s">
        <v>249</v>
      </c>
      <c r="L11" s="124">
        <v>500.12693009999998</v>
      </c>
      <c r="M11" s="137">
        <v>0.99999999900025371</v>
      </c>
      <c r="N11" s="137">
        <v>2.0601131545039532E-3</v>
      </c>
    </row>
    <row r="12" spans="1:17" x14ac:dyDescent="0.25">
      <c r="A12" s="16" t="s">
        <v>3577</v>
      </c>
      <c r="B12" s="24" t="s">
        <v>3578</v>
      </c>
      <c r="C12" s="60" t="s">
        <v>268</v>
      </c>
      <c r="D12" s="60" t="s">
        <v>253</v>
      </c>
      <c r="E12" s="60" t="s">
        <v>254</v>
      </c>
      <c r="F12" s="60">
        <v>0.2</v>
      </c>
      <c r="G12" s="60" t="s">
        <v>255</v>
      </c>
      <c r="H12" s="24">
        <v>4.8300000429153445E-2</v>
      </c>
      <c r="I12" s="24">
        <v>4.9000000000000002E-2</v>
      </c>
      <c r="J12" s="69">
        <v>492832.99795777164</v>
      </c>
      <c r="K12" s="60">
        <v>101.48</v>
      </c>
      <c r="L12" s="84">
        <v>500.12693000000002</v>
      </c>
      <c r="M12" s="24">
        <v>0.99999999880030455</v>
      </c>
      <c r="N12" s="24">
        <v>2.0601131540920353E-3</v>
      </c>
      <c r="O12" s="14"/>
    </row>
    <row r="13" spans="1:17" s="119" customFormat="1" x14ac:dyDescent="0.25">
      <c r="A13" s="92" t="s">
        <v>3579</v>
      </c>
      <c r="B13" s="137" t="s">
        <v>249</v>
      </c>
      <c r="C13" s="136" t="s">
        <v>249</v>
      </c>
      <c r="D13" s="136" t="s">
        <v>249</v>
      </c>
      <c r="E13" s="136" t="s">
        <v>249</v>
      </c>
      <c r="F13" s="136" t="s">
        <v>249</v>
      </c>
      <c r="G13" s="136" t="s">
        <v>249</v>
      </c>
      <c r="H13" s="137" t="s">
        <v>249</v>
      </c>
      <c r="I13" s="137" t="s">
        <v>249</v>
      </c>
      <c r="J13" s="135" t="s">
        <v>249</v>
      </c>
      <c r="K13" s="136" t="s">
        <v>249</v>
      </c>
      <c r="L13" s="124">
        <v>0</v>
      </c>
      <c r="M13" s="137">
        <v>0</v>
      </c>
      <c r="N13" s="137">
        <v>0</v>
      </c>
    </row>
    <row r="14" spans="1:17" s="119" customFormat="1" x14ac:dyDescent="0.25">
      <c r="A14" s="92" t="s">
        <v>3580</v>
      </c>
      <c r="B14" s="137" t="s">
        <v>249</v>
      </c>
      <c r="C14" s="136" t="s">
        <v>249</v>
      </c>
      <c r="D14" s="136" t="s">
        <v>249</v>
      </c>
      <c r="E14" s="136" t="s">
        <v>249</v>
      </c>
      <c r="F14" s="136" t="s">
        <v>249</v>
      </c>
      <c r="G14" s="136" t="s">
        <v>249</v>
      </c>
      <c r="H14" s="137" t="s">
        <v>249</v>
      </c>
      <c r="I14" s="137" t="s">
        <v>249</v>
      </c>
      <c r="J14" s="135" t="s">
        <v>249</v>
      </c>
      <c r="K14" s="136" t="s">
        <v>249</v>
      </c>
      <c r="L14" s="124">
        <v>0</v>
      </c>
      <c r="M14" s="137">
        <v>0</v>
      </c>
      <c r="N14" s="137">
        <v>0</v>
      </c>
    </row>
    <row r="15" spans="1:17" s="119" customFormat="1" x14ac:dyDescent="0.25">
      <c r="A15" s="92" t="s">
        <v>141</v>
      </c>
      <c r="B15" s="137" t="s">
        <v>249</v>
      </c>
      <c r="C15" s="136" t="s">
        <v>249</v>
      </c>
      <c r="D15" s="136" t="s">
        <v>249</v>
      </c>
      <c r="E15" s="136" t="s">
        <v>249</v>
      </c>
      <c r="F15" s="136" t="s">
        <v>249</v>
      </c>
      <c r="G15" s="136" t="s">
        <v>249</v>
      </c>
      <c r="H15" s="137" t="s">
        <v>249</v>
      </c>
      <c r="I15" s="137" t="s">
        <v>249</v>
      </c>
      <c r="J15" s="135" t="s">
        <v>249</v>
      </c>
      <c r="K15" s="136" t="s">
        <v>249</v>
      </c>
      <c r="L15" s="124">
        <v>0</v>
      </c>
      <c r="M15" s="137">
        <v>0</v>
      </c>
      <c r="N15" s="137">
        <v>0</v>
      </c>
    </row>
    <row r="16" spans="1:17" s="119" customFormat="1" x14ac:dyDescent="0.25">
      <c r="A16" s="92" t="s">
        <v>557</v>
      </c>
      <c r="B16" s="137" t="s">
        <v>249</v>
      </c>
      <c r="C16" s="136" t="s">
        <v>249</v>
      </c>
      <c r="D16" s="136" t="s">
        <v>249</v>
      </c>
      <c r="E16" s="136" t="s">
        <v>249</v>
      </c>
      <c r="F16" s="136" t="s">
        <v>249</v>
      </c>
      <c r="G16" s="136" t="s">
        <v>249</v>
      </c>
      <c r="H16" s="137" t="s">
        <v>249</v>
      </c>
      <c r="I16" s="137" t="s">
        <v>249</v>
      </c>
      <c r="J16" s="135" t="s">
        <v>249</v>
      </c>
      <c r="K16" s="136" t="s">
        <v>249</v>
      </c>
      <c r="L16" s="124">
        <v>0</v>
      </c>
      <c r="M16" s="137">
        <v>0</v>
      </c>
      <c r="N16" s="137">
        <v>0</v>
      </c>
    </row>
    <row r="17" spans="1:15" s="119" customFormat="1" x14ac:dyDescent="0.25">
      <c r="A17" s="78" t="s">
        <v>241</v>
      </c>
      <c r="B17" s="78"/>
      <c r="C17" s="125"/>
      <c r="D17" s="125"/>
      <c r="E17" s="126"/>
      <c r="F17" s="126"/>
      <c r="G17" s="126"/>
      <c r="H17" s="127"/>
      <c r="I17" s="128"/>
      <c r="J17" s="129"/>
      <c r="K17" s="129"/>
      <c r="L17" s="129"/>
      <c r="M17" s="129"/>
      <c r="N17" s="128"/>
      <c r="O17" s="130"/>
    </row>
    <row r="18" spans="1:15" s="119" customFormat="1" x14ac:dyDescent="0.25">
      <c r="A18" s="78" t="s">
        <v>242</v>
      </c>
      <c r="B18" s="78"/>
      <c r="C18" s="125"/>
      <c r="D18" s="125"/>
      <c r="E18" s="126"/>
      <c r="F18" s="126"/>
      <c r="G18" s="126"/>
      <c r="H18" s="127"/>
      <c r="I18" s="128"/>
      <c r="J18" s="129"/>
      <c r="K18" s="129"/>
      <c r="L18" s="129"/>
      <c r="M18" s="129"/>
      <c r="N18" s="128"/>
      <c r="O18" s="130"/>
    </row>
    <row r="19" spans="1:15" s="119" customFormat="1" x14ac:dyDescent="0.25">
      <c r="A19" s="78" t="s">
        <v>243</v>
      </c>
      <c r="B19" s="78"/>
      <c r="C19" s="125"/>
      <c r="D19" s="125"/>
      <c r="E19" s="126"/>
      <c r="F19" s="126"/>
      <c r="G19" s="126"/>
      <c r="H19" s="127"/>
      <c r="I19" s="128"/>
      <c r="J19" s="129"/>
      <c r="K19" s="129"/>
      <c r="L19" s="129"/>
      <c r="M19" s="129"/>
      <c r="N19" s="128"/>
      <c r="O19" s="130"/>
    </row>
    <row r="20" spans="1:15" s="119" customFormat="1" x14ac:dyDescent="0.25">
      <c r="A20" s="78" t="s">
        <v>244</v>
      </c>
      <c r="B20" s="78"/>
      <c r="C20" s="125"/>
      <c r="D20" s="125"/>
      <c r="E20" s="126"/>
      <c r="F20" s="126"/>
      <c r="G20" s="126"/>
      <c r="H20" s="127"/>
      <c r="I20" s="128"/>
      <c r="J20" s="129"/>
      <c r="K20" s="129"/>
      <c r="L20" s="129"/>
      <c r="M20" s="129"/>
      <c r="N20" s="128"/>
      <c r="O20" s="130"/>
    </row>
    <row r="21" spans="1:15" s="119" customFormat="1" x14ac:dyDescent="0.25">
      <c r="A21" s="78" t="s">
        <v>245</v>
      </c>
      <c r="B21" s="78"/>
      <c r="C21" s="125"/>
      <c r="D21" s="125"/>
      <c r="E21" s="126"/>
      <c r="F21" s="126"/>
      <c r="G21" s="126"/>
      <c r="H21" s="127"/>
      <c r="I21" s="128"/>
      <c r="J21" s="129"/>
      <c r="K21" s="129"/>
      <c r="L21" s="129"/>
      <c r="M21" s="129"/>
      <c r="N21" s="128"/>
      <c r="O21" s="130"/>
    </row>
  </sheetData>
  <mergeCells count="1">
    <mergeCell ref="A4:N4"/>
  </mergeCells>
  <phoneticPr fontId="3" type="noConversion"/>
  <conditionalFormatting sqref="B9:E16 G9:G16 M9:N16">
    <cfRule type="expression" dxfId="38" priority="378" stopIfTrue="1">
      <formula>OR(LEFT(#REF!,3)="TIR",LEFT(#REF!,2)="IR")</formula>
    </cfRule>
  </conditionalFormatting>
  <conditionalFormatting sqref="L8:M16 A8:A16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4"/>
  <sheetViews>
    <sheetView rightToLeft="1" zoomScale="85" zoomScaleNormal="85" workbookViewId="0">
      <selection activeCell="Q10" sqref="Q10"/>
    </sheetView>
  </sheetViews>
  <sheetFormatPr defaultColWidth="9.109375" defaultRowHeight="13.2" x14ac:dyDescent="0.25"/>
  <cols>
    <col min="1" max="1" width="22" style="9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9" customWidth="1"/>
    <col min="6" max="6" width="13" style="59" customWidth="1"/>
    <col min="7" max="7" width="24" style="59" customWidth="1"/>
    <col min="8" max="8" width="18.6640625" style="59" customWidth="1"/>
    <col min="9" max="9" width="36.109375" style="59" bestFit="1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37" t="s">
        <v>38</v>
      </c>
      <c r="B4" s="238"/>
      <c r="C4" s="238"/>
      <c r="D4" s="238"/>
      <c r="E4" s="238"/>
      <c r="F4" s="238"/>
      <c r="G4" s="238"/>
      <c r="H4" s="238"/>
      <c r="I4" s="239"/>
      <c r="J4" s="11"/>
      <c r="K4" s="11"/>
      <c r="L4" s="11"/>
    </row>
    <row r="5" spans="1:17" s="7" customFormat="1" ht="33" customHeight="1" x14ac:dyDescent="0.25">
      <c r="A5" s="86" t="s">
        <v>157</v>
      </c>
      <c r="B5" s="87" t="s">
        <v>39</v>
      </c>
      <c r="C5" s="87" t="s">
        <v>41</v>
      </c>
      <c r="D5" s="87" t="s">
        <v>42</v>
      </c>
      <c r="E5" s="87" t="s">
        <v>6</v>
      </c>
      <c r="F5" s="88" t="s">
        <v>82</v>
      </c>
      <c r="G5" s="89" t="s">
        <v>75</v>
      </c>
      <c r="H5" s="89" t="s">
        <v>8</v>
      </c>
      <c r="I5" s="90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44">
        <v>8</v>
      </c>
    </row>
    <row r="8" spans="1:17" s="119" customFormat="1" ht="12.75" customHeight="1" thickBot="1" x14ac:dyDescent="0.3">
      <c r="A8" s="149" t="s">
        <v>73</v>
      </c>
      <c r="B8" s="70"/>
      <c r="C8" s="70" t="s">
        <v>249</v>
      </c>
      <c r="D8" s="162"/>
      <c r="E8" s="150"/>
      <c r="F8" s="153">
        <v>1014.0676903999999</v>
      </c>
      <c r="G8" s="70">
        <v>1</v>
      </c>
      <c r="H8" s="70">
        <v>4.1771279705589328E-3</v>
      </c>
      <c r="I8" s="82"/>
    </row>
    <row r="9" spans="1:17" s="119" customFormat="1" x14ac:dyDescent="0.25">
      <c r="A9" s="91" t="s">
        <v>3581</v>
      </c>
      <c r="B9" s="121" t="s">
        <v>249</v>
      </c>
      <c r="C9" s="121" t="s">
        <v>249</v>
      </c>
      <c r="D9" s="121" t="s">
        <v>249</v>
      </c>
      <c r="E9" s="122" t="s">
        <v>249</v>
      </c>
      <c r="F9" s="123">
        <v>1014.0676902</v>
      </c>
      <c r="G9" s="121">
        <v>0.99999999980277465</v>
      </c>
      <c r="H9" s="121">
        <v>4.177127969735097E-3</v>
      </c>
      <c r="I9" s="121" t="s">
        <v>249</v>
      </c>
    </row>
    <row r="10" spans="1:17" s="119" customFormat="1" x14ac:dyDescent="0.25">
      <c r="A10" s="92" t="s">
        <v>3582</v>
      </c>
      <c r="B10" s="121" t="s">
        <v>249</v>
      </c>
      <c r="C10" s="121" t="s">
        <v>249</v>
      </c>
      <c r="D10" s="121" t="s">
        <v>249</v>
      </c>
      <c r="E10" s="122" t="s">
        <v>249</v>
      </c>
      <c r="F10" s="123">
        <v>185.83908009999999</v>
      </c>
      <c r="G10" s="121">
        <v>0.18326102079703929</v>
      </c>
      <c r="H10" s="121">
        <v>7.6550473588449502E-4</v>
      </c>
      <c r="I10" s="121" t="s">
        <v>249</v>
      </c>
    </row>
    <row r="11" spans="1:17" x14ac:dyDescent="0.25">
      <c r="A11" s="16" t="s">
        <v>3583</v>
      </c>
      <c r="B11" s="32" t="s">
        <v>3584</v>
      </c>
      <c r="C11" s="32" t="s">
        <v>3585</v>
      </c>
      <c r="D11" s="32">
        <v>5.0999999999999997E-2</v>
      </c>
      <c r="E11" s="66" t="s">
        <v>255</v>
      </c>
      <c r="F11" s="85">
        <v>185.83908</v>
      </c>
      <c r="G11" s="32">
        <v>0.18326102069842654</v>
      </c>
      <c r="H11" s="32">
        <v>7.6550473547257701E-4</v>
      </c>
      <c r="I11" s="32" t="s">
        <v>3586</v>
      </c>
      <c r="J11" s="177"/>
      <c r="K11" s="14"/>
      <c r="L11" s="14"/>
      <c r="M11" s="14"/>
      <c r="N11" s="14"/>
      <c r="O11" s="14"/>
      <c r="P11" s="14"/>
    </row>
    <row r="12" spans="1:17" s="119" customFormat="1" x14ac:dyDescent="0.25">
      <c r="A12" s="92" t="s">
        <v>3587</v>
      </c>
      <c r="B12" s="121" t="s">
        <v>249</v>
      </c>
      <c r="C12" s="121" t="s">
        <v>249</v>
      </c>
      <c r="D12" s="121"/>
      <c r="E12" s="122" t="s">
        <v>249</v>
      </c>
      <c r="F12" s="123">
        <v>828.22861010000008</v>
      </c>
      <c r="G12" s="121">
        <v>0.81673897900573533</v>
      </c>
      <c r="H12" s="121">
        <v>3.411623233850602E-3</v>
      </c>
      <c r="I12" s="121" t="s">
        <v>249</v>
      </c>
      <c r="J12" s="177"/>
    </row>
    <row r="13" spans="1:17" x14ac:dyDescent="0.25">
      <c r="A13" s="16" t="s">
        <v>3588</v>
      </c>
      <c r="B13" s="32" t="s">
        <v>3589</v>
      </c>
      <c r="C13" s="32" t="s">
        <v>3585</v>
      </c>
      <c r="D13" s="32">
        <v>7.6999999999999999E-2</v>
      </c>
      <c r="E13" s="66" t="s">
        <v>255</v>
      </c>
      <c r="F13" s="85">
        <v>378.85755999999998</v>
      </c>
      <c r="G13" s="32">
        <v>0.37360184491289655</v>
      </c>
      <c r="H13" s="32">
        <v>1.5605827162380806E-3</v>
      </c>
      <c r="I13" s="32" t="s">
        <v>3590</v>
      </c>
      <c r="J13" s="177"/>
      <c r="K13" s="14"/>
      <c r="L13" s="14"/>
      <c r="M13" s="14"/>
      <c r="N13" s="14"/>
      <c r="O13" s="14"/>
      <c r="P13" s="14"/>
    </row>
    <row r="14" spans="1:17" x14ac:dyDescent="0.25">
      <c r="A14" s="16" t="s">
        <v>3591</v>
      </c>
      <c r="B14" s="32" t="s">
        <v>3589</v>
      </c>
      <c r="C14" s="32" t="s">
        <v>3585</v>
      </c>
      <c r="D14" s="32">
        <v>9.5000000000000001E-2</v>
      </c>
      <c r="E14" s="66" t="s">
        <v>255</v>
      </c>
      <c r="F14" s="85">
        <v>202.1619</v>
      </c>
      <c r="G14" s="32">
        <v>0.19935740179263284</v>
      </c>
      <c r="H14" s="32">
        <v>8.327413791659621E-4</v>
      </c>
      <c r="I14" s="32" t="s">
        <v>3592</v>
      </c>
      <c r="J14" s="177"/>
      <c r="K14" s="14"/>
      <c r="L14" s="14"/>
      <c r="M14" s="14"/>
      <c r="N14" s="14"/>
      <c r="O14" s="14"/>
      <c r="P14" s="14"/>
    </row>
    <row r="15" spans="1:17" x14ac:dyDescent="0.25">
      <c r="A15" s="16" t="s">
        <v>3593</v>
      </c>
      <c r="B15" s="32" t="s">
        <v>3594</v>
      </c>
      <c r="C15" s="32" t="s">
        <v>3585</v>
      </c>
      <c r="D15" s="32">
        <v>9.5000000000000001E-2</v>
      </c>
      <c r="E15" s="66" t="s">
        <v>255</v>
      </c>
      <c r="F15" s="85">
        <v>233.16915</v>
      </c>
      <c r="G15" s="32">
        <v>0.22993450260507384</v>
      </c>
      <c r="H15" s="32">
        <v>9.6046584222820967E-4</v>
      </c>
      <c r="I15" s="32" t="s">
        <v>3595</v>
      </c>
      <c r="J15" s="177"/>
      <c r="K15" s="14"/>
      <c r="L15" s="14"/>
      <c r="M15" s="14"/>
      <c r="N15" s="14"/>
      <c r="O15" s="14"/>
      <c r="P15" s="14"/>
    </row>
    <row r="16" spans="1:17" x14ac:dyDescent="0.25">
      <c r="A16" s="16" t="s">
        <v>3596</v>
      </c>
      <c r="B16" s="32" t="s">
        <v>249</v>
      </c>
      <c r="C16" s="32" t="s">
        <v>249</v>
      </c>
      <c r="D16" s="32">
        <v>7.0999999999999994E-2</v>
      </c>
      <c r="E16" s="66" t="s">
        <v>255</v>
      </c>
      <c r="F16" s="85">
        <v>14.04</v>
      </c>
      <c r="G16" s="32">
        <v>1.3845229596519251E-2</v>
      </c>
      <c r="H16" s="32">
        <v>5.7833295806430925E-5</v>
      </c>
      <c r="I16" s="32" t="s">
        <v>249</v>
      </c>
      <c r="J16" s="177"/>
      <c r="K16" s="14"/>
      <c r="L16" s="14"/>
      <c r="M16" s="14"/>
      <c r="N16" s="14"/>
      <c r="O16" s="14"/>
      <c r="P16" s="14"/>
    </row>
    <row r="17" spans="1:16" s="119" customFormat="1" x14ac:dyDescent="0.25">
      <c r="A17" s="92" t="s">
        <v>3597</v>
      </c>
      <c r="B17" s="121" t="s">
        <v>249</v>
      </c>
      <c r="C17" s="121" t="s">
        <v>249</v>
      </c>
      <c r="D17" s="121" t="s">
        <v>249</v>
      </c>
      <c r="E17" s="122" t="s">
        <v>249</v>
      </c>
      <c r="F17" s="123">
        <v>0</v>
      </c>
      <c r="G17" s="121">
        <v>0</v>
      </c>
      <c r="H17" s="121">
        <v>0</v>
      </c>
      <c r="I17" s="121" t="s">
        <v>249</v>
      </c>
    </row>
    <row r="18" spans="1:16" s="119" customFormat="1" x14ac:dyDescent="0.25">
      <c r="A18" s="92" t="s">
        <v>3582</v>
      </c>
      <c r="B18" s="121" t="s">
        <v>249</v>
      </c>
      <c r="C18" s="121" t="s">
        <v>249</v>
      </c>
      <c r="D18" s="121" t="s">
        <v>249</v>
      </c>
      <c r="E18" s="122" t="s">
        <v>249</v>
      </c>
      <c r="F18" s="123">
        <v>0</v>
      </c>
      <c r="G18" s="121">
        <v>0</v>
      </c>
      <c r="H18" s="121">
        <v>0</v>
      </c>
      <c r="I18" s="121" t="s">
        <v>249</v>
      </c>
    </row>
    <row r="19" spans="1:16" s="119" customFormat="1" x14ac:dyDescent="0.25">
      <c r="A19" s="92" t="s">
        <v>3587</v>
      </c>
      <c r="B19" s="121" t="s">
        <v>249</v>
      </c>
      <c r="C19" s="121" t="s">
        <v>249</v>
      </c>
      <c r="D19" s="121" t="s">
        <v>249</v>
      </c>
      <c r="E19" s="122" t="s">
        <v>249</v>
      </c>
      <c r="F19" s="123">
        <v>0</v>
      </c>
      <c r="G19" s="121">
        <v>0</v>
      </c>
      <c r="H19" s="121">
        <v>0</v>
      </c>
      <c r="I19" s="121" t="s">
        <v>249</v>
      </c>
    </row>
    <row r="20" spans="1:16" s="119" customFormat="1" x14ac:dyDescent="0.25">
      <c r="A20" s="78" t="s">
        <v>241</v>
      </c>
      <c r="B20" s="125"/>
      <c r="C20" s="78"/>
      <c r="D20" s="146"/>
      <c r="E20" s="126"/>
      <c r="F20" s="126"/>
      <c r="G20" s="126"/>
      <c r="H20" s="126"/>
      <c r="I20" s="126"/>
      <c r="J20" s="147"/>
      <c r="K20" s="130"/>
      <c r="L20" s="148"/>
      <c r="M20" s="148"/>
      <c r="N20" s="148"/>
      <c r="O20" s="130"/>
      <c r="P20" s="130"/>
    </row>
    <row r="21" spans="1:16" s="119" customFormat="1" x14ac:dyDescent="0.25">
      <c r="A21" s="78" t="s">
        <v>242</v>
      </c>
      <c r="B21" s="125"/>
      <c r="C21" s="78"/>
      <c r="D21" s="146"/>
      <c r="E21" s="126"/>
      <c r="F21" s="126"/>
      <c r="G21" s="126"/>
      <c r="H21" s="126"/>
      <c r="I21" s="126"/>
      <c r="J21" s="147"/>
      <c r="K21" s="130"/>
      <c r="L21" s="148"/>
      <c r="M21" s="148"/>
      <c r="N21" s="148"/>
      <c r="O21" s="130"/>
      <c r="P21" s="130"/>
    </row>
    <row r="22" spans="1:16" s="119" customFormat="1" x14ac:dyDescent="0.25">
      <c r="A22" s="78" t="s">
        <v>243</v>
      </c>
      <c r="B22" s="125"/>
      <c r="C22" s="78"/>
      <c r="D22" s="146"/>
      <c r="E22" s="126"/>
      <c r="F22" s="126"/>
      <c r="G22" s="126"/>
      <c r="H22" s="126"/>
      <c r="I22" s="126"/>
      <c r="J22" s="147"/>
      <c r="K22" s="130"/>
      <c r="L22" s="148"/>
      <c r="M22" s="148"/>
      <c r="N22" s="148"/>
      <c r="O22" s="130"/>
      <c r="P22" s="130"/>
    </row>
    <row r="23" spans="1:16" s="119" customFormat="1" x14ac:dyDescent="0.25">
      <c r="A23" s="78" t="s">
        <v>244</v>
      </c>
      <c r="B23" s="125"/>
      <c r="C23" s="78"/>
      <c r="D23" s="146"/>
      <c r="E23" s="126"/>
      <c r="F23" s="126"/>
      <c r="G23" s="126"/>
      <c r="H23" s="126"/>
      <c r="I23" s="126"/>
      <c r="J23" s="147"/>
      <c r="K23" s="130"/>
      <c r="L23" s="148"/>
      <c r="M23" s="148"/>
      <c r="N23" s="148"/>
      <c r="O23" s="130"/>
      <c r="P23" s="130"/>
    </row>
    <row r="24" spans="1:16" s="119" customFormat="1" x14ac:dyDescent="0.25">
      <c r="A24" s="78" t="s">
        <v>245</v>
      </c>
      <c r="B24" s="125"/>
      <c r="C24" s="78"/>
      <c r="D24" s="146"/>
      <c r="E24" s="126"/>
      <c r="F24" s="126"/>
      <c r="G24" s="126"/>
      <c r="H24" s="126"/>
      <c r="I24" s="126"/>
      <c r="J24" s="147"/>
      <c r="K24" s="130"/>
      <c r="L24" s="148"/>
      <c r="M24" s="148"/>
      <c r="N24" s="148"/>
      <c r="O24" s="130"/>
      <c r="P24" s="130"/>
    </row>
  </sheetData>
  <mergeCells count="1">
    <mergeCell ref="A4:I4"/>
  </mergeCells>
  <phoneticPr fontId="3" type="noConversion"/>
  <conditionalFormatting sqref="A8:A19 F8:I19">
    <cfRule type="expression" dxfId="36" priority="393" stopIfTrue="1">
      <formula>LEFT(#REF!,3)="TIR"</formula>
    </cfRule>
  </conditionalFormatting>
  <conditionalFormatting sqref="B8:E19 G8:I19">
    <cfRule type="expression" dxfId="35" priority="390" stopIfTrue="1">
      <formula>LEFT(#REF!,3)="TIR"</formula>
    </cfRule>
  </conditionalFormatting>
  <conditionalFormatting sqref="F8:I19 A8:A19">
    <cfRule type="expression" dxfId="34" priority="392" stopIfTrue="1">
      <formula>#REF!&gt;0</formula>
    </cfRule>
  </conditionalFormatting>
  <conditionalFormatting sqref="K1:K3 K20:K55554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9" customWidth="1"/>
    <col min="6" max="6" width="10.6640625" style="59" customWidth="1"/>
    <col min="7" max="7" width="13.44140625" style="59" customWidth="1"/>
    <col min="8" max="8" width="9.88671875" style="59" customWidth="1"/>
    <col min="9" max="9" width="24" style="59" customWidth="1"/>
    <col min="10" max="10" width="22.33203125" style="59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59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59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59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24" t="s">
        <v>86</v>
      </c>
      <c r="B4" s="225"/>
      <c r="C4" s="225"/>
      <c r="D4" s="225"/>
      <c r="E4" s="225"/>
      <c r="F4" s="225"/>
      <c r="G4" s="225"/>
      <c r="H4" s="225"/>
      <c r="I4" s="225"/>
      <c r="J4" s="226"/>
      <c r="K4" s="11"/>
      <c r="L4" s="11"/>
      <c r="M4" s="11"/>
    </row>
    <row r="5" spans="1:18" s="7" customFormat="1" ht="33" customHeight="1" x14ac:dyDescent="0.25">
      <c r="A5" s="86" t="s">
        <v>157</v>
      </c>
      <c r="B5" s="206" t="s">
        <v>74</v>
      </c>
      <c r="C5" s="206" t="s">
        <v>70</v>
      </c>
      <c r="D5" s="206" t="s">
        <v>83</v>
      </c>
      <c r="E5" s="206" t="s">
        <v>84</v>
      </c>
      <c r="F5" s="207" t="s">
        <v>6</v>
      </c>
      <c r="G5" s="89" t="s">
        <v>71</v>
      </c>
      <c r="H5" s="89" t="s">
        <v>29</v>
      </c>
      <c r="I5" s="89" t="s">
        <v>75</v>
      </c>
      <c r="J5" s="90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57">
        <v>8</v>
      </c>
      <c r="J7" s="44">
        <v>9</v>
      </c>
    </row>
    <row r="8" spans="1:18" s="119" customFormat="1" ht="12.75" customHeight="1" thickBot="1" x14ac:dyDescent="0.3">
      <c r="A8" s="100" t="s">
        <v>123</v>
      </c>
      <c r="B8" s="70"/>
      <c r="C8" s="70"/>
      <c r="D8" s="162"/>
      <c r="E8" s="150"/>
      <c r="F8" s="107"/>
      <c r="G8" s="107"/>
      <c r="H8" s="153">
        <v>2.0000000000000002E-7</v>
      </c>
      <c r="I8" s="70">
        <v>1</v>
      </c>
      <c r="J8" s="81">
        <v>8.2383612259873117E-13</v>
      </c>
    </row>
    <row r="9" spans="1:18" s="119" customFormat="1" x14ac:dyDescent="0.25">
      <c r="A9" s="91" t="s">
        <v>137</v>
      </c>
      <c r="B9" s="121" t="s">
        <v>249</v>
      </c>
      <c r="C9" s="121" t="s">
        <v>249</v>
      </c>
      <c r="D9" s="121" t="s">
        <v>249</v>
      </c>
      <c r="E9" s="121" t="s">
        <v>249</v>
      </c>
      <c r="F9" s="134" t="s">
        <v>249</v>
      </c>
      <c r="G9" s="163" t="s">
        <v>249</v>
      </c>
      <c r="H9" s="123">
        <v>0</v>
      </c>
      <c r="I9" s="121">
        <v>0</v>
      </c>
      <c r="J9" s="121">
        <v>0</v>
      </c>
    </row>
    <row r="10" spans="1:18" s="119" customFormat="1" x14ac:dyDescent="0.25">
      <c r="A10" s="91" t="s">
        <v>544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34" t="s">
        <v>249</v>
      </c>
      <c r="G10" s="163" t="s">
        <v>249</v>
      </c>
      <c r="H10" s="123">
        <v>0</v>
      </c>
      <c r="I10" s="121">
        <v>0</v>
      </c>
      <c r="J10" s="121">
        <v>0</v>
      </c>
    </row>
    <row r="11" spans="1:18" s="119" customFormat="1" x14ac:dyDescent="0.25">
      <c r="A11" s="78" t="s">
        <v>241</v>
      </c>
      <c r="B11" s="125"/>
      <c r="C11" s="78"/>
      <c r="D11" s="146"/>
      <c r="E11" s="126"/>
      <c r="F11" s="126"/>
      <c r="G11" s="126"/>
      <c r="H11" s="126"/>
      <c r="I11" s="126"/>
      <c r="J11" s="126"/>
      <c r="K11" s="147"/>
      <c r="L11" s="130"/>
      <c r="M11" s="148"/>
      <c r="N11" s="148"/>
      <c r="O11" s="148"/>
      <c r="P11" s="130"/>
      <c r="Q11" s="130"/>
    </row>
    <row r="12" spans="1:18" s="119" customFormat="1" x14ac:dyDescent="0.25">
      <c r="A12" s="78" t="s">
        <v>242</v>
      </c>
      <c r="B12" s="125"/>
      <c r="C12" s="78"/>
      <c r="D12" s="146"/>
      <c r="E12" s="126"/>
      <c r="F12" s="126"/>
      <c r="G12" s="126"/>
      <c r="H12" s="126"/>
      <c r="I12" s="126"/>
      <c r="J12" s="126"/>
      <c r="K12" s="147"/>
      <c r="L12" s="130"/>
      <c r="M12" s="148"/>
      <c r="N12" s="148"/>
      <c r="O12" s="148"/>
      <c r="P12" s="130"/>
      <c r="Q12" s="130"/>
    </row>
    <row r="13" spans="1:18" s="119" customFormat="1" x14ac:dyDescent="0.25">
      <c r="A13" s="78" t="s">
        <v>243</v>
      </c>
      <c r="B13" s="125"/>
      <c r="C13" s="78"/>
      <c r="D13" s="146"/>
      <c r="E13" s="126"/>
      <c r="F13" s="126"/>
      <c r="G13" s="126"/>
      <c r="H13" s="126"/>
      <c r="I13" s="126"/>
      <c r="J13" s="126"/>
      <c r="K13" s="147"/>
      <c r="L13" s="130"/>
      <c r="M13" s="148"/>
      <c r="N13" s="148"/>
      <c r="O13" s="148"/>
      <c r="P13" s="130"/>
      <c r="Q13" s="130"/>
    </row>
    <row r="14" spans="1:18" s="119" customFormat="1" x14ac:dyDescent="0.25">
      <c r="A14" s="78" t="s">
        <v>244</v>
      </c>
      <c r="B14" s="125"/>
      <c r="C14" s="78"/>
      <c r="D14" s="146"/>
      <c r="E14" s="126"/>
      <c r="F14" s="126"/>
      <c r="G14" s="126"/>
      <c r="H14" s="126"/>
      <c r="I14" s="126"/>
      <c r="J14" s="126"/>
      <c r="K14" s="147"/>
      <c r="L14" s="130"/>
      <c r="M14" s="148"/>
      <c r="N14" s="148"/>
      <c r="O14" s="148"/>
      <c r="P14" s="130"/>
      <c r="Q14" s="130"/>
    </row>
    <row r="15" spans="1:18" s="119" customFormat="1" x14ac:dyDescent="0.25">
      <c r="A15" s="78" t="s">
        <v>245</v>
      </c>
      <c r="B15" s="125"/>
      <c r="C15" s="78"/>
      <c r="D15" s="146"/>
      <c r="E15" s="126"/>
      <c r="F15" s="126"/>
      <c r="G15" s="126"/>
      <c r="H15" s="126"/>
      <c r="I15" s="126"/>
      <c r="J15" s="126"/>
      <c r="K15" s="147"/>
      <c r="L15" s="130"/>
      <c r="M15" s="148"/>
      <c r="N15" s="148"/>
      <c r="O15" s="148"/>
      <c r="P15" s="130"/>
      <c r="Q15" s="130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3"/>
  <sheetViews>
    <sheetView rightToLeft="1" zoomScale="85" workbookViewId="0"/>
  </sheetViews>
  <sheetFormatPr defaultColWidth="9.109375" defaultRowHeight="13.2" x14ac:dyDescent="0.25"/>
  <cols>
    <col min="1" max="1" width="23.109375" style="9" bestFit="1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2.5546875" style="10" bestFit="1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24" t="s">
        <v>87</v>
      </c>
      <c r="B4" s="225"/>
      <c r="C4" s="225"/>
      <c r="D4" s="225"/>
      <c r="E4" s="225"/>
      <c r="F4" s="225"/>
      <c r="G4" s="225"/>
      <c r="H4" s="225"/>
      <c r="I4" s="225"/>
      <c r="J4" s="226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6" t="s">
        <v>157</v>
      </c>
      <c r="B5" s="206" t="s">
        <v>81</v>
      </c>
      <c r="C5" s="206" t="s">
        <v>70</v>
      </c>
      <c r="D5" s="206" t="s">
        <v>5</v>
      </c>
      <c r="E5" s="207" t="s">
        <v>66</v>
      </c>
      <c r="F5" s="207" t="s">
        <v>6</v>
      </c>
      <c r="G5" s="207" t="s">
        <v>71</v>
      </c>
      <c r="H5" s="207" t="s">
        <v>29</v>
      </c>
      <c r="I5" s="89" t="s">
        <v>75</v>
      </c>
      <c r="J5" s="90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9" customFormat="1" ht="12.75" customHeight="1" thickBot="1" x14ac:dyDescent="0.3">
      <c r="A8" s="72" t="s">
        <v>124</v>
      </c>
      <c r="B8" s="120"/>
      <c r="C8" s="120"/>
      <c r="D8" s="120" t="s">
        <v>249</v>
      </c>
      <c r="E8" s="120" t="s">
        <v>249</v>
      </c>
      <c r="F8" s="120" t="s">
        <v>249</v>
      </c>
      <c r="G8" s="120" t="s">
        <v>249</v>
      </c>
      <c r="H8" s="94">
        <v>76.05563020000001</v>
      </c>
      <c r="I8" s="77">
        <v>1</v>
      </c>
      <c r="J8" s="58">
        <v>3.1328687742885486E-4</v>
      </c>
    </row>
    <row r="9" spans="1:20" s="119" customFormat="1" x14ac:dyDescent="0.25">
      <c r="A9" s="91" t="s">
        <v>137</v>
      </c>
      <c r="B9" s="164"/>
      <c r="C9" s="122" t="s">
        <v>249</v>
      </c>
      <c r="D9" s="143" t="s">
        <v>249</v>
      </c>
      <c r="E9" s="157" t="s">
        <v>249</v>
      </c>
      <c r="F9" s="134" t="s">
        <v>249</v>
      </c>
      <c r="G9" s="157" t="s">
        <v>249</v>
      </c>
      <c r="H9" s="123">
        <v>76.055630100000016</v>
      </c>
      <c r="I9" s="121">
        <v>0.99999999868517286</v>
      </c>
      <c r="J9" s="121">
        <v>3.132868770169368E-4</v>
      </c>
    </row>
    <row r="10" spans="1:20" x14ac:dyDescent="0.25">
      <c r="A10" s="16" t="s">
        <v>3606</v>
      </c>
      <c r="B10" s="23" t="s">
        <v>3607</v>
      </c>
      <c r="C10" s="66" t="s">
        <v>573</v>
      </c>
      <c r="D10" s="25" t="s">
        <v>249</v>
      </c>
      <c r="E10" s="17">
        <v>0</v>
      </c>
      <c r="F10" s="68" t="s">
        <v>255</v>
      </c>
      <c r="G10" s="17">
        <v>0</v>
      </c>
      <c r="H10" s="85">
        <v>-95.619160000000008</v>
      </c>
      <c r="I10" s="76">
        <v>-1.2572265820236408</v>
      </c>
      <c r="J10" s="32">
        <v>-3.9387259010273846E-4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3612</v>
      </c>
      <c r="B11" s="23" t="s">
        <v>3613</v>
      </c>
      <c r="C11" s="66" t="s">
        <v>573</v>
      </c>
      <c r="D11" s="25" t="s">
        <v>573</v>
      </c>
      <c r="E11" s="17">
        <v>0</v>
      </c>
      <c r="F11" s="68" t="s">
        <v>125</v>
      </c>
      <c r="G11" s="17">
        <v>0</v>
      </c>
      <c r="H11" s="85">
        <v>12.173200000000001</v>
      </c>
      <c r="I11" s="76">
        <v>0.16005652662385011</v>
      </c>
      <c r="J11" s="32">
        <v>5.0143609438094375E-5</v>
      </c>
      <c r="K11" s="14"/>
      <c r="L11" s="14"/>
      <c r="M11" s="14"/>
      <c r="N11" s="14"/>
      <c r="O11" s="14"/>
      <c r="P11" s="14"/>
    </row>
    <row r="12" spans="1:20" x14ac:dyDescent="0.25">
      <c r="A12" s="16" t="s">
        <v>3608</v>
      </c>
      <c r="B12" s="23" t="s">
        <v>3609</v>
      </c>
      <c r="C12" s="66" t="s">
        <v>573</v>
      </c>
      <c r="D12" s="25" t="s">
        <v>573</v>
      </c>
      <c r="E12" s="17">
        <v>0</v>
      </c>
      <c r="F12" s="68" t="s">
        <v>126</v>
      </c>
      <c r="G12" s="17">
        <v>0</v>
      </c>
      <c r="H12" s="85">
        <v>5.4200000000000003E-3</v>
      </c>
      <c r="I12" s="76">
        <v>7.1263626187137934E-5</v>
      </c>
      <c r="J12" s="32">
        <v>2.2325958922425617E-8</v>
      </c>
      <c r="K12" s="14"/>
      <c r="L12" s="14"/>
      <c r="M12" s="14"/>
      <c r="N12" s="14"/>
      <c r="O12" s="14"/>
      <c r="P12" s="14"/>
    </row>
    <row r="13" spans="1:20" x14ac:dyDescent="0.25">
      <c r="A13" s="16" t="s">
        <v>3598</v>
      </c>
      <c r="B13" s="23" t="s">
        <v>3599</v>
      </c>
      <c r="C13" s="66" t="s">
        <v>573</v>
      </c>
      <c r="D13" s="25" t="s">
        <v>573</v>
      </c>
      <c r="E13" s="17">
        <v>7.5999999999999998E-2</v>
      </c>
      <c r="F13" s="68" t="s">
        <v>255</v>
      </c>
      <c r="G13" s="17">
        <v>0</v>
      </c>
      <c r="H13" s="85">
        <v>14.880549999999999</v>
      </c>
      <c r="I13" s="76">
        <v>0.19565349680055635</v>
      </c>
      <c r="J13" s="32">
        <v>6.1295673070682741E-5</v>
      </c>
      <c r="K13" s="14"/>
      <c r="L13" s="14"/>
      <c r="M13" s="14"/>
      <c r="N13" s="14"/>
      <c r="O13" s="14"/>
      <c r="P13" s="14"/>
    </row>
    <row r="14" spans="1:20" x14ac:dyDescent="0.25">
      <c r="A14" s="16" t="s">
        <v>3600</v>
      </c>
      <c r="B14" s="23" t="s">
        <v>3601</v>
      </c>
      <c r="C14" s="66" t="s">
        <v>573</v>
      </c>
      <c r="D14" s="25" t="s">
        <v>573</v>
      </c>
      <c r="E14" s="17">
        <v>4.4500000000000005E-2</v>
      </c>
      <c r="F14" s="68" t="s">
        <v>255</v>
      </c>
      <c r="G14" s="17">
        <v>0</v>
      </c>
      <c r="H14" s="85">
        <v>136.32813000000002</v>
      </c>
      <c r="I14" s="76">
        <v>1.7924791319393996</v>
      </c>
      <c r="J14" s="32">
        <v>5.6156019010167888E-4</v>
      </c>
      <c r="K14" s="14"/>
      <c r="L14" s="14"/>
      <c r="M14" s="14"/>
      <c r="N14" s="14"/>
      <c r="O14" s="14"/>
      <c r="P14" s="14"/>
    </row>
    <row r="15" spans="1:20" x14ac:dyDescent="0.25">
      <c r="A15" s="16" t="s">
        <v>3602</v>
      </c>
      <c r="B15" s="23" t="s">
        <v>3603</v>
      </c>
      <c r="C15" s="66" t="s">
        <v>573</v>
      </c>
      <c r="D15" s="25" t="s">
        <v>573</v>
      </c>
      <c r="E15" s="17">
        <v>6.8499999999999991E-2</v>
      </c>
      <c r="F15" s="68" t="s">
        <v>255</v>
      </c>
      <c r="G15" s="17">
        <v>0</v>
      </c>
      <c r="H15" s="85">
        <v>3.73047</v>
      </c>
      <c r="I15" s="76">
        <v>4.9049228705227391E-2</v>
      </c>
      <c r="J15" s="32">
        <v>1.5366479701354443E-5</v>
      </c>
      <c r="K15" s="14"/>
      <c r="L15" s="14"/>
      <c r="M15" s="14"/>
      <c r="N15" s="14"/>
      <c r="O15" s="14"/>
      <c r="P15" s="14"/>
    </row>
    <row r="16" spans="1:20" x14ac:dyDescent="0.25">
      <c r="A16" s="16" t="s">
        <v>3604</v>
      </c>
      <c r="B16" s="23" t="s">
        <v>3605</v>
      </c>
      <c r="C16" s="66" t="s">
        <v>573</v>
      </c>
      <c r="D16" s="25" t="s">
        <v>573</v>
      </c>
      <c r="E16" s="17">
        <v>3.5000000000000003E-2</v>
      </c>
      <c r="F16" s="68" t="s">
        <v>255</v>
      </c>
      <c r="G16" s="17">
        <v>0</v>
      </c>
      <c r="H16" s="85">
        <v>0.58563999999999994</v>
      </c>
      <c r="I16" s="76">
        <v>7.7001531439548822E-3</v>
      </c>
      <c r="J16" s="32">
        <v>2.4123569341936044E-6</v>
      </c>
      <c r="K16" s="14"/>
      <c r="L16" s="14"/>
      <c r="M16" s="14"/>
      <c r="N16" s="14"/>
      <c r="O16" s="14"/>
      <c r="P16" s="14"/>
    </row>
    <row r="17" spans="1:16" x14ac:dyDescent="0.25">
      <c r="A17" s="16" t="s">
        <v>3610</v>
      </c>
      <c r="B17" s="23" t="s">
        <v>3611</v>
      </c>
      <c r="C17" s="66" t="s">
        <v>573</v>
      </c>
      <c r="D17" s="25" t="s">
        <v>573</v>
      </c>
      <c r="E17" s="17">
        <v>0</v>
      </c>
      <c r="F17" s="68" t="s">
        <v>125</v>
      </c>
      <c r="G17" s="17">
        <v>0</v>
      </c>
      <c r="H17" s="85">
        <v>3.9713799999999999</v>
      </c>
      <c r="I17" s="76">
        <v>5.221677855481105E-2</v>
      </c>
      <c r="J17" s="32">
        <v>1.6358831502830743E-5</v>
      </c>
      <c r="K17" s="14"/>
      <c r="L17" s="14"/>
      <c r="M17" s="14"/>
      <c r="N17" s="14"/>
      <c r="O17" s="14"/>
      <c r="P17" s="14"/>
    </row>
    <row r="18" spans="1:16" s="119" customFormat="1" x14ac:dyDescent="0.25">
      <c r="A18" s="92" t="s">
        <v>544</v>
      </c>
      <c r="B18" s="165" t="s">
        <v>249</v>
      </c>
      <c r="C18" s="122" t="s">
        <v>249</v>
      </c>
      <c r="D18" s="145" t="s">
        <v>249</v>
      </c>
      <c r="E18" s="158" t="s">
        <v>249</v>
      </c>
      <c r="F18" s="134" t="s">
        <v>249</v>
      </c>
      <c r="G18" s="158" t="s">
        <v>249</v>
      </c>
      <c r="H18" s="123">
        <v>0</v>
      </c>
      <c r="I18" s="121">
        <v>0</v>
      </c>
      <c r="J18" s="121">
        <v>0</v>
      </c>
    </row>
    <row r="19" spans="1:16" s="119" customFormat="1" x14ac:dyDescent="0.25">
      <c r="A19" s="78" t="s">
        <v>241</v>
      </c>
      <c r="B19" s="78"/>
      <c r="C19" s="125"/>
      <c r="D19" s="78"/>
      <c r="E19" s="146"/>
      <c r="F19" s="146"/>
      <c r="G19" s="146"/>
      <c r="H19" s="146"/>
      <c r="I19" s="146"/>
      <c r="J19" s="127"/>
      <c r="K19" s="130"/>
      <c r="L19" s="148"/>
      <c r="M19" s="148"/>
      <c r="N19" s="148"/>
      <c r="O19" s="130"/>
      <c r="P19" s="130"/>
    </row>
    <row r="20" spans="1:16" s="119" customFormat="1" x14ac:dyDescent="0.25">
      <c r="A20" s="78" t="s">
        <v>242</v>
      </c>
      <c r="B20" s="78"/>
      <c r="C20" s="125"/>
      <c r="D20" s="78"/>
      <c r="E20" s="146"/>
      <c r="F20" s="146"/>
      <c r="G20" s="146"/>
      <c r="H20" s="146"/>
      <c r="I20" s="146"/>
      <c r="J20" s="127"/>
      <c r="K20" s="130"/>
      <c r="L20" s="148"/>
      <c r="M20" s="148"/>
      <c r="N20" s="148"/>
      <c r="O20" s="130"/>
      <c r="P20" s="130"/>
    </row>
    <row r="21" spans="1:16" s="119" customFormat="1" x14ac:dyDescent="0.25">
      <c r="A21" s="78" t="s">
        <v>243</v>
      </c>
      <c r="B21" s="78"/>
      <c r="C21" s="125"/>
      <c r="D21" s="78"/>
      <c r="E21" s="146"/>
      <c r="F21" s="146"/>
      <c r="G21" s="146"/>
      <c r="H21" s="146"/>
      <c r="I21" s="146"/>
      <c r="J21" s="127"/>
      <c r="K21" s="130"/>
      <c r="L21" s="148"/>
      <c r="M21" s="148"/>
      <c r="N21" s="148"/>
      <c r="O21" s="130"/>
      <c r="P21" s="130"/>
    </row>
    <row r="22" spans="1:16" s="119" customFormat="1" x14ac:dyDescent="0.25">
      <c r="A22" s="78" t="s">
        <v>244</v>
      </c>
      <c r="B22" s="78"/>
      <c r="C22" s="125"/>
      <c r="D22" s="78"/>
      <c r="E22" s="146"/>
      <c r="F22" s="146"/>
      <c r="G22" s="146"/>
      <c r="H22" s="146"/>
      <c r="I22" s="146"/>
      <c r="J22" s="127"/>
      <c r="K22" s="130"/>
      <c r="L22" s="148"/>
      <c r="M22" s="148"/>
      <c r="N22" s="148"/>
      <c r="O22" s="130"/>
      <c r="P22" s="130"/>
    </row>
    <row r="23" spans="1:16" s="119" customFormat="1" x14ac:dyDescent="0.25">
      <c r="A23" s="78" t="s">
        <v>245</v>
      </c>
      <c r="B23" s="78"/>
      <c r="C23" s="125"/>
      <c r="D23" s="78"/>
      <c r="E23" s="146"/>
      <c r="F23" s="146"/>
      <c r="G23" s="146"/>
      <c r="H23" s="146"/>
      <c r="I23" s="146"/>
      <c r="J23" s="127"/>
      <c r="K23" s="130"/>
      <c r="L23" s="148"/>
      <c r="M23" s="148"/>
      <c r="N23" s="148"/>
      <c r="O23" s="130"/>
      <c r="P23" s="130"/>
    </row>
  </sheetData>
  <mergeCells count="1">
    <mergeCell ref="A4:J4"/>
  </mergeCells>
  <phoneticPr fontId="3" type="noConversion"/>
  <conditionalFormatting sqref="A9:A18 F9:F18 H9:J18">
    <cfRule type="expression" dxfId="28" priority="423" stopIfTrue="1">
      <formula>LEFT(#REF!,3)="TIR"</formula>
    </cfRule>
  </conditionalFormatting>
  <conditionalFormatting sqref="B9:D18 J9:J18">
    <cfRule type="expression" dxfId="27" priority="420" stopIfTrue="1">
      <formula>LEFT(#REF!,3)="TIR"</formula>
    </cfRule>
  </conditionalFormatting>
  <conditionalFormatting sqref="H9:J18 F9:F18 A9:A18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8 K19:K55553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54"/>
  <sheetViews>
    <sheetView showGridLines="0" rightToLeft="1" workbookViewId="0"/>
  </sheetViews>
  <sheetFormatPr defaultRowHeight="13.2" x14ac:dyDescent="0.25"/>
  <cols>
    <col min="1" max="1" width="46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247</v>
      </c>
    </row>
    <row r="4" spans="1:3" x14ac:dyDescent="0.25">
      <c r="A4" s="224" t="s">
        <v>128</v>
      </c>
      <c r="B4" s="225"/>
      <c r="C4" s="226"/>
    </row>
    <row r="5" spans="1:3" x14ac:dyDescent="0.25">
      <c r="A5" s="86" t="s">
        <v>157</v>
      </c>
      <c r="B5" s="206" t="s">
        <v>63</v>
      </c>
      <c r="C5" s="95" t="s">
        <v>64</v>
      </c>
    </row>
    <row r="6" spans="1:3" x14ac:dyDescent="0.25">
      <c r="A6" s="26"/>
      <c r="B6" s="3" t="s">
        <v>10</v>
      </c>
      <c r="C6" s="44" t="s">
        <v>40</v>
      </c>
    </row>
    <row r="7" spans="1:3" s="113" customFormat="1" x14ac:dyDescent="0.25">
      <c r="A7" s="166"/>
      <c r="B7" s="167">
        <v>1</v>
      </c>
      <c r="C7" s="168">
        <v>2</v>
      </c>
    </row>
    <row r="8" spans="1:3" s="113" customFormat="1" ht="13.8" thickBot="1" x14ac:dyDescent="0.3">
      <c r="A8" s="72" t="s">
        <v>3678</v>
      </c>
      <c r="B8" s="169">
        <v>13897.782996216267</v>
      </c>
      <c r="C8" s="116" t="s">
        <v>249</v>
      </c>
    </row>
    <row r="9" spans="1:3" s="113" customFormat="1" x14ac:dyDescent="0.25">
      <c r="A9" s="115" t="s">
        <v>137</v>
      </c>
      <c r="B9" s="170">
        <v>5905.4990761162699</v>
      </c>
      <c r="C9" s="171" t="s">
        <v>249</v>
      </c>
    </row>
    <row r="10" spans="1:3" x14ac:dyDescent="0.25">
      <c r="A10" s="45" t="s">
        <v>3679</v>
      </c>
      <c r="B10" s="114">
        <v>234.54856000000001</v>
      </c>
      <c r="C10" s="40" t="s">
        <v>3680</v>
      </c>
    </row>
    <row r="11" spans="1:3" x14ac:dyDescent="0.25">
      <c r="A11" s="45" t="s">
        <v>3681</v>
      </c>
      <c r="B11" s="114">
        <v>25.92</v>
      </c>
      <c r="C11" s="40" t="s">
        <v>246</v>
      </c>
    </row>
    <row r="12" spans="1:3" x14ac:dyDescent="0.25">
      <c r="A12" s="45" t="s">
        <v>3682</v>
      </c>
      <c r="B12" s="114">
        <v>974.60217</v>
      </c>
      <c r="C12" s="40" t="s">
        <v>3683</v>
      </c>
    </row>
    <row r="13" spans="1:3" x14ac:dyDescent="0.25">
      <c r="A13" s="45" t="s">
        <v>3684</v>
      </c>
      <c r="B13" s="114">
        <v>241.26182999999997</v>
      </c>
      <c r="C13" s="40" t="s">
        <v>3683</v>
      </c>
    </row>
    <row r="14" spans="1:3" x14ac:dyDescent="0.25">
      <c r="A14" s="45" t="s">
        <v>3685</v>
      </c>
      <c r="B14" s="114">
        <v>1.259914157E-3</v>
      </c>
      <c r="C14" s="40" t="s">
        <v>3686</v>
      </c>
    </row>
    <row r="15" spans="1:3" x14ac:dyDescent="0.25">
      <c r="A15" s="45" t="s">
        <v>3687</v>
      </c>
      <c r="B15" s="114">
        <v>2.4797211299999999E-4</v>
      </c>
      <c r="C15" s="40" t="s">
        <v>3686</v>
      </c>
    </row>
    <row r="16" spans="1:3" x14ac:dyDescent="0.25">
      <c r="A16" s="45" t="s">
        <v>3688</v>
      </c>
      <c r="B16" s="114">
        <v>17.461970000000001</v>
      </c>
      <c r="C16" s="40" t="s">
        <v>246</v>
      </c>
    </row>
    <row r="17" spans="1:3" x14ac:dyDescent="0.25">
      <c r="A17" s="45" t="s">
        <v>3689</v>
      </c>
      <c r="B17" s="114">
        <v>690.14796000000001</v>
      </c>
      <c r="C17" s="40" t="s">
        <v>3686</v>
      </c>
    </row>
    <row r="18" spans="1:3" x14ac:dyDescent="0.25">
      <c r="A18" s="45" t="s">
        <v>3690</v>
      </c>
      <c r="B18" s="114">
        <v>64.477119999999999</v>
      </c>
      <c r="C18" s="40" t="s">
        <v>3691</v>
      </c>
    </row>
    <row r="19" spans="1:3" x14ac:dyDescent="0.25">
      <c r="A19" s="45" t="s">
        <v>3692</v>
      </c>
      <c r="B19" s="114">
        <v>20.812630000000002</v>
      </c>
      <c r="C19" s="40" t="s">
        <v>3691</v>
      </c>
    </row>
    <row r="20" spans="1:3" x14ac:dyDescent="0.25">
      <c r="A20" s="45" t="s">
        <v>3693</v>
      </c>
      <c r="B20" s="114">
        <v>95.859066479999996</v>
      </c>
      <c r="C20" s="40" t="s">
        <v>3694</v>
      </c>
    </row>
    <row r="21" spans="1:3" x14ac:dyDescent="0.25">
      <c r="A21" s="45" t="s">
        <v>3695</v>
      </c>
      <c r="B21" s="114">
        <v>558.54084</v>
      </c>
      <c r="C21" s="40" t="s">
        <v>3686</v>
      </c>
    </row>
    <row r="22" spans="1:3" x14ac:dyDescent="0.25">
      <c r="A22" s="45" t="s">
        <v>3696</v>
      </c>
      <c r="B22" s="114">
        <v>510.56259240000003</v>
      </c>
      <c r="C22" s="40" t="s">
        <v>3697</v>
      </c>
    </row>
    <row r="23" spans="1:3" x14ac:dyDescent="0.25">
      <c r="A23" s="45" t="s">
        <v>3698</v>
      </c>
      <c r="B23" s="114">
        <v>234.2150642</v>
      </c>
      <c r="C23" s="40" t="s">
        <v>3686</v>
      </c>
    </row>
    <row r="24" spans="1:3" x14ac:dyDescent="0.25">
      <c r="A24" s="45" t="s">
        <v>3699</v>
      </c>
      <c r="B24" s="114">
        <v>47.953265350000002</v>
      </c>
      <c r="C24" s="40" t="s">
        <v>3700</v>
      </c>
    </row>
    <row r="25" spans="1:3" x14ac:dyDescent="0.25">
      <c r="A25" s="45" t="s">
        <v>3701</v>
      </c>
      <c r="B25" s="114">
        <v>392.19539480000003</v>
      </c>
      <c r="C25" s="40" t="s">
        <v>3702</v>
      </c>
    </row>
    <row r="26" spans="1:3" x14ac:dyDescent="0.25">
      <c r="A26" s="45" t="s">
        <v>3703</v>
      </c>
      <c r="B26" s="114">
        <v>224.49229459999998</v>
      </c>
      <c r="C26" s="40" t="s">
        <v>3686</v>
      </c>
    </row>
    <row r="27" spans="1:3" x14ac:dyDescent="0.25">
      <c r="A27" s="45" t="s">
        <v>3704</v>
      </c>
      <c r="B27" s="114">
        <v>981.78358409999998</v>
      </c>
      <c r="C27" s="40" t="s">
        <v>3680</v>
      </c>
    </row>
    <row r="28" spans="1:3" x14ac:dyDescent="0.25">
      <c r="A28" s="45" t="s">
        <v>3705</v>
      </c>
      <c r="B28" s="114">
        <v>239.11841799999999</v>
      </c>
      <c r="C28" s="40" t="s">
        <v>3697</v>
      </c>
    </row>
    <row r="29" spans="1:3" x14ac:dyDescent="0.25">
      <c r="A29" s="45" t="s">
        <v>3706</v>
      </c>
      <c r="B29" s="114">
        <v>148.97884120000001</v>
      </c>
      <c r="C29" s="40" t="s">
        <v>3702</v>
      </c>
    </row>
    <row r="30" spans="1:3" x14ac:dyDescent="0.25">
      <c r="A30" s="45" t="s">
        <v>3707</v>
      </c>
      <c r="B30" s="114">
        <v>202.565967</v>
      </c>
      <c r="C30" s="40" t="s">
        <v>3708</v>
      </c>
    </row>
    <row r="31" spans="1:3" s="113" customFormat="1" x14ac:dyDescent="0.25">
      <c r="A31" s="172" t="s">
        <v>544</v>
      </c>
      <c r="B31" s="173">
        <v>7992.2839200999997</v>
      </c>
      <c r="C31" s="174" t="s">
        <v>249</v>
      </c>
    </row>
    <row r="32" spans="1:3" x14ac:dyDescent="0.25">
      <c r="A32" s="45" t="s">
        <v>3709</v>
      </c>
      <c r="B32" s="114">
        <v>199.34621999999999</v>
      </c>
      <c r="C32" s="40" t="s">
        <v>3708</v>
      </c>
    </row>
    <row r="33" spans="1:3" x14ac:dyDescent="0.25">
      <c r="A33" s="45" t="s">
        <v>3710</v>
      </c>
      <c r="B33" s="114">
        <v>244.41705999999999</v>
      </c>
      <c r="C33" s="40" t="s">
        <v>3680</v>
      </c>
    </row>
    <row r="34" spans="1:3" x14ac:dyDescent="0.25">
      <c r="A34" s="45" t="s">
        <v>3711</v>
      </c>
      <c r="B34" s="114">
        <v>101.68428</v>
      </c>
      <c r="C34" s="40" t="s">
        <v>3697</v>
      </c>
    </row>
    <row r="35" spans="1:3" x14ac:dyDescent="0.25">
      <c r="A35" s="45" t="s">
        <v>3712</v>
      </c>
      <c r="B35" s="114">
        <v>933.53399999999999</v>
      </c>
      <c r="C35" s="40" t="s">
        <v>3680</v>
      </c>
    </row>
    <row r="36" spans="1:3" x14ac:dyDescent="0.25">
      <c r="A36" s="45" t="s">
        <v>3713</v>
      </c>
      <c r="B36" s="114">
        <v>13.755540000000002</v>
      </c>
      <c r="C36" s="40" t="s">
        <v>246</v>
      </c>
    </row>
    <row r="37" spans="1:3" x14ac:dyDescent="0.25">
      <c r="A37" s="45" t="s">
        <v>3714</v>
      </c>
      <c r="B37" s="114">
        <v>346.74578000000002</v>
      </c>
      <c r="C37" s="40" t="s">
        <v>3715</v>
      </c>
    </row>
    <row r="38" spans="1:3" x14ac:dyDescent="0.25">
      <c r="A38" s="45" t="s">
        <v>3716</v>
      </c>
      <c r="B38" s="114">
        <v>172.62295999999998</v>
      </c>
      <c r="C38" s="40" t="s">
        <v>3680</v>
      </c>
    </row>
    <row r="39" spans="1:3" x14ac:dyDescent="0.25">
      <c r="A39" s="45" t="s">
        <v>3717</v>
      </c>
      <c r="B39" s="114">
        <v>81.35942</v>
      </c>
      <c r="C39" s="40" t="s">
        <v>3718</v>
      </c>
    </row>
    <row r="40" spans="1:3" x14ac:dyDescent="0.25">
      <c r="A40" s="45" t="s">
        <v>3719</v>
      </c>
      <c r="B40" s="114">
        <v>552.16942000000006</v>
      </c>
      <c r="C40" s="40" t="s">
        <v>3708</v>
      </c>
    </row>
    <row r="41" spans="1:3" x14ac:dyDescent="0.25">
      <c r="A41" s="45" t="s">
        <v>3720</v>
      </c>
      <c r="B41" s="114">
        <v>261.37117000000001</v>
      </c>
      <c r="C41" s="40" t="s">
        <v>3715</v>
      </c>
    </row>
    <row r="42" spans="1:3" x14ac:dyDescent="0.25">
      <c r="A42" s="45" t="s">
        <v>3721</v>
      </c>
      <c r="B42" s="114">
        <v>362.47865999999999</v>
      </c>
      <c r="C42" s="40" t="s">
        <v>3715</v>
      </c>
    </row>
    <row r="43" spans="1:3" x14ac:dyDescent="0.25">
      <c r="A43" s="45" t="s">
        <v>3722</v>
      </c>
      <c r="B43" s="114">
        <v>6.1715200000000001</v>
      </c>
      <c r="C43" s="40" t="s">
        <v>3697</v>
      </c>
    </row>
    <row r="44" spans="1:3" x14ac:dyDescent="0.25">
      <c r="A44" s="45" t="s">
        <v>3723</v>
      </c>
      <c r="B44" s="114">
        <v>620.40575000000001</v>
      </c>
      <c r="C44" s="40" t="s">
        <v>3718</v>
      </c>
    </row>
    <row r="45" spans="1:3" x14ac:dyDescent="0.25">
      <c r="A45" s="45" t="s">
        <v>3724</v>
      </c>
      <c r="B45" s="114">
        <v>1.1200000000000001E-3</v>
      </c>
      <c r="C45" s="40" t="s">
        <v>246</v>
      </c>
    </row>
    <row r="46" spans="1:3" x14ac:dyDescent="0.25">
      <c r="A46" s="45" t="s">
        <v>3725</v>
      </c>
      <c r="B46" s="114">
        <v>404.94216999999998</v>
      </c>
      <c r="C46" s="40" t="s">
        <v>3697</v>
      </c>
    </row>
    <row r="47" spans="1:3" x14ac:dyDescent="0.25">
      <c r="A47" s="45" t="s">
        <v>3726</v>
      </c>
      <c r="B47" s="114">
        <v>1035.9936399999999</v>
      </c>
      <c r="C47" s="40" t="s">
        <v>3727</v>
      </c>
    </row>
    <row r="48" spans="1:3" x14ac:dyDescent="0.25">
      <c r="A48" s="45" t="s">
        <v>3728</v>
      </c>
      <c r="B48" s="114">
        <v>884.18358999999998</v>
      </c>
      <c r="C48" s="40" t="s">
        <v>3708</v>
      </c>
    </row>
    <row r="49" spans="1:3" x14ac:dyDescent="0.25">
      <c r="A49" s="45" t="s">
        <v>3729</v>
      </c>
      <c r="B49" s="114">
        <v>167.90706</v>
      </c>
      <c r="C49" s="40" t="s">
        <v>3715</v>
      </c>
    </row>
    <row r="50" spans="1:3" x14ac:dyDescent="0.25">
      <c r="A50" s="45" t="s">
        <v>3730</v>
      </c>
      <c r="B50" s="114">
        <v>812.78243000000009</v>
      </c>
      <c r="C50" s="40" t="s">
        <v>3731</v>
      </c>
    </row>
    <row r="51" spans="1:3" x14ac:dyDescent="0.25">
      <c r="A51" s="45" t="s">
        <v>3732</v>
      </c>
      <c r="B51" s="114">
        <v>546.17016000000001</v>
      </c>
      <c r="C51" s="40" t="s">
        <v>3718</v>
      </c>
    </row>
    <row r="52" spans="1:3" x14ac:dyDescent="0.25">
      <c r="A52" s="45" t="s">
        <v>3733</v>
      </c>
      <c r="B52" s="114">
        <v>208.16125</v>
      </c>
      <c r="C52" s="40" t="s">
        <v>3731</v>
      </c>
    </row>
    <row r="53" spans="1:3" x14ac:dyDescent="0.25">
      <c r="A53" s="45" t="s">
        <v>3734</v>
      </c>
      <c r="B53" s="114">
        <v>36.080719999999999</v>
      </c>
      <c r="C53" s="40" t="s">
        <v>246</v>
      </c>
    </row>
    <row r="54" spans="1:3" x14ac:dyDescent="0.25">
      <c r="A54" t="s">
        <v>3677</v>
      </c>
    </row>
  </sheetData>
  <mergeCells count="1">
    <mergeCell ref="A4:C4"/>
  </mergeCells>
  <phoneticPr fontId="3" type="noConversion"/>
  <conditionalFormatting sqref="A8:C53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7" t="s">
        <v>98</v>
      </c>
      <c r="B4" s="238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9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7" t="s">
        <v>116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9" t="s">
        <v>144</v>
      </c>
      <c r="B16" s="210"/>
      <c r="C16" s="210"/>
      <c r="D16" s="210"/>
      <c r="E16" s="210"/>
      <c r="F16" s="210"/>
      <c r="G16" s="210"/>
      <c r="H16" s="211"/>
      <c r="I16" s="212"/>
      <c r="J16" s="213"/>
      <c r="K16" s="214"/>
      <c r="L16" s="213"/>
      <c r="M16" s="215"/>
      <c r="N16" s="216"/>
      <c r="O16" s="217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7" t="s">
        <v>117</v>
      </c>
      <c r="B4" s="238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9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119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9" t="s">
        <v>144</v>
      </c>
      <c r="B16" s="210"/>
      <c r="C16" s="210"/>
      <c r="D16" s="210"/>
      <c r="E16" s="210"/>
      <c r="F16" s="210"/>
      <c r="G16" s="210"/>
      <c r="H16" s="211"/>
      <c r="I16" s="212"/>
      <c r="J16" s="213"/>
      <c r="K16" s="214"/>
      <c r="L16" s="213"/>
      <c r="M16" s="215"/>
      <c r="N16" s="216"/>
      <c r="O16" s="217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zoomScaleNormal="100" workbookViewId="0">
      <selection activeCell="B1" sqref="B1:C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7" t="s">
        <v>118</v>
      </c>
      <c r="B4" s="238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9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120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9" t="s">
        <v>144</v>
      </c>
      <c r="B16" s="210"/>
      <c r="C16" s="210"/>
      <c r="D16" s="210"/>
      <c r="E16" s="210"/>
      <c r="F16" s="210"/>
      <c r="G16" s="210"/>
      <c r="H16" s="211"/>
      <c r="I16" s="212"/>
      <c r="J16" s="213"/>
      <c r="K16" s="214"/>
      <c r="L16" s="213"/>
      <c r="M16" s="215"/>
      <c r="N16" s="216"/>
      <c r="O16" s="217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2025-05-21T19:11:26Z</dcterms:modified>
</cp:coreProperties>
</file>