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0A3774AB-1C63-4907-87A2-A14E80DC8178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עתידיים'!$A$4:$G$13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מזומנים!$A$4:$K$29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סל'!$A$4:$M$28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<sst xmlns="http://schemas.openxmlformats.org/spreadsheetml/2006/main" count="3640" uniqueCount="408">
  <si>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</si>
  <si>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</si>
  <si>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</si>
  <si>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</si>
  <si>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</si>
  <si>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</si>
  <si>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</si>
  <si>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</si>
  <si>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</si>
  <si>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</si>
  <si>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</si>
  <si>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</si>
  <si>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</si>
  <si>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</si>
  <si>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</si>
  <si>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</si>
  <si>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</si>
  <si>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</si>
  <si>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</si>
  <si>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</si>
  <si>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</si>
  <si>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</si>
  <si>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</si>
  <si>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</si>
  <si>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</si>
  <si>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</si>
  <si>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</si>
  <si>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</si>
  <si>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</si>
  <si>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</si>
  <si>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</si>
  <si>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</si>
  <si>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</si>
  <si>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</si>
  <si>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</si>
  <si>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</si>
  <si>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</si>
  <si>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</si>
  <si>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</si>
  <si>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</si>
  <si>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</si>
  <si>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</si>
  <si>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</si>
  <si>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</si>
  <si>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</si>
  <si>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</si>
  <si>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</si>
  <si>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</si>
  <si>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</si>
  <si>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</si>
  <si>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</si>
  <si>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</si>
  <si>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</si>
  <si>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</si>
  <si>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</si>
  <si>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</si>
  <si>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</si>
  <si>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</si>
  <si>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</si>
  <si>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</si>
  <si>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</si>
  <si>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</si>
  <si>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</si>
  <si>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</si>
  <si>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</si>
  <si>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</si>
  <si>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</si>
  <si>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</si>
  <si>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</si>
  <si>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</si>
  <si>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</si>
  <si>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</si>
  <si>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</si>
  <si>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</si>
  <si>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</si>
  <si>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</si>
  <si>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</si>
  <si>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</si>
  <si>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</si>
  <si>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</si>
  <si>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</si>
  <si>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</si>
  <si>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</si>
  <si>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</si>
  <si>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</si>
  <si>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</si>
  <si>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</si>
  <si>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</si>
  <si>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</si>
  <si>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</si>
  <si>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</si>
  <si>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</si>
  <si>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</si>
  <si>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</si>
  <si>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</si>
  <si>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</si>
  <si>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</si>
  <si>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</si>
  <si>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</si>
  <si>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</si>
  <si>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</si>
  <si>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</si>
  <si>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</si>
  <si>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</si>
  <si>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</si>
  <si>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</si>
  <si>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</si>
  <si>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</si>
  <si>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</si>
  <si>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</si>
  <si>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</si>
  <si>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</si>
  <si>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</si>
  <si>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</si>
  <si>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</si>
  <si>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</si>
  <si>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</si>
  <si>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</si>
  <si>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</si>
  <si>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</si>
  <si>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</si>
  <si>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</si>
  <si>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</si>
  <si>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</si>
  <si>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</si>
  <si>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</si>
  <si>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</si>
  <si>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</si>
  <si>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</si>
  <si>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</si>
  <si>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</si>
  <si>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</si>
  <si>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</si>
  <si>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</si>
  <si>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</si>
  <si>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</si>
  <si>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</si>
  <si>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</si>
  <si>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</si>
  <si>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</si>
  <si>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</si>
  <si>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</si>
  <si>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</si>
  <si>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</si>
  <si>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</si>
  <si>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</si>
  <si>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</si>
  <si>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</si>
  <si>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</si>
  <si>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</si>
  <si>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</si>
  <si>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</si>
  <si>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</si>
  <si>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</si>
  <si>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</si>
  <si>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</si>
  <si>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</si>
  <si>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</si>
  <si>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</si>
  <si>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</si>
  <si>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</si>
  <si>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</si>
  <si>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</si>
  <si>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</si>
  <si>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</si>
  <si>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</si>
  <si>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</si>
  <si>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</si>
  <si>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</si>
  <si>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</si>
  <si>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</si>
  <si>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</si>
  <si>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</si>
  <si>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</si>
  <si>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</si>
  <si>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</si>
  <si>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</si>
  <si>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</si>
  <si>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</si>
  <si>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</si>
  <si>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</si>
  <si>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</si>
  <si>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</si>
  <si>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</si>
  <si>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</si>
  <si>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</si>
  <si>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</si>
  <si>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</si>
  <si>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</si>
  <si>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</si>
  <si>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</si>
  <si>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</si>
  <si>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</si>
  <si>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</si>
  <si>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</si>
  <si>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</si>
  <si>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</si>
  <si>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</si>
  <si>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</si>
  <si>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</si>
  <si>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</si>
  <si>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</si>
  <si>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</si>
  <si>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</si>
  <si>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</si>
  <si>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</si>
  <si>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</si>
  <si>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</si>
  <si>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</si>
  <si>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</si>
  <si>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</si>
  <si>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</si>
  <si>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</si>
  <si>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</si>
  <si>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</si>
  <si>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</si>
  <si>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</si>
  <si>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</si>
  <si>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</si>
  <si>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</si>
  <si>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</si>
  <si>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</si>
  <si>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</si>
  <si>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</si>
  <si>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</si>
  <si>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</si>
  <si>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</si>
  <si>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</si>
  <si>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</si>
  <si>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</si>
  <si>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</si>
  <si>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</si>
  <si>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</si>
  <si>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</si>
  <si>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</si>
  <si>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</si>
  <si>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</si>
  <si>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</si>
  <si>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</si>
  <si>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S&amp;P 500 כלל תמר מחקה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</si>
  <si>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</si>
  <si>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</si>
  <si>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</si>
  <si>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</si>
  <si>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</si>
  <si>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</si>
  <si>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13343</t>
  </si>
  <si>
    <t xml:space="preserve">סה"כ בישראל: </t>
  </si>
  <si>
    <t/>
  </si>
  <si>
    <t xml:space="preserve">יתרות מזומנים ועו"ש בש"ח </t>
  </si>
  <si>
    <t>30085810</t>
  </si>
  <si>
    <t>10</t>
  </si>
  <si>
    <t>ilAAA</t>
  </si>
  <si>
    <t>S&amp;P מעלות</t>
  </si>
  <si>
    <t>שקל חדש</t>
  </si>
  <si>
    <t>30054240</t>
  </si>
  <si>
    <t>25296163</t>
  </si>
  <si>
    <t>30058740</t>
  </si>
  <si>
    <t>12</t>
  </si>
  <si>
    <t xml:space="preserve">יתרות מזומנים ועו"ש נקובים במט"ח </t>
  </si>
  <si>
    <t>30054220</t>
  </si>
  <si>
    <t>26296163</t>
  </si>
  <si>
    <t>30058760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</si>
  <si>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</si>
  <si>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</si>
  <si>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</si>
  <si>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</si>
  <si>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</si>
  <si>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פק מחקה מדד לאומי בנק לאומי לישראל בע"מ</t>
  </si>
  <si>
    <t>68054220</t>
  </si>
  <si>
    <t xml:space="preserve">סה"כ בחו"ל: </t>
  </si>
  <si>
    <t>30060600</t>
  </si>
  <si>
    <t>22</t>
  </si>
  <si>
    <t>A3</t>
  </si>
  <si>
    <t>Moodys</t>
  </si>
  <si>
    <t>30056700</t>
  </si>
  <si>
    <t>98</t>
  </si>
  <si>
    <t>AA</t>
  </si>
  <si>
    <t>S&amp;P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</si>
  <si>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</si>
  <si>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</si>
  <si>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</si>
  <si>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</si>
  <si>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</si>
  <si>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</si>
  <si>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</si>
  <si>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</si>
  <si>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</si>
  <si>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</si>
  <si>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</si>
  <si>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</si>
  <si>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</si>
  <si>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</si>
  <si>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</si>
  <si>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</si>
  <si>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</si>
  <si>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</si>
  <si>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</si>
  <si>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</si>
  <si>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</si>
  <si>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</si>
  <si>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</si>
  <si>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</si>
  <si>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</si>
  <si>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</si>
  <si>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</si>
  <si>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VOO US Equity</t>
  </si>
  <si>
    <t>US9229083632</t>
  </si>
  <si>
    <t>SPXS LN Equity</t>
  </si>
  <si>
    <t>IE00B3YCGJ38</t>
  </si>
  <si>
    <t>LSE</t>
  </si>
  <si>
    <t>LSPU LN Equity</t>
  </si>
  <si>
    <t>LU0496786657</t>
  </si>
  <si>
    <t>HSPD LN Equity</t>
  </si>
  <si>
    <t>IE00B5KQNG97</t>
  </si>
  <si>
    <t>I500 NA Equity</t>
  </si>
  <si>
    <t>IE00BMTX1Y45</t>
  </si>
  <si>
    <t>XSXD LN Equity</t>
  </si>
  <si>
    <t>LU2009147757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</si>
  <si>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</si>
  <si>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</si>
  <si>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</si>
  <si>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</si>
  <si>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</si>
  <si>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</si>
  <si>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</si>
  <si>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</si>
  <si>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</si>
  <si>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09/2023 JPM ESU3 Index משתנה</t>
  </si>
  <si>
    <t>557000748</t>
  </si>
  <si>
    <t>09/2023 JPM ESU3 Index התחייבות</t>
  </si>
  <si>
    <t>557000749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</si>
  <si>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</si>
  <si>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</si>
  <si>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</si>
  <si>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</si>
  <si>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</si>
  <si>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</si>
  <si>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</si>
  <si>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</si>
  <si>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</si>
  <si>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</si>
  <si>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</si>
  <si>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</si>
  <si>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</si>
  <si>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</si>
  <si>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</si>
  <si>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</si>
  <si>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</si>
  <si>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</si>
  <si>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</si>
  <si>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</si>
  <si>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</si>
  <si>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</si>
  <si>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</si>
  <si>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</si>
  <si>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</si>
  <si>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</si>
  <si>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</si>
  <si>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</si>
  <si>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</si>
  <si>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</si>
  <si>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</si>
  <si>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</si>
  <si>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</si>
  <si>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</si>
  <si>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</si>
  <si>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</si>
  <si>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</si>
  <si>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</si>
  <si>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</si>
  <si>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</si>
  <si>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</si>
  <si>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</si>
  <si>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</si>
  <si>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</si>
  <si>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</si>
  <si>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</si>
  <si>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</si>
  <si>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</si>
  <si>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</si>
  <si>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</si>
  <si>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</si>
  <si>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</si>
  <si>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</si>
  <si>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</si>
  <si>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</si>
  <si>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</si>
  <si>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</si>
  <si>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פועלים בנק הפועלים בע"מ</t>
  </si>
  <si>
    <t>דולר  הפועלים בנק הפועלים בע"מ</t>
  </si>
  <si>
    <t>דולר  Citibank N.A סיטיבנק</t>
  </si>
  <si>
    <t>שקל  לאומי בנק לאומי לישראל בע"מ</t>
  </si>
  <si>
    <t>שקל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</si>
  <si>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</si>
  <si>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</si>
  <si>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Future  JPM USD JPM</t>
  </si>
  <si>
    <t>*בעל עניין/צד קשור</t>
  </si>
  <si>
    <t>סה"כ יתרות התחייבות להשקעה</t>
  </si>
  <si>
    <t>יין יפני</t>
  </si>
  <si>
    <t>עמודה1</t>
  </si>
  <si>
    <t>213800V799E5HN55US36</t>
  </si>
  <si>
    <t>635400KZRKKKNVCJXD85</t>
  </si>
  <si>
    <t>549300QKN7I8BYECLG85</t>
  </si>
  <si>
    <t>549300JWBW5ZYYLO6033</t>
  </si>
  <si>
    <t>549300NZAMSJ8FXPQQ63</t>
  </si>
  <si>
    <t>5493002789CX3L0CJP65</t>
  </si>
  <si>
    <t>54930044TWZ26JPZ4913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</si>
</sst>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A549C-3D19-48A9-8BCC-DB8BE821C70D}" name="סכום נכסי הקרן1" displayName="סכום_נכסי_הקרן1" ref="A5:C41" totalsRowShown="0" headerRowDxfId="635" dataDxfId="634">
  <tableColumns count="3">
    <tableColumn id="1" xr3:uid="{C072AF92-0F85-4CEA-95B4-79F843F199D2}" name="עמודה1" dataDxfId="633"/>
    <tableColumn id="2" xr3:uid="{E271C665-08F0-447D-9521-0E3C6A1DD8BF}" name="שווי הוגן" dataDxfId="632"/>
    <tableColumn id="3" xr3:uid="{5D4F8CBB-24CA-46F0-A3E7-DE491F8712D9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BCA15-DF65-43DF-A7E5-0603F4BFFAE4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1E2A78FB-794A-458D-B7B2-9A0FE4F2B42B}" name="שם המטבע" dataDxfId="625"/>
    <tableColumn id="2" xr3:uid="{9A428F81-0C50-46B1-B50F-E642EC5C7142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04EA3A-37FD-4C39-9430-051B6D08B058}" name="מזומנים1" displayName="מזומנים1" ref="A5:K34" totalsRowShown="0" headerRowDxfId="623" headerRowBorderDxfId="622" tableBorderDxfId="621" headerRowCellStyle="Percent">
  <tableColumns count="11">
    <tableColumn id="1" xr3:uid="{FDAB58AE-746D-46B9-B116-740573EA4CE0}" name="שם המנפיק/שם נייר ערך" dataDxfId="620"/>
    <tableColumn id="2" xr3:uid="{AD19E77E-F769-454E-A3BF-5587BE611ECC}" name="מספר נ&quot;ע" dataDxfId="619"/>
    <tableColumn id="3" xr3:uid="{E220F418-5CCF-4E8C-8FD3-35050A3FFA1D}" name="מספר מנפיק" dataDxfId="618"/>
    <tableColumn id="4" xr3:uid="{F6E82CEF-C763-4C18-BCE7-E3BF20E0A3F0}" name="דירוג" dataDxfId="617"/>
    <tableColumn id="5" xr3:uid="{AAF315A5-0A9F-4F55-AFBF-65F77198C82D}" name="שם מדרג" dataDxfId="616" dataCellStyle="Percent"/>
    <tableColumn id="6" xr3:uid="{E0630F36-D1BE-40D0-B0A3-0B3D83792136}" name="סוג מטבע" dataDxfId="615"/>
    <tableColumn id="7" xr3:uid="{E212DAD3-DEE7-4FD3-A2D9-5DA83F3490E6}" name="שעור ריבית" dataDxfId="614" dataCellStyle="Percent"/>
    <tableColumn id="8" xr3:uid="{F3360CA3-2FC7-4C4D-8A73-54B20CF93F31}" name="תשואה לפדיון" dataDxfId="613" dataCellStyle="Comma"/>
    <tableColumn id="9" xr3:uid="{93D9A1AB-2067-46E5-B34B-C94E7BC1087A}" name="שווי שוק" dataDxfId="612" dataCellStyle="Percent"/>
    <tableColumn id="10" xr3:uid="{57D9BBC8-3CFC-4DA0-A744-D257FAA9E5AF}" name="שעור מנכסי אפיק ההשקעה" dataDxfId="611" dataCellStyle="Percent"/>
    <tableColumn id="11" xr3:uid="{BA88D0FD-5600-4692-9B2D-8F7DC7C372F5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41740F-60D9-4232-8F9C-26AE8D3645CE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8A3BA601-FE7B-4312-B16E-4086C1918E80}" name="שם המנפיק/שם נייר ערך" dataDxfId="605"/>
    <tableColumn id="2" xr3:uid="{F50A420F-37B8-4614-8F21-43E01E7B22A2}" name="מספר נ&quot;ע" dataDxfId="604"/>
    <tableColumn id="3" xr3:uid="{6B3D9178-6023-4103-B86E-D7BA128CF7A0}" name="זירת מסחר" dataDxfId="603"/>
    <tableColumn id="4" xr3:uid="{8E2A7DCF-A6C4-4DE4-A952-660C3810E2C4}" name="דירוג" dataDxfId="602"/>
    <tableColumn id="5" xr3:uid="{0C9A2458-79B0-405C-983B-E612E0A31BBA}" name="שם מדרג" dataDxfId="601" dataCellStyle="Percent"/>
    <tableColumn id="6" xr3:uid="{C2E26253-CDDA-4827-9A9F-4609E6C35CA3}" name="תאריך רכישה" dataDxfId="600" dataCellStyle="Percent"/>
    <tableColumn id="7" xr3:uid="{208DBF1C-2B83-4FE6-BE3C-0410C1E0D25F}" name="מח&quot;מ" dataDxfId="599" dataCellStyle="Percent"/>
    <tableColumn id="8" xr3:uid="{FDDCDC70-986C-4D0A-8288-90F545751998}" name="סוג מטבע" dataDxfId="598"/>
    <tableColumn id="9" xr3:uid="{87CCADBF-5380-4B91-8640-02FBC1B0AE8B}" name="שעור ריבית" dataDxfId="597" dataCellStyle="Percent"/>
    <tableColumn id="10" xr3:uid="{F9E9ECD9-9ED1-499A-8FB0-FF0EB0913F0B}" name="תשואה לפדיון" dataDxfId="596" dataCellStyle="Comma"/>
    <tableColumn id="11" xr3:uid="{813FCF9C-1704-42C7-B439-4EBAB4292744}" name="ערך נקוב" dataDxfId="595" dataCellStyle="Comma"/>
    <tableColumn id="12" xr3:uid="{4EC2DD1D-42E8-4962-A8E4-26C18E7456B9}" name="שער" dataDxfId="594" dataCellStyle="Comma"/>
    <tableColumn id="13" xr3:uid="{F850F3AA-E3A2-41CE-81BB-7D1BD3823859}" name="פדיון/ריבית לקבל" dataDxfId="593" dataCellStyle="Comma"/>
    <tableColumn id="14" xr3:uid="{675A1965-5AEB-4120-9BFB-96068F5E9C7D}" name="שווי שוק" dataDxfId="592" dataCellStyle="Percent"/>
    <tableColumn id="15" xr3:uid="{F645BD99-5B11-4B8C-9A74-7FE1FDF786CD}" name="שעור מערך נקוב מונפק" dataDxfId="591" dataCellStyle="Percent"/>
    <tableColumn id="16" xr3:uid="{F39C92E7-B89D-4628-AC9A-7D9DDAC058EA}" name="שעור מנכסי אפיק ההשקעה" dataDxfId="590" dataCellStyle="Percent"/>
    <tableColumn id="17" xr3:uid="{6A9F8F28-E74E-41B2-9301-45731C0D187B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3E07DB-27D8-436E-A7A3-B03DD3652018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E0C0D9AD-1F99-4053-A36B-EFB2A33283BC}" name="שם המנפיק/שם נייר ערך" dataDxfId="584"/>
    <tableColumn id="2" xr3:uid="{2FC6DAF1-FE6F-463E-A0F0-E151AA54148B}" name="מספר נ&quot;ע" dataDxfId="583"/>
    <tableColumn id="3" xr3:uid="{38042195-EC36-40A5-81AD-930B49A674D7}" name="זירת מסחר" dataDxfId="582"/>
    <tableColumn id="4" xr3:uid="{CF1CB46F-FD5B-4951-93BF-01702DBFBE48}" name="ספק מידע" dataDxfId="581"/>
    <tableColumn id="5" xr3:uid="{115C2C88-E74C-45F2-80F2-BB17561D7C4B}" name="מספר מנפיק" dataDxfId="580"/>
    <tableColumn id="6" xr3:uid="{3C3924B3-C624-4458-8E99-1F373E770A36}" name="ענף מסחר" dataDxfId="579"/>
    <tableColumn id="7" xr3:uid="{5D1FDB3F-9493-42A1-A465-1BDA0449CC90}" name="דירוג" dataDxfId="578" dataCellStyle="Percent"/>
    <tableColumn id="8" xr3:uid="{130DBC38-E196-4C92-B846-1C1DA7405A85}" name="שם מדרג" dataDxfId="577" dataCellStyle="Percent"/>
    <tableColumn id="9" xr3:uid="{7DE02D54-5377-45B5-A51E-FC4A83DABAA5}" name="תאריך רכישה" dataDxfId="576" dataCellStyle="Percent"/>
    <tableColumn id="10" xr3:uid="{D19322FD-7D96-4029-ABFA-994A79A3D43B}" name="מח&quot;מ" dataDxfId="575"/>
    <tableColumn id="11" xr3:uid="{00C565FF-C2E6-4E0A-86FC-85233924AB57}" name="סוג מטבע" dataDxfId="574" dataCellStyle="Percent"/>
    <tableColumn id="12" xr3:uid="{1FE30F8E-4D63-4BF9-BA66-6967B9D598C9}" name="שעור ריבית" dataDxfId="573" dataCellStyle="Comma"/>
    <tableColumn id="13" xr3:uid="{D5D7F198-9087-41B3-8B09-34F40674E0AD}" name="תשואה לפדיון" dataDxfId="572" dataCellStyle="Comma"/>
    <tableColumn id="14" xr3:uid="{6BD63D2C-2D5A-4890-A42D-C13AECFCBAC9}" name="ערך נקוב" dataDxfId="571" dataCellStyle="Comma"/>
    <tableColumn id="15" xr3:uid="{D4AF68B3-A51E-4A16-855B-FCDA23157E52}" name="שער" dataDxfId="570" dataCellStyle="Percent"/>
    <tableColumn id="16" xr3:uid="{42FF0619-4E83-4F5C-A329-843AA3A306D2}" name="פדיון/ריבית לקבל" dataDxfId="569" dataCellStyle="Percent"/>
    <tableColumn id="17" xr3:uid="{AE56DFED-0576-4374-9881-1026E839CF6C}" name="שווי שוק" dataDxfId="568" dataCellStyle="Percent"/>
    <tableColumn id="18" xr3:uid="{01DABF32-C799-48F3-AB63-CE53C01B8486}" name="שעור מערך נקוב מונפק" dataDxfId="567" dataCellStyle="Comma"/>
    <tableColumn id="19" xr3:uid="{8368F4F3-BFA6-410A-8BE5-9718AE48BA1A}" name="שעור מנכסי אפיק ההשקעה" dataDxfId="566" dataCellStyle="Comma"/>
    <tableColumn id="20" xr3:uid="{A628443B-F403-4FB6-9CC4-538274D892C5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AE02F2-FF92-473E-9276-02A868D38F3E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522705EB-7616-4404-B5C0-16307825E2A9}" name="שם המנפיק/שם נייר ערך" dataDxfId="560"/>
    <tableColumn id="2" xr3:uid="{41C9D4DF-7BB5-43A0-A3D5-C4337E8F06F3}" name="מספר נ&quot;ע" dataDxfId="559"/>
    <tableColumn id="3" xr3:uid="{48E2FA37-840B-4EA5-A780-60BCBFA297F9}" name="זירת מסחר" dataDxfId="558"/>
    <tableColumn id="4" xr3:uid="{19C6737C-0D82-4BFD-B2CB-DD122E425449}" name="ספק מידע" dataDxfId="557"/>
    <tableColumn id="5" xr3:uid="{AF187238-1430-48DA-B11B-E5CD4B7E336B}" name="מספר מנפיק" dataDxfId="556"/>
    <tableColumn id="6" xr3:uid="{D5068A25-820B-4D9E-906D-F6203A7BDA49}" name="ענף מסחר" dataDxfId="555"/>
    <tableColumn id="7" xr3:uid="{A5885FF6-CC31-4475-9128-4A62D5C22BE4}" name="דירוג" dataDxfId="554" dataCellStyle="Percent"/>
    <tableColumn id="8" xr3:uid="{97177E57-1815-4D6C-B562-680FD1B7820F}" name="שם מדרג" dataDxfId="553" dataCellStyle="Percent"/>
    <tableColumn id="9" xr3:uid="{69845E40-217C-442B-80CB-EEA507F46F96}" name="תאריך רכישה" dataDxfId="552" dataCellStyle="Percent"/>
    <tableColumn id="10" xr3:uid="{348BF318-1428-4709-9FFD-0762873C31A9}" name="מח&quot;מ" dataDxfId="551"/>
    <tableColumn id="11" xr3:uid="{1284991E-D6A7-4777-9E47-12BB7DA05A31}" name="סוג מטבע" dataDxfId="550" dataCellStyle="Percent"/>
    <tableColumn id="12" xr3:uid="{A33D806F-D5CC-462F-B4C1-9FED360CE516}" name="שעור ריבית" dataDxfId="549" dataCellStyle="Comma"/>
    <tableColumn id="13" xr3:uid="{D3C224FA-C60E-4F3E-A9C4-330C9CDE429F}" name="תשואה לפדיון" dataDxfId="548" dataCellStyle="Comma"/>
    <tableColumn id="14" xr3:uid="{AA1D8756-8BBD-410B-94D5-A037A765AE45}" name="ערך נקוב" dataDxfId="547" dataCellStyle="Comma"/>
    <tableColumn id="15" xr3:uid="{9C1ADB78-0C01-4685-8998-2E4991C40BFE}" name="שער" dataDxfId="546" dataCellStyle="Percent"/>
    <tableColumn id="16" xr3:uid="{71E35F43-B674-400C-AFE1-126C0D01C6A1}" name="פדיון/ריבית לקבל" dataDxfId="545" dataCellStyle="Percent"/>
    <tableColumn id="17" xr3:uid="{63BC4777-F7A8-46EA-BD94-08F25F3406D6}" name="שווי שוק" dataDxfId="544" dataCellStyle="Percent"/>
    <tableColumn id="18" xr3:uid="{40847B4F-690E-4D8C-A0A8-4C14F9C830AE}" name="שעור מערך נקוב מונפק" dataDxfId="543" dataCellStyle="Comma"/>
    <tableColumn id="19" xr3:uid="{822762B8-37D5-49C9-916C-EB0BC9C6BAFE}" name="שעור מנכסי אפיק ההשקעה" dataDxfId="542" dataCellStyle="Comma"/>
    <tableColumn id="20" xr3:uid="{46C83606-E8CB-4D41-9A49-35C6E0343A37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73DE73-5829-414F-93B0-9238452175D6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DACEF4D0-0381-4600-A7CB-79E7675A0BA9}" name="שם המנפיק/שם נייר ערך" dataDxfId="536"/>
    <tableColumn id="2" xr3:uid="{6EDF9876-0787-42C3-954A-E4A65B80E471}" name="מספר נ&quot;ע" dataDxfId="535"/>
    <tableColumn id="3" xr3:uid="{FF28057B-65AB-4726-BEED-31A769A9F3A9}" name="זירת מסחר" dataDxfId="534"/>
    <tableColumn id="4" xr3:uid="{729BFAF5-BD5E-470F-8248-F362166D4BB8}" name="ספק מידע" dataDxfId="533"/>
    <tableColumn id="5" xr3:uid="{DD509205-8E5D-467A-A27D-8810E5766DFD}" name="מספר מנפיק" dataDxfId="532"/>
    <tableColumn id="6" xr3:uid="{B54FFC51-B355-4378-8BDB-45FDA112D080}" name="ענף מסחר" dataDxfId="531"/>
    <tableColumn id="7" xr3:uid="{C973FD98-55FF-41BB-A702-AA85F4F675B6}" name="סוג מטבע" dataDxfId="530" dataCellStyle="Percent"/>
    <tableColumn id="8" xr3:uid="{15A4C732-AFEF-4F8D-A59C-5C793CF2EB0E}" name="ערך נקוב" dataDxfId="529" dataCellStyle="Percent"/>
    <tableColumn id="9" xr3:uid="{E81E7C5D-BF79-456D-81AC-74333C6F254D}" name="שער" dataDxfId="528" dataCellStyle="Percent"/>
    <tableColumn id="10" xr3:uid="{A35C0BED-385A-4A3C-872E-64421195795E}" name="פדיון/ריבית לקבל" dataDxfId="527" dataCellStyle="Percent"/>
    <tableColumn id="11" xr3:uid="{AAD8E57C-A735-4A40-8CF9-29C796C9471A}" name="שווי שוק" dataDxfId="526"/>
    <tableColumn id="12" xr3:uid="{6CA48083-C22B-4ED1-B0D7-1F186D6F9807}" name="שעור מערך נקוב מונפק" dataDxfId="525" dataCellStyle="Percent"/>
    <tableColumn id="13" xr3:uid="{D001AEF6-AA14-47B6-BD27-4408ACE5BAA7}" name="שעור מנכסי אפיק ההשקעה" dataDxfId="524" dataCellStyle="Percent"/>
    <tableColumn id="14" xr3:uid="{EE31E6A5-0A06-4BCD-9D82-8A4F560624B0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83867E-40B4-47B9-BBAE-8663BEB7051D}" name="קרנות סל1" displayName="קרנות_סל1" ref="A6:M33" totalsRowShown="0" headerRowDxfId="522" dataDxfId="520" headerRowBorderDxfId="521" tableBorderDxfId="519" headerRowCellStyle="Percent" dataCellStyle="Percent">
  <tableColumns count="13">
    <tableColumn id="1" xr3:uid="{9638D761-B353-4448-9EE9-2CC5E4826691}" name="שם המנפיק/שם נייר ערך" dataDxfId="518"/>
    <tableColumn id="2" xr3:uid="{B30E0254-3365-4560-B4F0-808454352193}" name="מספר נ&quot;ע" dataDxfId="517"/>
    <tableColumn id="3" xr3:uid="{C04CDB9A-87DA-4DC9-A616-46561F0E4782}" name="זירת מסחר" dataDxfId="516"/>
    <tableColumn id="4" xr3:uid="{0F6831ED-0510-416D-B32F-25C854D5837A}" name="מספר מנפיק" dataDxfId="515"/>
    <tableColumn id="5" xr3:uid="{3818C383-6B2C-47CA-9EF5-BB28D04647AA}" name="ענף מסחר" dataDxfId="514"/>
    <tableColumn id="6" xr3:uid="{40364DAE-C9AF-4567-B272-2575B262D6CD}" name="סוג מטבע" dataDxfId="513"/>
    <tableColumn id="7" xr3:uid="{B30FCE21-409B-4A95-99A3-DC97EDCBE7A8}" name="ערך נקוב" dataDxfId="512" dataCellStyle="Percent"/>
    <tableColumn id="8" xr3:uid="{9F24707E-5F05-496B-B875-EFFF612ED755}" name="שער" dataDxfId="511" dataCellStyle="Percent"/>
    <tableColumn id="9" xr3:uid="{C9BBC548-CF54-4D59-B17C-8B0CFFD466EA}" name="פדיון/ריבית לקבל" dataDxfId="510" dataCellStyle="Percent"/>
    <tableColumn id="10" xr3:uid="{5C2955AA-D4E3-4568-88B8-4351329AEE04}" name="שווי שוק" dataDxfId="509" dataCellStyle="Percent"/>
    <tableColumn id="11" xr3:uid="{B1996302-11E8-48C2-9553-3BC41BDFA122}" name="שעור מערך נקוב מונפק" dataDxfId="508"/>
    <tableColumn id="12" xr3:uid="{66CA8A89-16E4-47E9-BDCE-F01AF53798C4}" name="שעור מנכסי אפיק ההשקעה" dataDxfId="507"/>
    <tableColumn id="13" xr3:uid="{42095B36-C8A1-4F21-BEBF-A93BB40C9832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168687-AEEA-49A1-BE61-B573563A8D19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9118BE17-8B5A-4965-82E8-F1E7983095C5}" name="שם המנפיק/שם נייר ערך" dataDxfId="501"/>
    <tableColumn id="2" xr3:uid="{0B1E79EE-5EF6-423D-A5B5-0966CB8904BC}" name="מספר נ&quot;ע" dataDxfId="500"/>
    <tableColumn id="3" xr3:uid="{73AEB227-14B4-46FE-AFD9-AD899B97FD4B}" name="זירת מסחר" dataDxfId="499"/>
    <tableColumn id="4" xr3:uid="{05F7A343-7951-4226-82A8-DE3288951B97}" name="מספר מנפיק" dataDxfId="498"/>
    <tableColumn id="5" xr3:uid="{18A50262-0C86-4202-A341-C093500EE190}" name="ענף מסחר" dataDxfId="497"/>
    <tableColumn id="6" xr3:uid="{4995257C-488C-4E43-AFAB-021610C522F5}" name="דירוג" dataDxfId="496" dataCellStyle="Percent"/>
    <tableColumn id="7" xr3:uid="{2957772B-054E-4F83-8778-4DCA10CE7C87}" name="שם מדרג" dataDxfId="495" dataCellStyle="Percent"/>
    <tableColumn id="8" xr3:uid="{B83F9BE9-B22F-4670-BE30-D975E50A7408}" name="סוג מטבע" dataDxfId="494" dataCellStyle="Percent"/>
    <tableColumn id="9" xr3:uid="{1D246390-0B66-40EC-9307-90EE320CC7CA}" name="ערך נקוב" dataDxfId="493"/>
    <tableColumn id="10" xr3:uid="{4A1E48E3-3756-4749-8D96-33676D932CFD}" name="שער" dataDxfId="492" dataCellStyle="Percent"/>
    <tableColumn id="11" xr3:uid="{7DF7BC86-364B-4556-944A-5229A4705162}" name="שווי שוק" dataDxfId="491" dataCellStyle="Comma"/>
    <tableColumn id="12" xr3:uid="{CA9A0AED-1210-4186-B055-6ED989D13578}" name="שעור מערך נקוב מונפק" dataDxfId="490" dataCellStyle="Comma"/>
    <tableColumn id="13" xr3:uid="{FAB16211-CD69-4E7E-BD43-95518F54EC7C}" name="שעור מנכסי אפיק ההשקעה" dataDxfId="489" dataCellStyle="Comma"/>
    <tableColumn id="14" xr3:uid="{886BC154-52DD-46BA-8784-5A531E5E8CE8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24D666-C943-4C10-BC80-88D2DC5206C9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4F885878-DD2B-4CD1-BCC1-9FAB999DCCF3}" name="שם המנפיק/שם נייר ערך" dataDxfId="483"/>
    <tableColumn id="2" xr3:uid="{ABB5F4C4-29C5-48D9-86B3-9AD24C2E6C45}" name="מספר נ&quot;ע" dataDxfId="482"/>
    <tableColumn id="3" xr3:uid="{D90F4E48-4025-43B4-AD6F-DB752FBAB272}" name="זירת מסחר" dataDxfId="481"/>
    <tableColumn id="4" xr3:uid="{9F976DA1-17BE-4B9A-84C3-EE9D268CDD3E}" name="ענף מסחר" dataDxfId="480"/>
    <tableColumn id="5" xr3:uid="{53F7D39A-C715-497E-8CD6-83B1746D2C55}" name="סוג מטבע" dataDxfId="479" dataCellStyle="Percent"/>
    <tableColumn id="6" xr3:uid="{3F02809F-2378-4411-9AF3-646B717EE44B}" name="ערך נקוב" dataDxfId="478" dataCellStyle="Percent"/>
    <tableColumn id="7" xr3:uid="{0752F4F6-0474-47F7-9144-99C19A247A27}" name="שער" dataDxfId="477" dataCellStyle="Percent"/>
    <tableColumn id="8" xr3:uid="{D89C87E4-E895-4F76-9365-2267A5B0F508}" name="שווי שוק" dataDxfId="476"/>
    <tableColumn id="9" xr3:uid="{1813FCCB-0AD4-478A-AE8A-D57026487E7C}" name="שעור מערך נקוב מונפק" dataDxfId="475" dataCellStyle="Percent"/>
    <tableColumn id="10" xr3:uid="{981F3AE3-B1E3-4404-B60C-61857CABC25A}" name="שעור מנכסי אפיק ההשקעה" dataDxfId="474" dataCellStyle="Percent"/>
    <tableColumn id="11" xr3:uid="{60E248CD-C699-41F4-8899-11784FCB1600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272567-CD13-4F5C-A8EC-768DFE373010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548A19E0-15B7-4074-A9F7-B92299C4F26C}" name="שם המנפיק/שם נייר ערך" dataDxfId="468"/>
    <tableColumn id="2" xr3:uid="{41BBE438-45FF-4B60-9EA3-BF998B1535E4}" name="מספר נ&quot;ע" dataDxfId="467"/>
    <tableColumn id="3" xr3:uid="{A26730C0-7841-4C2D-BA21-2CEA77003C9D}" name="זירת מסחר" dataDxfId="466"/>
    <tableColumn id="4" xr3:uid="{DF56B0E2-F6FB-432E-BD41-984911F81E8F}" name="ענף מסחר" dataDxfId="465"/>
    <tableColumn id="5" xr3:uid="{BB52E261-A871-4EA9-993B-7202EA724E7C}" name="סוג מטבע" dataDxfId="464"/>
    <tableColumn id="6" xr3:uid="{77923AA3-6C36-4A94-A154-F05DD1D084A4}" name="ערך נקוב" dataDxfId="463" dataCellStyle="Percent"/>
    <tableColumn id="7" xr3:uid="{E1986626-F571-4014-B70A-BD80DA5D59A8}" name="שער" dataDxfId="462" dataCellStyle="Percent"/>
    <tableColumn id="8" xr3:uid="{DDB0E470-25DB-43AD-8786-46DAE2864C4F}" name="שווי שוק" dataDxfId="461" dataCellStyle="Percent"/>
    <tableColumn id="9" xr3:uid="{4399CA00-78A4-4B09-A579-6D6FC1C8947D}" name="שעור מערך נקוב מונפק" dataDxfId="460"/>
    <tableColumn id="10" xr3:uid="{40AA1A27-C46F-4197-91FD-31A104309E0B}" name="שעור מנכסי אפיק ההשקעה" dataDxfId="459" dataCellStyle="Percent"/>
    <tableColumn id="11" xr3:uid="{718E1E11-81BE-460C-8B22-A457CD6DFD1C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259B7F-7308-4FBA-82DE-FEF82869C5F2}" name="חוזים עתידיים1" displayName="חוזים_עתידיים1" ref="A6:J18" totalsRowShown="0" headerRowDxfId="457" dataDxfId="455" headerRowBorderDxfId="456" tableBorderDxfId="454" headerRowCellStyle="Percent" dataCellStyle="Percent">
  <tableColumns count="10">
    <tableColumn id="1" xr3:uid="{8AA347DA-BC05-4D57-8DE7-E95E1CAF19C8}" name="שם המנפיק/שם נייר ערך" dataDxfId="453"/>
    <tableColumn id="2" xr3:uid="{F132AC29-3266-46E2-9351-A140E4ED3A6C}" name="מספר נ&quot;ע" dataDxfId="452"/>
    <tableColumn id="3" xr3:uid="{6C31FD07-782C-4B5B-8060-F2547E2B22E8}" name="זירת מסחר" dataDxfId="451"/>
    <tableColumn id="4" xr3:uid="{222731DA-EF59-45E5-860C-396349C8DB4D}" name="ענף מסחר" dataDxfId="450"/>
    <tableColumn id="5" xr3:uid="{45CEFE74-ACE9-4E43-9EFC-10D4F32676AE}" name="סוג מטבע" dataDxfId="449" dataCellStyle="Percent"/>
    <tableColumn id="6" xr3:uid="{621061DF-535E-435B-BDC6-D798D75F6AD8}" name="ערך נקוב" dataDxfId="448" dataCellStyle="Percent"/>
    <tableColumn id="7" xr3:uid="{5F809DAC-E17A-49A2-9752-1666D8F976A6}" name="שער" dataDxfId="447" dataCellStyle="Percent"/>
    <tableColumn id="8" xr3:uid="{F15226A9-C761-44A9-87C8-91FD4F3DF984}" name="שווי שוק" dataDxfId="446"/>
    <tableColumn id="9" xr3:uid="{AD5C15B3-6AC5-44A9-8C0E-95636BC01B73}" name="שעור מנכסי אפיק ההשקעה" dataDxfId="445"/>
    <tableColumn id="10" xr3:uid="{08DB20DC-7F99-4F77-82CA-9C78444BE827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1E34FB-8690-400B-9682-ABB3AF119BC2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24F2FA49-138E-4D32-810B-110D3617C5E6}" name="שם המנפיק/שם נייר ערך" dataDxfId="439"/>
    <tableColumn id="2" xr3:uid="{CA689E0E-8B6E-4F8F-A503-FF3B2C81244E}" name="מספר נ&quot;ע" dataDxfId="438"/>
    <tableColumn id="3" xr3:uid="{A8CAB97F-F219-43F9-B9E5-3BB4CDDF862D}" name="נכס הבסיס" dataDxfId="437"/>
    <tableColumn id="4" xr3:uid="{B8C75A2F-0AE1-4EA6-84B5-3DE73FC598B2}" name="דירוג" dataDxfId="436" dataCellStyle="Percent"/>
    <tableColumn id="5" xr3:uid="{821636AC-5B6C-40BC-973D-2F9A3EAE4A73}" name="שם מדרג" dataDxfId="435" dataCellStyle="Percent"/>
    <tableColumn id="6" xr3:uid="{211E36D9-5E98-4D71-9FC3-8AEA25A1791D}" name="תאריך רכישה" dataDxfId="434" dataCellStyle="Percent"/>
    <tableColumn id="7" xr3:uid="{BA88642E-A481-42AC-AAC4-00EB9B29C3A2}" name="מח&quot;מ" dataDxfId="433"/>
    <tableColumn id="8" xr3:uid="{A20429BE-6247-4CD9-8B9D-39AA48F57564}" name="סוג מטבע" dataDxfId="432" dataCellStyle="Percent"/>
    <tableColumn id="9" xr3:uid="{A88BC67C-1B08-4427-B01D-59CE240AE703}" name="שעור ריבית" dataDxfId="431" dataCellStyle="Comma"/>
    <tableColumn id="10" xr3:uid="{321812AB-ED3F-4BE6-BB21-A93CF7A52BB6}" name="תשואה לפדיון" dataDxfId="430" dataCellStyle="Comma"/>
    <tableColumn id="11" xr3:uid="{7EADDB48-C11D-4C3C-8C50-03BFDFA1F76B}" name="ערך נקוב" dataDxfId="429" dataCellStyle="Comma"/>
    <tableColumn id="12" xr3:uid="{E67D3A18-1BD8-4F52-8FDF-4751A8B2A41B}" name="שער" dataDxfId="428" dataCellStyle="Percent"/>
    <tableColumn id="13" xr3:uid="{2B09E9CE-B7B6-400C-8CEF-94D03AADAD8F}" name="שווי שוק" dataDxfId="427" dataCellStyle="Percent"/>
    <tableColumn id="14" xr3:uid="{C8D42085-B2C2-4465-B36D-7A1D4B8FAC99}" name="שעור מערך נקוב מונפק" dataDxfId="426" dataCellStyle="Comma"/>
    <tableColumn id="15" xr3:uid="{6C73CF2B-7E22-48DA-94AB-7DEB38A27D4D}" name="שעור מנכסי אפיק ההשקעה" dataDxfId="425" dataCellStyle="Comma"/>
    <tableColumn id="16" xr3:uid="{AB6A2770-8816-40E1-B8E0-5065E2CE6655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5EFBA0-1756-4086-90FE-3C85DEE3BE71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14223936-E491-4738-B731-C93C86EEEA6E}" name="שם המנפיק/שם נייר ערך" dataDxfId="419"/>
    <tableColumn id="2" xr3:uid="{A4D57509-63AA-4151-BDBC-994A30033A6C}" name="מספר נ&quot;ע" dataDxfId="418"/>
    <tableColumn id="3" xr3:uid="{93AD1963-443D-4060-82CD-81112B733562}" name="דירוג" dataDxfId="417"/>
    <tableColumn id="4" xr3:uid="{ED9F7A2E-AFD8-4757-BF85-6F4C05BE4872}" name="שם מדרג" dataDxfId="416" dataCellStyle="Percent"/>
    <tableColumn id="5" xr3:uid="{6C193E45-0D32-4425-9CBB-370D05F3D9F8}" name="תאריך רכישה" dataDxfId="415" dataCellStyle="Percent"/>
    <tableColumn id="6" xr3:uid="{39BBF9CF-AE43-4651-8186-566F9CC61F71}" name="מח&quot;מ" dataDxfId="414" dataCellStyle="Percent"/>
    <tableColumn id="7" xr3:uid="{19551C0B-BFBA-4ED2-A0E6-4BD88882EA60}" name="סוג מטבע" dataDxfId="413"/>
    <tableColumn id="8" xr3:uid="{C82D64F7-2C9A-42A9-80AB-DC03703C3297}" name="שעור ריבית" dataDxfId="412" dataCellStyle="Percent"/>
    <tableColumn id="9" xr3:uid="{E08A3281-F358-46E1-A493-DD5708A96296}" name="תשואה לפדיון" dataDxfId="411" dataCellStyle="Comma"/>
    <tableColumn id="10" xr3:uid="{8E562B1E-8778-468F-B206-79C678720E6F}" name="ערך נקוב" dataDxfId="410" dataCellStyle="Comma"/>
    <tableColumn id="11" xr3:uid="{9878EBB5-B61C-4027-B584-5CD7A65E1473}" name="שער" dataDxfId="409" dataCellStyle="Comma"/>
    <tableColumn id="12" xr3:uid="{7C830BEF-68ED-4909-9C1E-476861EA1E11}" name="שווי הוגן" dataDxfId="408" dataCellStyle="Percent"/>
    <tableColumn id="13" xr3:uid="{FDF95ADB-8BD3-4FA4-9083-457416BC3B0F}" name="שעור מערך נקוב מונפק" dataDxfId="407" dataCellStyle="Percent"/>
    <tableColumn id="14" xr3:uid="{E49F0E93-62A0-4D64-BBBF-C8D432B4DEB3}" name="שעור מנכסי אפיק ההשקעה" dataDxfId="406" dataCellStyle="Percent"/>
    <tableColumn id="15" xr3:uid="{B9032DB2-A6C1-4EAD-BD67-63FEA0C2EEDA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BFD932-F8C7-47E6-BDF4-16B690B89463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C1A113D3-893D-477B-8359-74988DE0B0B4}" name="שם המנפיק/שם נייר ערך" dataDxfId="400"/>
    <tableColumn id="2" xr3:uid="{4929918C-EC48-4756-A140-417EA4A7E0D5}" name="מספר נ&quot;ע" dataDxfId="399"/>
    <tableColumn id="3" xr3:uid="{0D7B35D4-D0EE-4665-BB67-4442218C445F}" name="ספק המידע" dataDxfId="398"/>
    <tableColumn id="4" xr3:uid="{06B05760-F029-43B3-8871-CD7FCDB7C3F0}" name="מספר מנפיק" dataDxfId="397"/>
    <tableColumn id="5" xr3:uid="{43113EAA-9A62-48C9-8896-5B448887B7FF}" name="ענף מסחר" dataDxfId="396"/>
    <tableColumn id="6" xr3:uid="{B788076D-4D88-4817-B701-5EB5B3F21E28}" name="דירוג" dataDxfId="395" dataCellStyle="Percent"/>
    <tableColumn id="7" xr3:uid="{D872F51D-901F-4C6D-8501-25337CB745C7}" name="שם מדרג" dataDxfId="394" dataCellStyle="Percent"/>
    <tableColumn id="8" xr3:uid="{6B602EE1-6518-448C-B48F-35EF78A1B097}" name="תאריך רכישה" dataDxfId="393" dataCellStyle="Percent"/>
    <tableColumn id="9" xr3:uid="{BADC65BF-3018-48C0-8D20-093A67B03707}" name="מח&quot;מ" dataDxfId="392"/>
    <tableColumn id="10" xr3:uid="{3A2E57BB-0C2B-43A0-8E61-47D202D3A08D}" name="סוג מטבע" dataDxfId="391" dataCellStyle="Percent"/>
    <tableColumn id="11" xr3:uid="{462AA461-D154-4611-86C1-5FEF127C58B6}" name="שעור ריבית" dataDxfId="390" dataCellStyle="Comma"/>
    <tableColumn id="12" xr3:uid="{7D52AC1C-3CFD-45D3-94B6-BAA6EFE0B64C}" name="תשואה לפדיון" dataDxfId="389" dataCellStyle="Comma"/>
    <tableColumn id="13" xr3:uid="{9366DBE5-F672-41A4-9074-02E8D612289F}" name="ערך נקוב" dataDxfId="388" dataCellStyle="Comma"/>
    <tableColumn id="14" xr3:uid="{8FDCE347-E438-42C5-9BDE-FE8BF52E57CF}" name="שער" dataDxfId="387" dataCellStyle="Percent"/>
    <tableColumn id="15" xr3:uid="{0EA7D9D5-2980-4BCA-8B61-1757110AD131}" name="שווי הוגן" dataDxfId="386" dataCellStyle="Percent"/>
    <tableColumn id="16" xr3:uid="{8CF78D55-BBB4-4ED0-A9FE-0776858BB157}" name="שעור מערך נקוב מונפק" dataDxfId="385" dataCellStyle="Comma"/>
    <tableColumn id="17" xr3:uid="{87DD3E77-D028-4AE7-9E4D-9DADAA363211}" name="שעור מנכסי אפיק ההשקעה" dataDxfId="384" dataCellStyle="Comma"/>
    <tableColumn id="18" xr3:uid="{E592BC9E-1A92-41FE-AEB5-8BB4D5A3288C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A0A533-B85B-4E7D-9847-B93E0AE43248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E80F525C-EBAA-4319-8204-6DF54B7356C3}" name="שם המנפיק/שם נייר ערך" dataDxfId="378"/>
    <tableColumn id="2" xr3:uid="{F62A0610-96D1-49BF-9447-2D9E453ABAF3}" name="מספר נ&quot;ע" dataDxfId="377"/>
    <tableColumn id="3" xr3:uid="{BB42573E-8DFB-49B3-9043-06E2F01E75FA}" name="ספק המידע" dataDxfId="376"/>
    <tableColumn id="4" xr3:uid="{EEC65241-2C6C-4D24-8996-EAAE990AB461}" name="מספר מנפיק" dataDxfId="375"/>
    <tableColumn id="5" xr3:uid="{197DDA1D-9910-472F-9321-D7AA14B85BE0}" name="ענף מסחר" dataDxfId="374"/>
    <tableColumn id="6" xr3:uid="{AA3DA93A-3850-4F47-9AFE-D6DE7C53DD48}" name="דירוג" dataDxfId="373" dataCellStyle="Percent"/>
    <tableColumn id="7" xr3:uid="{2456A1A6-48CE-41E1-A904-CB4DC027B14E}" name="שם מדרג" dataDxfId="372" dataCellStyle="Percent"/>
    <tableColumn id="8" xr3:uid="{49C864CA-328B-4F61-84A1-18AB084F9343}" name="תאריך רכישה" dataDxfId="371" dataCellStyle="Percent"/>
    <tableColumn id="9" xr3:uid="{A8DD7762-6E86-4647-8705-DDE68A67979C}" name="מח&quot;מ" dataDxfId="370"/>
    <tableColumn id="10" xr3:uid="{41A4BB95-98DE-4A5A-B9DD-F0446C4C5E73}" name="סוג מטבע" dataDxfId="369" dataCellStyle="Percent"/>
    <tableColumn id="11" xr3:uid="{AE4DCB15-8186-4088-BD89-3F8B2F9B22EE}" name="שעור ריבית" dataDxfId="368" dataCellStyle="Comma"/>
    <tableColumn id="12" xr3:uid="{538AB248-2DFA-4AC6-938A-759657D8DE35}" name="תשואה לפדיון" dataDxfId="367" dataCellStyle="Comma"/>
    <tableColumn id="13" xr3:uid="{3759CE67-A1F3-4FB7-9FB9-DF1D02668ED2}" name="ערך נקוב" dataDxfId="366" dataCellStyle="Comma"/>
    <tableColumn id="14" xr3:uid="{FA3D976B-C5FA-4258-B822-AFE35D93D14C}" name="שער" dataDxfId="365" dataCellStyle="Percent"/>
    <tableColumn id="15" xr3:uid="{B74A7085-E433-46A1-8D31-046230FAA326}" name="שווי הוגן" dataDxfId="364" dataCellStyle="Percent"/>
    <tableColumn id="16" xr3:uid="{76DFEE5B-108D-4C9C-B61A-D70679F5EF25}" name="שעור מערך נקוב מונפק" dataDxfId="363" dataCellStyle="Comma"/>
    <tableColumn id="17" xr3:uid="{2DCA1BA0-8F33-4DDF-B049-EF306203A21E}" name="שעור מנכסי אפיק ההשקעה" dataDxfId="362" dataCellStyle="Comma"/>
    <tableColumn id="18" xr3:uid="{74B05B9A-FAD1-440E-BDE6-82E11E6942FD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D0AF4F-3FB2-4B18-852F-ED598C63F745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B4BBB670-FC65-4964-BD29-2FA602101FC5}" name="שם המנפיק/שם נייר ערך" dataDxfId="356"/>
    <tableColumn id="2" xr3:uid="{B2D0302C-6B14-4681-A763-B6A4FBB4D99C}" name="מספר נ&quot;ע" dataDxfId="355"/>
    <tableColumn id="3" xr3:uid="{ED29B58D-F3E2-469B-A89D-07476C4E0058}" name="ספק המידע" dataDxfId="354"/>
    <tableColumn id="4" xr3:uid="{B6C2CE08-942D-4A3A-A1E2-C30813B0BDCB}" name="מספר מנפיק" dataDxfId="353"/>
    <tableColumn id="5" xr3:uid="{F781CFD9-018B-4C03-873C-9D2668A932D3}" name="ענף מסחר" dataDxfId="352"/>
    <tableColumn id="6" xr3:uid="{139D9A18-B828-458E-BB64-55B64C4D2B85}" name="סוג מטבע" dataDxfId="351" dataCellStyle="Percent"/>
    <tableColumn id="7" xr3:uid="{68E303E3-44C9-4B30-A934-ADC53EC693A4}" name="ערך נקוב" dataDxfId="350" dataCellStyle="Percent"/>
    <tableColumn id="8" xr3:uid="{A957AE97-C7C2-456E-8439-136ACAB5FB93}" name="שער" dataDxfId="349" dataCellStyle="Percent"/>
    <tableColumn id="9" xr3:uid="{90BE7016-F40A-4F56-B5C6-0FB643495C3D}" name="שווי שוק" dataDxfId="348"/>
    <tableColumn id="10" xr3:uid="{19386315-1D69-4311-B537-F2D2DDFA56BE}" name="שעור מערך נקוב מונפק" dataDxfId="347" dataCellStyle="Percent"/>
    <tableColumn id="11" xr3:uid="{AB547AF2-BB1E-41BC-9532-5FEA9C9DAA1D}" name="שעור מנכסי אפיק ההשקעה" dataDxfId="346" dataCellStyle="Percent"/>
    <tableColumn id="12" xr3:uid="{3BCCBB77-885B-4148-B49B-2F1FAE0FC881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64C2A17-E238-4FA2-ADC8-AB24B718DA1C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CE1D9CBE-FE5A-4388-85B6-0CC3354FCAB7}" name="שם המנפיק/שם נייר ערך" dataDxfId="340"/>
    <tableColumn id="2" xr3:uid="{161B0DF7-D07F-4165-9D82-D3E0211FAC22}" name="מספר נ&quot;ע" dataDxfId="339"/>
    <tableColumn id="3" xr3:uid="{5C90A67E-CC59-408D-B47D-5B602E865789}" name="סוג מטבע" dataDxfId="338" dataCellStyle="Percent"/>
    <tableColumn id="4" xr3:uid="{CB3124DF-766A-4D19-8493-C7EF780FC4D2}" name="תאריך רכישה" dataDxfId="337" dataCellStyle="Percent"/>
    <tableColumn id="5" xr3:uid="{13C900E4-FE5C-47EA-BD42-E56E77113EDB}" name="ערך נקוב" dataDxfId="336" dataCellStyle="Percent"/>
    <tableColumn id="6" xr3:uid="{BABA519F-BBAC-4ACD-A480-073ACB9EA227}" name="שער" dataDxfId="335"/>
    <tableColumn id="7" xr3:uid="{764EA9D2-974A-4C10-888E-C7DE5A5C563E}" name="שווי הוגן" dataDxfId="334" dataCellStyle="Percent"/>
    <tableColumn id="8" xr3:uid="{AC56C977-E163-426A-BB3E-D3EBBF2EA227}" name="שעור מערך נקוב מונפק" dataDxfId="333" dataCellStyle="Comma"/>
    <tableColumn id="9" xr3:uid="{FB2BA017-C819-4FE7-AD2F-E172BD14A426}" name="שעור מנכסי אפיק ההשקעה" dataDxfId="332" dataCellStyle="Comma"/>
    <tableColumn id="10" xr3:uid="{9FA573A9-1B13-4856-A74A-361F7AE43508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960783-0782-43F2-9EC2-4D64B919FFE4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6F59DCEB-7D3D-4223-B11A-D410AECFBC05}" name="שם המנפיק/שם נייר ערך" dataDxfId="326"/>
    <tableColumn id="2" xr3:uid="{B8DBDD48-7714-4A2B-B9C4-4C335CEE1BFF}" name="מספר נ&quot;ע" dataDxfId="325"/>
    <tableColumn id="3" xr3:uid="{DDB329EC-0A8E-499C-AC98-C08601911B3A}" name="ענף מסחר" dataDxfId="324"/>
    <tableColumn id="4" xr3:uid="{FC95CBBF-5BAF-43B0-B5B8-DAA7BC112AE6}" name="סוג מטבע" dataDxfId="323" dataCellStyle="Percent"/>
    <tableColumn id="5" xr3:uid="{8782541F-D824-47F8-A0A3-5F411705A3DD}" name="תאריך רכישה" dataDxfId="322" dataCellStyle="Percent"/>
    <tableColumn id="6" xr3:uid="{9CA11219-D792-4EF4-A94D-639A3F2037CA}" name="ערך נקוב" dataDxfId="321" dataCellStyle="Percent"/>
    <tableColumn id="7" xr3:uid="{3F4AABDE-28CF-4387-8A1B-9C65209C9146}" name="שער" dataDxfId="320"/>
    <tableColumn id="8" xr3:uid="{59464CDF-F3BA-4FAF-866B-DF85C34A267D}" name="שווי הוגן" dataDxfId="319" dataCellStyle="Percent"/>
    <tableColumn id="9" xr3:uid="{92895869-060B-4C74-B7CB-3D0C714EBD27}" name="שעור מערך נקוב מונפק" dataDxfId="318" dataCellStyle="Comma"/>
    <tableColumn id="10" xr3:uid="{8E9626ED-5A9A-45AB-B3B8-56BCAF53486A}" name="שעור מנכסי אפיק ההשקעה" dataDxfId="317" dataCellStyle="Comma"/>
    <tableColumn id="11" xr3:uid="{CE8776C4-E775-46B0-8B2B-6D681996BC6F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C0D7039-5699-40BE-8168-409A0199F7CA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45ACA5D5-1E07-4A56-A3A4-DE694A8F3A04}" name="שם המנפיק/שם נייר ערך" dataDxfId="311"/>
    <tableColumn id="2" xr3:uid="{1E60F055-D02C-417E-B6C2-A549CFD0F518}" name="מספר נ&quot;ע" dataDxfId="310"/>
    <tableColumn id="3" xr3:uid="{5D93DA72-FFEA-4D6D-B8D3-505A99C83334}" name="ענף מסחר" dataDxfId="309"/>
    <tableColumn id="4" xr3:uid="{D33BA225-8FAC-4E26-A1C6-C3D1882224F4}" name="סוג מטבע" dataDxfId="308" dataCellStyle="Percent"/>
    <tableColumn id="5" xr3:uid="{4FEEADF6-9536-496F-90E4-7964898532C4}" name="תאריך רכישה" dataDxfId="307" dataCellStyle="Percent"/>
    <tableColumn id="6" xr3:uid="{460EE5E9-44B0-4EC2-A23F-153BACA77793}" name="ערך נקוב" dataDxfId="306" dataCellStyle="Percent"/>
    <tableColumn id="7" xr3:uid="{097780FD-B82A-4A3D-97D3-19FBB518C076}" name="שער" dataDxfId="305"/>
    <tableColumn id="8" xr3:uid="{8011ABAB-A594-47E5-9482-8E517F8F1079}" name="שווי הוגן" dataDxfId="304" dataCellStyle="Percent"/>
    <tableColumn id="9" xr3:uid="{EDBD1281-6D6B-4E85-BF96-69D4CF1A2464}" name="שעור מערך נקוב מונפק" dataDxfId="303" dataCellStyle="Comma"/>
    <tableColumn id="10" xr3:uid="{FD31EFCE-5198-48ED-8E89-7891AB91E1AD}" name="שעור מנכסי אפיק ההשקעה" dataDxfId="302" dataCellStyle="Comma"/>
    <tableColumn id="11" xr3:uid="{7D07A48E-A40E-44F6-BBC7-E6F444CC72BB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109ABD-D23B-4648-859F-A80C21C088F7}" name="לא סחיר - חוזים עתידיים1" displayName="לא_סחיר___חוזים_עתידיים1" ref="A6:J25" totalsRowShown="0" headerRowDxfId="300" dataDxfId="298" headerRowBorderDxfId="299" tableBorderDxfId="297" headerRowCellStyle="Percent" dataCellStyle="Percent">
  <tableColumns count="10">
    <tableColumn id="1" xr3:uid="{F29CA3E3-0FFB-41A2-AC1D-2317D4C16C08}" name="שם המנפיק/שם נייר ערך" dataDxfId="296"/>
    <tableColumn id="2" xr3:uid="{C39AF003-6C96-43C7-B245-374C37325EDD}" name="מספר נ&quot;ע" dataDxfId="295"/>
    <tableColumn id="3" xr3:uid="{73B7141E-2048-49F9-A131-E624E9B756E5}" name="ענף מסחר" dataDxfId="294"/>
    <tableColumn id="4" xr3:uid="{4F804C36-3F9D-4D51-916E-C56B6A5227AD}" name="סוג מטבע" dataDxfId="293" dataCellStyle="Percent"/>
    <tableColumn id="5" xr3:uid="{4FA03255-22D9-4C48-86BA-6184C6F1BE5C}" name="תאריך רכישה" dataDxfId="292" dataCellStyle="Percent"/>
    <tableColumn id="6" xr3:uid="{0DDBB127-36FD-455D-9EBD-DBE884C0AEEB}" name="ערך נקוב" dataDxfId="291" dataCellStyle="Percent"/>
    <tableColumn id="7" xr3:uid="{6D26FA78-4404-43E6-BA4B-8829AFDC8974}" name="שער" dataDxfId="290"/>
    <tableColumn id="8" xr3:uid="{6260D458-984C-4874-8762-EC5DCF74368A}" name="שווי הוגן" dataDxfId="289" dataCellStyle="Percent"/>
    <tableColumn id="9" xr3:uid="{5B9E60CF-5969-43B1-8D17-3551BD1E707D}" name="שעור מנכסי אפיק ההשקעה" dataDxfId="288" dataCellStyle="Percent"/>
    <tableColumn id="10" xr3:uid="{7539E8A7-4315-4553-8456-94B7A8857BE0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842652-1BE5-440E-89CE-037DD3975BE1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46F403BC-895D-4E55-89F6-14C5329AD7E1}" name="שם המנפיק/שם נייר ערך" dataDxfId="282"/>
    <tableColumn id="2" xr3:uid="{E7ADBFF8-FC88-4AC9-A155-8EC3A858F3C1}" name="מספר נ&quot;ע" dataDxfId="281"/>
    <tableColumn id="3" xr3:uid="{DAD7FDD3-2801-42CD-8F66-A6AA156FE622}" name="נכס הבסיס" dataDxfId="280"/>
    <tableColumn id="4" xr3:uid="{41CA77B0-D8A3-448D-AD9C-FE34905930D2}" name="דירוג" dataDxfId="279" dataCellStyle="Percent"/>
    <tableColumn id="5" xr3:uid="{46A75A86-3728-48FA-908E-20945338D180}" name="שם מדרג" dataDxfId="278" dataCellStyle="Percent"/>
    <tableColumn id="6" xr3:uid="{B5C76D6D-AF84-49DF-9233-DAA4EC8FD01A}" name="תאריך רכישה" dataDxfId="277" dataCellStyle="Percent"/>
    <tableColumn id="7" xr3:uid="{5CE0B676-2E53-4977-AA7E-F4D0CB738B1B}" name="מח&quot;מ" dataDxfId="276"/>
    <tableColumn id="8" xr3:uid="{B25EAE1D-DCC7-4C92-8D2C-BD8FD9C50957}" name="סוג מטבע" dataDxfId="275" dataCellStyle="Percent"/>
    <tableColumn id="9" xr3:uid="{23863F55-8289-4B15-94BE-5B50A7F1227C}" name="שעור ריבית" dataDxfId="274" dataCellStyle="Comma"/>
    <tableColumn id="10" xr3:uid="{F9AD916A-73BB-4DE3-8622-3464C5923A8C}" name="תשואה לפדיון" dataDxfId="273" dataCellStyle="Comma"/>
    <tableColumn id="11" xr3:uid="{8645C35C-8281-4334-AB35-AEEFCBF0E745}" name="ערך נקוב" dataDxfId="272" dataCellStyle="Comma"/>
    <tableColumn id="12" xr3:uid="{C024ED46-900E-4FF6-9E5C-4EC0ACF5A66D}" name="שער" dataDxfId="271" dataCellStyle="Percent"/>
    <tableColumn id="13" xr3:uid="{A1F66636-93CB-4219-8EC4-1A836AF646AF}" name="שווי שוק" dataDxfId="270" dataCellStyle="Percent"/>
    <tableColumn id="14" xr3:uid="{07A37F91-81BC-43AC-9C53-628A8B947B0D}" name="שעור מערך נקוב מונפק" dataDxfId="269" dataCellStyle="Comma"/>
    <tableColumn id="15" xr3:uid="{8779439C-66F9-4110-9929-5432BD14FC52}" name="שעור מנכסי אפיק ההשקעה" dataDxfId="268" dataCellStyle="Comma"/>
    <tableColumn id="16" xr3:uid="{32C2C5C5-BE5F-464A-8C7D-94D2D1CFCC26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EF0370E-A70A-4F21-80D4-EAD239E5D155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01016CCA-36C2-4C95-A005-A3EC52430409}" name="שם המנפיק/שם נייר ערך" dataDxfId="262"/>
    <tableColumn id="2" xr3:uid="{85C35907-E2E4-4E3A-ABC2-9A6EEC256BFA}" name="קונסורציום" dataDxfId="261"/>
    <tableColumn id="3" xr3:uid="{2CAFA830-2122-4A0F-963B-5BDEA4E23A79}" name="מספר נ&quot;ע" dataDxfId="260"/>
    <tableColumn id="4" xr3:uid="{3AF6F13B-E0CD-45E9-BB2D-02D10F278DE9}" name="מספר מנפיק" dataDxfId="259"/>
    <tableColumn id="5" xr3:uid="{EEB3F98D-06E6-4B74-97FF-A3780523E0BE}" name="דירוג" dataDxfId="258"/>
    <tableColumn id="6" xr3:uid="{BBBAA5E3-564E-429D-B32D-41F8039B2ED3}" name="תאריך רכישה" dataDxfId="257" dataCellStyle="Percent"/>
    <tableColumn id="7" xr3:uid="{A0E2E7C5-A286-44FD-BC0A-C43C4655B17F}" name="שם מדרג" dataDxfId="256" dataCellStyle="Percent"/>
    <tableColumn id="8" xr3:uid="{3BF0DF64-DD82-4167-B231-6CD5768319FB}" name="מח&quot;מ" dataDxfId="255" dataCellStyle="Percent"/>
    <tableColumn id="9" xr3:uid="{810B1BA6-3B24-4E78-84F4-6326DFAF3369}" name="ענף משק" dataDxfId="254" dataCellStyle="Percent"/>
    <tableColumn id="10" xr3:uid="{D33BBC42-41A7-41D3-B14E-DC5F289152CC}" name="סוג מטבע" dataDxfId="253" dataCellStyle="Percent"/>
    <tableColumn id="11" xr3:uid="{669B362B-E586-42C0-9042-06A25C095A4A}" name="שעור ריבית ממוצע" dataDxfId="252"/>
    <tableColumn id="12" xr3:uid="{28C00832-54E5-44D0-9BD2-B6160850F041}" name="תשואה לפדיון" dataDxfId="251" dataCellStyle="Percent"/>
    <tableColumn id="13" xr3:uid="{58D7954E-AB28-4340-8CB1-B3BEAD5C0104}" name="ערך נקוב" dataDxfId="250" dataCellStyle="Comma"/>
    <tableColumn id="14" xr3:uid="{FBC0494A-CE7A-414E-B7F8-6483453383D3}" name="שער" dataDxfId="249" dataCellStyle="Comma"/>
    <tableColumn id="15" xr3:uid="{9F9057E8-D94A-44AD-A2EC-638F64FD9C51}" name="שווי הוגן" dataDxfId="248" dataCellStyle="Comma"/>
    <tableColumn id="16" xr3:uid="{31760535-88C0-434D-B728-A1B88E976FD9}" name="שעור מנכסי אפיק ההשקעה" dataDxfId="247" dataCellStyle="Comma"/>
    <tableColumn id="17" xr3:uid="{26E0E25D-C844-4808-938F-3B4A965A9BE3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31CAC07-B869-4327-B828-EFFE1A838000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1E6BED06-A09D-4C91-9D28-C1B3BC0869CF}" name="שם המנפיק/שם נייר ערך" dataDxfId="241"/>
    <tableColumn id="2" xr3:uid="{3B4F4232-D37C-4AB5-A2F8-D315654598E0}" name="מספר נ&quot;ע" dataDxfId="240"/>
    <tableColumn id="3" xr3:uid="{7E277732-883E-42D3-B7E3-CE25AE5DD53A}" name="מספר מנפיק" dataDxfId="239"/>
    <tableColumn id="4" xr3:uid="{1D85CB2F-477F-4A94-8C6E-8248CB52EFA5}" name="דירוג" dataDxfId="238"/>
    <tableColumn id="5" xr3:uid="{F4665B24-B863-4DE7-B124-7B3DBFFDFE9C}" name="שם מדרג" dataDxfId="237" dataCellStyle="Percent"/>
    <tableColumn id="6" xr3:uid="{BA86317B-489C-4841-AEF1-CC5285A83237}" name="מח&quot;מ" dataDxfId="236" dataCellStyle="Percent"/>
    <tableColumn id="7" xr3:uid="{7FF71B5D-158E-4966-BC72-209DD20629E4}" name="סוג מטבע" dataDxfId="235" dataCellStyle="Percent"/>
    <tableColumn id="8" xr3:uid="{F047770E-00C3-449D-A1EB-97D84CA18088}" name="תנאי ושיעור ריבית" dataDxfId="234"/>
    <tableColumn id="9" xr3:uid="{17C2F652-653D-4015-AAF5-D857122623FA}" name="תשואה לפדיון" dataDxfId="233" dataCellStyle="Percent"/>
    <tableColumn id="10" xr3:uid="{BA8F896C-203C-46A6-8A8B-15C2E0117CDB}" name="ערך נקוב" dataDxfId="232" dataCellStyle="Comma"/>
    <tableColumn id="11" xr3:uid="{274CF5C4-902C-434B-963C-89351E60DD4F}" name="שער" dataDxfId="231" dataCellStyle="Comma"/>
    <tableColumn id="12" xr3:uid="{16107E77-264C-4EB1-9FFA-1ACFC23A3200}" name="שווי הוגן" dataDxfId="230" dataCellStyle="Comma"/>
    <tableColumn id="13" xr3:uid="{3B7042A2-EBD7-4669-B16C-5198705EAA34}" name="שעור מנכסי אפיק ההשקעה" dataDxfId="229" dataCellStyle="Comma"/>
    <tableColumn id="14" xr3:uid="{146F1330-B518-4F2F-B765-EF7C3B2AA91F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290137D-108B-4BC7-83EB-8AE6BBDC068D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AF4FBF82-FB13-4BE1-9091-9055EA15BB7F}" name="שם המנפיק/שם נייר ערך" dataDxfId="223"/>
    <tableColumn id="2" xr3:uid="{68D3B051-3D7A-49A4-8E90-D5ADAAF09F0F}" name="תאריך שערוך אחרון" dataDxfId="222"/>
    <tableColumn id="3" xr3:uid="{9AEF1628-1C17-4785-B03A-60099D9218EF}" name="אופי הנכס" dataDxfId="221"/>
    <tableColumn id="4" xr3:uid="{1D0BA5D9-162D-4740-A903-3E8D53D7F265}" name="שעור תשואה במהלך התקופה" dataDxfId="220" dataCellStyle="Percent"/>
    <tableColumn id="5" xr3:uid="{B0A819C4-02AB-4EA2-A3C8-836DA784F9A7}" name="סוג מטבע" dataDxfId="219" dataCellStyle="Percent"/>
    <tableColumn id="6" xr3:uid="{7562F83B-637C-47CD-BBE6-E6EA34466618}" name="שווי משוערך" dataDxfId="218" dataCellStyle="Percent"/>
    <tableColumn id="7" xr3:uid="{F31CC175-7D56-4C82-B1E1-E943E29A6C4C}" name="שעור מנכסי אפיק ההשקעה" dataDxfId="217" dataCellStyle="Percent"/>
    <tableColumn id="8" xr3:uid="{C25F500C-6D3D-4570-B28F-71501D551A12}" name="שעור מנכסי השקעה" dataDxfId="216" dataCellStyle="Percent"/>
    <tableColumn id="9" xr3:uid="{CE15EA34-C1AB-49A3-8025-B1711AEBF995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08DD43-2E6F-49F8-A29A-3B847B3D2B70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3E2C6E94-5E43-4151-A097-F6DD856C3A38}" name="שם המנפיק/שם נייר ערך" dataDxfId="210"/>
    <tableColumn id="2" xr3:uid="{CCDFF424-002C-4C86-885C-90DEDCE3F064}" name="מספר מנפיק" dataDxfId="209"/>
    <tableColumn id="3" xr3:uid="{975A389B-C197-4E42-AFD6-5DBAF5270F3D}" name="דירוג" dataDxfId="208"/>
    <tableColumn id="4" xr3:uid="{6FE9B02D-D19C-4107-AFD7-813F3A10F694}" name="שם המדרג" dataDxfId="207" dataCellStyle="Percent"/>
    <tableColumn id="5" xr3:uid="{E000813D-B1FB-4F55-BE60-FAE04137BD8B}" name="שעור הריבית" dataDxfId="206" dataCellStyle="Percent"/>
    <tableColumn id="6" xr3:uid="{E7DEEC02-2A96-4D5A-B496-3A90F79F626F}" name="סוג מטבע" dataDxfId="205" dataCellStyle="Percent"/>
    <tableColumn id="7" xr3:uid="{5F70DA78-0082-4583-875F-C797BCD1E590}" name="תשואה לפדיון" dataDxfId="204" dataCellStyle="Percent"/>
    <tableColumn id="8" xr3:uid="{5EF0782E-24DD-4D0F-A07A-ADC6EBDB6B98}" name="שווי הוגן" dataDxfId="203" dataCellStyle="Percent"/>
    <tableColumn id="9" xr3:uid="{C3CA6CC1-A3A2-4890-802D-90FE07F75F70}" name="שעור מנכסי אפיק ההשקעה" dataDxfId="202" dataCellStyle="Percent"/>
    <tableColumn id="10" xr3:uid="{BDE83107-151E-4869-8541-10B28B604F23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2027E9-9EAC-49D7-808C-49987679EA97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39AA1027-EBCA-47AE-BE31-28864B262EB9}" name="שם המנפיק/שם נייר ערך" dataDxfId="196"/>
    <tableColumn id="2" xr3:uid="{56B04192-FEFB-4598-A1B0-E67861DF6850}" name="מספר נייר" dataDxfId="195"/>
    <tableColumn id="3" xr3:uid="{FC201A71-90F3-4676-B846-6AC9E6094089}" name="דירוג" dataDxfId="194"/>
    <tableColumn id="4" xr3:uid="{0A4BC257-905A-4EA2-8953-C52997006948}" name="שם מדרג" dataDxfId="193"/>
    <tableColumn id="5" xr3:uid="{014B7F5F-9626-4C40-A7B5-929B71A31769}" name="שעור ריבית" dataDxfId="192" dataCellStyle="Percent"/>
    <tableColumn id="6" xr3:uid="{51FA0B6D-7B5F-4139-8B3A-7879119FE985}" name="סוג מטבע" dataDxfId="191" dataCellStyle="Percent"/>
    <tableColumn id="7" xr3:uid="{4E51A335-58C8-4380-873D-E81C9DC6D48D}" name="תשואה לפדיון" dataDxfId="190" dataCellStyle="Percent"/>
    <tableColumn id="8" xr3:uid="{59ADF2E5-82B0-4C00-B17B-2D4C2995426B}" name="שווי הוגן" dataDxfId="189" dataCellStyle="Percent"/>
    <tableColumn id="9" xr3:uid="{07201D22-1979-4456-8E6C-CC63859A16E1}" name="שעור מנכסי אפיק ההשקעה" dataDxfId="188" dataCellStyle="Percent"/>
    <tableColumn id="10" xr3:uid="{C9CC3C1E-CB7E-4D02-A4C7-398754AECCB5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E940B22-816B-4EBF-9DB1-FDFE66BC1E14}" name="יתרת התחייבות להשקעה1" displayName="יתרת_התחייבות_להשקעה1" ref="A5:C11" totalsRowShown="0" headerRowBorderDxfId="186" tableBorderDxfId="185">
  <tableColumns count="3">
    <tableColumn id="1" xr3:uid="{B0616F3C-2516-452D-B5CB-54A9FCB75328}" name="שם המנפיק/שם נייר ערך"/>
    <tableColumn id="2" xr3:uid="{207EC444-B201-4196-8D5A-6E27411139CC}" name="סכום ההתחייבות"/>
    <tableColumn id="3" xr3:uid="{48DB1FDD-6CE1-43E2-A79F-9FEC44C8B87A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9D959D7-D5C7-49D5-8933-8405BF786590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DE511968-5615-458A-929D-F6BA4973487B}" name="שם המנפיק/שם נייר ערך" dataDxfId="181"/>
    <tableColumn id="2" xr3:uid="{DC6EC281-0C1D-430C-90E6-573ADDC92FD3}" name="מספר ני&quot;ע" dataDxfId="180" dataCellStyle="Percent"/>
    <tableColumn id="3" xr3:uid="{710458CF-26AA-4ECA-918B-56E737E4B0CA}" name="ענף מסחר" dataDxfId="179" dataCellStyle="Percent"/>
    <tableColumn id="4" xr3:uid="{1E53EB5F-6A0B-4F9C-941C-017AA8BD8BE7}" name="דירוג" dataDxfId="178" dataCellStyle="Percent"/>
    <tableColumn id="5" xr3:uid="{CA594D4E-E0FC-425F-B575-EDED468F86BA}" name="שם מדרג" dataDxfId="177" dataCellStyle="Percent"/>
    <tableColumn id="6" xr3:uid="{C4FE6900-6E36-42F0-852F-E80AC3532E98}" name="תאריך רכישה" dataDxfId="176" dataCellStyle="Percent"/>
    <tableColumn id="7" xr3:uid="{FC75E4CD-B3F1-4E51-87EF-D12CB3A623B5}" name="מח&quot;מ" dataDxfId="175" dataCellStyle="Percent"/>
    <tableColumn id="8" xr3:uid="{9223C9B6-A22D-4467-9D77-3CD066477F64}" name="סוג מטבע" dataDxfId="174" dataCellStyle="Percent"/>
    <tableColumn id="9" xr3:uid="{E31D61E8-39C8-48C2-9F31-238A0C22F4F9}" name="שיעור ריבית" dataDxfId="173" dataCellStyle="Percent"/>
    <tableColumn id="10" xr3:uid="{B5006B8E-0A3E-4B88-B6B3-A9C9FAAF3624}" name="ריבית אפקטיבית" dataDxfId="172" dataCellStyle="Percent"/>
    <tableColumn id="11" xr3:uid="{CA303E4E-B06C-4DAE-B844-BF5A459B870F}" name="ערך נקוב" dataDxfId="171" dataCellStyle="Comma"/>
    <tableColumn id="12" xr3:uid="{AD7F6781-8359-43D3-8E4B-B5545781D3FF}" name="עלות מתואמת" dataDxfId="170" dataCellStyle="Percent"/>
    <tableColumn id="13" xr3:uid="{C42A3C90-F9FB-4531-BC77-F6A2BEDAD141}" name="שעור מערך נקוב מונפק" dataDxfId="169" dataCellStyle="Comma"/>
    <tableColumn id="14" xr3:uid="{4C332C55-BB7F-4E8A-9F18-E676161F3D92}" name="שעור מנכסי אפיק ההשקעה" dataDxfId="168" dataCellStyle="Percent"/>
    <tableColumn id="15" xr3:uid="{ED8981E8-469E-4AFA-B9DF-E4DC0027D639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50BA6F-45ED-4FA0-A6A6-5224BB24EAF4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BC28F279-C443-475F-A3E9-57EAC189F6A9}" name="שם המנפיק/שם נייר ערך" dataDxfId="163"/>
    <tableColumn id="2" xr3:uid="{12116AF8-77E6-4A7C-A4B3-B88121781964}" name="מספר ני&quot;ע" dataDxfId="162" dataCellStyle="Percent"/>
    <tableColumn id="3" xr3:uid="{787E656D-08BA-49F0-A692-6414AE9F1334}" name="ענף מסחר" dataDxfId="161" dataCellStyle="Percent"/>
    <tableColumn id="4" xr3:uid="{2D30FCC0-40E1-476C-AB9D-403E2A686B08}" name="דירוג" dataDxfId="160" dataCellStyle="Percent"/>
    <tableColumn id="5" xr3:uid="{9BB2C5CF-1092-44F7-8116-900A6DEB9779}" name="שם מדרג" dataDxfId="159" dataCellStyle="Percent"/>
    <tableColumn id="6" xr3:uid="{1FD27E11-AF6E-4154-830D-4619B402D3F0}" name="תאריך רכישה" dataDxfId="158" dataCellStyle="Percent"/>
    <tableColumn id="7" xr3:uid="{3DEAD8DA-F97F-4608-8B37-D8DBF71EF280}" name="מח&quot;מ" dataDxfId="157" dataCellStyle="Percent"/>
    <tableColumn id="8" xr3:uid="{54B1A85D-DDAA-4F2E-B63C-19C49D3D4180}" name="סוג מטבע" dataDxfId="156" dataCellStyle="Percent"/>
    <tableColumn id="9" xr3:uid="{8C409B30-2D11-4A2E-A9F2-B2B1136690A1}" name="שיעור ריבית" dataDxfId="155" dataCellStyle="Percent"/>
    <tableColumn id="10" xr3:uid="{BB7A240F-4D2C-4DD3-BDA4-31932FFE2574}" name="ריבית אפקטיבית" dataDxfId="154" dataCellStyle="Percent"/>
    <tableColumn id="11" xr3:uid="{4917D719-9EB3-47A3-853A-7BCFA4494290}" name="ערך נקוב" dataDxfId="153" dataCellStyle="Comma"/>
    <tableColumn id="12" xr3:uid="{B27AD036-5EE8-4036-BA08-5A9ACFC3B55F}" name="עלות מתואמת" dataDxfId="152" dataCellStyle="Percent"/>
    <tableColumn id="13" xr3:uid="{0EA232F4-3A1D-445E-B1E3-BBE772DEE6E1}" name="שעור מערך נקוב מונפק" dataDxfId="151" dataCellStyle="Comma"/>
    <tableColumn id="14" xr3:uid="{F16067C8-282C-45DE-AF12-086112238FCA}" name="שעור מנכסי אפיק ההשקעה" dataDxfId="150" dataCellStyle="Percent"/>
    <tableColumn id="15" xr3:uid="{F31EC3EC-1AAB-4A66-9C84-08BAB3F3BEC2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E657594-E7E7-457B-B9E5-20887B77C6C1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4D6B05B-9199-4367-B5E3-05F3C46F7850}" name="שם המנפיק/שם נייר ערך" dataDxfId="145"/>
    <tableColumn id="2" xr3:uid="{20696241-246E-433E-9C1C-EA6CAE1953B2}" name="מספר ני&quot;ע" dataDxfId="144" dataCellStyle="Percent"/>
    <tableColumn id="3" xr3:uid="{94B6EA0B-CC2D-48FA-ADB2-7B36139ABC9B}" name="ענף מסחר" dataDxfId="143" dataCellStyle="Percent"/>
    <tableColumn id="4" xr3:uid="{F159BDB6-420D-4234-8084-C872D514D6C7}" name="דירוג" dataDxfId="142" dataCellStyle="Percent"/>
    <tableColumn id="5" xr3:uid="{BE080677-A326-44C8-910E-DBBD1777F26F}" name="שם מדרג" dataDxfId="141" dataCellStyle="Percent"/>
    <tableColumn id="6" xr3:uid="{C6CCA20F-50FB-4C6E-A810-AFF5056DE927}" name="תאריך רכישה" dataDxfId="140" dataCellStyle="Percent"/>
    <tableColumn id="7" xr3:uid="{E1EE1054-DDF8-450B-BEBD-BFFDB8170BF8}" name="מח&quot;מ" dataDxfId="139" dataCellStyle="Percent"/>
    <tableColumn id="8" xr3:uid="{A79CB52D-9B98-40DB-806E-EE24EF7C7004}" name="סוג מטבע" dataDxfId="138" dataCellStyle="Percent"/>
    <tableColumn id="9" xr3:uid="{EFB41825-29B6-420A-9A40-4587F8E54998}" name="שיעור ריבית" dataDxfId="137" dataCellStyle="Percent"/>
    <tableColumn id="10" xr3:uid="{708E87AA-D9F7-40EE-8C96-F1EDE863FB90}" name="ריבית אפקטיבית" dataDxfId="136" dataCellStyle="Percent"/>
    <tableColumn id="11" xr3:uid="{E5C023C5-1620-40BA-8CD7-EE6B322CF812}" name="ערך נקוב" dataDxfId="135" dataCellStyle="Comma"/>
    <tableColumn id="12" xr3:uid="{7AA473AE-D837-4561-A434-897EAA225F46}" name="עלות מתואמת" dataDxfId="134" dataCellStyle="Percent"/>
    <tableColumn id="13" xr3:uid="{097C3317-FD25-485A-ACC8-6DE48D98869F}" name="שעור מערך נקוב מונפק" dataDxfId="133" dataCellStyle="Comma"/>
    <tableColumn id="14" xr3:uid="{D87A6B00-9329-45DC-BF9C-2954455BA51B}" name="שעור מנכסי אפיק ההשקעה" dataDxfId="132" dataCellStyle="Percent"/>
    <tableColumn id="15" xr3:uid="{EBDEF6D5-4CE7-4E20-85D2-E0CC3576D661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F22D6CC-6C5E-4445-9710-C3DF78F43512}" name="טבלה32" displayName="טבלה32" ref="A1:B72" headerRowCount="0" totalsRowShown="0">
  <tableColumns count="2">
    <tableColumn id="1" xr3:uid="{30CC14F5-98B8-4F7F-8411-3F58390DDAB3}" name="עמודה1"/>
    <tableColumn id="2" xr3:uid="{BD113153-9A55-456C-A64D-E8C9796F4503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400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256884.38462028699</v>
      </c>
      <c r="C9" s="177">
        <v>0.48735003053596343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270458.98728420917</v>
      </c>
      <c r="C10" s="177">
        <v>0.51310318416791678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1.3280099601205306E-12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9.4857854294323612E-13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1.1382942515318836E-12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1.3280099601205306E-12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264087.46781577478</v>
      </c>
      <c r="C15" s="177">
        <v>0.50101541086051282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3.7943141717729453E-13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1.7074413772978252E-12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6371.5194636343422</v>
      </c>
      <c r="C19" s="177">
        <v>1.2087773298297468E-2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2.2765885030637672E-12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6.3000000000000007E-6</v>
      </c>
      <c r="C21" s="177">
        <v>1.1952089641084777E-11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1.3280099601205306E-12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1.1382942515318836E-12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1.1382942515318836E-12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5.6914712576594179E-13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1.5177256687091781E-12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3.7943141717729453E-13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1.8971570858864722E-12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9.0000000000000007E-7</v>
      </c>
      <c r="C29" s="177">
        <v>1.7074413772978252E-12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2.2765885030637672E-12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2.4663042116524146E-12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1.1382942515318836E-12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7.5886283435458906E-13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3.7943141717729453E-13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-238.89150979999999</v>
      </c>
      <c r="C35" s="177">
        <v>-4.5321472057518764E-4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527104.48040349619</v>
      </c>
      <c r="C40" s="173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4.0185000000000004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4.6707000000000001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2.7898000000000001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2.4517000000000002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0.47220000000000001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2.2509999999999999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0.54149999999999998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0.34229999999999999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399</v>
      </c>
      <c r="C53" s="188">
        <v>2.5581999999999998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0.2165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4.1134000000000004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0.50839999999999996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0.77429999999999999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0.16900000000000001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0.34350000000000003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0.89990000000000003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4.5388320000000003E-2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2.4605500000000002E-4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4.2000000000000003E-2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2.7989999999999998E-3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6.7000000000000004E-2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4"/>
  <sheetViews>
    <sheetView rightToLeft="1" zoomScale="90" workbookViewId="0"/>
  </sheetViews>
  <sheetFormatPr defaultColWidth="9.109375" defaultRowHeight="13.2" x14ac:dyDescent="0.25"/>
  <cols>
    <col min="1" max="1" width="43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2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256884.38462028699</v>
      </c>
      <c r="J8" s="74">
        <v>1</v>
      </c>
      <c r="K8" s="56">
        <v>0.48735003053596343</v>
      </c>
    </row>
    <row r="9" spans="1:11" s="110" customFormat="1" x14ac:dyDescent="0.25">
      <c r="A9" s="88" t="s">
        <v>247</v>
      </c>
      <c r="B9" s="112" t="s">
        <v>248</v>
      </c>
      <c r="C9" s="112" t="s">
        <v>248</v>
      </c>
      <c r="D9" s="113" t="s">
        <v>248</v>
      </c>
      <c r="E9" s="113" t="s">
        <v>248</v>
      </c>
      <c r="F9" s="113" t="s">
        <v>248</v>
      </c>
      <c r="G9" s="112" t="s">
        <v>248</v>
      </c>
      <c r="H9" s="112" t="s">
        <v>248</v>
      </c>
      <c r="I9" s="114">
        <v>223657.13801624058</v>
      </c>
      <c r="J9" s="112">
        <v>0.87065291394351907</v>
      </c>
      <c r="K9" s="112">
        <v>0.42431272419659954</v>
      </c>
    </row>
    <row r="10" spans="1:11" s="110" customFormat="1" x14ac:dyDescent="0.25">
      <c r="A10" s="89" t="s">
        <v>249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2" t="s">
        <v>248</v>
      </c>
      <c r="H10" s="112" t="s">
        <v>248</v>
      </c>
      <c r="I10" s="115">
        <v>-5070.3687324662933</v>
      </c>
      <c r="J10" s="112">
        <v>-1.9737940630221825E-2</v>
      </c>
      <c r="K10" s="112">
        <v>-9.6192859688556398E-3</v>
      </c>
    </row>
    <row r="11" spans="1:11" x14ac:dyDescent="0.25">
      <c r="A11" s="16" t="s">
        <v>389</v>
      </c>
      <c r="B11" s="32" t="s">
        <v>257</v>
      </c>
      <c r="C11" s="32" t="s">
        <v>258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3.7581930669913894E-3</v>
      </c>
      <c r="J11" s="32">
        <v>1.4629900811396351E-8</v>
      </c>
      <c r="K11" s="32">
        <v>7.129882607172128E-9</v>
      </c>
    </row>
    <row r="12" spans="1:11" x14ac:dyDescent="0.25">
      <c r="A12" s="16" t="s">
        <v>392</v>
      </c>
      <c r="B12" s="32" t="s">
        <v>250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-5087.294954</v>
      </c>
      <c r="J12" s="32">
        <v>-1.9803831056215318E-2</v>
      </c>
      <c r="K12" s="32">
        <v>-9.6513976699755949E-3</v>
      </c>
    </row>
    <row r="13" spans="1:11" x14ac:dyDescent="0.25">
      <c r="A13" s="16" t="s">
        <v>392</v>
      </c>
      <c r="B13" s="32" t="s">
        <v>255</v>
      </c>
      <c r="C13" s="32" t="s">
        <v>251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2.5463306734800861E-2</v>
      </c>
      <c r="J13" s="32">
        <v>9.912360680248969E-8</v>
      </c>
      <c r="K13" s="32">
        <v>4.8307892802028184E-8</v>
      </c>
    </row>
    <row r="14" spans="1:11" x14ac:dyDescent="0.25">
      <c r="A14" s="16" t="s">
        <v>393</v>
      </c>
      <c r="B14" s="32" t="s">
        <v>256</v>
      </c>
      <c r="C14" s="32" t="s">
        <v>251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16.896999933904656</v>
      </c>
      <c r="J14" s="32">
        <v>6.5776672096596735E-5</v>
      </c>
      <c r="K14" s="32">
        <v>3.2056263154830473E-5</v>
      </c>
    </row>
    <row r="15" spans="1:11" s="110" customFormat="1" x14ac:dyDescent="0.25">
      <c r="A15" s="89" t="s">
        <v>259</v>
      </c>
      <c r="B15" s="112" t="s">
        <v>248</v>
      </c>
      <c r="C15" s="112" t="s">
        <v>248</v>
      </c>
      <c r="D15" s="113" t="s">
        <v>248</v>
      </c>
      <c r="E15" s="113" t="s">
        <v>248</v>
      </c>
      <c r="F15" s="113" t="s">
        <v>248</v>
      </c>
      <c r="G15" s="112" t="s">
        <v>248</v>
      </c>
      <c r="H15" s="112" t="s">
        <v>248</v>
      </c>
      <c r="I15" s="115">
        <v>87859.796149954796</v>
      </c>
      <c r="J15" s="112">
        <v>0.34202077436440725</v>
      </c>
      <c r="K15" s="112">
        <v>0.16668383483042776</v>
      </c>
    </row>
    <row r="16" spans="1:11" x14ac:dyDescent="0.25">
      <c r="A16" s="16" t="s">
        <v>390</v>
      </c>
      <c r="B16" s="32" t="s">
        <v>262</v>
      </c>
      <c r="C16" s="32" t="s">
        <v>258</v>
      </c>
      <c r="D16" s="63" t="s">
        <v>252</v>
      </c>
      <c r="E16" s="63" t="s">
        <v>253</v>
      </c>
      <c r="F16" s="63" t="s">
        <v>125</v>
      </c>
      <c r="G16" s="32">
        <v>0</v>
      </c>
      <c r="H16" s="32">
        <v>0</v>
      </c>
      <c r="I16" s="81">
        <v>84628.742422338953</v>
      </c>
      <c r="J16" s="32">
        <v>0.32944292253276786</v>
      </c>
      <c r="K16" s="32">
        <v>0.16055401835620145</v>
      </c>
    </row>
    <row r="17" spans="1:11" x14ac:dyDescent="0.25">
      <c r="A17" s="16" t="s">
        <v>394</v>
      </c>
      <c r="B17" s="32" t="s">
        <v>260</v>
      </c>
      <c r="C17" s="32" t="s">
        <v>251</v>
      </c>
      <c r="D17" s="63" t="s">
        <v>252</v>
      </c>
      <c r="E17" s="63" t="s">
        <v>253</v>
      </c>
      <c r="F17" s="63" t="s">
        <v>125</v>
      </c>
      <c r="G17" s="32">
        <v>0</v>
      </c>
      <c r="H17" s="32">
        <v>0</v>
      </c>
      <c r="I17" s="81">
        <v>5602.1071276727916</v>
      </c>
      <c r="J17" s="32">
        <v>2.1807892822888131E-2</v>
      </c>
      <c r="K17" s="32">
        <v>1.0628077233159549E-2</v>
      </c>
    </row>
    <row r="18" spans="1:11" x14ac:dyDescent="0.25">
      <c r="A18" s="16" t="s">
        <v>395</v>
      </c>
      <c r="B18" s="32" t="s">
        <v>261</v>
      </c>
      <c r="C18" s="32" t="s">
        <v>251</v>
      </c>
      <c r="D18" s="63" t="s">
        <v>252</v>
      </c>
      <c r="E18" s="63" t="s">
        <v>253</v>
      </c>
      <c r="F18" s="63" t="s">
        <v>125</v>
      </c>
      <c r="G18" s="32">
        <v>0</v>
      </c>
      <c r="H18" s="32">
        <v>0</v>
      </c>
      <c r="I18" s="81">
        <v>-2371.0534001569463</v>
      </c>
      <c r="J18" s="32">
        <v>-9.2300409916379819E-3</v>
      </c>
      <c r="K18" s="32">
        <v>-4.4982607591229637E-3</v>
      </c>
    </row>
    <row r="19" spans="1:11" s="110" customFormat="1" x14ac:dyDescent="0.25">
      <c r="A19" s="89" t="s">
        <v>263</v>
      </c>
      <c r="B19" s="112" t="s">
        <v>248</v>
      </c>
      <c r="C19" s="112" t="s">
        <v>248</v>
      </c>
      <c r="D19" s="113" t="s">
        <v>248</v>
      </c>
      <c r="E19" s="113" t="s">
        <v>248</v>
      </c>
      <c r="F19" s="113" t="s">
        <v>248</v>
      </c>
      <c r="G19" s="112" t="s">
        <v>248</v>
      </c>
      <c r="H19" s="112" t="s">
        <v>248</v>
      </c>
      <c r="I19" s="115">
        <v>0</v>
      </c>
      <c r="J19" s="112">
        <v>0</v>
      </c>
      <c r="K19" s="112">
        <v>0</v>
      </c>
    </row>
    <row r="20" spans="1:11" s="110" customFormat="1" x14ac:dyDescent="0.25">
      <c r="A20" s="89" t="s">
        <v>264</v>
      </c>
      <c r="B20" s="112" t="s">
        <v>248</v>
      </c>
      <c r="C20" s="112" t="s">
        <v>248</v>
      </c>
      <c r="D20" s="113" t="s">
        <v>248</v>
      </c>
      <c r="E20" s="113" t="s">
        <v>248</v>
      </c>
      <c r="F20" s="113" t="s">
        <v>248</v>
      </c>
      <c r="G20" s="112" t="s">
        <v>248</v>
      </c>
      <c r="H20" s="112" t="s">
        <v>248</v>
      </c>
      <c r="I20" s="115">
        <v>0</v>
      </c>
      <c r="J20" s="112">
        <v>0</v>
      </c>
      <c r="K20" s="112">
        <v>0</v>
      </c>
    </row>
    <row r="21" spans="1:11" s="110" customFormat="1" x14ac:dyDescent="0.25">
      <c r="A21" s="89" t="s">
        <v>265</v>
      </c>
      <c r="B21" s="112" t="s">
        <v>248</v>
      </c>
      <c r="C21" s="112" t="s">
        <v>248</v>
      </c>
      <c r="D21" s="113" t="s">
        <v>248</v>
      </c>
      <c r="E21" s="113" t="s">
        <v>248</v>
      </c>
      <c r="F21" s="113" t="s">
        <v>248</v>
      </c>
      <c r="G21" s="112" t="s">
        <v>248</v>
      </c>
      <c r="H21" s="112" t="s">
        <v>248</v>
      </c>
      <c r="I21" s="115">
        <v>0</v>
      </c>
      <c r="J21" s="112">
        <v>0</v>
      </c>
      <c r="K21" s="112">
        <v>0</v>
      </c>
    </row>
    <row r="22" spans="1:11" s="110" customFormat="1" x14ac:dyDescent="0.25">
      <c r="A22" s="89" t="s">
        <v>266</v>
      </c>
      <c r="B22" s="112" t="s">
        <v>248</v>
      </c>
      <c r="C22" s="112" t="s">
        <v>248</v>
      </c>
      <c r="D22" s="113" t="s">
        <v>248</v>
      </c>
      <c r="E22" s="113" t="s">
        <v>248</v>
      </c>
      <c r="F22" s="113" t="s">
        <v>248</v>
      </c>
      <c r="G22" s="112" t="s">
        <v>248</v>
      </c>
      <c r="H22" s="112" t="s">
        <v>248</v>
      </c>
      <c r="I22" s="115">
        <v>0</v>
      </c>
      <c r="J22" s="112">
        <v>0</v>
      </c>
      <c r="K22" s="112">
        <v>0</v>
      </c>
    </row>
    <row r="23" spans="1:11" s="110" customFormat="1" x14ac:dyDescent="0.25">
      <c r="A23" s="89" t="s">
        <v>267</v>
      </c>
      <c r="B23" s="112" t="s">
        <v>248</v>
      </c>
      <c r="C23" s="112" t="s">
        <v>248</v>
      </c>
      <c r="D23" s="113" t="s">
        <v>248</v>
      </c>
      <c r="E23" s="113" t="s">
        <v>248</v>
      </c>
      <c r="F23" s="113" t="s">
        <v>248</v>
      </c>
      <c r="G23" s="112" t="s">
        <v>248</v>
      </c>
      <c r="H23" s="112" t="s">
        <v>248</v>
      </c>
      <c r="I23" s="115">
        <v>140867.71059835207</v>
      </c>
      <c r="J23" s="112">
        <v>0.54837008020777644</v>
      </c>
      <c r="K23" s="112">
        <v>0.26724817533426853</v>
      </c>
    </row>
    <row r="24" spans="1:11" x14ac:dyDescent="0.25">
      <c r="A24" s="16" t="s">
        <v>268</v>
      </c>
      <c r="B24" s="32" t="s">
        <v>269</v>
      </c>
      <c r="C24" s="32" t="s">
        <v>251</v>
      </c>
      <c r="D24" s="63" t="s">
        <v>252</v>
      </c>
      <c r="E24" s="63" t="s">
        <v>253</v>
      </c>
      <c r="F24" s="63" t="s">
        <v>125</v>
      </c>
      <c r="G24" s="32">
        <v>8.0000000000000004E-4</v>
      </c>
      <c r="H24" s="32">
        <v>8.0000000000000004E-4</v>
      </c>
      <c r="I24" s="81">
        <v>140867.71059825207</v>
      </c>
      <c r="J24" s="32">
        <v>0.5483700802073872</v>
      </c>
      <c r="K24" s="32">
        <v>0.26724817533407885</v>
      </c>
    </row>
    <row r="25" spans="1:11" s="110" customFormat="1" x14ac:dyDescent="0.25">
      <c r="A25" s="89" t="s">
        <v>270</v>
      </c>
      <c r="B25" s="112" t="s">
        <v>248</v>
      </c>
      <c r="C25" s="112" t="s">
        <v>248</v>
      </c>
      <c r="D25" s="113" t="s">
        <v>248</v>
      </c>
      <c r="E25" s="113" t="s">
        <v>248</v>
      </c>
      <c r="F25" s="113" t="s">
        <v>248</v>
      </c>
      <c r="G25" s="112" t="s">
        <v>248</v>
      </c>
      <c r="H25" s="112" t="s">
        <v>248</v>
      </c>
      <c r="I25" s="115">
        <v>33227.246604046413</v>
      </c>
      <c r="J25" s="112">
        <v>0.12934708605648093</v>
      </c>
      <c r="K25" s="112">
        <v>6.3037306339363872E-2</v>
      </c>
    </row>
    <row r="26" spans="1:11" s="110" customFormat="1" x14ac:dyDescent="0.25">
      <c r="A26" s="89" t="s">
        <v>259</v>
      </c>
      <c r="B26" s="112" t="s">
        <v>248</v>
      </c>
      <c r="C26" s="112" t="s">
        <v>248</v>
      </c>
      <c r="D26" s="113" t="s">
        <v>248</v>
      </c>
      <c r="E26" s="113" t="s">
        <v>248</v>
      </c>
      <c r="F26" s="113" t="s">
        <v>248</v>
      </c>
      <c r="G26" s="112" t="s">
        <v>248</v>
      </c>
      <c r="H26" s="112" t="s">
        <v>248</v>
      </c>
      <c r="I26" s="115">
        <v>4.7752766304492234E-3</v>
      </c>
      <c r="J26" s="112">
        <v>1.8589205558398524E-8</v>
      </c>
      <c r="K26" s="112">
        <v>9.0594498965248221E-9</v>
      </c>
    </row>
    <row r="27" spans="1:11" x14ac:dyDescent="0.25">
      <c r="A27" s="16" t="s">
        <v>391</v>
      </c>
      <c r="B27" s="32" t="s">
        <v>271</v>
      </c>
      <c r="C27" s="32" t="s">
        <v>272</v>
      </c>
      <c r="D27" s="63" t="s">
        <v>273</v>
      </c>
      <c r="E27" s="63" t="s">
        <v>274</v>
      </c>
      <c r="F27" s="63" t="s">
        <v>125</v>
      </c>
      <c r="G27" s="32">
        <v>0</v>
      </c>
      <c r="H27" s="32">
        <v>0</v>
      </c>
      <c r="I27" s="81">
        <v>4.775176630449224E-3</v>
      </c>
      <c r="J27" s="32">
        <v>1.8588816278216517E-8</v>
      </c>
      <c r="K27" s="32">
        <v>9.0592601808162345E-9</v>
      </c>
    </row>
    <row r="28" spans="1:11" s="110" customFormat="1" x14ac:dyDescent="0.25">
      <c r="A28" s="89" t="s">
        <v>267</v>
      </c>
      <c r="B28" s="112" t="s">
        <v>248</v>
      </c>
      <c r="C28" s="112" t="s">
        <v>248</v>
      </c>
      <c r="D28" s="113" t="s">
        <v>248</v>
      </c>
      <c r="E28" s="113" t="s">
        <v>248</v>
      </c>
      <c r="F28" s="113" t="s">
        <v>248</v>
      </c>
      <c r="G28" s="112" t="s">
        <v>248</v>
      </c>
      <c r="H28" s="112" t="s">
        <v>248</v>
      </c>
      <c r="I28" s="115">
        <v>33227.241828769787</v>
      </c>
      <c r="J28" s="112">
        <v>0.1293470674672754</v>
      </c>
      <c r="K28" s="112">
        <v>6.3037297279913987E-2</v>
      </c>
    </row>
    <row r="29" spans="1:11" x14ac:dyDescent="0.25">
      <c r="A29" s="16" t="s">
        <v>396</v>
      </c>
      <c r="B29" s="32" t="s">
        <v>275</v>
      </c>
      <c r="C29" s="32" t="s">
        <v>276</v>
      </c>
      <c r="D29" s="63" t="s">
        <v>277</v>
      </c>
      <c r="E29" s="63" t="s">
        <v>278</v>
      </c>
      <c r="F29" s="63" t="s">
        <v>125</v>
      </c>
      <c r="G29" s="32">
        <v>0</v>
      </c>
      <c r="H29" s="32">
        <v>0</v>
      </c>
      <c r="I29" s="81">
        <v>33227.241828669779</v>
      </c>
      <c r="J29" s="32">
        <v>0.1293470674668861</v>
      </c>
      <c r="K29" s="32">
        <v>6.3037297279724264E-2</v>
      </c>
    </row>
    <row r="30" spans="1:11" s="110" customFormat="1" x14ac:dyDescent="0.25">
      <c r="A30" s="75" t="s">
        <v>241</v>
      </c>
      <c r="B30" s="116"/>
      <c r="C30" s="116"/>
      <c r="D30" s="116"/>
      <c r="E30" s="117"/>
      <c r="F30" s="118"/>
      <c r="G30" s="119"/>
      <c r="H30" s="120"/>
      <c r="I30" s="119"/>
      <c r="J30" s="121"/>
    </row>
    <row r="31" spans="1:11" s="110" customFormat="1" x14ac:dyDescent="0.25">
      <c r="A31" s="75" t="s">
        <v>242</v>
      </c>
      <c r="B31" s="116"/>
      <c r="C31" s="116"/>
      <c r="D31" s="116"/>
      <c r="E31" s="117"/>
      <c r="F31" s="118"/>
      <c r="G31" s="119"/>
      <c r="H31" s="120"/>
      <c r="I31" s="119"/>
      <c r="J31" s="121"/>
    </row>
    <row r="32" spans="1:11" s="110" customFormat="1" x14ac:dyDescent="0.25">
      <c r="A32" s="75" t="s">
        <v>243</v>
      </c>
      <c r="B32" s="116"/>
      <c r="C32" s="116"/>
      <c r="D32" s="116"/>
      <c r="E32" s="117"/>
      <c r="F32" s="118"/>
      <c r="G32" s="119"/>
      <c r="H32" s="120"/>
      <c r="I32" s="119"/>
      <c r="J32" s="121"/>
    </row>
    <row r="33" spans="1:10" s="110" customFormat="1" x14ac:dyDescent="0.25">
      <c r="A33" s="75" t="s">
        <v>244</v>
      </c>
      <c r="B33" s="116"/>
      <c r="C33" s="116"/>
      <c r="D33" s="116"/>
      <c r="E33" s="117"/>
      <c r="F33" s="118"/>
      <c r="G33" s="119"/>
      <c r="H33" s="120"/>
      <c r="I33" s="119"/>
      <c r="J33" s="121"/>
    </row>
    <row r="34" spans="1:10" s="110" customFormat="1" x14ac:dyDescent="0.25">
      <c r="A34" s="75" t="s">
        <v>245</v>
      </c>
      <c r="B34" s="116"/>
      <c r="C34" s="116"/>
      <c r="D34" s="116"/>
      <c r="E34" s="117"/>
      <c r="F34" s="118"/>
      <c r="G34" s="119"/>
      <c r="H34" s="120"/>
      <c r="I34" s="119"/>
      <c r="J34" s="121"/>
    </row>
  </sheetData>
  <mergeCells count="1">
    <mergeCell ref="A4:K4"/>
  </mergeCells>
  <phoneticPr fontId="3" type="noConversion"/>
  <conditionalFormatting sqref="A9:A29 I9:K29">
    <cfRule type="expression" dxfId="128" priority="43" stopIfTrue="1">
      <formula>OR(LEFT(#REF!,3)="TIR",LEFT(#REF!,2)="IR")</formula>
    </cfRule>
  </conditionalFormatting>
  <conditionalFormatting sqref="B9:F29 J9:K29">
    <cfRule type="expression" dxfId="127" priority="39" stopIfTrue="1">
      <formula>LEFT(#REF!,3)="TIR"</formula>
    </cfRule>
  </conditionalFormatting>
  <conditionalFormatting sqref="G1:G3 G9:H29 G30:G55564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9 A9:A29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2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3" t="s">
        <v>248</v>
      </c>
      <c r="N10" s="125">
        <v>0</v>
      </c>
      <c r="O10" s="112" t="s">
        <v>248</v>
      </c>
      <c r="P10" s="112">
        <v>0</v>
      </c>
      <c r="Q10" s="112">
        <v>0</v>
      </c>
    </row>
    <row r="11" spans="1:17" s="110" customFormat="1" x14ac:dyDescent="0.25">
      <c r="A11" s="89" t="s">
        <v>279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2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27" t="s">
        <v>248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2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26" t="s">
        <v>248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280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2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27" t="s">
        <v>248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281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2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27" t="s">
        <v>248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282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2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27" t="s">
        <v>248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283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2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27" t="s">
        <v>248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284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2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27" t="s">
        <v>248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285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2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27" t="s">
        <v>248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286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2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27" t="s">
        <v>248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0"/>
      <c r="H9" s="130" t="s">
        <v>248</v>
      </c>
      <c r="I9" s="130" t="s">
        <v>248</v>
      </c>
      <c r="J9" s="130" t="s">
        <v>248</v>
      </c>
      <c r="K9" s="130" t="s">
        <v>248</v>
      </c>
      <c r="L9" s="131" t="s">
        <v>248</v>
      </c>
      <c r="M9" s="131" t="s">
        <v>248</v>
      </c>
      <c r="N9" s="132" t="s">
        <v>248</v>
      </c>
      <c r="O9" s="130"/>
      <c r="P9" s="130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22" t="s">
        <v>248</v>
      </c>
      <c r="N10" s="133" t="s">
        <v>248</v>
      </c>
      <c r="O10" s="134" t="s">
        <v>248</v>
      </c>
      <c r="P10" s="134" t="s">
        <v>248</v>
      </c>
      <c r="Q10" s="114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22" t="s">
        <v>248</v>
      </c>
      <c r="N11" s="135" t="s">
        <v>248</v>
      </c>
      <c r="O11" s="136" t="s">
        <v>248</v>
      </c>
      <c r="P11" s="136" t="s">
        <v>248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22" t="s">
        <v>248</v>
      </c>
      <c r="N12" s="135" t="s">
        <v>248</v>
      </c>
      <c r="O12" s="136" t="s">
        <v>248</v>
      </c>
      <c r="P12" s="136" t="s">
        <v>248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287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22" t="s">
        <v>248</v>
      </c>
      <c r="N13" s="135" t="s">
        <v>248</v>
      </c>
      <c r="O13" s="136" t="s">
        <v>248</v>
      </c>
      <c r="P13" s="136" t="s">
        <v>248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288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22" t="s">
        <v>248</v>
      </c>
      <c r="N14" s="135" t="s">
        <v>248</v>
      </c>
      <c r="O14" s="136" t="s">
        <v>248</v>
      </c>
      <c r="P14" s="136" t="s">
        <v>248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22" t="s">
        <v>248</v>
      </c>
      <c r="N15" s="135" t="s">
        <v>248</v>
      </c>
      <c r="O15" s="136" t="s">
        <v>248</v>
      </c>
      <c r="P15" s="136" t="s">
        <v>248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22" t="s">
        <v>248</v>
      </c>
      <c r="N16" s="135" t="s">
        <v>248</v>
      </c>
      <c r="O16" s="136" t="s">
        <v>248</v>
      </c>
      <c r="P16" s="136" t="s">
        <v>248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bestFit="1" customWidth="1"/>
    <col min="17" max="17" width="10.44140625" style="59" customWidth="1"/>
    <col min="18" max="18" width="22.88671875" style="62" bestFit="1" customWidth="1"/>
    <col min="19" max="19" width="26.44140625" style="62" bestFit="1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6.0000000000000008E-7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3" t="s">
        <v>248</v>
      </c>
      <c r="L10" s="122" t="s">
        <v>248</v>
      </c>
      <c r="M10" s="122" t="s">
        <v>248</v>
      </c>
      <c r="N10" s="124" t="s">
        <v>248</v>
      </c>
      <c r="O10" s="113" t="s">
        <v>248</v>
      </c>
      <c r="P10" s="114" t="s">
        <v>248</v>
      </c>
      <c r="Q10" s="125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3" t="s">
        <v>248</v>
      </c>
      <c r="L11" s="122" t="s">
        <v>248</v>
      </c>
      <c r="M11" s="122" t="s">
        <v>248</v>
      </c>
      <c r="N11" s="126" t="s">
        <v>248</v>
      </c>
      <c r="O11" s="127" t="s">
        <v>248</v>
      </c>
      <c r="P11" s="115" t="s">
        <v>248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3" t="s">
        <v>248</v>
      </c>
      <c r="L12" s="122" t="s">
        <v>248</v>
      </c>
      <c r="M12" s="122" t="s">
        <v>248</v>
      </c>
      <c r="N12" s="126" t="s">
        <v>248</v>
      </c>
      <c r="O12" s="127" t="s">
        <v>248</v>
      </c>
      <c r="P12" s="115" t="s">
        <v>248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287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3" t="s">
        <v>248</v>
      </c>
      <c r="L13" s="122" t="s">
        <v>248</v>
      </c>
      <c r="M13" s="122" t="s">
        <v>248</v>
      </c>
      <c r="N13" s="126" t="s">
        <v>248</v>
      </c>
      <c r="O13" s="127" t="s">
        <v>248</v>
      </c>
      <c r="P13" s="115" t="s">
        <v>248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289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3" t="s">
        <v>248</v>
      </c>
      <c r="L14" s="122" t="s">
        <v>248</v>
      </c>
      <c r="M14" s="122" t="s">
        <v>248</v>
      </c>
      <c r="N14" s="126" t="s">
        <v>248</v>
      </c>
      <c r="O14" s="127" t="s">
        <v>248</v>
      </c>
      <c r="P14" s="115" t="s">
        <v>248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284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3" t="s">
        <v>248</v>
      </c>
      <c r="L15" s="122" t="s">
        <v>248</v>
      </c>
      <c r="M15" s="122" t="s">
        <v>248</v>
      </c>
      <c r="N15" s="126" t="s">
        <v>248</v>
      </c>
      <c r="O15" s="127" t="s">
        <v>248</v>
      </c>
      <c r="P15" s="115" t="s">
        <v>248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3" t="s">
        <v>248</v>
      </c>
      <c r="L16" s="122" t="s">
        <v>248</v>
      </c>
      <c r="M16" s="122" t="s">
        <v>248</v>
      </c>
      <c r="N16" s="126" t="s">
        <v>248</v>
      </c>
      <c r="O16" s="127" t="s">
        <v>248</v>
      </c>
      <c r="P16" s="115" t="s">
        <v>248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2" t="s">
        <v>248</v>
      </c>
      <c r="H17" s="122" t="s">
        <v>248</v>
      </c>
      <c r="I17" s="122" t="s">
        <v>248</v>
      </c>
      <c r="J17" s="123" t="s">
        <v>248</v>
      </c>
      <c r="K17" s="123" t="s">
        <v>248</v>
      </c>
      <c r="L17" s="122" t="s">
        <v>248</v>
      </c>
      <c r="M17" s="122" t="s">
        <v>248</v>
      </c>
      <c r="N17" s="126" t="s">
        <v>248</v>
      </c>
      <c r="O17" s="127" t="s">
        <v>248</v>
      </c>
      <c r="P17" s="115" t="s">
        <v>248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bestFit="1" customWidth="1"/>
    <col min="11" max="11" width="10.44140625" style="36" customWidth="1"/>
    <col min="12" max="12" width="22.88671875" style="59" bestFit="1" customWidth="1"/>
    <col min="13" max="13" width="26.44140625" style="59" bestFit="1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1" t="s">
        <v>248</v>
      </c>
      <c r="H9" s="142" t="s">
        <v>248</v>
      </c>
      <c r="I9" s="141" t="s">
        <v>248</v>
      </c>
      <c r="J9" s="141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4" t="s">
        <v>248</v>
      </c>
      <c r="I10" s="113" t="s">
        <v>248</v>
      </c>
      <c r="J10" s="113" t="s">
        <v>248</v>
      </c>
      <c r="K10" s="125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290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6" t="s">
        <v>248</v>
      </c>
      <c r="I11" s="113" t="s">
        <v>248</v>
      </c>
      <c r="J11" s="113" t="s">
        <v>248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291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6" t="s">
        <v>248</v>
      </c>
      <c r="I12" s="113" t="s">
        <v>248</v>
      </c>
      <c r="J12" s="126" t="s">
        <v>248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292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6" t="s">
        <v>248</v>
      </c>
      <c r="I13" s="113" t="s">
        <v>248</v>
      </c>
      <c r="J13" s="113" t="s">
        <v>248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293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6" t="s">
        <v>248</v>
      </c>
      <c r="I14" s="113" t="s">
        <v>248</v>
      </c>
      <c r="J14" s="113" t="s">
        <v>248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294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6" t="s">
        <v>248</v>
      </c>
      <c r="I15" s="113" t="s">
        <v>248</v>
      </c>
      <c r="J15" s="113" t="s">
        <v>248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295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6" t="s">
        <v>248</v>
      </c>
      <c r="I16" s="113" t="s">
        <v>248</v>
      </c>
      <c r="J16" s="113" t="s">
        <v>248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284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6" t="s">
        <v>248</v>
      </c>
      <c r="I17" s="113" t="s">
        <v>248</v>
      </c>
      <c r="J17" s="113" t="s">
        <v>248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6" t="s">
        <v>248</v>
      </c>
      <c r="I18" s="113" t="s">
        <v>248</v>
      </c>
      <c r="J18" s="113" t="s">
        <v>248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6" t="s">
        <v>248</v>
      </c>
      <c r="I19" s="113" t="s">
        <v>248</v>
      </c>
      <c r="J19" s="113" t="s">
        <v>248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2.44140625" style="57" bestFit="1" customWidth="1"/>
    <col min="8" max="8" width="9.33203125" style="57" bestFit="1" customWidth="1"/>
    <col min="9" max="9" width="16.5546875" style="57" bestFit="1" customWidth="1"/>
    <col min="10" max="10" width="12.33203125" style="57" bestFit="1" customWidth="1"/>
    <col min="11" max="11" width="22.88671875" style="36" bestFit="1" customWidth="1"/>
    <col min="12" max="12" width="26.44140625" style="36" bestFit="1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248</v>
      </c>
      <c r="J9" s="102">
        <v>264087.46781577478</v>
      </c>
      <c r="K9" s="67" t="s">
        <v>248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4" t="s">
        <v>248</v>
      </c>
      <c r="H10" s="113" t="s">
        <v>248</v>
      </c>
      <c r="I10" s="114" t="s">
        <v>248</v>
      </c>
      <c r="J10" s="145">
        <v>0</v>
      </c>
      <c r="K10" s="112" t="s">
        <v>248</v>
      </c>
      <c r="L10" s="112">
        <v>0</v>
      </c>
      <c r="M10" s="112">
        <v>0</v>
      </c>
    </row>
    <row r="11" spans="1:19" s="110" customFormat="1" x14ac:dyDescent="0.25">
      <c r="A11" s="89" t="s">
        <v>296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6" t="s">
        <v>248</v>
      </c>
      <c r="H11" s="113" t="s">
        <v>248</v>
      </c>
      <c r="I11" s="115" t="s">
        <v>248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297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6" t="s">
        <v>248</v>
      </c>
      <c r="H12" s="113" t="s">
        <v>248</v>
      </c>
      <c r="I12" s="115" t="s">
        <v>248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298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6" t="s">
        <v>248</v>
      </c>
      <c r="H13" s="113" t="s">
        <v>248</v>
      </c>
      <c r="I13" s="115" t="s">
        <v>248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299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6" t="s">
        <v>248</v>
      </c>
      <c r="H14" s="113" t="s">
        <v>248</v>
      </c>
      <c r="I14" s="115" t="s">
        <v>248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300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6" t="s">
        <v>248</v>
      </c>
      <c r="H15" s="113" t="s">
        <v>248</v>
      </c>
      <c r="I15" s="115" t="s">
        <v>248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6" t="s">
        <v>248</v>
      </c>
      <c r="H16" s="113" t="s">
        <v>248</v>
      </c>
      <c r="I16" s="115" t="s">
        <v>248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284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6" t="s">
        <v>248</v>
      </c>
      <c r="H17" s="113" t="s">
        <v>248</v>
      </c>
      <c r="I17" s="115" t="s">
        <v>248</v>
      </c>
      <c r="J17" s="115">
        <v>264087.46781517484</v>
      </c>
      <c r="K17" s="128"/>
      <c r="L17" s="112">
        <v>0.99999999999772826</v>
      </c>
      <c r="M17" s="112">
        <v>0.50101541085937462</v>
      </c>
    </row>
    <row r="18" spans="1:18" s="110" customFormat="1" x14ac:dyDescent="0.25">
      <c r="A18" s="89" t="s">
        <v>301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6" t="s">
        <v>248</v>
      </c>
      <c r="H18" s="113" t="s">
        <v>248</v>
      </c>
      <c r="I18" s="115" t="s">
        <v>248</v>
      </c>
      <c r="J18" s="115">
        <v>264087.46781487478</v>
      </c>
      <c r="K18" s="128"/>
      <c r="L18" s="112">
        <v>0.99999999999659195</v>
      </c>
      <c r="M18" s="112">
        <v>0.50101541085880541</v>
      </c>
    </row>
    <row r="19" spans="1:18" x14ac:dyDescent="0.25">
      <c r="A19" s="16" t="s">
        <v>313</v>
      </c>
      <c r="B19" s="109" t="s">
        <v>314</v>
      </c>
      <c r="C19" s="109" t="s">
        <v>310</v>
      </c>
      <c r="D19" s="204" t="s">
        <v>401</v>
      </c>
      <c r="E19" s="109" t="s">
        <v>305</v>
      </c>
      <c r="F19" s="109" t="s">
        <v>125</v>
      </c>
      <c r="G19" s="66">
        <v>123053.9787077752</v>
      </c>
      <c r="H19" s="63">
        <v>4497</v>
      </c>
      <c r="I19" s="81">
        <v>0</v>
      </c>
      <c r="J19" s="81">
        <v>20474.828462175537</v>
      </c>
      <c r="K19" s="24">
        <v>1.1647609711637622E-3</v>
      </c>
      <c r="L19" s="32">
        <v>7.7530481213363006E-2</v>
      </c>
      <c r="M19" s="32">
        <v>3.8843965899326344E-2</v>
      </c>
      <c r="N19" s="14"/>
      <c r="O19" s="14"/>
      <c r="P19" s="14"/>
      <c r="Q19" s="14"/>
      <c r="R19" s="14"/>
    </row>
    <row r="20" spans="1:18" x14ac:dyDescent="0.25">
      <c r="A20" s="16" t="s">
        <v>308</v>
      </c>
      <c r="B20" s="109" t="s">
        <v>309</v>
      </c>
      <c r="C20" s="109" t="s">
        <v>310</v>
      </c>
      <c r="D20" s="204" t="s">
        <v>402</v>
      </c>
      <c r="E20" s="109" t="s">
        <v>305</v>
      </c>
      <c r="F20" s="109" t="s">
        <v>125</v>
      </c>
      <c r="G20" s="66">
        <v>12506.058536318667</v>
      </c>
      <c r="H20" s="63">
        <v>85752</v>
      </c>
      <c r="I20" s="81">
        <v>0</v>
      </c>
      <c r="J20" s="81">
        <v>39679.522668404265</v>
      </c>
      <c r="K20" s="24">
        <v>6.4319268824683073E-4</v>
      </c>
      <c r="L20" s="32">
        <v>0.15025144129930607</v>
      </c>
      <c r="M20" s="32">
        <v>7.5278287594956056E-2</v>
      </c>
      <c r="N20" s="14"/>
      <c r="O20" s="14"/>
      <c r="P20" s="14"/>
      <c r="Q20" s="14"/>
      <c r="R20" s="14"/>
    </row>
    <row r="21" spans="1:18" x14ac:dyDescent="0.25">
      <c r="A21" s="16" t="s">
        <v>315</v>
      </c>
      <c r="B21" s="109" t="s">
        <v>316</v>
      </c>
      <c r="C21" s="109" t="s">
        <v>218</v>
      </c>
      <c r="D21" s="204" t="s">
        <v>403</v>
      </c>
      <c r="E21" s="109" t="s">
        <v>305</v>
      </c>
      <c r="F21" s="109" t="s">
        <v>125</v>
      </c>
      <c r="G21" s="66">
        <v>1982054.245883638</v>
      </c>
      <c r="H21" s="63">
        <v>715.79</v>
      </c>
      <c r="I21" s="81">
        <v>0</v>
      </c>
      <c r="J21" s="81">
        <v>52493.180519640591</v>
      </c>
      <c r="K21" s="24">
        <v>5.1908501337840527E-3</v>
      </c>
      <c r="L21" s="32">
        <v>0.19877194837681353</v>
      </c>
      <c r="M21" s="32">
        <v>9.9587809383553882E-2</v>
      </c>
      <c r="N21" s="14"/>
      <c r="O21" s="14"/>
      <c r="P21" s="14"/>
      <c r="Q21" s="14"/>
      <c r="R21" s="14"/>
    </row>
    <row r="22" spans="1:18" x14ac:dyDescent="0.25">
      <c r="A22" s="16" t="s">
        <v>311</v>
      </c>
      <c r="B22" s="109" t="s">
        <v>312</v>
      </c>
      <c r="C22" s="109" t="s">
        <v>310</v>
      </c>
      <c r="D22" s="204" t="s">
        <v>404</v>
      </c>
      <c r="E22" s="109" t="s">
        <v>305</v>
      </c>
      <c r="F22" s="109" t="s">
        <v>125</v>
      </c>
      <c r="G22" s="66">
        <v>313279.3346054568</v>
      </c>
      <c r="H22" s="63">
        <v>4554.87</v>
      </c>
      <c r="I22" s="81">
        <v>0</v>
      </c>
      <c r="J22" s="81">
        <v>52797.083740727452</v>
      </c>
      <c r="K22" s="24">
        <v>1.8203188573775739E-3</v>
      </c>
      <c r="L22" s="32">
        <v>0.19992271567221151</v>
      </c>
      <c r="M22" s="32">
        <v>0.10016436153286254</v>
      </c>
      <c r="N22" s="14"/>
      <c r="O22" s="14"/>
      <c r="P22" s="14"/>
      <c r="Q22" s="14"/>
      <c r="R22" s="14"/>
    </row>
    <row r="23" spans="1:18" x14ac:dyDescent="0.25">
      <c r="A23" s="16" t="s">
        <v>302</v>
      </c>
      <c r="B23" s="109" t="s">
        <v>303</v>
      </c>
      <c r="C23" s="109" t="s">
        <v>304</v>
      </c>
      <c r="D23" s="204" t="s">
        <v>405</v>
      </c>
      <c r="E23" s="109" t="s">
        <v>305</v>
      </c>
      <c r="F23" s="109" t="s">
        <v>125</v>
      </c>
      <c r="G23" s="66">
        <v>21479.389777899858</v>
      </c>
      <c r="H23" s="63">
        <v>44328</v>
      </c>
      <c r="I23" s="81">
        <v>91.145175980000005</v>
      </c>
      <c r="J23" s="81">
        <v>35320.26560797546</v>
      </c>
      <c r="K23" s="24">
        <v>2.2801076330015392E-5</v>
      </c>
      <c r="L23" s="32">
        <v>0.13374457296328268</v>
      </c>
      <c r="M23" s="32">
        <v>6.7008092173562919E-2</v>
      </c>
      <c r="N23" s="14"/>
      <c r="O23" s="14"/>
      <c r="P23" s="14"/>
      <c r="Q23" s="14"/>
      <c r="R23" s="14"/>
    </row>
    <row r="24" spans="1:18" x14ac:dyDescent="0.25">
      <c r="A24" s="16" t="s">
        <v>306</v>
      </c>
      <c r="B24" s="109" t="s">
        <v>307</v>
      </c>
      <c r="C24" s="109" t="s">
        <v>304</v>
      </c>
      <c r="D24" s="204" t="s">
        <v>406</v>
      </c>
      <c r="E24" s="109" t="s">
        <v>305</v>
      </c>
      <c r="F24" s="109" t="s">
        <v>125</v>
      </c>
      <c r="G24" s="66">
        <v>2787.6706815595467</v>
      </c>
      <c r="H24" s="63">
        <v>40728</v>
      </c>
      <c r="I24" s="81">
        <v>11.38026677</v>
      </c>
      <c r="J24" s="81">
        <v>4212.2215729523059</v>
      </c>
      <c r="K24" s="24">
        <v>3.5595628821018041E-6</v>
      </c>
      <c r="L24" s="32">
        <v>1.5950100198964066E-2</v>
      </c>
      <c r="M24" s="32">
        <v>7.9912460044503295E-3</v>
      </c>
      <c r="N24" s="14"/>
      <c r="O24" s="14"/>
      <c r="P24" s="14"/>
      <c r="Q24" s="14"/>
      <c r="R24" s="14"/>
    </row>
    <row r="25" spans="1:18" x14ac:dyDescent="0.25">
      <c r="A25" s="16" t="s">
        <v>317</v>
      </c>
      <c r="B25" s="109" t="s">
        <v>318</v>
      </c>
      <c r="C25" s="109" t="s">
        <v>310</v>
      </c>
      <c r="D25" s="204" t="s">
        <v>407</v>
      </c>
      <c r="E25" s="109" t="s">
        <v>305</v>
      </c>
      <c r="F25" s="109" t="s">
        <v>125</v>
      </c>
      <c r="G25" s="66">
        <v>1644444.0957577641</v>
      </c>
      <c r="H25" s="63">
        <v>971.5</v>
      </c>
      <c r="I25" s="81">
        <v>0</v>
      </c>
      <c r="J25" s="81">
        <v>59110.36524289917</v>
      </c>
      <c r="K25" s="24">
        <v>2.1593868417632291E-3</v>
      </c>
      <c r="L25" s="32">
        <v>0.22382874027227248</v>
      </c>
      <c r="M25" s="32">
        <v>0.11214164826990361</v>
      </c>
      <c r="N25" s="14"/>
      <c r="O25" s="14"/>
      <c r="P25" s="14"/>
      <c r="Q25" s="14"/>
      <c r="R25" s="14"/>
    </row>
    <row r="26" spans="1:18" s="110" customFormat="1" x14ac:dyDescent="0.25">
      <c r="A26" s="89" t="s">
        <v>319</v>
      </c>
      <c r="B26" s="122" t="s">
        <v>248</v>
      </c>
      <c r="C26" s="122" t="s">
        <v>248</v>
      </c>
      <c r="D26" s="122" t="s">
        <v>248</v>
      </c>
      <c r="E26" s="122" t="s">
        <v>248</v>
      </c>
      <c r="F26" s="122" t="s">
        <v>248</v>
      </c>
      <c r="G26" s="126" t="s">
        <v>248</v>
      </c>
      <c r="H26" s="113" t="s">
        <v>248</v>
      </c>
      <c r="I26" s="115" t="s">
        <v>248</v>
      </c>
      <c r="J26" s="115">
        <v>0</v>
      </c>
      <c r="K26" s="128"/>
      <c r="L26" s="112">
        <v>0</v>
      </c>
      <c r="M26" s="112">
        <v>0</v>
      </c>
    </row>
    <row r="27" spans="1:18" s="110" customFormat="1" x14ac:dyDescent="0.25">
      <c r="A27" s="89" t="s">
        <v>141</v>
      </c>
      <c r="B27" s="122" t="s">
        <v>248</v>
      </c>
      <c r="C27" s="122" t="s">
        <v>248</v>
      </c>
      <c r="D27" s="122" t="s">
        <v>248</v>
      </c>
      <c r="E27" s="122" t="s">
        <v>248</v>
      </c>
      <c r="F27" s="122" t="s">
        <v>248</v>
      </c>
      <c r="G27" s="126" t="s">
        <v>248</v>
      </c>
      <c r="H27" s="113" t="s">
        <v>248</v>
      </c>
      <c r="I27" s="115" t="s">
        <v>248</v>
      </c>
      <c r="J27" s="115">
        <v>0</v>
      </c>
      <c r="K27" s="128"/>
      <c r="L27" s="112">
        <v>0</v>
      </c>
      <c r="M27" s="112">
        <v>0</v>
      </c>
    </row>
    <row r="28" spans="1:18" s="110" customFormat="1" x14ac:dyDescent="0.25">
      <c r="A28" s="89" t="s">
        <v>300</v>
      </c>
      <c r="B28" s="122" t="s">
        <v>248</v>
      </c>
      <c r="C28" s="122" t="s">
        <v>248</v>
      </c>
      <c r="D28" s="122" t="s">
        <v>248</v>
      </c>
      <c r="E28" s="122" t="s">
        <v>248</v>
      </c>
      <c r="F28" s="122" t="s">
        <v>248</v>
      </c>
      <c r="G28" s="126" t="s">
        <v>248</v>
      </c>
      <c r="H28" s="113" t="s">
        <v>248</v>
      </c>
      <c r="I28" s="115" t="s">
        <v>248</v>
      </c>
      <c r="J28" s="115">
        <v>0</v>
      </c>
      <c r="K28" s="128"/>
      <c r="L28" s="112">
        <v>0</v>
      </c>
      <c r="M28" s="112">
        <v>0</v>
      </c>
    </row>
    <row r="29" spans="1:18" s="110" customFormat="1" x14ac:dyDescent="0.25">
      <c r="A29" s="75" t="s">
        <v>241</v>
      </c>
      <c r="B29" s="116"/>
      <c r="C29" s="116"/>
      <c r="D29" s="116"/>
      <c r="E29" s="116"/>
      <c r="F29" s="116"/>
      <c r="G29" s="117"/>
      <c r="H29" s="117"/>
      <c r="I29" s="117"/>
      <c r="J29" s="117"/>
      <c r="K29" s="118"/>
      <c r="L29" s="118"/>
      <c r="M29" s="119"/>
      <c r="N29" s="139"/>
      <c r="O29" s="139"/>
      <c r="P29" s="139"/>
      <c r="Q29" s="121"/>
      <c r="R29" s="121"/>
    </row>
    <row r="30" spans="1:18" s="110" customFormat="1" x14ac:dyDescent="0.25">
      <c r="A30" s="75" t="s">
        <v>242</v>
      </c>
      <c r="B30" s="116"/>
      <c r="C30" s="116"/>
      <c r="D30" s="116"/>
      <c r="E30" s="116"/>
      <c r="F30" s="116"/>
      <c r="G30" s="117"/>
      <c r="H30" s="117"/>
      <c r="I30" s="117"/>
      <c r="J30" s="117"/>
      <c r="K30" s="118"/>
      <c r="L30" s="118"/>
      <c r="M30" s="119"/>
      <c r="N30" s="139"/>
      <c r="O30" s="139"/>
      <c r="P30" s="139"/>
      <c r="Q30" s="121"/>
      <c r="R30" s="121"/>
    </row>
    <row r="31" spans="1:18" s="110" customFormat="1" x14ac:dyDescent="0.25">
      <c r="A31" s="75" t="s">
        <v>243</v>
      </c>
      <c r="B31" s="116"/>
      <c r="C31" s="116"/>
      <c r="D31" s="116"/>
      <c r="E31" s="116"/>
      <c r="F31" s="116"/>
      <c r="G31" s="117"/>
      <c r="H31" s="117"/>
      <c r="I31" s="117"/>
      <c r="J31" s="117"/>
      <c r="K31" s="118"/>
      <c r="L31" s="118"/>
      <c r="M31" s="119"/>
      <c r="N31" s="139"/>
      <c r="O31" s="139"/>
      <c r="P31" s="139"/>
      <c r="Q31" s="121"/>
      <c r="R31" s="121"/>
    </row>
    <row r="32" spans="1:18" s="110" customFormat="1" x14ac:dyDescent="0.25">
      <c r="A32" s="75" t="s">
        <v>244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  <row r="33" spans="1:18" s="110" customFormat="1" x14ac:dyDescent="0.25">
      <c r="A33" s="75" t="s">
        <v>245</v>
      </c>
      <c r="B33" s="116"/>
      <c r="C33" s="116"/>
      <c r="D33" s="116"/>
      <c r="E33" s="116"/>
      <c r="F33" s="116"/>
      <c r="G33" s="117"/>
      <c r="H33" s="117"/>
      <c r="I33" s="117"/>
      <c r="J33" s="117"/>
      <c r="K33" s="118"/>
      <c r="L33" s="118"/>
      <c r="M33" s="119"/>
      <c r="N33" s="139"/>
      <c r="O33" s="139"/>
      <c r="P33" s="139"/>
      <c r="Q33" s="121"/>
      <c r="R33" s="121"/>
    </row>
  </sheetData>
  <mergeCells count="2">
    <mergeCell ref="A5:M5"/>
    <mergeCell ref="A4:M4"/>
  </mergeCells>
  <phoneticPr fontId="3" type="noConversion"/>
  <conditionalFormatting sqref="A9:A28 I9:J28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8">
    <cfRule type="expression" dxfId="102" priority="141" stopIfTrue="1">
      <formula>OR(LEFT(#REF!,3)="TIR",LEFT(#REF!,2)="IR")</formula>
    </cfRule>
  </conditionalFormatting>
  <conditionalFormatting sqref="C9:D9 B10:F28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8 K9:K28 M29:M55563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28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4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248</v>
      </c>
      <c r="C11" s="112" t="s">
        <v>248</v>
      </c>
      <c r="D11" s="112" t="s">
        <v>248</v>
      </c>
      <c r="E11" s="128" t="s">
        <v>248</v>
      </c>
      <c r="F11" s="113" t="s">
        <v>248</v>
      </c>
      <c r="G11" s="113" t="s">
        <v>248</v>
      </c>
      <c r="H11" s="113" t="s">
        <v>248</v>
      </c>
      <c r="I11" s="126" t="s">
        <v>248</v>
      </c>
      <c r="J11" s="127" t="s">
        <v>248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320</v>
      </c>
      <c r="B12" s="112" t="s">
        <v>248</v>
      </c>
      <c r="C12" s="112" t="s">
        <v>248</v>
      </c>
      <c r="D12" s="112" t="s">
        <v>248</v>
      </c>
      <c r="E12" s="128" t="s">
        <v>248</v>
      </c>
      <c r="F12" s="113" t="s">
        <v>248</v>
      </c>
      <c r="G12" s="113" t="s">
        <v>248</v>
      </c>
      <c r="H12" s="113" t="s">
        <v>248</v>
      </c>
      <c r="I12" s="126" t="s">
        <v>248</v>
      </c>
      <c r="J12" s="127" t="s">
        <v>248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248</v>
      </c>
      <c r="C13" s="112" t="s">
        <v>248</v>
      </c>
      <c r="D13" s="112" t="s">
        <v>248</v>
      </c>
      <c r="E13" s="128" t="s">
        <v>248</v>
      </c>
      <c r="F13" s="113" t="s">
        <v>248</v>
      </c>
      <c r="G13" s="113" t="s">
        <v>248</v>
      </c>
      <c r="H13" s="113" t="s">
        <v>248</v>
      </c>
      <c r="I13" s="126" t="s">
        <v>248</v>
      </c>
      <c r="J13" s="127" t="s">
        <v>248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248</v>
      </c>
      <c r="C14" s="112" t="s">
        <v>248</v>
      </c>
      <c r="D14" s="112" t="s">
        <v>248</v>
      </c>
      <c r="E14" s="128" t="s">
        <v>248</v>
      </c>
      <c r="F14" s="113" t="s">
        <v>248</v>
      </c>
      <c r="G14" s="113" t="s">
        <v>248</v>
      </c>
      <c r="H14" s="113" t="s">
        <v>248</v>
      </c>
      <c r="I14" s="126" t="s">
        <v>248</v>
      </c>
      <c r="J14" s="127" t="s">
        <v>248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284</v>
      </c>
      <c r="B15" s="112" t="s">
        <v>248</v>
      </c>
      <c r="C15" s="112" t="s">
        <v>248</v>
      </c>
      <c r="D15" s="112" t="s">
        <v>248</v>
      </c>
      <c r="E15" s="128" t="s">
        <v>248</v>
      </c>
      <c r="F15" s="113" t="s">
        <v>248</v>
      </c>
      <c r="G15" s="113" t="s">
        <v>248</v>
      </c>
      <c r="H15" s="113" t="s">
        <v>248</v>
      </c>
      <c r="I15" s="126" t="s">
        <v>248</v>
      </c>
      <c r="J15" s="127" t="s">
        <v>248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248</v>
      </c>
      <c r="C16" s="112" t="s">
        <v>248</v>
      </c>
      <c r="D16" s="112" t="s">
        <v>248</v>
      </c>
      <c r="E16" s="128" t="s">
        <v>248</v>
      </c>
      <c r="F16" s="113" t="s">
        <v>248</v>
      </c>
      <c r="G16" s="113" t="s">
        <v>248</v>
      </c>
      <c r="H16" s="113" t="s">
        <v>248</v>
      </c>
      <c r="I16" s="126" t="s">
        <v>248</v>
      </c>
      <c r="J16" s="127" t="s">
        <v>248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320</v>
      </c>
      <c r="B17" s="112" t="s">
        <v>248</v>
      </c>
      <c r="C17" s="112" t="s">
        <v>248</v>
      </c>
      <c r="D17" s="112" t="s">
        <v>248</v>
      </c>
      <c r="E17" s="128" t="s">
        <v>248</v>
      </c>
      <c r="F17" s="113" t="s">
        <v>248</v>
      </c>
      <c r="G17" s="113" t="s">
        <v>248</v>
      </c>
      <c r="H17" s="113" t="s">
        <v>248</v>
      </c>
      <c r="I17" s="126" t="s">
        <v>248</v>
      </c>
      <c r="J17" s="127" t="s">
        <v>248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248</v>
      </c>
      <c r="C18" s="112" t="s">
        <v>248</v>
      </c>
      <c r="D18" s="112" t="s">
        <v>248</v>
      </c>
      <c r="E18" s="128" t="s">
        <v>248</v>
      </c>
      <c r="F18" s="113" t="s">
        <v>248</v>
      </c>
      <c r="G18" s="113" t="s">
        <v>248</v>
      </c>
      <c r="H18" s="113" t="s">
        <v>248</v>
      </c>
      <c r="I18" s="126" t="s">
        <v>248</v>
      </c>
      <c r="J18" s="127" t="s">
        <v>248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248</v>
      </c>
      <c r="C19" s="112" t="s">
        <v>248</v>
      </c>
      <c r="D19" s="112" t="s">
        <v>248</v>
      </c>
      <c r="E19" s="128" t="s">
        <v>248</v>
      </c>
      <c r="F19" s="113" t="s">
        <v>248</v>
      </c>
      <c r="G19" s="113" t="s">
        <v>248</v>
      </c>
      <c r="H19" s="113" t="s">
        <v>248</v>
      </c>
      <c r="I19" s="126" t="s">
        <v>248</v>
      </c>
      <c r="J19" s="127" t="s">
        <v>248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321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284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322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323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324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325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6" t="s">
        <v>248</v>
      </c>
      <c r="G14" s="113" t="s">
        <v>248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284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6" t="s">
        <v>248</v>
      </c>
      <c r="G15" s="113" t="s">
        <v>248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323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6" t="s">
        <v>248</v>
      </c>
      <c r="G16" s="113" t="s">
        <v>248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326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6" t="s">
        <v>248</v>
      </c>
      <c r="G17" s="113" t="s">
        <v>248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325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6" t="s">
        <v>248</v>
      </c>
      <c r="G18" s="113" t="s">
        <v>248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327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6" t="s">
        <v>248</v>
      </c>
      <c r="G19" s="113" t="s">
        <v>248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6" t="s">
        <v>248</v>
      </c>
      <c r="G20" s="113" t="s">
        <v>248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30.44140625" style="9" bestFit="1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3.44140625" style="10" bestFit="1" customWidth="1"/>
    <col min="7" max="7" width="7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6371.5194636343422</v>
      </c>
      <c r="I9" s="67">
        <v>1</v>
      </c>
      <c r="J9" s="79">
        <v>1.2087773298297468E-2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284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27" t="s">
        <v>248</v>
      </c>
      <c r="H11" s="115">
        <v>6371.519463534325</v>
      </c>
      <c r="I11" s="112">
        <v>0.99999999998430256</v>
      </c>
      <c r="J11" s="112">
        <v>1.208777329810772E-2</v>
      </c>
    </row>
    <row r="12" spans="1:16" x14ac:dyDescent="0.25">
      <c r="A12" s="16" t="s">
        <v>328</v>
      </c>
      <c r="B12" s="109" t="s">
        <v>329</v>
      </c>
      <c r="C12" s="109" t="s">
        <v>218</v>
      </c>
      <c r="D12" s="109" t="s">
        <v>188</v>
      </c>
      <c r="E12" s="109" t="s">
        <v>125</v>
      </c>
      <c r="F12" s="66">
        <v>316.96848119954848</v>
      </c>
      <c r="G12" s="58">
        <v>4488.25</v>
      </c>
      <c r="H12" s="81">
        <v>263187.25036261661</v>
      </c>
      <c r="I12" s="32">
        <v>41.306826709824328</v>
      </c>
      <c r="J12" s="32">
        <v>0.49930755694041518</v>
      </c>
      <c r="K12" s="14"/>
      <c r="L12" s="14"/>
      <c r="M12" s="14"/>
      <c r="N12" s="14"/>
      <c r="O12" s="14"/>
    </row>
    <row r="13" spans="1:16" x14ac:dyDescent="0.25">
      <c r="A13" s="16" t="s">
        <v>330</v>
      </c>
      <c r="B13" s="109" t="s">
        <v>331</v>
      </c>
      <c r="C13" s="109" t="s">
        <v>218</v>
      </c>
      <c r="D13" s="109" t="s">
        <v>188</v>
      </c>
      <c r="E13" s="109" t="s">
        <v>125</v>
      </c>
      <c r="F13" s="66">
        <v>-69409657.000023156</v>
      </c>
      <c r="G13" s="58">
        <v>1</v>
      </c>
      <c r="H13" s="81">
        <v>-256815.73089918226</v>
      </c>
      <c r="I13" s="32">
        <v>-40.306826709855713</v>
      </c>
      <c r="J13" s="32">
        <v>-0.48721978364249713</v>
      </c>
      <c r="K13" s="14"/>
      <c r="L13" s="14"/>
      <c r="M13" s="14"/>
      <c r="N13" s="14"/>
      <c r="O13" s="14"/>
    </row>
    <row r="14" spans="1:16" s="110" customFormat="1" x14ac:dyDescent="0.25">
      <c r="A14" s="75" t="s">
        <v>241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75"/>
      <c r="D17" s="75"/>
      <c r="E17" s="117"/>
      <c r="F17" s="137"/>
      <c r="G17" s="137"/>
      <c r="H17" s="138"/>
      <c r="I17" s="138"/>
      <c r="J17" s="121"/>
      <c r="K17" s="139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75"/>
      <c r="D18" s="75"/>
      <c r="E18" s="117"/>
      <c r="F18" s="137"/>
      <c r="G18" s="137"/>
      <c r="H18" s="138"/>
      <c r="I18" s="138"/>
      <c r="J18" s="121"/>
      <c r="K18" s="139"/>
      <c r="L18" s="139"/>
      <c r="M18" s="139"/>
      <c r="N18" s="121"/>
      <c r="O18" s="121"/>
    </row>
  </sheetData>
  <mergeCells count="2">
    <mergeCell ref="A5:J5"/>
    <mergeCell ref="A4:J4"/>
  </mergeCells>
  <phoneticPr fontId="3" type="noConversion"/>
  <conditionalFormatting sqref="B9:E13 I9:J13">
    <cfRule type="expression" dxfId="83" priority="219" stopIfTrue="1">
      <formula>LEFT(#REF!,3)="TIR"</formula>
    </cfRule>
  </conditionalFormatting>
  <conditionalFormatting sqref="H9:I9 A9:A13 I10:I13">
    <cfRule type="expression" dxfId="82" priority="222" stopIfTrue="1">
      <formula>LEFT(#REF!,3)="TIR"</formula>
    </cfRule>
  </conditionalFormatting>
  <conditionalFormatting sqref="H9:I9 I10:I13 A9:A13">
    <cfRule type="expression" dxfId="81" priority="221" stopIfTrue="1">
      <formula>#REF!&gt;0</formula>
    </cfRule>
  </conditionalFormatting>
  <conditionalFormatting sqref="H10:I1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3 J14:J55548">
    <cfRule type="expression" dxfId="78" priority="216" stopIfTrue="1">
      <formula>LEFT(#REF!,3)="TIR"</formula>
    </cfRule>
  </conditionalFormatting>
  <conditionalFormatting sqref="J10:J1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3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332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3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333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3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334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3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335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3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336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3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337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3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338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3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284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3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339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3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340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2" t="s">
        <v>248</v>
      </c>
      <c r="G20" s="123" t="s">
        <v>248</v>
      </c>
      <c r="H20" s="123" t="s">
        <v>248</v>
      </c>
      <c r="I20" s="122" t="s">
        <v>248</v>
      </c>
      <c r="J20" s="122" t="s">
        <v>248</v>
      </c>
      <c r="K20" s="126" t="s">
        <v>248</v>
      </c>
      <c r="L20" s="127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341</v>
      </c>
      <c r="B21" s="122" t="s">
        <v>248</v>
      </c>
      <c r="C21" s="122" t="s">
        <v>248</v>
      </c>
      <c r="D21" s="122" t="s">
        <v>248</v>
      </c>
      <c r="E21" s="122" t="s">
        <v>248</v>
      </c>
      <c r="F21" s="122" t="s">
        <v>248</v>
      </c>
      <c r="G21" s="123" t="s">
        <v>248</v>
      </c>
      <c r="H21" s="123" t="s">
        <v>248</v>
      </c>
      <c r="I21" s="122" t="s">
        <v>248</v>
      </c>
      <c r="J21" s="122" t="s">
        <v>248</v>
      </c>
      <c r="K21" s="126" t="s">
        <v>248</v>
      </c>
      <c r="L21" s="127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335</v>
      </c>
      <c r="B22" s="122" t="s">
        <v>248</v>
      </c>
      <c r="C22" s="122" t="s">
        <v>248</v>
      </c>
      <c r="D22" s="122" t="s">
        <v>248</v>
      </c>
      <c r="E22" s="122" t="s">
        <v>248</v>
      </c>
      <c r="F22" s="122" t="s">
        <v>248</v>
      </c>
      <c r="G22" s="123" t="s">
        <v>248</v>
      </c>
      <c r="H22" s="123" t="s">
        <v>248</v>
      </c>
      <c r="I22" s="122" t="s">
        <v>248</v>
      </c>
      <c r="J22" s="122" t="s">
        <v>248</v>
      </c>
      <c r="K22" s="126" t="s">
        <v>248</v>
      </c>
      <c r="L22" s="127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336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3" t="s">
        <v>248</v>
      </c>
      <c r="H23" s="123" t="s">
        <v>248</v>
      </c>
      <c r="I23" s="122" t="s">
        <v>248</v>
      </c>
      <c r="J23" s="122" t="s">
        <v>248</v>
      </c>
      <c r="K23" s="126" t="s">
        <v>248</v>
      </c>
      <c r="L23" s="127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337</v>
      </c>
      <c r="B24" s="122" t="s">
        <v>248</v>
      </c>
      <c r="C24" s="122" t="s">
        <v>248</v>
      </c>
      <c r="D24" s="122" t="s">
        <v>248</v>
      </c>
      <c r="E24" s="122" t="s">
        <v>248</v>
      </c>
      <c r="F24" s="122" t="s">
        <v>248</v>
      </c>
      <c r="G24" s="123" t="s">
        <v>248</v>
      </c>
      <c r="H24" s="123" t="s">
        <v>248</v>
      </c>
      <c r="I24" s="122" t="s">
        <v>248</v>
      </c>
      <c r="J24" s="122" t="s">
        <v>248</v>
      </c>
      <c r="K24" s="126" t="s">
        <v>248</v>
      </c>
      <c r="L24" s="127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338</v>
      </c>
      <c r="B25" s="122" t="s">
        <v>248</v>
      </c>
      <c r="C25" s="122" t="s">
        <v>248</v>
      </c>
      <c r="D25" s="122" t="s">
        <v>248</v>
      </c>
      <c r="E25" s="122" t="s">
        <v>248</v>
      </c>
      <c r="F25" s="122" t="s">
        <v>248</v>
      </c>
      <c r="G25" s="123" t="s">
        <v>248</v>
      </c>
      <c r="H25" s="123" t="s">
        <v>248</v>
      </c>
      <c r="I25" s="122" t="s">
        <v>248</v>
      </c>
      <c r="J25" s="122" t="s">
        <v>248</v>
      </c>
      <c r="K25" s="126" t="s">
        <v>248</v>
      </c>
      <c r="L25" s="127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248</v>
      </c>
      <c r="C9" s="111"/>
      <c r="D9" s="111"/>
      <c r="E9" s="111" t="s">
        <v>248</v>
      </c>
      <c r="F9" s="111" t="s">
        <v>248</v>
      </c>
      <c r="G9" s="111" t="s">
        <v>248</v>
      </c>
      <c r="H9" s="111" t="s">
        <v>248</v>
      </c>
      <c r="I9" s="111" t="s">
        <v>248</v>
      </c>
      <c r="J9" s="147" t="s">
        <v>248</v>
      </c>
      <c r="K9" s="111" t="s">
        <v>248</v>
      </c>
      <c r="L9" s="77">
        <v>6.9999999999999997E-7</v>
      </c>
      <c r="M9" s="111" t="s">
        <v>248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248</v>
      </c>
      <c r="C10" s="134" t="s">
        <v>248</v>
      </c>
      <c r="D10" s="134" t="s">
        <v>248</v>
      </c>
      <c r="E10" s="134" t="s">
        <v>248</v>
      </c>
      <c r="F10" s="134" t="s">
        <v>248</v>
      </c>
      <c r="G10" s="134" t="s">
        <v>248</v>
      </c>
      <c r="H10" s="148" t="s">
        <v>248</v>
      </c>
      <c r="I10" s="148" t="s">
        <v>248</v>
      </c>
      <c r="J10" s="133" t="s">
        <v>248</v>
      </c>
      <c r="K10" s="134" t="s">
        <v>248</v>
      </c>
      <c r="L10" s="114">
        <v>0</v>
      </c>
      <c r="M10" s="148" t="s">
        <v>248</v>
      </c>
      <c r="N10" s="112">
        <v>0</v>
      </c>
      <c r="O10" s="112">
        <v>0</v>
      </c>
    </row>
    <row r="11" spans="1:15" s="110" customFormat="1" x14ac:dyDescent="0.25">
      <c r="A11" s="89" t="s">
        <v>342</v>
      </c>
      <c r="B11" s="112" t="s">
        <v>248</v>
      </c>
      <c r="C11" s="136" t="s">
        <v>248</v>
      </c>
      <c r="D11" s="136" t="s">
        <v>248</v>
      </c>
      <c r="E11" s="136" t="s">
        <v>248</v>
      </c>
      <c r="F11" s="136" t="s">
        <v>248</v>
      </c>
      <c r="G11" s="136" t="s">
        <v>248</v>
      </c>
      <c r="H11" s="149" t="s">
        <v>248</v>
      </c>
      <c r="I11" s="149" t="s">
        <v>248</v>
      </c>
      <c r="J11" s="135" t="s">
        <v>248</v>
      </c>
      <c r="K11" s="136" t="s">
        <v>248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343</v>
      </c>
      <c r="B12" s="112" t="s">
        <v>248</v>
      </c>
      <c r="C12" s="136" t="s">
        <v>248</v>
      </c>
      <c r="D12" s="136" t="s">
        <v>248</v>
      </c>
      <c r="E12" s="136" t="s">
        <v>248</v>
      </c>
      <c r="F12" s="136" t="s">
        <v>248</v>
      </c>
      <c r="G12" s="136" t="s">
        <v>248</v>
      </c>
      <c r="H12" s="149" t="s">
        <v>248</v>
      </c>
      <c r="I12" s="149" t="s">
        <v>248</v>
      </c>
      <c r="J12" s="135" t="s">
        <v>248</v>
      </c>
      <c r="K12" s="136" t="s">
        <v>248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344</v>
      </c>
      <c r="B13" s="112" t="s">
        <v>248</v>
      </c>
      <c r="C13" s="136" t="s">
        <v>248</v>
      </c>
      <c r="D13" s="136" t="s">
        <v>248</v>
      </c>
      <c r="E13" s="136" t="s">
        <v>248</v>
      </c>
      <c r="F13" s="136" t="s">
        <v>248</v>
      </c>
      <c r="G13" s="136" t="s">
        <v>248</v>
      </c>
      <c r="H13" s="149" t="s">
        <v>248</v>
      </c>
      <c r="I13" s="149" t="s">
        <v>248</v>
      </c>
      <c r="J13" s="135" t="s">
        <v>248</v>
      </c>
      <c r="K13" s="136" t="s">
        <v>248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345</v>
      </c>
      <c r="B14" s="112" t="s">
        <v>248</v>
      </c>
      <c r="C14" s="136" t="s">
        <v>248</v>
      </c>
      <c r="D14" s="136" t="s">
        <v>248</v>
      </c>
      <c r="E14" s="136" t="s">
        <v>248</v>
      </c>
      <c r="F14" s="136" t="s">
        <v>248</v>
      </c>
      <c r="G14" s="136" t="s">
        <v>248</v>
      </c>
      <c r="H14" s="149" t="s">
        <v>248</v>
      </c>
      <c r="I14" s="149" t="s">
        <v>248</v>
      </c>
      <c r="J14" s="135" t="s">
        <v>248</v>
      </c>
      <c r="K14" s="136" t="s">
        <v>248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248</v>
      </c>
      <c r="C15" s="136" t="s">
        <v>248</v>
      </c>
      <c r="D15" s="136" t="s">
        <v>248</v>
      </c>
      <c r="E15" s="136" t="s">
        <v>248</v>
      </c>
      <c r="F15" s="136" t="s">
        <v>248</v>
      </c>
      <c r="G15" s="136" t="s">
        <v>248</v>
      </c>
      <c r="H15" s="149" t="s">
        <v>248</v>
      </c>
      <c r="I15" s="149" t="s">
        <v>248</v>
      </c>
      <c r="J15" s="135" t="s">
        <v>248</v>
      </c>
      <c r="K15" s="136" t="s">
        <v>248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284</v>
      </c>
      <c r="B16" s="112" t="s">
        <v>248</v>
      </c>
      <c r="C16" s="136" t="s">
        <v>248</v>
      </c>
      <c r="D16" s="136" t="s">
        <v>248</v>
      </c>
      <c r="E16" s="136" t="s">
        <v>248</v>
      </c>
      <c r="F16" s="136" t="s">
        <v>248</v>
      </c>
      <c r="G16" s="136" t="s">
        <v>248</v>
      </c>
      <c r="H16" s="149" t="s">
        <v>248</v>
      </c>
      <c r="I16" s="149" t="s">
        <v>248</v>
      </c>
      <c r="J16" s="135" t="s">
        <v>248</v>
      </c>
      <c r="K16" s="136" t="s">
        <v>248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346</v>
      </c>
      <c r="B17" s="112" t="s">
        <v>248</v>
      </c>
      <c r="C17" s="136" t="s">
        <v>248</v>
      </c>
      <c r="D17" s="136" t="s">
        <v>248</v>
      </c>
      <c r="E17" s="136" t="s">
        <v>248</v>
      </c>
      <c r="F17" s="136" t="s">
        <v>248</v>
      </c>
      <c r="G17" s="136" t="s">
        <v>248</v>
      </c>
      <c r="H17" s="149" t="s">
        <v>248</v>
      </c>
      <c r="I17" s="149" t="s">
        <v>248</v>
      </c>
      <c r="J17" s="135" t="s">
        <v>248</v>
      </c>
      <c r="K17" s="136" t="s">
        <v>248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347</v>
      </c>
      <c r="B18" s="112" t="s">
        <v>248</v>
      </c>
      <c r="C18" s="136" t="s">
        <v>248</v>
      </c>
      <c r="D18" s="136" t="s">
        <v>248</v>
      </c>
      <c r="E18" s="136" t="s">
        <v>248</v>
      </c>
      <c r="F18" s="136" t="s">
        <v>248</v>
      </c>
      <c r="G18" s="136" t="s">
        <v>248</v>
      </c>
      <c r="H18" s="149" t="s">
        <v>248</v>
      </c>
      <c r="I18" s="149" t="s">
        <v>248</v>
      </c>
      <c r="J18" s="135" t="s">
        <v>248</v>
      </c>
      <c r="K18" s="136" t="s">
        <v>248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0" t="s">
        <v>248</v>
      </c>
      <c r="H9" s="130" t="s">
        <v>248</v>
      </c>
      <c r="I9" s="130" t="s">
        <v>248</v>
      </c>
      <c r="J9" s="130" t="s">
        <v>248</v>
      </c>
      <c r="K9" s="131" t="s">
        <v>248</v>
      </c>
      <c r="L9" s="131" t="s">
        <v>248</v>
      </c>
      <c r="M9" s="97" t="s">
        <v>248</v>
      </c>
      <c r="N9" s="130" t="s">
        <v>248</v>
      </c>
      <c r="O9" s="98">
        <v>6.0000000000000008E-7</v>
      </c>
      <c r="P9" s="111" t="s">
        <v>248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34" t="s">
        <v>248</v>
      </c>
      <c r="H10" s="134" t="s">
        <v>248</v>
      </c>
      <c r="I10" s="134" t="s">
        <v>248</v>
      </c>
      <c r="J10" s="134" t="s">
        <v>248</v>
      </c>
      <c r="K10" s="148" t="s">
        <v>248</v>
      </c>
      <c r="L10" s="148" t="s">
        <v>248</v>
      </c>
      <c r="M10" s="124" t="s">
        <v>248</v>
      </c>
      <c r="N10" s="134" t="s">
        <v>248</v>
      </c>
      <c r="O10" s="114">
        <v>0</v>
      </c>
      <c r="P10" s="148" t="s">
        <v>248</v>
      </c>
      <c r="Q10" s="112">
        <v>0</v>
      </c>
      <c r="R10" s="112">
        <v>0</v>
      </c>
    </row>
    <row r="11" spans="1:18" s="110" customFormat="1" x14ac:dyDescent="0.25">
      <c r="A11" s="89" t="s">
        <v>348</v>
      </c>
      <c r="B11" s="112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36" t="s">
        <v>248</v>
      </c>
      <c r="H11" s="136" t="s">
        <v>248</v>
      </c>
      <c r="I11" s="136" t="s">
        <v>248</v>
      </c>
      <c r="J11" s="136" t="s">
        <v>248</v>
      </c>
      <c r="K11" s="149" t="s">
        <v>248</v>
      </c>
      <c r="L11" s="149" t="s">
        <v>248</v>
      </c>
      <c r="M11" s="126" t="s">
        <v>248</v>
      </c>
      <c r="N11" s="136" t="s">
        <v>248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349</v>
      </c>
      <c r="B12" s="112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36" t="s">
        <v>248</v>
      </c>
      <c r="H12" s="136" t="s">
        <v>248</v>
      </c>
      <c r="I12" s="136" t="s">
        <v>248</v>
      </c>
      <c r="J12" s="136" t="s">
        <v>248</v>
      </c>
      <c r="K12" s="149" t="s">
        <v>248</v>
      </c>
      <c r="L12" s="149" t="s">
        <v>248</v>
      </c>
      <c r="M12" s="126" t="s">
        <v>248</v>
      </c>
      <c r="N12" s="136" t="s">
        <v>248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287</v>
      </c>
      <c r="B13" s="112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36" t="s">
        <v>248</v>
      </c>
      <c r="H13" s="136" t="s">
        <v>248</v>
      </c>
      <c r="I13" s="136" t="s">
        <v>248</v>
      </c>
      <c r="J13" s="136" t="s">
        <v>248</v>
      </c>
      <c r="K13" s="149" t="s">
        <v>248</v>
      </c>
      <c r="L13" s="149" t="s">
        <v>248</v>
      </c>
      <c r="M13" s="126" t="s">
        <v>248</v>
      </c>
      <c r="N13" s="127" t="s">
        <v>248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248</v>
      </c>
      <c r="C14" s="128" t="s">
        <v>248</v>
      </c>
      <c r="D14" s="128" t="s">
        <v>248</v>
      </c>
      <c r="E14" s="128" t="s">
        <v>248</v>
      </c>
      <c r="F14" s="127" t="s">
        <v>248</v>
      </c>
      <c r="G14" s="136" t="s">
        <v>248</v>
      </c>
      <c r="H14" s="136" t="s">
        <v>248</v>
      </c>
      <c r="I14" s="136" t="s">
        <v>248</v>
      </c>
      <c r="J14" s="136" t="s">
        <v>248</v>
      </c>
      <c r="K14" s="149" t="s">
        <v>248</v>
      </c>
      <c r="L14" s="149" t="s">
        <v>248</v>
      </c>
      <c r="M14" s="126" t="s">
        <v>248</v>
      </c>
      <c r="N14" s="136" t="s">
        <v>248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284</v>
      </c>
      <c r="B15" s="112" t="s">
        <v>248</v>
      </c>
      <c r="C15" s="128" t="s">
        <v>248</v>
      </c>
      <c r="D15" s="128" t="s">
        <v>248</v>
      </c>
      <c r="E15" s="128" t="s">
        <v>248</v>
      </c>
      <c r="F15" s="127" t="s">
        <v>248</v>
      </c>
      <c r="G15" s="136" t="s">
        <v>248</v>
      </c>
      <c r="H15" s="136" t="s">
        <v>248</v>
      </c>
      <c r="I15" s="136" t="s">
        <v>248</v>
      </c>
      <c r="J15" s="136" t="s">
        <v>248</v>
      </c>
      <c r="K15" s="149" t="s">
        <v>248</v>
      </c>
      <c r="L15" s="149" t="s">
        <v>248</v>
      </c>
      <c r="M15" s="126" t="s">
        <v>248</v>
      </c>
      <c r="N15" s="136" t="s">
        <v>248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350</v>
      </c>
      <c r="B16" s="112" t="s">
        <v>248</v>
      </c>
      <c r="C16" s="128" t="s">
        <v>248</v>
      </c>
      <c r="D16" s="128" t="s">
        <v>248</v>
      </c>
      <c r="E16" s="128" t="s">
        <v>248</v>
      </c>
      <c r="F16" s="127" t="s">
        <v>248</v>
      </c>
      <c r="G16" s="136" t="s">
        <v>248</v>
      </c>
      <c r="H16" s="136" t="s">
        <v>248</v>
      </c>
      <c r="I16" s="136" t="s">
        <v>248</v>
      </c>
      <c r="J16" s="136" t="s">
        <v>248</v>
      </c>
      <c r="K16" s="149" t="s">
        <v>248</v>
      </c>
      <c r="L16" s="149" t="s">
        <v>248</v>
      </c>
      <c r="M16" s="126" t="s">
        <v>248</v>
      </c>
      <c r="N16" s="136" t="s">
        <v>248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351</v>
      </c>
      <c r="B17" s="112" t="s">
        <v>248</v>
      </c>
      <c r="C17" s="128" t="s">
        <v>248</v>
      </c>
      <c r="D17" s="128" t="s">
        <v>248</v>
      </c>
      <c r="E17" s="128" t="s">
        <v>248</v>
      </c>
      <c r="F17" s="127" t="s">
        <v>248</v>
      </c>
      <c r="G17" s="136" t="s">
        <v>248</v>
      </c>
      <c r="H17" s="136" t="s">
        <v>248</v>
      </c>
      <c r="I17" s="136" t="s">
        <v>248</v>
      </c>
      <c r="J17" s="136" t="s">
        <v>248</v>
      </c>
      <c r="K17" s="149" t="s">
        <v>248</v>
      </c>
      <c r="L17" s="149" t="s">
        <v>248</v>
      </c>
      <c r="M17" s="126" t="s">
        <v>248</v>
      </c>
      <c r="N17" s="136" t="s">
        <v>248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2" t="s">
        <v>248</v>
      </c>
      <c r="L10" s="112" t="s">
        <v>248</v>
      </c>
      <c r="M10" s="124" t="s">
        <v>248</v>
      </c>
      <c r="N10" s="113" t="s">
        <v>248</v>
      </c>
      <c r="O10" s="125">
        <v>0</v>
      </c>
      <c r="P10" s="112" t="s">
        <v>248</v>
      </c>
      <c r="Q10" s="112">
        <v>0</v>
      </c>
      <c r="R10" s="112">
        <v>0</v>
      </c>
    </row>
    <row r="11" spans="1:18" s="110" customFormat="1" x14ac:dyDescent="0.25">
      <c r="A11" s="89" t="s">
        <v>348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13" t="s">
        <v>248</v>
      </c>
      <c r="G11" s="127" t="s">
        <v>248</v>
      </c>
      <c r="H11" s="127" t="s">
        <v>248</v>
      </c>
      <c r="I11" s="124" t="s">
        <v>248</v>
      </c>
      <c r="J11" s="127" t="s">
        <v>248</v>
      </c>
      <c r="K11" s="128" t="s">
        <v>248</v>
      </c>
      <c r="L11" s="128" t="s">
        <v>248</v>
      </c>
      <c r="M11" s="126" t="s">
        <v>248</v>
      </c>
      <c r="N11" s="113" t="s">
        <v>248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349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13" t="s">
        <v>248</v>
      </c>
      <c r="G12" s="127" t="s">
        <v>248</v>
      </c>
      <c r="H12" s="127" t="s">
        <v>248</v>
      </c>
      <c r="I12" s="124" t="s">
        <v>248</v>
      </c>
      <c r="J12" s="127" t="s">
        <v>248</v>
      </c>
      <c r="K12" s="128" t="s">
        <v>248</v>
      </c>
      <c r="L12" s="128" t="s">
        <v>248</v>
      </c>
      <c r="M12" s="126" t="s">
        <v>248</v>
      </c>
      <c r="N12" s="113" t="s">
        <v>248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287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13" t="s">
        <v>248</v>
      </c>
      <c r="G13" s="127" t="s">
        <v>248</v>
      </c>
      <c r="H13" s="127" t="s">
        <v>248</v>
      </c>
      <c r="I13" s="124" t="s">
        <v>248</v>
      </c>
      <c r="J13" s="127" t="s">
        <v>248</v>
      </c>
      <c r="K13" s="128" t="s">
        <v>248</v>
      </c>
      <c r="L13" s="128" t="s">
        <v>248</v>
      </c>
      <c r="M13" s="126" t="s">
        <v>248</v>
      </c>
      <c r="N13" s="113" t="s">
        <v>248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248</v>
      </c>
      <c r="C14" s="128" t="s">
        <v>248</v>
      </c>
      <c r="D14" s="128" t="s">
        <v>248</v>
      </c>
      <c r="E14" s="128" t="s">
        <v>248</v>
      </c>
      <c r="F14" s="113" t="s">
        <v>248</v>
      </c>
      <c r="G14" s="127" t="s">
        <v>248</v>
      </c>
      <c r="H14" s="127" t="s">
        <v>248</v>
      </c>
      <c r="I14" s="124" t="s">
        <v>248</v>
      </c>
      <c r="J14" s="127" t="s">
        <v>248</v>
      </c>
      <c r="K14" s="128" t="s">
        <v>248</v>
      </c>
      <c r="L14" s="128" t="s">
        <v>248</v>
      </c>
      <c r="M14" s="126" t="s">
        <v>248</v>
      </c>
      <c r="N14" s="113" t="s">
        <v>248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284</v>
      </c>
      <c r="B15" s="128" t="s">
        <v>248</v>
      </c>
      <c r="C15" s="128" t="s">
        <v>248</v>
      </c>
      <c r="D15" s="128" t="s">
        <v>248</v>
      </c>
      <c r="E15" s="128" t="s">
        <v>248</v>
      </c>
      <c r="F15" s="113" t="s">
        <v>248</v>
      </c>
      <c r="G15" s="127" t="s">
        <v>248</v>
      </c>
      <c r="H15" s="127" t="s">
        <v>248</v>
      </c>
      <c r="I15" s="124" t="s">
        <v>248</v>
      </c>
      <c r="J15" s="127" t="s">
        <v>248</v>
      </c>
      <c r="K15" s="128" t="s">
        <v>248</v>
      </c>
      <c r="L15" s="128" t="s">
        <v>248</v>
      </c>
      <c r="M15" s="126" t="s">
        <v>248</v>
      </c>
      <c r="N15" s="113" t="s">
        <v>248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352</v>
      </c>
      <c r="B16" s="128" t="s">
        <v>248</v>
      </c>
      <c r="C16" s="128" t="s">
        <v>248</v>
      </c>
      <c r="D16" s="128" t="s">
        <v>248</v>
      </c>
      <c r="E16" s="128" t="s">
        <v>248</v>
      </c>
      <c r="F16" s="113" t="s">
        <v>248</v>
      </c>
      <c r="G16" s="127" t="s">
        <v>248</v>
      </c>
      <c r="H16" s="127" t="s">
        <v>248</v>
      </c>
      <c r="I16" s="124" t="s">
        <v>248</v>
      </c>
      <c r="J16" s="127" t="s">
        <v>248</v>
      </c>
      <c r="K16" s="128" t="s">
        <v>248</v>
      </c>
      <c r="L16" s="128" t="s">
        <v>248</v>
      </c>
      <c r="M16" s="126" t="s">
        <v>248</v>
      </c>
      <c r="N16" s="113" t="s">
        <v>248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353</v>
      </c>
      <c r="B17" s="128" t="s">
        <v>248</v>
      </c>
      <c r="C17" s="128" t="s">
        <v>248</v>
      </c>
      <c r="D17" s="128" t="s">
        <v>248</v>
      </c>
      <c r="E17" s="128" t="s">
        <v>248</v>
      </c>
      <c r="F17" s="113" t="s">
        <v>248</v>
      </c>
      <c r="G17" s="127" t="s">
        <v>248</v>
      </c>
      <c r="H17" s="127" t="s">
        <v>248</v>
      </c>
      <c r="I17" s="124" t="s">
        <v>248</v>
      </c>
      <c r="J17" s="127" t="s">
        <v>248</v>
      </c>
      <c r="K17" s="128" t="s">
        <v>248</v>
      </c>
      <c r="L17" s="128" t="s">
        <v>248</v>
      </c>
      <c r="M17" s="126" t="s">
        <v>248</v>
      </c>
      <c r="N17" s="113" t="s">
        <v>248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24" t="s">
        <v>248</v>
      </c>
      <c r="H10" s="113" t="s">
        <v>248</v>
      </c>
      <c r="I10" s="125">
        <v>0</v>
      </c>
      <c r="J10" s="112" t="s">
        <v>248</v>
      </c>
      <c r="K10" s="112">
        <v>0</v>
      </c>
      <c r="L10" s="112">
        <v>0</v>
      </c>
    </row>
    <row r="11" spans="1:17" s="110" customFormat="1" x14ac:dyDescent="0.25">
      <c r="A11" s="89" t="s">
        <v>284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26" t="s">
        <v>248</v>
      </c>
      <c r="H11" s="113" t="s">
        <v>248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26" t="s">
        <v>248</v>
      </c>
      <c r="H12" s="113" t="s">
        <v>248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26" t="s">
        <v>248</v>
      </c>
      <c r="H13" s="113" t="s">
        <v>248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.88671875" style="61" bestFit="1" customWidth="1"/>
    <col min="9" max="9" width="26.44140625" style="61" bestFit="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0" customFormat="1" x14ac:dyDescent="0.25">
      <c r="A10" s="88" t="s">
        <v>354</v>
      </c>
      <c r="B10" s="112" t="s">
        <v>248</v>
      </c>
      <c r="C10" s="113" t="s">
        <v>248</v>
      </c>
      <c r="D10" s="113" t="s">
        <v>248</v>
      </c>
      <c r="E10" s="124" t="s">
        <v>248</v>
      </c>
      <c r="F10" s="113" t="s">
        <v>248</v>
      </c>
      <c r="G10" s="125">
        <v>0</v>
      </c>
      <c r="H10" s="112" t="s">
        <v>248</v>
      </c>
      <c r="I10" s="112">
        <v>0</v>
      </c>
      <c r="J10" s="112">
        <v>0</v>
      </c>
    </row>
    <row r="11" spans="1:17" s="110" customFormat="1" x14ac:dyDescent="0.25">
      <c r="A11" s="89" t="s">
        <v>355</v>
      </c>
      <c r="B11" s="128" t="s">
        <v>248</v>
      </c>
      <c r="C11" s="127" t="s">
        <v>248</v>
      </c>
      <c r="D11" s="127" t="s">
        <v>248</v>
      </c>
      <c r="E11" s="126" t="s">
        <v>248</v>
      </c>
      <c r="F11" s="113" t="s">
        <v>248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356</v>
      </c>
      <c r="B12" s="128" t="s">
        <v>248</v>
      </c>
      <c r="C12" s="127" t="s">
        <v>248</v>
      </c>
      <c r="D12" s="127" t="s">
        <v>248</v>
      </c>
      <c r="E12" s="126" t="s">
        <v>248</v>
      </c>
      <c r="F12" s="113" t="s">
        <v>248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357</v>
      </c>
      <c r="B13" s="128" t="s">
        <v>248</v>
      </c>
      <c r="C13" s="127" t="s">
        <v>248</v>
      </c>
      <c r="D13" s="127" t="s">
        <v>248</v>
      </c>
      <c r="E13" s="126" t="s">
        <v>248</v>
      </c>
      <c r="F13" s="113" t="s">
        <v>248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358</v>
      </c>
      <c r="B14" s="128" t="s">
        <v>248</v>
      </c>
      <c r="C14" s="127" t="s">
        <v>248</v>
      </c>
      <c r="D14" s="127" t="s">
        <v>248</v>
      </c>
      <c r="E14" s="126" t="s">
        <v>248</v>
      </c>
      <c r="F14" s="113" t="s">
        <v>248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359</v>
      </c>
      <c r="B15" s="128" t="s">
        <v>248</v>
      </c>
      <c r="C15" s="127" t="s">
        <v>248</v>
      </c>
      <c r="D15" s="127" t="s">
        <v>248</v>
      </c>
      <c r="E15" s="126" t="s">
        <v>248</v>
      </c>
      <c r="F15" s="113" t="s">
        <v>248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355</v>
      </c>
      <c r="B16" s="128" t="s">
        <v>248</v>
      </c>
      <c r="C16" s="127" t="s">
        <v>248</v>
      </c>
      <c r="D16" s="127" t="s">
        <v>248</v>
      </c>
      <c r="E16" s="126" t="s">
        <v>248</v>
      </c>
      <c r="F16" s="113" t="s">
        <v>248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356</v>
      </c>
      <c r="B17" s="128" t="s">
        <v>248</v>
      </c>
      <c r="C17" s="127" t="s">
        <v>248</v>
      </c>
      <c r="D17" s="127" t="s">
        <v>248</v>
      </c>
      <c r="E17" s="126" t="s">
        <v>248</v>
      </c>
      <c r="F17" s="113" t="s">
        <v>248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357</v>
      </c>
      <c r="B18" s="128" t="s">
        <v>248</v>
      </c>
      <c r="C18" s="127" t="s">
        <v>248</v>
      </c>
      <c r="D18" s="127" t="s">
        <v>248</v>
      </c>
      <c r="E18" s="126" t="s">
        <v>248</v>
      </c>
      <c r="F18" s="113" t="s">
        <v>248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358</v>
      </c>
      <c r="B19" s="128" t="s">
        <v>248</v>
      </c>
      <c r="C19" s="127" t="s">
        <v>248</v>
      </c>
      <c r="D19" s="127" t="s">
        <v>248</v>
      </c>
      <c r="E19" s="126" t="s">
        <v>248</v>
      </c>
      <c r="F19" s="113" t="s">
        <v>248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0" t="s">
        <v>248</v>
      </c>
      <c r="E9" s="130" t="s">
        <v>248</v>
      </c>
      <c r="F9" s="132" t="s">
        <v>248</v>
      </c>
      <c r="G9" s="130" t="s">
        <v>248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360</v>
      </c>
      <c r="B10" s="112" t="s">
        <v>248</v>
      </c>
      <c r="C10" s="112" t="s">
        <v>248</v>
      </c>
      <c r="D10" s="134" t="s">
        <v>248</v>
      </c>
      <c r="E10" s="134" t="s">
        <v>248</v>
      </c>
      <c r="F10" s="133" t="s">
        <v>248</v>
      </c>
      <c r="G10" s="134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361</v>
      </c>
      <c r="B11" s="128" t="s">
        <v>248</v>
      </c>
      <c r="C11" s="128" t="s">
        <v>248</v>
      </c>
      <c r="D11" s="136" t="s">
        <v>248</v>
      </c>
      <c r="E11" s="136" t="s">
        <v>248</v>
      </c>
      <c r="F11" s="135" t="s">
        <v>248</v>
      </c>
      <c r="G11" s="136" t="s">
        <v>248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0" customFormat="1" x14ac:dyDescent="0.25">
      <c r="A10" s="88" t="s">
        <v>362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323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363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364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325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365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323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326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325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327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0" customFormat="1" x14ac:dyDescent="0.25">
      <c r="A10" s="88" t="s">
        <v>366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5" s="110" customFormat="1" x14ac:dyDescent="0.25">
      <c r="A11" s="89" t="s">
        <v>323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325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367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364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363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>
        <v>0</v>
      </c>
      <c r="J15" s="128">
        <v>0</v>
      </c>
    </row>
    <row r="16" spans="1:15" s="110" customFormat="1" x14ac:dyDescent="0.25">
      <c r="A16" s="89" t="s">
        <v>368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>
        <v>0</v>
      </c>
      <c r="J16" s="128">
        <v>0</v>
      </c>
    </row>
    <row r="17" spans="1:14" s="110" customFormat="1" x14ac:dyDescent="0.25">
      <c r="A17" s="89" t="s">
        <v>323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>
        <v>0</v>
      </c>
      <c r="J17" s="128">
        <v>0</v>
      </c>
    </row>
    <row r="18" spans="1:14" s="110" customFormat="1" x14ac:dyDescent="0.25">
      <c r="A18" s="89" t="s">
        <v>326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>
        <v>0</v>
      </c>
      <c r="J18" s="128">
        <v>0</v>
      </c>
    </row>
    <row r="19" spans="1:14" s="110" customFormat="1" x14ac:dyDescent="0.25">
      <c r="A19" s="89" t="s">
        <v>325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>
        <v>0</v>
      </c>
      <c r="J19" s="128">
        <v>0</v>
      </c>
    </row>
    <row r="20" spans="1:14" s="110" customFormat="1" x14ac:dyDescent="0.25">
      <c r="A20" s="89" t="s">
        <v>141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75" t="s">
        <v>241</v>
      </c>
      <c r="B21" s="116"/>
      <c r="C21" s="75"/>
      <c r="D21" s="117"/>
      <c r="E21" s="117"/>
      <c r="F21" s="117"/>
      <c r="G21" s="118"/>
      <c r="H21" s="119"/>
      <c r="I21" s="119"/>
      <c r="J21" s="120"/>
      <c r="K21" s="139"/>
      <c r="L21" s="139"/>
      <c r="M21" s="121"/>
      <c r="N21" s="121"/>
    </row>
    <row r="22" spans="1:14" s="110" customFormat="1" x14ac:dyDescent="0.25">
      <c r="A22" s="75" t="s">
        <v>242</v>
      </c>
      <c r="B22" s="116"/>
      <c r="C22" s="75"/>
      <c r="D22" s="117"/>
      <c r="E22" s="117"/>
      <c r="F22" s="117"/>
      <c r="G22" s="118"/>
      <c r="H22" s="119"/>
      <c r="I22" s="119"/>
      <c r="J22" s="120"/>
      <c r="K22" s="139"/>
      <c r="L22" s="139"/>
      <c r="M22" s="121"/>
      <c r="N22" s="121"/>
    </row>
    <row r="23" spans="1:14" s="110" customFormat="1" x14ac:dyDescent="0.25">
      <c r="A23" s="75" t="s">
        <v>243</v>
      </c>
      <c r="B23" s="116"/>
      <c r="C23" s="75"/>
      <c r="D23" s="117"/>
      <c r="E23" s="117"/>
      <c r="F23" s="117"/>
      <c r="G23" s="118"/>
      <c r="H23" s="119"/>
      <c r="I23" s="119"/>
      <c r="J23" s="120"/>
      <c r="K23" s="139"/>
      <c r="L23" s="139"/>
      <c r="M23" s="121"/>
      <c r="N23" s="121"/>
    </row>
    <row r="24" spans="1:14" s="110" customFormat="1" x14ac:dyDescent="0.25">
      <c r="A24" s="75" t="s">
        <v>244</v>
      </c>
      <c r="B24" s="116"/>
      <c r="C24" s="75"/>
      <c r="D24" s="117"/>
      <c r="E24" s="117"/>
      <c r="F24" s="117"/>
      <c r="G24" s="118"/>
      <c r="H24" s="119"/>
      <c r="I24" s="119"/>
      <c r="J24" s="120"/>
      <c r="K24" s="139"/>
      <c r="L24" s="139"/>
      <c r="M24" s="121"/>
      <c r="N24" s="121"/>
    </row>
    <row r="25" spans="1:14" s="110" customFormat="1" x14ac:dyDescent="0.25">
      <c r="A25" s="75" t="s">
        <v>245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</sheetData>
  <mergeCells count="2">
    <mergeCell ref="A5:J5"/>
    <mergeCell ref="A4:J4"/>
  </mergeCells>
  <phoneticPr fontId="3" type="noConversion"/>
  <conditionalFormatting sqref="B10:E20 I10:J20">
    <cfRule type="expression" dxfId="45" priority="355" stopIfTrue="1">
      <formula>OR(LEFT(#REF!,3)="TIR",LEFT(#REF!,2)="IR")</formula>
    </cfRule>
  </conditionalFormatting>
  <conditionalFormatting sqref="H10:I20 A10:A2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3" t="s">
        <v>248</v>
      </c>
      <c r="H10" s="113" t="s">
        <v>248</v>
      </c>
      <c r="I10" s="112" t="s">
        <v>248</v>
      </c>
      <c r="J10" s="11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332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8" t="s">
        <v>248</v>
      </c>
      <c r="J11" s="128" t="s">
        <v>248</v>
      </c>
      <c r="K11" s="126" t="s">
        <v>248</v>
      </c>
      <c r="L11" s="113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333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8" t="s">
        <v>248</v>
      </c>
      <c r="J12" s="128" t="s">
        <v>248</v>
      </c>
      <c r="K12" s="126" t="s">
        <v>248</v>
      </c>
      <c r="L12" s="113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334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8" t="s">
        <v>248</v>
      </c>
      <c r="J13" s="128" t="s">
        <v>248</v>
      </c>
      <c r="K13" s="126" t="s">
        <v>248</v>
      </c>
      <c r="L13" s="113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335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8" t="s">
        <v>248</v>
      </c>
      <c r="J14" s="128" t="s">
        <v>248</v>
      </c>
      <c r="K14" s="126" t="s">
        <v>248</v>
      </c>
      <c r="L14" s="113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336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8" t="s">
        <v>248</v>
      </c>
      <c r="J15" s="128" t="s">
        <v>248</v>
      </c>
      <c r="K15" s="126" t="s">
        <v>248</v>
      </c>
      <c r="L15" s="113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337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8" t="s">
        <v>248</v>
      </c>
      <c r="J16" s="128" t="s">
        <v>248</v>
      </c>
      <c r="K16" s="126" t="s">
        <v>248</v>
      </c>
      <c r="L16" s="113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338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7" t="s">
        <v>248</v>
      </c>
      <c r="G17" s="127" t="s">
        <v>248</v>
      </c>
      <c r="H17" s="127" t="s">
        <v>248</v>
      </c>
      <c r="I17" s="128" t="s">
        <v>248</v>
      </c>
      <c r="J17" s="128" t="s">
        <v>248</v>
      </c>
      <c r="K17" s="126" t="s">
        <v>248</v>
      </c>
      <c r="L17" s="113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284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7" t="s">
        <v>248</v>
      </c>
      <c r="G18" s="127" t="s">
        <v>248</v>
      </c>
      <c r="H18" s="127" t="s">
        <v>248</v>
      </c>
      <c r="I18" s="128" t="s">
        <v>248</v>
      </c>
      <c r="J18" s="128" t="s">
        <v>248</v>
      </c>
      <c r="K18" s="126" t="s">
        <v>248</v>
      </c>
      <c r="L18" s="113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332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7" t="s">
        <v>248</v>
      </c>
      <c r="G19" s="127" t="s">
        <v>248</v>
      </c>
      <c r="H19" s="127" t="s">
        <v>248</v>
      </c>
      <c r="I19" s="128" t="s">
        <v>248</v>
      </c>
      <c r="J19" s="128" t="s">
        <v>248</v>
      </c>
      <c r="K19" s="126" t="s">
        <v>248</v>
      </c>
      <c r="L19" s="113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333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7" t="s">
        <v>248</v>
      </c>
      <c r="G20" s="127" t="s">
        <v>248</v>
      </c>
      <c r="H20" s="127" t="s">
        <v>248</v>
      </c>
      <c r="I20" s="128" t="s">
        <v>248</v>
      </c>
      <c r="J20" s="128" t="s">
        <v>248</v>
      </c>
      <c r="K20" s="126" t="s">
        <v>248</v>
      </c>
      <c r="L20" s="113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334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7" t="s">
        <v>248</v>
      </c>
      <c r="G21" s="127" t="s">
        <v>248</v>
      </c>
      <c r="H21" s="127" t="s">
        <v>248</v>
      </c>
      <c r="I21" s="128" t="s">
        <v>248</v>
      </c>
      <c r="J21" s="128" t="s">
        <v>248</v>
      </c>
      <c r="K21" s="126" t="s">
        <v>248</v>
      </c>
      <c r="L21" s="113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335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7" t="s">
        <v>248</v>
      </c>
      <c r="G22" s="127" t="s">
        <v>248</v>
      </c>
      <c r="H22" s="127" t="s">
        <v>248</v>
      </c>
      <c r="I22" s="128" t="s">
        <v>248</v>
      </c>
      <c r="J22" s="128" t="s">
        <v>248</v>
      </c>
      <c r="K22" s="126" t="s">
        <v>248</v>
      </c>
      <c r="L22" s="113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336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7" t="s">
        <v>248</v>
      </c>
      <c r="G23" s="127" t="s">
        <v>248</v>
      </c>
      <c r="H23" s="127" t="s">
        <v>248</v>
      </c>
      <c r="I23" s="128" t="s">
        <v>248</v>
      </c>
      <c r="J23" s="128" t="s">
        <v>248</v>
      </c>
      <c r="K23" s="126" t="s">
        <v>248</v>
      </c>
      <c r="L23" s="113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337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7" t="s">
        <v>248</v>
      </c>
      <c r="G24" s="127" t="s">
        <v>248</v>
      </c>
      <c r="H24" s="127" t="s">
        <v>248</v>
      </c>
      <c r="I24" s="128" t="s">
        <v>248</v>
      </c>
      <c r="J24" s="128" t="s">
        <v>248</v>
      </c>
      <c r="K24" s="126" t="s">
        <v>248</v>
      </c>
      <c r="L24" s="113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338</v>
      </c>
      <c r="B25" s="128" t="s">
        <v>248</v>
      </c>
      <c r="C25" s="128" t="s">
        <v>248</v>
      </c>
      <c r="D25" s="127" t="s">
        <v>248</v>
      </c>
      <c r="E25" s="127" t="s">
        <v>248</v>
      </c>
      <c r="F25" s="127" t="s">
        <v>248</v>
      </c>
      <c r="G25" s="127" t="s">
        <v>248</v>
      </c>
      <c r="H25" s="127" t="s">
        <v>248</v>
      </c>
      <c r="I25" s="128" t="s">
        <v>248</v>
      </c>
      <c r="J25" s="128" t="s">
        <v>248</v>
      </c>
      <c r="K25" s="126" t="s">
        <v>248</v>
      </c>
      <c r="L25" s="113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248</v>
      </c>
      <c r="C9" s="122" t="s">
        <v>248</v>
      </c>
      <c r="D9" s="122" t="s">
        <v>248</v>
      </c>
      <c r="E9" s="122" t="s">
        <v>248</v>
      </c>
      <c r="F9" s="122" t="s">
        <v>248</v>
      </c>
      <c r="G9" s="122" t="s">
        <v>248</v>
      </c>
      <c r="H9" s="123" t="s">
        <v>248</v>
      </c>
      <c r="I9" s="122" t="s">
        <v>248</v>
      </c>
      <c r="J9" s="123" t="s">
        <v>248</v>
      </c>
      <c r="K9" s="122" t="s">
        <v>248</v>
      </c>
      <c r="L9" s="122" t="s">
        <v>248</v>
      </c>
      <c r="M9" s="150" t="s">
        <v>248</v>
      </c>
      <c r="N9" s="113" t="s">
        <v>248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369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3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51" t="s">
        <v>248</v>
      </c>
      <c r="N10" s="127" t="s">
        <v>248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370</v>
      </c>
      <c r="B11" s="122" t="s">
        <v>248</v>
      </c>
      <c r="C11" s="122" t="s">
        <v>248</v>
      </c>
      <c r="D11" s="122"/>
      <c r="E11" s="122" t="s">
        <v>248</v>
      </c>
      <c r="F11" s="122" t="s">
        <v>248</v>
      </c>
      <c r="G11" s="122" t="s">
        <v>248</v>
      </c>
      <c r="H11" s="123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51" t="s">
        <v>248</v>
      </c>
      <c r="N11" s="127" t="s">
        <v>248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371</v>
      </c>
      <c r="B12" s="122" t="s">
        <v>248</v>
      </c>
      <c r="C12" s="122" t="s">
        <v>248</v>
      </c>
      <c r="D12" s="122"/>
      <c r="E12" s="122" t="s">
        <v>248</v>
      </c>
      <c r="F12" s="122" t="s">
        <v>248</v>
      </c>
      <c r="G12" s="122" t="s">
        <v>248</v>
      </c>
      <c r="H12" s="123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51" t="s">
        <v>248</v>
      </c>
      <c r="N12" s="127" t="s">
        <v>248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372</v>
      </c>
      <c r="B13" s="122" t="s">
        <v>248</v>
      </c>
      <c r="C13" s="122" t="s">
        <v>248</v>
      </c>
      <c r="D13" s="122"/>
      <c r="E13" s="122" t="s">
        <v>248</v>
      </c>
      <c r="F13" s="122" t="s">
        <v>248</v>
      </c>
      <c r="G13" s="122" t="s">
        <v>248</v>
      </c>
      <c r="H13" s="123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51" t="s">
        <v>248</v>
      </c>
      <c r="N13" s="127" t="s">
        <v>248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373</v>
      </c>
      <c r="B14" s="122" t="s">
        <v>248</v>
      </c>
      <c r="C14" s="122" t="s">
        <v>248</v>
      </c>
      <c r="D14" s="122"/>
      <c r="E14" s="122" t="s">
        <v>248</v>
      </c>
      <c r="F14" s="122" t="s">
        <v>248</v>
      </c>
      <c r="G14" s="122" t="s">
        <v>248</v>
      </c>
      <c r="H14" s="123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51">
        <v>0</v>
      </c>
      <c r="N14" s="127" t="s">
        <v>248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374</v>
      </c>
      <c r="B15" s="122" t="s">
        <v>248</v>
      </c>
      <c r="C15" s="122" t="s">
        <v>248</v>
      </c>
      <c r="D15" s="122"/>
      <c r="E15" s="122" t="s">
        <v>248</v>
      </c>
      <c r="F15" s="122" t="s">
        <v>248</v>
      </c>
      <c r="G15" s="122" t="s">
        <v>248</v>
      </c>
      <c r="H15" s="123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51" t="s">
        <v>248</v>
      </c>
      <c r="N15" s="127" t="s">
        <v>248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375</v>
      </c>
      <c r="B16" s="122" t="s">
        <v>248</v>
      </c>
      <c r="C16" s="122" t="s">
        <v>248</v>
      </c>
      <c r="D16" s="122"/>
      <c r="E16" s="122" t="s">
        <v>248</v>
      </c>
      <c r="F16" s="122" t="s">
        <v>248</v>
      </c>
      <c r="G16" s="122" t="s">
        <v>248</v>
      </c>
      <c r="H16" s="123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51" t="s">
        <v>248</v>
      </c>
      <c r="N16" s="127" t="s">
        <v>248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376</v>
      </c>
      <c r="B17" s="122" t="s">
        <v>248</v>
      </c>
      <c r="C17" s="122" t="s">
        <v>248</v>
      </c>
      <c r="D17" s="122"/>
      <c r="E17" s="122" t="s">
        <v>248</v>
      </c>
      <c r="F17" s="122" t="s">
        <v>248</v>
      </c>
      <c r="G17" s="122" t="s">
        <v>248</v>
      </c>
      <c r="H17" s="123" t="s">
        <v>248</v>
      </c>
      <c r="I17" s="122" t="s">
        <v>248</v>
      </c>
      <c r="J17" s="123" t="s">
        <v>248</v>
      </c>
      <c r="K17" s="122" t="s">
        <v>248</v>
      </c>
      <c r="L17" s="122" t="s">
        <v>248</v>
      </c>
      <c r="M17" s="151" t="s">
        <v>248</v>
      </c>
      <c r="N17" s="127" t="s">
        <v>248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377</v>
      </c>
      <c r="B18" s="122" t="s">
        <v>248</v>
      </c>
      <c r="C18" s="122" t="s">
        <v>248</v>
      </c>
      <c r="D18" s="122"/>
      <c r="E18" s="122" t="s">
        <v>248</v>
      </c>
      <c r="F18" s="122" t="s">
        <v>248</v>
      </c>
      <c r="G18" s="122" t="s">
        <v>248</v>
      </c>
      <c r="H18" s="123" t="s">
        <v>248</v>
      </c>
      <c r="I18" s="122" t="s">
        <v>248</v>
      </c>
      <c r="J18" s="123" t="s">
        <v>248</v>
      </c>
      <c r="K18" s="122" t="s">
        <v>248</v>
      </c>
      <c r="L18" s="122" t="s">
        <v>248</v>
      </c>
      <c r="M18" s="151" t="s">
        <v>248</v>
      </c>
      <c r="N18" s="127" t="s">
        <v>248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378</v>
      </c>
      <c r="B19" s="122" t="s">
        <v>248</v>
      </c>
      <c r="C19" s="122" t="s">
        <v>248</v>
      </c>
      <c r="D19" s="122"/>
      <c r="E19" s="122" t="s">
        <v>248</v>
      </c>
      <c r="F19" s="122" t="s">
        <v>248</v>
      </c>
      <c r="G19" s="122" t="s">
        <v>248</v>
      </c>
      <c r="H19" s="123" t="s">
        <v>248</v>
      </c>
      <c r="I19" s="122" t="s">
        <v>248</v>
      </c>
      <c r="J19" s="123" t="s">
        <v>248</v>
      </c>
      <c r="K19" s="122" t="s">
        <v>248</v>
      </c>
      <c r="L19" s="122" t="s">
        <v>248</v>
      </c>
      <c r="M19" s="151" t="s">
        <v>248</v>
      </c>
      <c r="N19" s="127" t="s">
        <v>248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284</v>
      </c>
      <c r="B20" s="122" t="s">
        <v>248</v>
      </c>
      <c r="C20" s="122" t="s">
        <v>248</v>
      </c>
      <c r="D20" s="122"/>
      <c r="E20" s="122" t="s">
        <v>248</v>
      </c>
      <c r="F20" s="122" t="s">
        <v>248</v>
      </c>
      <c r="G20" s="122" t="s">
        <v>248</v>
      </c>
      <c r="H20" s="123" t="s">
        <v>248</v>
      </c>
      <c r="I20" s="122" t="s">
        <v>248</v>
      </c>
      <c r="J20" s="123" t="s">
        <v>248</v>
      </c>
      <c r="K20" s="122" t="s">
        <v>248</v>
      </c>
      <c r="L20" s="122" t="s">
        <v>248</v>
      </c>
      <c r="M20" s="151" t="s">
        <v>248</v>
      </c>
      <c r="N20" s="127" t="s">
        <v>248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370</v>
      </c>
      <c r="B21" s="122" t="s">
        <v>248</v>
      </c>
      <c r="C21" s="122" t="s">
        <v>248</v>
      </c>
      <c r="D21" s="122"/>
      <c r="E21" s="122" t="s">
        <v>248</v>
      </c>
      <c r="F21" s="122" t="s">
        <v>248</v>
      </c>
      <c r="G21" s="122" t="s">
        <v>248</v>
      </c>
      <c r="H21" s="123" t="s">
        <v>248</v>
      </c>
      <c r="I21" s="122" t="s">
        <v>248</v>
      </c>
      <c r="J21" s="123" t="s">
        <v>248</v>
      </c>
      <c r="K21" s="122" t="s">
        <v>248</v>
      </c>
      <c r="L21" s="122" t="s">
        <v>248</v>
      </c>
      <c r="M21" s="151" t="s">
        <v>248</v>
      </c>
      <c r="N21" s="127" t="s">
        <v>248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377</v>
      </c>
      <c r="B22" s="122" t="s">
        <v>248</v>
      </c>
      <c r="C22" s="122" t="s">
        <v>248</v>
      </c>
      <c r="D22" s="122"/>
      <c r="E22" s="122" t="s">
        <v>248</v>
      </c>
      <c r="F22" s="122" t="s">
        <v>248</v>
      </c>
      <c r="G22" s="122" t="s">
        <v>248</v>
      </c>
      <c r="H22" s="123" t="s">
        <v>248</v>
      </c>
      <c r="I22" s="122" t="s">
        <v>248</v>
      </c>
      <c r="J22" s="123" t="s">
        <v>248</v>
      </c>
      <c r="K22" s="122" t="s">
        <v>248</v>
      </c>
      <c r="L22" s="122" t="s">
        <v>248</v>
      </c>
      <c r="M22" s="151" t="s">
        <v>248</v>
      </c>
      <c r="N22" s="127" t="s">
        <v>248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371</v>
      </c>
      <c r="B23" s="122" t="s">
        <v>248</v>
      </c>
      <c r="C23" s="122" t="s">
        <v>248</v>
      </c>
      <c r="D23" s="122"/>
      <c r="E23" s="122" t="s">
        <v>248</v>
      </c>
      <c r="F23" s="122" t="s">
        <v>248</v>
      </c>
      <c r="G23" s="122" t="s">
        <v>248</v>
      </c>
      <c r="H23" s="123" t="s">
        <v>248</v>
      </c>
      <c r="I23" s="122" t="s">
        <v>248</v>
      </c>
      <c r="J23" s="123" t="s">
        <v>248</v>
      </c>
      <c r="K23" s="122" t="s">
        <v>248</v>
      </c>
      <c r="L23" s="122" t="s">
        <v>248</v>
      </c>
      <c r="M23" s="151" t="s">
        <v>248</v>
      </c>
      <c r="N23" s="127" t="s">
        <v>248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378</v>
      </c>
      <c r="B24" s="122" t="s">
        <v>248</v>
      </c>
      <c r="C24" s="122" t="s">
        <v>248</v>
      </c>
      <c r="D24" s="122"/>
      <c r="E24" s="122" t="s">
        <v>248</v>
      </c>
      <c r="F24" s="122" t="s">
        <v>248</v>
      </c>
      <c r="G24" s="122" t="s">
        <v>248</v>
      </c>
      <c r="H24" s="123" t="s">
        <v>248</v>
      </c>
      <c r="I24" s="122" t="s">
        <v>248</v>
      </c>
      <c r="J24" s="123" t="s">
        <v>248</v>
      </c>
      <c r="K24" s="122" t="s">
        <v>248</v>
      </c>
      <c r="L24" s="122" t="s">
        <v>248</v>
      </c>
      <c r="M24" s="151" t="s">
        <v>248</v>
      </c>
      <c r="N24" s="127" t="s">
        <v>248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248</v>
      </c>
      <c r="C9" s="113" t="s">
        <v>248</v>
      </c>
      <c r="D9" s="113" t="s">
        <v>248</v>
      </c>
      <c r="E9" s="113" t="s">
        <v>248</v>
      </c>
      <c r="F9" s="113" t="s">
        <v>248</v>
      </c>
      <c r="G9" s="113" t="s">
        <v>248</v>
      </c>
      <c r="H9" s="112" t="s">
        <v>248</v>
      </c>
      <c r="I9" s="112" t="s">
        <v>248</v>
      </c>
      <c r="J9" s="124" t="s">
        <v>248</v>
      </c>
      <c r="K9" s="113" t="s">
        <v>248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379</v>
      </c>
      <c r="B10" s="128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8" t="s">
        <v>248</v>
      </c>
      <c r="J10" s="126" t="s">
        <v>248</v>
      </c>
      <c r="K10" s="127" t="s">
        <v>248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349</v>
      </c>
      <c r="B11" s="128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8" t="s">
        <v>248</v>
      </c>
      <c r="I11" s="128" t="s">
        <v>248</v>
      </c>
      <c r="J11" s="126" t="s">
        <v>248</v>
      </c>
      <c r="K11" s="127" t="s">
        <v>248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380</v>
      </c>
      <c r="B12" s="128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8" t="s">
        <v>248</v>
      </c>
      <c r="I12" s="128" t="s">
        <v>248</v>
      </c>
      <c r="J12" s="126" t="s">
        <v>248</v>
      </c>
      <c r="K12" s="127" t="s">
        <v>248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381</v>
      </c>
      <c r="B13" s="128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8" t="s">
        <v>248</v>
      </c>
      <c r="I13" s="128" t="s">
        <v>248</v>
      </c>
      <c r="J13" s="126" t="s">
        <v>248</v>
      </c>
      <c r="K13" s="127" t="s">
        <v>248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8" t="s">
        <v>248</v>
      </c>
      <c r="I14" s="128" t="s">
        <v>248</v>
      </c>
      <c r="J14" s="126" t="s">
        <v>248</v>
      </c>
      <c r="K14" s="127" t="s">
        <v>248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288</v>
      </c>
      <c r="B15" s="128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8" t="s">
        <v>248</v>
      </c>
      <c r="I15" s="128" t="s">
        <v>248</v>
      </c>
      <c r="J15" s="126" t="s">
        <v>248</v>
      </c>
      <c r="K15" s="127" t="s">
        <v>248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248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382</v>
      </c>
      <c r="B9" s="112" t="s">
        <v>248</v>
      </c>
      <c r="C9" s="112" t="s">
        <v>248</v>
      </c>
      <c r="D9" s="112" t="s">
        <v>248</v>
      </c>
      <c r="E9" s="113" t="s">
        <v>248</v>
      </c>
      <c r="F9" s="114">
        <v>0</v>
      </c>
      <c r="G9" s="112">
        <v>0</v>
      </c>
      <c r="H9" s="112">
        <v>0</v>
      </c>
      <c r="I9" s="112" t="s">
        <v>248</v>
      </c>
    </row>
    <row r="10" spans="1:17" s="110" customFormat="1" x14ac:dyDescent="0.25">
      <c r="A10" s="89" t="s">
        <v>383</v>
      </c>
      <c r="B10" s="112" t="s">
        <v>248</v>
      </c>
      <c r="C10" s="112" t="s">
        <v>248</v>
      </c>
      <c r="D10" s="112" t="s">
        <v>248</v>
      </c>
      <c r="E10" s="113" t="s">
        <v>248</v>
      </c>
      <c r="F10" s="114">
        <v>0</v>
      </c>
      <c r="G10" s="112">
        <v>0</v>
      </c>
      <c r="H10" s="112">
        <v>0</v>
      </c>
      <c r="I10" s="112" t="s">
        <v>248</v>
      </c>
    </row>
    <row r="11" spans="1:17" s="110" customFormat="1" x14ac:dyDescent="0.25">
      <c r="A11" s="89" t="s">
        <v>384</v>
      </c>
      <c r="B11" s="112" t="s">
        <v>248</v>
      </c>
      <c r="C11" s="112" t="s">
        <v>248</v>
      </c>
      <c r="D11" s="112" t="s">
        <v>248</v>
      </c>
      <c r="E11" s="113" t="s">
        <v>248</v>
      </c>
      <c r="F11" s="114">
        <v>0</v>
      </c>
      <c r="G11" s="112">
        <v>0</v>
      </c>
      <c r="H11" s="112">
        <v>0</v>
      </c>
      <c r="I11" s="112" t="s">
        <v>248</v>
      </c>
    </row>
    <row r="12" spans="1:17" s="110" customFormat="1" x14ac:dyDescent="0.25">
      <c r="A12" s="89" t="s">
        <v>385</v>
      </c>
      <c r="B12" s="112" t="s">
        <v>248</v>
      </c>
      <c r="C12" s="112" t="s">
        <v>248</v>
      </c>
      <c r="D12" s="112" t="s">
        <v>248</v>
      </c>
      <c r="E12" s="113" t="s">
        <v>248</v>
      </c>
      <c r="F12" s="114">
        <v>0</v>
      </c>
      <c r="G12" s="112">
        <v>0</v>
      </c>
      <c r="H12" s="112">
        <v>0</v>
      </c>
      <c r="I12" s="112" t="s">
        <v>248</v>
      </c>
    </row>
    <row r="13" spans="1:17" s="110" customFormat="1" x14ac:dyDescent="0.25">
      <c r="A13" s="89" t="s">
        <v>383</v>
      </c>
      <c r="B13" s="112" t="s">
        <v>248</v>
      </c>
      <c r="C13" s="112" t="s">
        <v>248</v>
      </c>
      <c r="D13" s="112" t="s">
        <v>248</v>
      </c>
      <c r="E13" s="113" t="s">
        <v>248</v>
      </c>
      <c r="F13" s="114">
        <v>0</v>
      </c>
      <c r="G13" s="112">
        <v>0</v>
      </c>
      <c r="H13" s="112">
        <v>0</v>
      </c>
      <c r="I13" s="112" t="s">
        <v>248</v>
      </c>
    </row>
    <row r="14" spans="1:17" s="110" customFormat="1" x14ac:dyDescent="0.25">
      <c r="A14" s="89" t="s">
        <v>384</v>
      </c>
      <c r="B14" s="112" t="s">
        <v>248</v>
      </c>
      <c r="C14" s="112" t="s">
        <v>248</v>
      </c>
      <c r="D14" s="112" t="s">
        <v>248</v>
      </c>
      <c r="E14" s="113" t="s">
        <v>248</v>
      </c>
      <c r="F14" s="114">
        <v>0</v>
      </c>
      <c r="G14" s="112">
        <v>0</v>
      </c>
      <c r="H14" s="112">
        <v>0</v>
      </c>
      <c r="I14" s="112" t="s">
        <v>248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3.7943141717729453E-13</v>
      </c>
    </row>
    <row r="9" spans="1:18" s="110" customFormat="1" x14ac:dyDescent="0.25">
      <c r="A9" s="88" t="s">
        <v>137</v>
      </c>
      <c r="B9" s="112" t="s">
        <v>248</v>
      </c>
      <c r="C9" s="112" t="s">
        <v>248</v>
      </c>
      <c r="D9" s="112" t="s">
        <v>248</v>
      </c>
      <c r="E9" s="112" t="s">
        <v>248</v>
      </c>
      <c r="F9" s="125" t="s">
        <v>248</v>
      </c>
      <c r="G9" s="153" t="s">
        <v>248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284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25" t="s">
        <v>248</v>
      </c>
      <c r="G10" s="153" t="s">
        <v>248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4.88671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248</v>
      </c>
      <c r="E8" s="111" t="s">
        <v>248</v>
      </c>
      <c r="F8" s="111" t="s">
        <v>248</v>
      </c>
      <c r="G8" s="111" t="s">
        <v>248</v>
      </c>
      <c r="H8" s="90">
        <v>-238.89150979999999</v>
      </c>
      <c r="I8" s="74">
        <v>1</v>
      </c>
      <c r="J8" s="56">
        <v>-4.5321472057518764E-4</v>
      </c>
    </row>
    <row r="9" spans="1:20" s="110" customFormat="1" x14ac:dyDescent="0.25">
      <c r="A9" s="88" t="s">
        <v>137</v>
      </c>
      <c r="B9" s="154"/>
      <c r="C9" s="113" t="s">
        <v>248</v>
      </c>
      <c r="D9" s="134" t="s">
        <v>248</v>
      </c>
      <c r="E9" s="148" t="s">
        <v>248</v>
      </c>
      <c r="F9" s="125" t="s">
        <v>248</v>
      </c>
      <c r="G9" s="148" t="s">
        <v>248</v>
      </c>
      <c r="H9" s="114">
        <v>-238.89150990000002</v>
      </c>
      <c r="I9" s="112">
        <v>1.0000000004186</v>
      </c>
      <c r="J9" s="112">
        <v>-4.532147207649034E-4</v>
      </c>
    </row>
    <row r="10" spans="1:20" x14ac:dyDescent="0.25">
      <c r="A10" s="16" t="s">
        <v>386</v>
      </c>
      <c r="B10" s="23" t="s">
        <v>387</v>
      </c>
      <c r="C10" s="63" t="s">
        <v>388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-238.89151000000001</v>
      </c>
      <c r="I10" s="73">
        <v>1.0000000008372001</v>
      </c>
      <c r="J10" s="32">
        <v>-4.532147209546191E-4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284</v>
      </c>
      <c r="B11" s="155" t="s">
        <v>248</v>
      </c>
      <c r="C11" s="113" t="s">
        <v>248</v>
      </c>
      <c r="D11" s="136" t="s">
        <v>248</v>
      </c>
      <c r="E11" s="149" t="s">
        <v>248</v>
      </c>
      <c r="F11" s="125" t="s">
        <v>248</v>
      </c>
      <c r="G11" s="149" t="s">
        <v>248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398</v>
      </c>
      <c r="B8" s="159">
        <v>2.0000000000000002E-7</v>
      </c>
      <c r="C8" s="108" t="s">
        <v>248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248</v>
      </c>
    </row>
    <row r="10" spans="1:3" s="106" customFormat="1" x14ac:dyDescent="0.25">
      <c r="A10" s="162" t="s">
        <v>284</v>
      </c>
      <c r="B10" s="163">
        <v>1.0000000000000001E-7</v>
      </c>
      <c r="C10" s="164" t="s">
        <v>248</v>
      </c>
    </row>
    <row r="11" spans="1:3" x14ac:dyDescent="0.25">
      <c r="A11" t="s">
        <v>397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2025-05-21T19:03:19Z</dcterms:modified>
</cp:coreProperties>
</file>